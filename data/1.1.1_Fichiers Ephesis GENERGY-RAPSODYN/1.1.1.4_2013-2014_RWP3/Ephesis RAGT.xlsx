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270" yWindow="7185" windowWidth="19200" windowHeight="4455" tabRatio="901" firstSheet="5" activeTab="12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Data!$A$1:$CM$865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Y342" i="9" l="1"/>
  <c r="Y219" i="9"/>
  <c r="Y42" i="9"/>
  <c r="Y150" i="9"/>
  <c r="Y623" i="9"/>
  <c r="Y780" i="9"/>
  <c r="Y175" i="9"/>
  <c r="Y159" i="9"/>
  <c r="Y575" i="9"/>
  <c r="Y228" i="9"/>
  <c r="Y3" i="9"/>
  <c r="Y74" i="9"/>
  <c r="Y701" i="9"/>
  <c r="Y244" i="9"/>
  <c r="Y816" i="9"/>
  <c r="Y446" i="9"/>
  <c r="Y182" i="9"/>
  <c r="Y327" i="9"/>
  <c r="Y741" i="9"/>
  <c r="Y220" i="9"/>
  <c r="Y135" i="9"/>
  <c r="Y16" i="9"/>
  <c r="Y26" i="9"/>
  <c r="Y243" i="9"/>
  <c r="Y692" i="9"/>
  <c r="Y231" i="9"/>
  <c r="Y122" i="9"/>
  <c r="Y87" i="9"/>
  <c r="Y146" i="9"/>
  <c r="Y277" i="9"/>
  <c r="Y835" i="9"/>
  <c r="Y803" i="9"/>
  <c r="Y212" i="9"/>
  <c r="Y576" i="9"/>
  <c r="Y68" i="9"/>
  <c r="Y457" i="9"/>
  <c r="Y170" i="9"/>
  <c r="Y519" i="9"/>
  <c r="Y291" i="9"/>
  <c r="Y586" i="9"/>
  <c r="Y341" i="9"/>
  <c r="Y206" i="9"/>
  <c r="Y158" i="9"/>
  <c r="Y580" i="9"/>
  <c r="Y306" i="9"/>
  <c r="Y218" i="9"/>
  <c r="Y286" i="9"/>
  <c r="Y387" i="9"/>
  <c r="Y260" i="9"/>
  <c r="Y173" i="9"/>
  <c r="Y209" i="9"/>
  <c r="Y587" i="9"/>
  <c r="Y100" i="9"/>
  <c r="Y302" i="9"/>
  <c r="Y424" i="9"/>
  <c r="Y86" i="9"/>
  <c r="Y195" i="9"/>
  <c r="Y50" i="9"/>
  <c r="Y717" i="9"/>
  <c r="Y687" i="9"/>
  <c r="Y423" i="9"/>
  <c r="Y605" i="9"/>
  <c r="Y613" i="9"/>
  <c r="Y788" i="9"/>
  <c r="Y842" i="9"/>
  <c r="Y706" i="9"/>
  <c r="Y66" i="9"/>
  <c r="Y679" i="9"/>
  <c r="Y98" i="9"/>
  <c r="Y115" i="9"/>
  <c r="Y698" i="9"/>
  <c r="Y255" i="9"/>
  <c r="Y646" i="9"/>
  <c r="Y268" i="9"/>
  <c r="Y134" i="9"/>
  <c r="Y694" i="9"/>
  <c r="Y125" i="9"/>
  <c r="Y389" i="9"/>
  <c r="Y149" i="9"/>
  <c r="Y352" i="9"/>
  <c r="Y545" i="9"/>
  <c r="Y351" i="9"/>
  <c r="Y723" i="9"/>
  <c r="Y270" i="9"/>
  <c r="Y183" i="9"/>
  <c r="Y283" i="9"/>
  <c r="Y538" i="9"/>
  <c r="Y453" i="9"/>
  <c r="Y99" i="9"/>
  <c r="Y526" i="9"/>
  <c r="Y290" i="9"/>
  <c r="Y680" i="9"/>
  <c r="Y743" i="9"/>
  <c r="Y747" i="9"/>
  <c r="Y673" i="9"/>
  <c r="Y636" i="9"/>
  <c r="Y160" i="9"/>
  <c r="Y733" i="9"/>
  <c r="Y391" i="9"/>
  <c r="Y4" i="9"/>
  <c r="Y230" i="9"/>
  <c r="Y310" i="9"/>
  <c r="Y847" i="9"/>
  <c r="Y398" i="9"/>
  <c r="Y77" i="9"/>
  <c r="Y151" i="9"/>
  <c r="Y124" i="9"/>
  <c r="Y554" i="9"/>
  <c r="Y44" i="9"/>
  <c r="Y63" i="9"/>
  <c r="Y51" i="9"/>
  <c r="Y742" i="9"/>
  <c r="Y591" i="9"/>
  <c r="Y536" i="9"/>
  <c r="Y18" i="9"/>
  <c r="Y242" i="9"/>
  <c r="Y176" i="9"/>
  <c r="Y204" i="9"/>
  <c r="Y252" i="9"/>
  <c r="Y374" i="9"/>
  <c r="Y644" i="9"/>
  <c r="Y148" i="9"/>
  <c r="Y52" i="9"/>
  <c r="Y728" i="9"/>
  <c r="Y362" i="9"/>
  <c r="Y6" i="9"/>
  <c r="Y316" i="9"/>
  <c r="Y169" i="9"/>
  <c r="Y184" i="9"/>
  <c r="Y330" i="9"/>
  <c r="Y295" i="9"/>
  <c r="Y848" i="9"/>
  <c r="Y293" i="9"/>
  <c r="Y410" i="9"/>
  <c r="Y140" i="9"/>
  <c r="Y427" i="9"/>
  <c r="Y262" i="9"/>
  <c r="Y412" i="9"/>
  <c r="Y800" i="9"/>
  <c r="Y820" i="9"/>
  <c r="Y521" i="9"/>
  <c r="Y732" i="9"/>
  <c r="Y172" i="9"/>
  <c r="Y314" i="9"/>
  <c r="Y610" i="9"/>
  <c r="Y588" i="9"/>
  <c r="Y730" i="9"/>
  <c r="Y166" i="9"/>
  <c r="Y683" i="9"/>
  <c r="Y755" i="9"/>
  <c r="Y753" i="9"/>
  <c r="Y856" i="9"/>
  <c r="Y75" i="9"/>
  <c r="Y768" i="9"/>
  <c r="Y137" i="9"/>
  <c r="Y41" i="9"/>
  <c r="Y612" i="9"/>
  <c r="Y693" i="9"/>
  <c r="Y233" i="9"/>
  <c r="Y635" i="9"/>
  <c r="Y756" i="9"/>
  <c r="Y468" i="9"/>
  <c r="Y240" i="9"/>
  <c r="Y5" i="9"/>
  <c r="Y257" i="9"/>
  <c r="Y319" i="9"/>
  <c r="Y529" i="9"/>
  <c r="Y485" i="9"/>
  <c r="Y777" i="9"/>
  <c r="Y422" i="9"/>
  <c r="Y273" i="9"/>
  <c r="Y375" i="9"/>
  <c r="Y294" i="9"/>
  <c r="Y490" i="9"/>
  <c r="Y452" i="9"/>
  <c r="Y648" i="9"/>
  <c r="Y269" i="9"/>
  <c r="Y570" i="9"/>
  <c r="Y354" i="9"/>
  <c r="Y597" i="9"/>
  <c r="Y329" i="9"/>
  <c r="Y88" i="9"/>
  <c r="Y78" i="9"/>
  <c r="Y754" i="9"/>
  <c r="Y542" i="9"/>
  <c r="Y704" i="9"/>
  <c r="Y142" i="9"/>
  <c r="Y331" i="9"/>
  <c r="Y280" i="9"/>
  <c r="Y386" i="9"/>
  <c r="Y740" i="9"/>
  <c r="Y656" i="9"/>
  <c r="Y477" i="9"/>
  <c r="Y804" i="9"/>
  <c r="Y425" i="9"/>
  <c r="Y14" i="9"/>
  <c r="Y555" i="9"/>
  <c r="Y722" i="9"/>
  <c r="Y338" i="9"/>
  <c r="Y628" i="9"/>
  <c r="Y516" i="9"/>
  <c r="Y760" i="9"/>
  <c r="Y757" i="9"/>
  <c r="Y372" i="9"/>
  <c r="Y579" i="9"/>
  <c r="Y196" i="9"/>
  <c r="Y339" i="9"/>
  <c r="Y288" i="9"/>
  <c r="Y274" i="9"/>
  <c r="Y89" i="9"/>
  <c r="Y279" i="9"/>
  <c r="Y470" i="9"/>
  <c r="Y117" i="9"/>
  <c r="Y794" i="9"/>
  <c r="Y593" i="9"/>
  <c r="Y493" i="9"/>
  <c r="Y767" i="9"/>
  <c r="Y731" i="9"/>
  <c r="Y657" i="9"/>
  <c r="Y139" i="9"/>
  <c r="Y246" i="9"/>
  <c r="Y729" i="9"/>
  <c r="Y399" i="9"/>
  <c r="Y161" i="9"/>
  <c r="Y15" i="9"/>
  <c r="Y208" i="9"/>
  <c r="Y46" i="9"/>
  <c r="Y686" i="9"/>
  <c r="Y245" i="9"/>
  <c r="Y818" i="9"/>
  <c r="Y601" i="9"/>
  <c r="Y852" i="9"/>
  <c r="Y303" i="9"/>
  <c r="Y81" i="9"/>
  <c r="Y62" i="9"/>
  <c r="Y744" i="9"/>
  <c r="Y550" i="9"/>
  <c r="Y697" i="9"/>
  <c r="Y93" i="9"/>
  <c r="Y332" i="9"/>
  <c r="Y411" i="9"/>
  <c r="Y864" i="9"/>
  <c r="Y578" i="9"/>
  <c r="Y40" i="9"/>
  <c r="Y207" i="9"/>
  <c r="Y478" i="9"/>
  <c r="Y817" i="9"/>
  <c r="Y292" i="9"/>
  <c r="Y466" i="9"/>
  <c r="Y21" i="9"/>
  <c r="Y247" i="9"/>
  <c r="Y671" i="9"/>
  <c r="Y413" i="9"/>
  <c r="Y495" i="9"/>
  <c r="Y661" i="9"/>
  <c r="Y796" i="9"/>
  <c r="Y147" i="9"/>
  <c r="Y815" i="9"/>
  <c r="Y365" i="9"/>
  <c r="Y28" i="9"/>
  <c r="Y326" i="9"/>
  <c r="Y126" i="9"/>
  <c r="Y766" i="9"/>
  <c r="Y443" i="9"/>
  <c r="Y581" i="9"/>
  <c r="Y805" i="9"/>
  <c r="Y163" i="9"/>
  <c r="Y186" i="9"/>
  <c r="Y38" i="9"/>
  <c r="Y90" i="9"/>
  <c r="Y676" i="9"/>
  <c r="Y178" i="9"/>
  <c r="Y82" i="9"/>
  <c r="Y305" i="9"/>
  <c r="Y721" i="9"/>
  <c r="Y390" i="9"/>
  <c r="Y611" i="9"/>
  <c r="Y318" i="9"/>
  <c r="Y235" i="9"/>
  <c r="Y651" i="9"/>
  <c r="Y454" i="9"/>
  <c r="Y643" i="9"/>
  <c r="Y366" i="9"/>
  <c r="Y467" i="9"/>
  <c r="Y185" i="9"/>
  <c r="Y317" i="9"/>
  <c r="Y850" i="9"/>
  <c r="Y24" i="9"/>
  <c r="Y812" i="9"/>
  <c r="Y197" i="9"/>
  <c r="Y405" i="9"/>
  <c r="Y455" i="9"/>
  <c r="Y823" i="9"/>
  <c r="Y266" i="9"/>
  <c r="Y340" i="9"/>
  <c r="Y448" i="9"/>
  <c r="Y363" i="9"/>
  <c r="Y659" i="9"/>
  <c r="Y171" i="9"/>
  <c r="Y162" i="9"/>
  <c r="Y416" i="9"/>
  <c r="Y486" i="9"/>
  <c r="Y210" i="9"/>
  <c r="Y865" i="9"/>
  <c r="Y501" i="9"/>
  <c r="Y738" i="9"/>
  <c r="Y198" i="9"/>
  <c r="Y10" i="9"/>
  <c r="Y696" i="9"/>
  <c r="Y254" i="9"/>
  <c r="Y376" i="9"/>
  <c r="Y827" i="9"/>
  <c r="Y515" i="9"/>
  <c r="Y29" i="9"/>
  <c r="Y27" i="9"/>
  <c r="Y232" i="9"/>
  <c r="Y400" i="9"/>
  <c r="Y855" i="9"/>
  <c r="Y480" i="9"/>
  <c r="Y620" i="9"/>
  <c r="Y718" i="9"/>
  <c r="Y745" i="9"/>
  <c r="Y792" i="9"/>
  <c r="Y54" i="9"/>
  <c r="Y388" i="9"/>
  <c r="Y660" i="9"/>
  <c r="Y223" i="9"/>
  <c r="Y465" i="9"/>
  <c r="Y350" i="9"/>
  <c r="Y682" i="9"/>
  <c r="Y136" i="9"/>
  <c r="Y229" i="9"/>
  <c r="Y114" i="9"/>
  <c r="Y281" i="9"/>
  <c r="Y539" i="9"/>
  <c r="Y779" i="9"/>
  <c r="Y776" i="9"/>
  <c r="Y806" i="9"/>
  <c r="Y7" i="9"/>
  <c r="Y506" i="9"/>
  <c r="Y637" i="9"/>
  <c r="Y199" i="9"/>
  <c r="Y716" i="9"/>
  <c r="Y645" i="9"/>
  <c r="Y64" i="9"/>
  <c r="Y348" i="9"/>
  <c r="Y371" i="9"/>
  <c r="Y849" i="9"/>
  <c r="Y127" i="9"/>
  <c r="Y840" i="9"/>
  <c r="Y138" i="9"/>
  <c r="Y838" i="9"/>
  <c r="Y520" i="9"/>
  <c r="Y615" i="9"/>
  <c r="Y464" i="9"/>
  <c r="Y315" i="9"/>
  <c r="Y854" i="9"/>
  <c r="Y781" i="9"/>
  <c r="Y307" i="9"/>
  <c r="Y544" i="9"/>
  <c r="Y174" i="9"/>
  <c r="Y30" i="9"/>
  <c r="Y407" i="9"/>
  <c r="Y402" i="9"/>
  <c r="Y670" i="9"/>
  <c r="Y764" i="9"/>
  <c r="Y19" i="9"/>
  <c r="Y70" i="9"/>
  <c r="Y103" i="9"/>
  <c r="Y720" i="9"/>
  <c r="Y179" i="9"/>
  <c r="Y530" i="9"/>
  <c r="Y650" i="9"/>
  <c r="Y278" i="9"/>
  <c r="Y101" i="9"/>
  <c r="Y758" i="9"/>
  <c r="Y700" i="9"/>
  <c r="Y836" i="9"/>
  <c r="Y458" i="9"/>
  <c r="Y304" i="9"/>
  <c r="Y43" i="9"/>
  <c r="Y708" i="9"/>
  <c r="Y17" i="9"/>
  <c r="Y688" i="9"/>
  <c r="Y347" i="9"/>
  <c r="Y440" i="9"/>
  <c r="Y632" i="9"/>
  <c r="Y377" i="9"/>
  <c r="Y414" i="9"/>
  <c r="Y608" i="9"/>
  <c r="Y451" i="9"/>
  <c r="Y662" i="9"/>
  <c r="Y123" i="9"/>
  <c r="Y841" i="9"/>
  <c r="Y509" i="9"/>
  <c r="Y442" i="9"/>
  <c r="Y825" i="9"/>
  <c r="Y459" i="9"/>
  <c r="Y381" i="9"/>
  <c r="Y94" i="9"/>
  <c r="Y598" i="9"/>
  <c r="Y67" i="9"/>
  <c r="Y69" i="9"/>
  <c r="Y534" i="9"/>
  <c r="Y189" i="9"/>
  <c r="Y714" i="9"/>
  <c r="Y531" i="9"/>
  <c r="Y76" i="9"/>
  <c r="Y535" i="9"/>
  <c r="Y462" i="9"/>
  <c r="Y561" i="9"/>
  <c r="Y256" i="9"/>
  <c r="Y328" i="9"/>
  <c r="Y824" i="9"/>
  <c r="Y626" i="9"/>
  <c r="Y772" i="9"/>
  <c r="Y31" i="9"/>
  <c r="Y456" i="9"/>
  <c r="Y719" i="9"/>
  <c r="Y194" i="9"/>
  <c r="Y324" i="9"/>
  <c r="Y573" i="9"/>
  <c r="Y769" i="9"/>
  <c r="Y96" i="9"/>
  <c r="Y633" i="9"/>
  <c r="Y155" i="9"/>
  <c r="Y525" i="9"/>
  <c r="Y502" i="9"/>
  <c r="Y45" i="9"/>
  <c r="Y709" i="9"/>
  <c r="Y500" i="9"/>
  <c r="Y553" i="9"/>
  <c r="Y851" i="9"/>
  <c r="Y241" i="9"/>
  <c r="Y36" i="9"/>
  <c r="Y715" i="9"/>
  <c r="Y762" i="9"/>
  <c r="Y790" i="9"/>
  <c r="Y725" i="9"/>
  <c r="Y8" i="9"/>
  <c r="Y492" i="9"/>
  <c r="Y789" i="9"/>
  <c r="Y9" i="9"/>
  <c r="Y583" i="9"/>
  <c r="Y364" i="9"/>
  <c r="Y863" i="9"/>
  <c r="Y482" i="9"/>
  <c r="Y548" i="9"/>
  <c r="Y267" i="9"/>
  <c r="Y634" i="9"/>
  <c r="Y707" i="9"/>
  <c r="Y649" i="9"/>
  <c r="Y798" i="9"/>
  <c r="Y837" i="9"/>
  <c r="Y334" i="9"/>
  <c r="Y658" i="9"/>
  <c r="Y826" i="9"/>
  <c r="Y378" i="9"/>
  <c r="Y53" i="9"/>
  <c r="Y271" i="9"/>
  <c r="Y79" i="9"/>
  <c r="Y705" i="9"/>
  <c r="Y562" i="9"/>
  <c r="Y801" i="9"/>
  <c r="Y695" i="9"/>
  <c r="Y793" i="9"/>
  <c r="Y778" i="9"/>
  <c r="Y192" i="9"/>
  <c r="Y771" i="9"/>
  <c r="Y434" i="9"/>
  <c r="Y65" i="9"/>
  <c r="Y563" i="9"/>
  <c r="Y221" i="9"/>
  <c r="Y853" i="9"/>
  <c r="Y84" i="9"/>
  <c r="Y102" i="9"/>
  <c r="Y153" i="9"/>
  <c r="Y564" i="9"/>
  <c r="Y832" i="9"/>
  <c r="Y417" i="9"/>
  <c r="Y164" i="9"/>
  <c r="Y572" i="9"/>
  <c r="Y567" i="9"/>
  <c r="Y469" i="9"/>
  <c r="Y592" i="9"/>
  <c r="Y622" i="9"/>
  <c r="Y234" i="9"/>
  <c r="Y489" i="9"/>
  <c r="Y488" i="9"/>
  <c r="Y344" i="9"/>
  <c r="Y765" i="9"/>
  <c r="Y734" i="9"/>
  <c r="Y503" i="9"/>
  <c r="Y498" i="9"/>
  <c r="Y763" i="9"/>
  <c r="Y472" i="9"/>
  <c r="Y590" i="9"/>
  <c r="Y551" i="9"/>
  <c r="Y761" i="9"/>
  <c r="Y353" i="9"/>
  <c r="Y289" i="9"/>
  <c r="Y752" i="9"/>
  <c r="Y710" i="9"/>
  <c r="Y299" i="9"/>
  <c r="Y560" i="9"/>
  <c r="Y557" i="9"/>
  <c r="Y684" i="9"/>
  <c r="Y360" i="9"/>
  <c r="Y321" i="9"/>
  <c r="Y814" i="9"/>
  <c r="Y370" i="9"/>
  <c r="Y585" i="9"/>
  <c r="Y799" i="9"/>
  <c r="Y594" i="9"/>
  <c r="Y524" i="9"/>
  <c r="Y225" i="9"/>
  <c r="Y603" i="9"/>
  <c r="Y511" i="9"/>
  <c r="Y476" i="9"/>
  <c r="Y426" i="9"/>
  <c r="Y47" i="9"/>
  <c r="Y678" i="9"/>
  <c r="Y284" i="9"/>
  <c r="Y813" i="9"/>
  <c r="Y552" i="9"/>
  <c r="Y672" i="9"/>
  <c r="Y441" i="9"/>
  <c r="Y577" i="9"/>
  <c r="Y435" i="9"/>
  <c r="Y638" i="9"/>
  <c r="Y822" i="9"/>
  <c r="Y828" i="9"/>
  <c r="Y432" i="9"/>
  <c r="Y537" i="9"/>
  <c r="Y600" i="9"/>
  <c r="Y91" i="9"/>
  <c r="Y444" i="9"/>
  <c r="Y504" i="9"/>
  <c r="Y844" i="9"/>
  <c r="Y298" i="9"/>
  <c r="Y528" i="9"/>
  <c r="Y703" i="9"/>
  <c r="Y118" i="9"/>
  <c r="Y831" i="9"/>
  <c r="Y821" i="9"/>
  <c r="Y669" i="9"/>
  <c r="Y674" i="9"/>
  <c r="Y308" i="9"/>
  <c r="Y606" i="9"/>
  <c r="Y527" i="9"/>
  <c r="Y862" i="9"/>
  <c r="Y258" i="9"/>
  <c r="Y259" i="9"/>
  <c r="Y55" i="9"/>
  <c r="Y621" i="9"/>
  <c r="Y71" i="9"/>
  <c r="Y437" i="9"/>
  <c r="Y322" i="9"/>
  <c r="Y782" i="9"/>
  <c r="Y624" i="9"/>
  <c r="Y517" i="9"/>
  <c r="Y860" i="9"/>
  <c r="Y712" i="9"/>
  <c r="Y479" i="9"/>
  <c r="Y320" i="9"/>
  <c r="Y108" i="9"/>
  <c r="Y668" i="9"/>
  <c r="Y272" i="9"/>
  <c r="Y420" i="9"/>
  <c r="Y724" i="9"/>
  <c r="Y264" i="9"/>
  <c r="Y58" i="9"/>
  <c r="Y60" i="9"/>
  <c r="Y300" i="9"/>
  <c r="Y839" i="9"/>
  <c r="Y514" i="9"/>
  <c r="Y566" i="9"/>
  <c r="Y385" i="9"/>
  <c r="Y641" i="9"/>
  <c r="Y647" i="9"/>
  <c r="Y224" i="9"/>
  <c r="Y861" i="9"/>
  <c r="Y226" i="9"/>
  <c r="Y834" i="9"/>
  <c r="Y401" i="9"/>
  <c r="Y843" i="9"/>
  <c r="Y211" i="9"/>
  <c r="Y104" i="9"/>
  <c r="Y11" i="9"/>
  <c r="Y415" i="9"/>
  <c r="Y355" i="9"/>
  <c r="Y711" i="9"/>
  <c r="Y609" i="9"/>
  <c r="Y119" i="9"/>
  <c r="Y802" i="9"/>
  <c r="Y191" i="9"/>
  <c r="Y685" i="9"/>
  <c r="Y604" i="9"/>
  <c r="Y681" i="9"/>
  <c r="Y276" i="9"/>
  <c r="Y445" i="9"/>
  <c r="Y589" i="9"/>
  <c r="Y629" i="9"/>
  <c r="Y625" i="9"/>
  <c r="Y599" i="9"/>
  <c r="Y518" i="9"/>
  <c r="Y296" i="9"/>
  <c r="Y325" i="9"/>
  <c r="Y34" i="9"/>
  <c r="Y541" i="9"/>
  <c r="Y602" i="9"/>
  <c r="Y665" i="9"/>
  <c r="Y568" i="9"/>
  <c r="Y574" i="9"/>
  <c r="Y549" i="9"/>
  <c r="Y565" i="9"/>
  <c r="Y512" i="9"/>
  <c r="Y343" i="9"/>
  <c r="Y726" i="9"/>
  <c r="Y129" i="9"/>
  <c r="Y487" i="9"/>
  <c r="Y481" i="9"/>
  <c r="Y532" i="9"/>
  <c r="Y61" i="9"/>
  <c r="Y595" i="9"/>
  <c r="Y105" i="9"/>
  <c r="Y474" i="9"/>
  <c r="Y663" i="9"/>
  <c r="Y654" i="9"/>
  <c r="Y727" i="9"/>
  <c r="Y858" i="9"/>
  <c r="Y582" i="9"/>
  <c r="Y748" i="9"/>
  <c r="Y201" i="9"/>
  <c r="Y128" i="9"/>
  <c r="Y156" i="9"/>
  <c r="Y627" i="9"/>
  <c r="Y13" i="9"/>
  <c r="Y460" i="9"/>
  <c r="Y20" i="9"/>
  <c r="Y181" i="9"/>
  <c r="Y811" i="9"/>
  <c r="Y652" i="9"/>
  <c r="Y691" i="9"/>
  <c r="Y312" i="9"/>
  <c r="Y759" i="9"/>
  <c r="Y35" i="9"/>
  <c r="Y346" i="9"/>
  <c r="Y436" i="9"/>
  <c r="Y33" i="9"/>
  <c r="Y749" i="9"/>
  <c r="Y614" i="9"/>
  <c r="Y383" i="9"/>
  <c r="Y829" i="9"/>
  <c r="Y810" i="9"/>
  <c r="Y540" i="9"/>
  <c r="Y248" i="9"/>
  <c r="Y845" i="9"/>
  <c r="Y830" i="9"/>
  <c r="Y547" i="9"/>
  <c r="Y190" i="9"/>
  <c r="Y655" i="9"/>
  <c r="Y12" i="9"/>
  <c r="Y808" i="9"/>
  <c r="Y152" i="9"/>
  <c r="Y736" i="9"/>
  <c r="Y32" i="9"/>
  <c r="Y395" i="9"/>
  <c r="Y200" i="9"/>
  <c r="Y507" i="9"/>
  <c r="Y494" i="9"/>
  <c r="Y735" i="9"/>
  <c r="Y737" i="9"/>
  <c r="Y144" i="9"/>
  <c r="Y508" i="9"/>
  <c r="Y484" i="9"/>
  <c r="Y251" i="9"/>
  <c r="Y450" i="9"/>
  <c r="Y216" i="9"/>
  <c r="Y675" i="9"/>
  <c r="Y236" i="9"/>
  <c r="Y379" i="9"/>
  <c r="Y677" i="9"/>
  <c r="Y92" i="9"/>
  <c r="Y496" i="9"/>
  <c r="Y773" i="9"/>
  <c r="Y188" i="9"/>
  <c r="Y203" i="9"/>
  <c r="Y795" i="9"/>
  <c r="Y403" i="9"/>
  <c r="Y505" i="9"/>
  <c r="Y618" i="9"/>
  <c r="Y59" i="9"/>
  <c r="Y784" i="9"/>
  <c r="Y666" i="9"/>
  <c r="Y95" i="9"/>
  <c r="Y471" i="9"/>
  <c r="Y275" i="9"/>
  <c r="Y227" i="9"/>
  <c r="Y702" i="9"/>
  <c r="Y133" i="9"/>
  <c r="Y333" i="9"/>
  <c r="Y739" i="9"/>
  <c r="Y249" i="9"/>
  <c r="Y584" i="9"/>
  <c r="Y785" i="9"/>
  <c r="Y313" i="9"/>
  <c r="Y787" i="9"/>
  <c r="Y483" i="9"/>
  <c r="Y630" i="9"/>
  <c r="Y116" i="9"/>
  <c r="Y165" i="9"/>
  <c r="Y639" i="9"/>
  <c r="Y774" i="9"/>
  <c r="Y301" i="9"/>
  <c r="Y193" i="9"/>
  <c r="Y373" i="9"/>
  <c r="Y809" i="9"/>
  <c r="Y345" i="9"/>
  <c r="Y57" i="9"/>
  <c r="Y214" i="9"/>
  <c r="Y37" i="9"/>
  <c r="Y265" i="9"/>
  <c r="Y349" i="9"/>
  <c r="Y394" i="9"/>
  <c r="Y546" i="9"/>
  <c r="Y72" i="9"/>
  <c r="Y797" i="9"/>
  <c r="Y438" i="9"/>
  <c r="Y253" i="9"/>
  <c r="Y48" i="9"/>
  <c r="Y297" i="9"/>
  <c r="Y367" i="9"/>
  <c r="Y393" i="9"/>
  <c r="Y238" i="9"/>
  <c r="Y121" i="9"/>
  <c r="Y154" i="9"/>
  <c r="Y250" i="9"/>
  <c r="Y396" i="9"/>
  <c r="Y664" i="9"/>
  <c r="Y311" i="9"/>
  <c r="Y783" i="9"/>
  <c r="Y449" i="9"/>
  <c r="Y177" i="9"/>
  <c r="Y323" i="9"/>
  <c r="Y180" i="9"/>
  <c r="Y807" i="9"/>
  <c r="Y23" i="9"/>
  <c r="Y168" i="9"/>
  <c r="Y640" i="9"/>
  <c r="Y653" i="9"/>
  <c r="Y141" i="9"/>
  <c r="Y418" i="9"/>
  <c r="Y751" i="9"/>
  <c r="Y619" i="9"/>
  <c r="Y786" i="9"/>
  <c r="Y380" i="9"/>
  <c r="Y406" i="9"/>
  <c r="Y215" i="9"/>
  <c r="Y543" i="9"/>
  <c r="Y217" i="9"/>
  <c r="Y80" i="9"/>
  <c r="Y130" i="9"/>
  <c r="Y356" i="9"/>
  <c r="Y428" i="9"/>
  <c r="Y358" i="9"/>
  <c r="Y430" i="9"/>
  <c r="Y699" i="9"/>
  <c r="Y713" i="9"/>
  <c r="Y689" i="9"/>
  <c r="Y523" i="9"/>
  <c r="Y846" i="9"/>
  <c r="Y499" i="9"/>
  <c r="Y336" i="9"/>
  <c r="Y497" i="9"/>
  <c r="Y120" i="9"/>
  <c r="Y461" i="9"/>
  <c r="Y397" i="9"/>
  <c r="Y167" i="9"/>
  <c r="Y819" i="9"/>
  <c r="Y369" i="9"/>
  <c r="Y775" i="9"/>
  <c r="Y309" i="9"/>
  <c r="Y746" i="9"/>
  <c r="Y569" i="9"/>
  <c r="Y202" i="9"/>
  <c r="Y239" i="9"/>
  <c r="Y607" i="9"/>
  <c r="Y25" i="9"/>
  <c r="Y750" i="9"/>
  <c r="Y558" i="9"/>
  <c r="Y690" i="9"/>
  <c r="Y859" i="9"/>
  <c r="Y616" i="9"/>
  <c r="Y213" i="9"/>
  <c r="Y337" i="9"/>
  <c r="Y631" i="9"/>
  <c r="Y73" i="9"/>
  <c r="Y382" i="9"/>
  <c r="Y97" i="9"/>
  <c r="Y522" i="9"/>
  <c r="Y404" i="9"/>
  <c r="Y335" i="9"/>
  <c r="Y106" i="9"/>
  <c r="Y368" i="9"/>
  <c r="Y429" i="9"/>
  <c r="Y667" i="9"/>
  <c r="Y287" i="9"/>
  <c r="Y833" i="9"/>
  <c r="Y157" i="9"/>
  <c r="Y285" i="9"/>
  <c r="Y83" i="9"/>
  <c r="Y107" i="9"/>
  <c r="Y642" i="9"/>
  <c r="Y447" i="9"/>
  <c r="Y132" i="9"/>
  <c r="Y571" i="9"/>
  <c r="Y205" i="9"/>
  <c r="Y533" i="9"/>
  <c r="Y392" i="9"/>
  <c r="Y439" i="9"/>
  <c r="Y473" i="9"/>
  <c r="Y408" i="9"/>
  <c r="Y56" i="9"/>
  <c r="Y384" i="9"/>
  <c r="Y463" i="9"/>
  <c r="Y409" i="9"/>
  <c r="Y559" i="9"/>
  <c r="Y510" i="9"/>
  <c r="Y431" i="9"/>
  <c r="Y263" i="9"/>
  <c r="Y475" i="9"/>
  <c r="Y359" i="9"/>
  <c r="Y419" i="9"/>
  <c r="Y145" i="9"/>
  <c r="Y357" i="9"/>
  <c r="Y433" i="9"/>
  <c r="Y49" i="9"/>
  <c r="Y237" i="9"/>
  <c r="Y361" i="9"/>
  <c r="Y421" i="9"/>
  <c r="Y131" i="9"/>
  <c r="Y22" i="9"/>
  <c r="Y109" i="9"/>
  <c r="Y857" i="9"/>
  <c r="Y113" i="9"/>
  <c r="Y2" i="9"/>
  <c r="Y110" i="9"/>
  <c r="Y111" i="9"/>
  <c r="Y222" i="9"/>
  <c r="Y112" i="9"/>
  <c r="Y596" i="9"/>
  <c r="Y39" i="9"/>
  <c r="Y261" i="9"/>
  <c r="Y143" i="9"/>
  <c r="Y187" i="9"/>
  <c r="Y282" i="9"/>
  <c r="Y617" i="9"/>
  <c r="Y85" i="9"/>
  <c r="Y556" i="9"/>
  <c r="Y491" i="9"/>
  <c r="Y770" i="9"/>
  <c r="Y513" i="9"/>
  <c r="Y791" i="9"/>
  <c r="X15" i="15" l="1"/>
  <c r="X27" i="15"/>
  <c r="W25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16" i="15" l="1"/>
  <c r="W17" i="15"/>
  <c r="W18" i="15"/>
  <c r="W19" i="15"/>
  <c r="W20" i="15"/>
  <c r="W21" i="15"/>
  <c r="W22" i="15"/>
  <c r="W23" i="15"/>
  <c r="W24" i="15"/>
  <c r="W26" i="15"/>
  <c r="W15" i="15"/>
  <c r="W12" i="15" l="1"/>
  <c r="W13" i="15"/>
  <c r="W14" i="15"/>
  <c r="W11" i="15"/>
  <c r="W9" i="15"/>
  <c r="X11" i="15"/>
  <c r="Y9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" i="15"/>
  <c r="T4" i="15"/>
  <c r="T5" i="15"/>
  <c r="T6" i="15"/>
  <c r="T7" i="15"/>
  <c r="T8" i="15"/>
  <c r="Y11" i="15"/>
  <c r="X33" i="15" l="1"/>
  <c r="X29" i="15"/>
  <c r="X30" i="15"/>
  <c r="X31" i="15"/>
  <c r="X32" i="15"/>
  <c r="X34" i="15"/>
  <c r="X35" i="15"/>
  <c r="X36" i="15"/>
  <c r="X37" i="15"/>
  <c r="X38" i="15"/>
  <c r="S29" i="15"/>
  <c r="R29" i="15"/>
  <c r="R30" i="15"/>
  <c r="R31" i="15"/>
  <c r="R32" i="15"/>
  <c r="R33" i="15"/>
  <c r="R34" i="15"/>
  <c r="R35" i="15"/>
  <c r="L35" i="15" s="1"/>
  <c r="J35" i="15" s="1"/>
  <c r="S35" i="15" s="1"/>
  <c r="R36" i="15"/>
  <c r="L36" i="15" s="1"/>
  <c r="J36" i="15" s="1"/>
  <c r="S36" i="15" s="1"/>
  <c r="R37" i="15"/>
  <c r="R38" i="15"/>
  <c r="O29" i="15"/>
  <c r="O30" i="15"/>
  <c r="O31" i="15"/>
  <c r="O32" i="15"/>
  <c r="O33" i="15"/>
  <c r="O34" i="15"/>
  <c r="L34" i="15" s="1"/>
  <c r="J34" i="15" s="1"/>
  <c r="S34" i="15" s="1"/>
  <c r="O35" i="15"/>
  <c r="O36" i="15"/>
  <c r="O37" i="15"/>
  <c r="O38" i="15"/>
  <c r="L38" i="15" s="1"/>
  <c r="J38" i="15" s="1"/>
  <c r="S38" i="15" s="1"/>
  <c r="L29" i="15"/>
  <c r="J29" i="15" s="1"/>
  <c r="L31" i="15"/>
  <c r="J31" i="15" s="1"/>
  <c r="S31" i="15" s="1"/>
  <c r="L37" i="15"/>
  <c r="J37" i="15" s="1"/>
  <c r="S37" i="15" s="1"/>
  <c r="Y29" i="15" l="1"/>
  <c r="Y37" i="15"/>
  <c r="Y38" i="15"/>
  <c r="Y34" i="15"/>
  <c r="Y31" i="15"/>
  <c r="Y36" i="15"/>
  <c r="Y35" i="15"/>
  <c r="L30" i="15"/>
  <c r="J30" i="15" s="1"/>
  <c r="S30" i="15" s="1"/>
  <c r="Y30" i="15" s="1"/>
  <c r="L33" i="15"/>
  <c r="J33" i="15" s="1"/>
  <c r="S33" i="15" s="1"/>
  <c r="Y33" i="15" s="1"/>
  <c r="L32" i="15"/>
  <c r="J32" i="15" s="1"/>
  <c r="S32" i="15" s="1"/>
  <c r="Y32" i="15" s="1"/>
  <c r="S21" i="15" l="1"/>
  <c r="S19" i="15"/>
  <c r="S20" i="15"/>
  <c r="S26" i="15"/>
  <c r="S18" i="15"/>
  <c r="S17" i="15"/>
  <c r="S16" i="15"/>
  <c r="S15" i="15"/>
  <c r="X23" i="15"/>
  <c r="R23" i="15"/>
  <c r="L23" i="15" s="1"/>
  <c r="J23" i="15" s="1"/>
  <c r="S23" i="15" s="1"/>
  <c r="R24" i="15"/>
  <c r="R25" i="15"/>
  <c r="R26" i="15"/>
  <c r="O23" i="15"/>
  <c r="O24" i="15"/>
  <c r="O25" i="15"/>
  <c r="O26" i="15"/>
  <c r="X26" i="15" l="1"/>
  <c r="X25" i="15"/>
  <c r="X24" i="15"/>
  <c r="Y23" i="15"/>
  <c r="L26" i="15"/>
  <c r="J26" i="15" s="1"/>
  <c r="L25" i="15"/>
  <c r="J25" i="15" s="1"/>
  <c r="S25" i="15" s="1"/>
  <c r="L24" i="15"/>
  <c r="J24" i="15" s="1"/>
  <c r="S24" i="15" s="1"/>
  <c r="W3" i="15"/>
  <c r="X21" i="15"/>
  <c r="X22" i="15"/>
  <c r="R21" i="15"/>
  <c r="L21" i="15" s="1"/>
  <c r="J21" i="15" s="1"/>
  <c r="R22" i="15"/>
  <c r="R27" i="15"/>
  <c r="R28" i="15"/>
  <c r="O21" i="15"/>
  <c r="O22" i="15"/>
  <c r="O27" i="15"/>
  <c r="O28" i="15"/>
  <c r="Y26" i="15" l="1"/>
  <c r="X28" i="15"/>
  <c r="Y24" i="15"/>
  <c r="Y25" i="15"/>
  <c r="Y21" i="15"/>
  <c r="L28" i="15"/>
  <c r="J28" i="15" s="1"/>
  <c r="S28" i="15" s="1"/>
  <c r="L27" i="15"/>
  <c r="J27" i="15" s="1"/>
  <c r="S27" i="15" s="1"/>
  <c r="Y27" i="15" s="1"/>
  <c r="L22" i="15"/>
  <c r="J22" i="15" s="1"/>
  <c r="S22" i="15" s="1"/>
  <c r="Y22" i="15" s="1"/>
  <c r="R20" i="15"/>
  <c r="O20" i="15"/>
  <c r="R19" i="15"/>
  <c r="O19" i="15"/>
  <c r="R18" i="15"/>
  <c r="O18" i="15"/>
  <c r="R17" i="15"/>
  <c r="O17" i="15"/>
  <c r="L17" i="15" s="1"/>
  <c r="J17" i="15" s="1"/>
  <c r="R16" i="15"/>
  <c r="O16" i="15"/>
  <c r="L16" i="15"/>
  <c r="J16" i="15" s="1"/>
  <c r="R15" i="15"/>
  <c r="O15" i="15"/>
  <c r="W10" i="15"/>
  <c r="W8" i="15"/>
  <c r="R8" i="15"/>
  <c r="O8" i="15"/>
  <c r="W7" i="15"/>
  <c r="R7" i="15"/>
  <c r="O7" i="15"/>
  <c r="W6" i="15"/>
  <c r="R6" i="15"/>
  <c r="O6" i="15"/>
  <c r="W5" i="15"/>
  <c r="R5" i="15"/>
  <c r="O5" i="15"/>
  <c r="W4" i="15"/>
  <c r="R4" i="15"/>
  <c r="O4" i="15"/>
  <c r="R3" i="15"/>
  <c r="O3" i="15"/>
  <c r="Y28" i="15" l="1"/>
  <c r="X19" i="15"/>
  <c r="L15" i="15"/>
  <c r="J15" i="15" s="1"/>
  <c r="X17" i="15"/>
  <c r="L10" i="15"/>
  <c r="J10" i="15" s="1"/>
  <c r="S10" i="15" s="1"/>
  <c r="L18" i="15"/>
  <c r="J18" i="15" s="1"/>
  <c r="X3" i="15"/>
  <c r="X9" i="15"/>
  <c r="L7" i="15"/>
  <c r="J7" i="15" s="1"/>
  <c r="S7" i="15" s="1"/>
  <c r="X13" i="15"/>
  <c r="Y13" i="15" s="1"/>
  <c r="X12" i="15"/>
  <c r="Y12" i="15" s="1"/>
  <c r="X18" i="15"/>
  <c r="X4" i="15"/>
  <c r="L9" i="15"/>
  <c r="J9" i="15" s="1"/>
  <c r="S9" i="15" s="1"/>
  <c r="X10" i="15"/>
  <c r="X7" i="15"/>
  <c r="X5" i="15"/>
  <c r="L8" i="15"/>
  <c r="J8" i="15" s="1"/>
  <c r="S8" i="15" s="1"/>
  <c r="X20" i="15"/>
  <c r="L3" i="15"/>
  <c r="J3" i="15" s="1"/>
  <c r="S3" i="15" s="1"/>
  <c r="L11" i="15"/>
  <c r="J11" i="15" s="1"/>
  <c r="S11" i="15" s="1"/>
  <c r="L19" i="15"/>
  <c r="J19" i="15" s="1"/>
  <c r="L6" i="15"/>
  <c r="J6" i="15" s="1"/>
  <c r="S6" i="15" s="1"/>
  <c r="L14" i="15"/>
  <c r="J14" i="15" s="1"/>
  <c r="S14" i="15" s="1"/>
  <c r="L4" i="15"/>
  <c r="J4" i="15" s="1"/>
  <c r="S4" i="15" s="1"/>
  <c r="L20" i="15"/>
  <c r="J20" i="15" s="1"/>
  <c r="L12" i="15"/>
  <c r="J12" i="15" s="1"/>
  <c r="S12" i="15" s="1"/>
  <c r="Y17" i="15"/>
  <c r="X6" i="15"/>
  <c r="X14" i="15"/>
  <c r="Y14" i="15" s="1"/>
  <c r="L5" i="15"/>
  <c r="J5" i="15" s="1"/>
  <c r="S5" i="15" s="1"/>
  <c r="L13" i="15"/>
  <c r="J13" i="15" s="1"/>
  <c r="S13" i="15" s="1"/>
  <c r="Y15" i="15"/>
  <c r="X8" i="15"/>
  <c r="X16" i="15"/>
  <c r="Y19" i="15" l="1"/>
  <c r="Y10" i="15"/>
  <c r="Y16" i="15"/>
  <c r="Y3" i="15"/>
  <c r="Y7" i="15"/>
  <c r="Y4" i="15"/>
  <c r="Y20" i="15"/>
  <c r="Y5" i="15"/>
  <c r="Y18" i="15"/>
  <c r="Y8" i="15"/>
  <c r="Y6" i="15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<sst xmlns="http://schemas.openxmlformats.org/spreadsheetml/2006/main" count="12088" uniqueCount="8342">
  <si>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</si>
  <si>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</si>
  <si>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</si>
  <si>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</si>
  <si>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</si>
  <si>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</si>
  <si>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</si>
  <si>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</si>
  <si>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</si>
  <si>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</si>
  <si>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</si>
  <si>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</si>
  <si>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</si>
  <si>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</si>
  <si>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</si>
  <si>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</si>
  <si>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</si>
  <si>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</si>
  <si>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</si>
  <si>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</si>
  <si>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</si>
  <si>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</si>
  <si>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</si>
  <si>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</si>
  <si>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</si>
  <si>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</si>
  <si>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</si>
  <si>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</si>
  <si>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</si>
  <si>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</si>
  <si>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</si>
  <si>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</si>
  <si>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</si>
  <si>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</si>
  <si>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</si>
  <si>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</si>
  <si>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</si>
  <si>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</si>
  <si>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</si>
  <si>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</si>
  <si>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</si>
  <si>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</si>
  <si>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</si>
  <si>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</si>
  <si>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</si>
  <si>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</si>
  <si>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</si>
  <si>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</si>
  <si>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</si>
  <si>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</si>
  <si>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</si>
  <si>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</si>
  <si>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</si>
  <si>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</si>
  <si>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</si>
  <si>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</si>
  <si>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</si>
  <si>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</si>
  <si>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</si>
  <si>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</si>
  <si>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</si>
  <si>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</si>
  <si>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</si>
  <si>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</si>
  <si>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</si>
  <si>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</si>
  <si>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</si>
  <si>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</si>
  <si>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</si>
  <si>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</si>
  <si>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</si>
  <si>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</si>
  <si>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</si>
  <si>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</si>
  <si>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</si>
  <si>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</si>
  <si>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</si>
  <si>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</si>
  <si>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</si>
  <si>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</si>
  <si>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</si>
  <si>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</si>
  <si>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</si>
  <si>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</si>
  <si>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</si>
  <si>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</si>
  <si>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</si>
  <si>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</si>
  <si>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</si>
  <si>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</si>
  <si>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</si>
  <si>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</si>
  <si>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</si>
  <si>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</si>
  <si>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</si>
  <si>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</si>
  <si>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</si>
  <si>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</si>
  <si>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</si>
  <si>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</si>
  <si>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</si>
  <si>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</si>
  <si>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</si>
  <si>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</si>
  <si>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</si>
  <si>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</si>
  <si>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</si>
  <si>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</si>
  <si>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</si>
  <si>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</si>
  <si>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</si>
  <si>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</si>
  <si>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</si>
  <si>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</si>
  <si>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</si>
  <si>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</si>
  <si>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</si>
  <si>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</si>
  <si>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</si>
  <si>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</si>
  <si>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</si>
  <si>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</si>
  <si>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</si>
  <si>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</si>
  <si>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</si>
  <si>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</si>
  <si>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</si>
  <si>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</si>
  <si>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</si>
  <si>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</si>
  <si>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</si>
  <si>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</si>
  <si>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</si>
  <si>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</si>
  <si>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</si>
  <si>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</si>
  <si>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</si>
  <si>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</si>
  <si>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</si>
  <si>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</si>
  <si>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</si>
  <si>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</si>
  <si>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</si>
  <si>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</si>
  <si>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</si>
  <si>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</si>
  <si>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</si>
  <si>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</si>
  <si>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</si>
  <si>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</si>
  <si>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</si>
  <si>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</si>
  <si>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</si>
  <si>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</si>
  <si>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</si>
  <si>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</si>
  <si>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</si>
  <si>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</si>
  <si>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</si>
  <si>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</si>
  <si>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</si>
  <si>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</si>
  <si>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</si>
  <si>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</si>
  <si>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</si>
  <si>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</si>
  <si>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</si>
  <si>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</si>
  <si>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</si>
  <si>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</si>
  <si>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</si>
  <si>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</si>
  <si>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</si>
  <si>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</si>
  <si>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</si>
  <si>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</si>
  <si>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</si>
  <si>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</si>
  <si>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</si>
  <si>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</si>
  <si>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</si>
  <si>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</si>
  <si>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</si>
  <si>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</si>
  <si>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</si>
  <si>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</si>
  <si>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</si>
  <si>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</si>
  <si>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</si>
  <si>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</si>
  <si>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</si>
  <si>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</si>
  <si>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</si>
  <si>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</si>
  <si>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</si>
  <si>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</si>
  <si>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</si>
  <si>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</si>
  <si>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</si>
  <si>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</si>
  <si>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</si>
  <si>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</si>
  <si>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</si>
  <si>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</si>
  <si>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</si>
  <si>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</si>
  <si>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</si>
  <si>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</si>
  <si>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</si>
  <si>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</si>
  <si>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</si>
  <si>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</si>
  <si>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</si>
  <si>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</si>
  <si>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</si>
  <si>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</si>
  <si>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</si>
  <si>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</si>
  <si>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</si>
  <si>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</si>
  <si>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</si>
  <si>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</si>
  <si>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</si>
  <si>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</si>
  <si>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</si>
  <si>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</si>
  <si>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</si>
  <si>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</si>
  <si>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</si>
  <si>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</si>
  <si>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</si>
  <si>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</si>
  <si>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</si>
  <si>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</si>
  <si>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</si>
  <si>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</si>
  <si>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</si>
  <si>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</si>
  <si>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</si>
  <si>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</si>
  <si>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</si>
  <si>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</si>
  <si>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</si>
  <si>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</si>
  <si>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Nesi</t>
  </si>
  <si>
    <t>Nathalie</t>
  </si>
  <si>
    <t>nathalie.nesi@rennes.inra.fr</t>
  </si>
  <si>
    <t>IGEPP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</si>
  <si>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</si>
  <si>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</si>
  <si>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</si>
  <si>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</si>
  <si>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</si>
  <si>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</si>
  <si>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</si>
  <si>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</si>
  <si>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</si>
  <si>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</si>
  <si>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</si>
  <si>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</si>
  <si>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</si>
  <si>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</si>
  <si>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</si>
  <si>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</si>
  <si>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</si>
  <si>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</si>
  <si>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</si>
  <si>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</si>
  <si>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</si>
  <si>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</si>
  <si>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</si>
  <si>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</si>
  <si>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</si>
  <si>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</si>
  <si>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</si>
  <si>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</si>
  <si>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</si>
  <si>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</si>
  <si>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</si>
  <si>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</si>
  <si>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</si>
  <si>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</si>
  <si>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</si>
  <si>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</si>
  <si>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</si>
  <si>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</si>
  <si>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</si>
  <si>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</si>
  <si>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</si>
  <si>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</si>
  <si>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</si>
  <si>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</si>
  <si>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</si>
  <si>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</si>
  <si>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</si>
  <si>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</si>
  <si>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</si>
  <si>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</si>
  <si>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</si>
  <si>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</si>
  <si>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</si>
  <si>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</si>
  <si>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</si>
  <si>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</si>
  <si>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</si>
  <si>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</si>
  <si>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</si>
  <si>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</si>
  <si>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</si>
  <si>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</si>
  <si>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</si>
  <si>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</si>
  <si>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</si>
  <si>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</si>
  <si>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</si>
  <si>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</si>
  <si>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</si>
  <si>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</si>
  <si>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</si>
  <si>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</si>
  <si>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</si>
  <si>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</si>
  <si>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</si>
  <si>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</si>
  <si>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</si>
  <si>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</si>
  <si>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</si>
  <si>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</si>
  <si>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</si>
  <si>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</si>
  <si>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</si>
  <si>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</si>
  <si>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</si>
  <si>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</si>
  <si>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</si>
  <si>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</si>
  <si>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</si>
  <si>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</si>
  <si>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</si>
  <si>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</si>
  <si>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</si>
  <si>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</si>
  <si>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</si>
  <si>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</si>
  <si>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</si>
  <si>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</si>
  <si>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</si>
  <si>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</si>
  <si>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</si>
  <si>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</si>
  <si>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</si>
  <si>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</si>
  <si>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</si>
  <si>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</si>
  <si>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</si>
  <si>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</si>
  <si>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</si>
  <si>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</si>
  <si>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</si>
  <si>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</si>
  <si>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</si>
  <si>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</si>
  <si>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</si>
  <si>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</si>
  <si>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</si>
  <si>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</si>
  <si>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</si>
  <si>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</si>
  <si>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</si>
  <si>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</si>
  <si>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</si>
  <si>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</si>
  <si>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</si>
  <si>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</si>
  <si>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</si>
  <si>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</si>
  <si>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</si>
  <si>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</si>
  <si>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</si>
  <si>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</si>
  <si>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</si>
  <si>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</si>
  <si>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</si>
  <si>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</si>
  <si>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</si>
  <si>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</si>
  <si>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</si>
  <si>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</si>
  <si>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</si>
  <si>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</si>
  <si>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</si>
  <si>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</si>
  <si>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</si>
  <si>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</si>
  <si>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</si>
  <si>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</si>
  <si>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</si>
  <si>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</si>
  <si>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</si>
  <si>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</si>
  <si>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</si>
  <si>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</si>
  <si>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</si>
  <si>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</si>
  <si>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</si>
  <si>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</si>
  <si>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</si>
  <si>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</si>
  <si>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</si>
  <si>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</si>
  <si>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</si>
  <si>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</si>
  <si>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</si>
  <si>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</si>
  <si>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</si>
  <si>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</si>
  <si>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</si>
  <si>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</si>
  <si>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</si>
  <si>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</si>
  <si>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</si>
  <si>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</si>
  <si>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</si>
  <si>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</si>
  <si>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</si>
  <si>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</si>
  <si>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</si>
  <si>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</si>
  <si>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</si>
  <si>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</si>
  <si>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</si>
  <si>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</si>
  <si>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</si>
  <si>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</si>
  <si>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</si>
  <si>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</si>
  <si>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</si>
  <si>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</si>
  <si>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</si>
  <si>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</si>
  <si>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</si>
  <si>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</si>
  <si>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</si>
  <si>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</si>
  <si>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</si>
  <si>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</si>
  <si>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</si>
  <si>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</si>
  <si>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</si>
  <si>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</si>
  <si>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</si>
  <si>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</si>
  <si>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</si>
  <si>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</si>
  <si>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</si>
  <si>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</si>
  <si>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</si>
  <si>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</si>
  <si>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</si>
  <si>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</si>
  <si>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</si>
  <si>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</si>
  <si>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</si>
  <si>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</si>
  <si>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</si>
  <si>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</si>
  <si>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</si>
  <si>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</si>
  <si>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</si>
  <si>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</si>
  <si>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</si>
  <si>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</si>
  <si>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</si>
  <si>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</si>
  <si>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</si>
  <si>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</si>
  <si>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</si>
  <si>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</si>
  <si>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</si>
  <si>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</si>
  <si>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</si>
  <si>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</si>
  <si>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</si>
  <si>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</si>
  <si>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</si>
  <si>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</si>
  <si>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</si>
  <si>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</si>
  <si>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</si>
  <si>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</si>
  <si>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</si>
  <si>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</si>
  <si>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</si>
  <si>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</si>
  <si>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</si>
  <si>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</si>
  <si>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</si>
  <si>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</si>
  <si>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</si>
  <si>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</si>
  <si>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</si>
  <si>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</si>
  <si>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</si>
  <si>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</si>
  <si>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</si>
  <si>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</si>
  <si>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</si>
  <si>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</si>
  <si>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</si>
  <si>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</si>
  <si>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</si>
  <si>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</si>
  <si>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</si>
  <si>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</si>
  <si>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</si>
  <si>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</si>
  <si>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</si>
  <si>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</si>
  <si>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</si>
  <si>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</si>
  <si>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</si>
  <si>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</si>
  <si>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</si>
  <si>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</si>
  <si>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</si>
  <si>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</si>
  <si>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</si>
  <si>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</si>
  <si>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</si>
  <si>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</si>
  <si>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</si>
  <si>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</si>
  <si>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</si>
  <si>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</si>
  <si>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</si>
  <si>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</si>
  <si>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</si>
  <si>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</si>
  <si>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</si>
  <si>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</si>
  <si>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</si>
  <si>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</si>
  <si>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</si>
  <si>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</si>
  <si>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</si>
  <si>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</si>
  <si>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</si>
  <si>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</si>
  <si>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</si>
  <si>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</si>
  <si>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</si>
  <si>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</si>
  <si>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</si>
  <si>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</si>
  <si>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</si>
  <si>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</si>
  <si>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</si>
  <si>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</si>
  <si>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</si>
  <si>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</si>
  <si>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</si>
  <si>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</si>
  <si>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</si>
  <si>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</si>
  <si>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</si>
  <si>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</si>
  <si>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</si>
  <si>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</si>
  <si>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</si>
  <si>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</si>
  <si>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</si>
  <si>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</si>
  <si>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</si>
  <si>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</si>
  <si>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</si>
  <si>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</si>
  <si>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</si>
  <si>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</si>
  <si>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</si>
  <si>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</si>
  <si>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</si>
  <si>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</si>
  <si>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</si>
  <si>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</si>
  <si>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</si>
  <si>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</si>
  <si>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</si>
  <si>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</si>
  <si>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</si>
  <si>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</si>
  <si>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</si>
  <si>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</si>
  <si>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</si>
  <si>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</si>
  <si>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</si>
  <si>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</si>
  <si>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</si>
  <si>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</si>
  <si>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</si>
  <si>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</si>
  <si>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</si>
  <si>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</si>
  <si>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</si>
  <si>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</si>
  <si>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</si>
  <si>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</si>
  <si>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</si>
  <si>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</si>
  <si>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</si>
  <si>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</si>
  <si>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</si>
  <si>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</si>
  <si>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</si>
  <si>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</si>
  <si>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</si>
  <si>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</si>
  <si>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</si>
  <si>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</si>
  <si>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</si>
  <si>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</si>
  <si>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</si>
  <si>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</si>
  <si>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</si>
  <si>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</si>
  <si>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</si>
  <si>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</si>
  <si>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</si>
  <si>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</si>
  <si>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</si>
  <si>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</si>
  <si>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</si>
  <si>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</si>
  <si>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</si>
  <si>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</si>
  <si>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</si>
  <si>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</si>
  <si>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</si>
  <si>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</si>
  <si>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</si>
  <si>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</si>
  <si>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</si>
  <si>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</si>
  <si>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</si>
  <si>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</si>
  <si>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</si>
  <si>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</si>
  <si>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</si>
  <si>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</si>
  <si>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</si>
  <si>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</si>
  <si>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</si>
  <si>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</si>
  <si>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</si>
  <si>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</si>
  <si>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</si>
  <si>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</si>
  <si>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</si>
  <si>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</si>
  <si>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</si>
  <si>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</si>
  <si>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</si>
  <si>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</si>
  <si>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</si>
  <si>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</si>
  <si>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</si>
  <si>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</si>
  <si>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</si>
  <si>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</si>
  <si>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</si>
  <si>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</si>
  <si>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</si>
  <si>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</si>
  <si>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</si>
  <si>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</si>
  <si>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</si>
  <si>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</si>
  <si>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</si>
  <si>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</si>
  <si>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</si>
  <si>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</si>
  <si>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</si>
  <si>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</si>
  <si>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</si>
  <si>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</si>
  <si>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</si>
  <si>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</si>
  <si>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</si>
  <si>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</si>
  <si>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</si>
  <si>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</si>
  <si>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</si>
  <si>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</si>
  <si>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</si>
  <si>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</si>
  <si>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</si>
  <si>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</si>
  <si>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</si>
  <si>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</si>
  <si>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</si>
  <si>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</si>
  <si>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</si>
  <si>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</si>
  <si>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</si>
  <si>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</si>
  <si>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</si>
  <si>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</si>
  <si>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</si>
  <si>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</si>
  <si>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</si>
  <si>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</si>
  <si>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</si>
  <si>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</si>
  <si>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</si>
  <si>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</si>
  <si>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</si>
  <si>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</si>
  <si>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</si>
  <si>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</si>
  <si>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</si>
  <si>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</si>
  <si>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</si>
  <si>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</si>
  <si>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</si>
  <si>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</si>
  <si>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</si>
  <si>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</si>
  <si>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</si>
  <si>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</si>
  <si>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</si>
  <si>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</si>
  <si>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</si>
  <si>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</si>
  <si>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</si>
  <si>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</si>
  <si>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</si>
  <si>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</si>
  <si>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</si>
  <si>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</si>
  <si>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</si>
  <si>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</si>
  <si>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</si>
  <si>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</si>
  <si>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</si>
  <si>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</si>
  <si>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</si>
  <si>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</si>
  <si>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</si>
  <si>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</si>
  <si>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</si>
  <si>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</si>
  <si>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</si>
  <si>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</si>
  <si>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</si>
  <si>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</si>
  <si>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</si>
  <si>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</si>
  <si>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</si>
  <si>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</si>
  <si>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</si>
  <si>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</si>
  <si>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</si>
  <si>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</si>
  <si>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</si>
  <si>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</si>
  <si>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</si>
  <si>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</si>
  <si>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</si>
  <si>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</si>
  <si>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</si>
  <si>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</si>
  <si>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</si>
  <si>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</si>
  <si>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</si>
  <si>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</si>
  <si>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</si>
  <si>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</si>
  <si>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</si>
  <si>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</si>
  <si>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</si>
  <si>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</si>
  <si>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</si>
  <si>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</si>
  <si>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</si>
  <si>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</si>
  <si>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</si>
  <si>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</si>
  <si>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</si>
  <si>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</si>
  <si>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</si>
  <si>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</si>
  <si>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</si>
  <si>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</si>
  <si>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</si>
  <si>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</si>
  <si>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</si>
  <si>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</si>
  <si>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</si>
  <si>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</si>
  <si>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</si>
  <si>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</si>
  <si>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</si>
  <si>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</si>
  <si>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</si>
  <si>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</si>
  <si>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</si>
  <si>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</si>
  <si>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</si>
  <si>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</si>
  <si>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</si>
  <si>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</si>
  <si>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</si>
  <si>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</si>
  <si>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</si>
  <si>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</si>
  <si>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</si>
  <si>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</si>
  <si>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</si>
  <si>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</si>
  <si>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</si>
  <si>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</si>
  <si>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</si>
  <si>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</si>
  <si>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</si>
  <si>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</si>
  <si>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</si>
  <si>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</si>
  <si>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</si>
  <si>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</si>
  <si>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</si>
  <si>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</si>
  <si>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</si>
  <si>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</si>
  <si>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</si>
  <si>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</si>
  <si>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</si>
  <si>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</si>
  <si>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</si>
  <si>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</si>
  <si>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</si>
  <si>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</si>
  <si>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</si>
  <si>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</si>
  <si>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</si>
  <si>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</si>
  <si>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</si>
  <si>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</si>
  <si>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</si>
  <si>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</si>
  <si>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</si>
  <si>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</si>
  <si>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</si>
  <si>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</si>
  <si>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</si>
  <si>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</si>
  <si>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</si>
  <si>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</si>
  <si>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</si>
  <si>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</si>
  <si>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</si>
  <si>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</si>
  <si>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</si>
  <si>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</si>
  <si>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</si>
  <si>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</si>
  <si>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</si>
  <si>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</si>
  <si>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</si>
  <si>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</si>
  <si>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</si>
  <si>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</si>
  <si>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</si>
  <si>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</si>
  <si>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</si>
  <si>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</si>
  <si>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</si>
  <si>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</si>
  <si>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</si>
  <si>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</si>
  <si>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</si>
  <si>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</si>
  <si>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</si>
  <si>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</si>
  <si>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</si>
  <si>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</si>
  <si>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</si>
  <si>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</si>
  <si>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</si>
  <si>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</si>
  <si>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</si>
  <si>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</si>
  <si>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</si>
  <si>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</si>
  <si>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</si>
  <si>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</si>
  <si>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</si>
  <si>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</si>
  <si>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</si>
  <si>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</si>
  <si>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</si>
  <si>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</si>
  <si>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</si>
  <si>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</si>
  <si>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</si>
  <si>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</si>
  <si>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</si>
  <si>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</si>
  <si>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</si>
  <si>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</si>
  <si>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</si>
  <si>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</si>
  <si>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</si>
  <si>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</si>
  <si>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</si>
  <si>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</si>
  <si>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</si>
  <si>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</si>
  <si>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</si>
  <si>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</si>
  <si>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</si>
  <si>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</si>
  <si>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</si>
  <si>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</si>
  <si>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</si>
  <si>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</si>
  <si>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</si>
  <si>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</si>
  <si>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</si>
  <si>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</si>
  <si>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</si>
  <si>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</si>
  <si>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</si>
  <si>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</si>
  <si>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</si>
  <si>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</si>
  <si>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</si>
  <si>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</si>
  <si>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</si>
  <si>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</si>
  <si>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</si>
  <si>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</si>
  <si>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</si>
  <si>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</si>
  <si>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</si>
  <si>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</si>
  <si>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</si>
  <si>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</si>
  <si>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</si>
  <si>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</si>
  <si>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</si>
  <si>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</si>
  <si>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</si>
  <si>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</si>
  <si>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</si>
  <si>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</si>
  <si>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</si>
  <si>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</si>
  <si>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</si>
  <si>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</si>
  <si>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</si>
  <si>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</si>
  <si>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</si>
  <si>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</si>
  <si>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</si>
  <si>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</si>
  <si>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</si>
  <si>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</si>
  <si>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</si>
  <si>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</si>
  <si>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</si>
  <si>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</si>
  <si>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</si>
  <si>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</si>
  <si>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</si>
  <si>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</si>
  <si>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</si>
  <si>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</si>
  <si>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</si>
  <si>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</si>
  <si>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</si>
  <si>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</si>
  <si>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</si>
  <si>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</si>
  <si>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</si>
  <si>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</si>
  <si>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</si>
  <si>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</si>
  <si>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</si>
  <si>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</si>
  <si>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</si>
  <si>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</si>
  <si>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</si>
  <si>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</si>
  <si>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</si>
  <si>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</si>
  <si>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</si>
  <si>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</si>
  <si>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</si>
  <si>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</si>
  <si>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</si>
  <si>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</si>
  <si>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</si>
  <si>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</si>
  <si>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</si>
  <si>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</si>
  <si>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</si>
  <si>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</si>
  <si>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</si>
  <si>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</si>
  <si>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</si>
  <si>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</si>
  <si>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</si>
  <si>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</si>
  <si>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</si>
  <si>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</si>
  <si>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</si>
  <si>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</si>
  <si>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</si>
  <si>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</si>
  <si>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</si>
  <si>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</si>
  <si>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</si>
  <si>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</si>
  <si>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</si>
  <si>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</si>
  <si>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</si>
  <si>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</si>
  <si>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</si>
  <si>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</si>
  <si>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</si>
  <si>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</si>
  <si>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</si>
  <si>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</si>
  <si>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</si>
  <si>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</si>
  <si>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</si>
  <si>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</si>
  <si>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</si>
  <si>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</si>
  <si>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</si>
  <si>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</si>
  <si>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</si>
  <si>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</si>
  <si>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</si>
  <si>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</si>
  <si>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</si>
  <si>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</si>
  <si>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</si>
  <si>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</si>
  <si>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</si>
  <si>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</si>
  <si>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</si>
  <si>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</si>
  <si>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</si>
  <si>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</si>
  <si>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</si>
  <si>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</si>
  <si>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</si>
  <si>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</si>
  <si>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</si>
  <si>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</si>
  <si>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</si>
  <si>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</si>
  <si>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</si>
  <si>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</si>
  <si>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</si>
  <si>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</si>
  <si>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</si>
  <si>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</si>
  <si>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</si>
  <si>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</si>
  <si>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</si>
  <si>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</si>
  <si>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</si>
  <si>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</si>
  <si>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</si>
  <si>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</si>
  <si>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</si>
  <si>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</si>
  <si>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</si>
  <si>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</si>
  <si>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</si>
  <si>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</si>
  <si>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</si>
  <si>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</si>
  <si>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</si>
  <si>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</si>
  <si>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</si>
  <si>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</si>
  <si>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</si>
  <si>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</si>
  <si>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</si>
  <si>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</si>
  <si>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</si>
  <si>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</si>
  <si>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</si>
  <si>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</si>
  <si>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</si>
  <si>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</si>
  <si>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</si>
  <si>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</si>
  <si>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</si>
  <si>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</si>
  <si>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</si>
  <si>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</si>
  <si>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</si>
  <si>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</si>
  <si>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</si>
  <si>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</si>
  <si>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</si>
  <si>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</si>
  <si>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</si>
  <si>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</si>
  <si>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</si>
  <si>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</si>
  <si>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</si>
  <si>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</si>
  <si>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</si>
  <si>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</si>
  <si>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</si>
  <si>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</si>
  <si>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</si>
  <si>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</si>
  <si>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</si>
  <si>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</si>
  <si>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</si>
  <si>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</si>
  <si>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</si>
  <si>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</si>
  <si>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</si>
  <si>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</si>
  <si>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</si>
  <si>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</si>
  <si>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</si>
  <si>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</si>
  <si>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</si>
  <si>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</si>
  <si>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</si>
  <si>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</si>
  <si>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</si>
  <si>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</si>
  <si>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</si>
  <si>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</si>
  <si>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</si>
  <si>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</si>
  <si>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</si>
  <si>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</si>
  <si>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</si>
  <si>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</si>
  <si>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</si>
  <si>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</si>
  <si>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</si>
  <si>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</si>
  <si>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</si>
  <si>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</si>
  <si>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</si>
  <si>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</si>
  <si>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</si>
  <si>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</si>
  <si>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</si>
  <si>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</si>
  <si>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</si>
  <si>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</si>
  <si>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</si>
  <si>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</si>
  <si>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</si>
  <si>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</si>
  <si>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</si>
  <si>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</si>
  <si>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</si>
  <si>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</si>
  <si>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</si>
  <si>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</si>
  <si>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</si>
  <si>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</si>
  <si>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</si>
  <si>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</si>
  <si>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</si>
  <si>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</si>
  <si>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</si>
  <si>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</si>
  <si>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</si>
  <si>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</si>
  <si>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</si>
  <si>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</si>
  <si>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</si>
  <si>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</si>
  <si>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</si>
  <si>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</si>
  <si>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</si>
  <si>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</si>
  <si>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</si>
  <si>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</si>
  <si>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</si>
  <si>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</si>
  <si>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</si>
  <si>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</si>
  <si>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</si>
  <si>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</si>
  <si>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</si>
  <si>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</si>
  <si>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</si>
  <si>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</si>
  <si>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</si>
  <si>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</si>
  <si>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</si>
  <si>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</si>
  <si>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</si>
  <si>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</si>
  <si>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</si>
  <si>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</si>
  <si>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</si>
  <si>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</si>
  <si>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</si>
  <si>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</si>
  <si>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</si>
  <si>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</si>
  <si>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</si>
  <si>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</si>
  <si>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</si>
  <si>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</si>
  <si>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</si>
  <si>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</si>
  <si>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</si>
  <si>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</si>
  <si>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</si>
  <si>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</si>
  <si>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</si>
  <si>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</si>
  <si>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</si>
  <si>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</si>
  <si>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</si>
  <si>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</si>
  <si>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</si>
  <si>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</si>
  <si>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</si>
  <si>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</si>
  <si>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</si>
  <si>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</si>
  <si>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</si>
  <si>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</si>
  <si>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</si>
  <si>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</si>
  <si>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</si>
  <si>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</si>
  <si>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</si>
  <si>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</si>
  <si>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</si>
  <si>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</si>
  <si>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</si>
  <si>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</si>
  <si>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</si>
  <si>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</si>
  <si>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</si>
  <si>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</si>
  <si>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</si>
  <si>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</si>
  <si>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</si>
  <si>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</si>
  <si>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</si>
  <si>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</si>
  <si>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</si>
  <si>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</si>
  <si>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</si>
  <si>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</si>
  <si>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</si>
  <si>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</si>
  <si>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</si>
  <si>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</si>
  <si>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</si>
  <si>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</si>
  <si>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</si>
  <si>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</si>
  <si>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</si>
  <si>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</si>
  <si>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</si>
  <si>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</si>
  <si>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</si>
  <si>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</si>
  <si>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</si>
  <si>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</si>
  <si>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</si>
  <si>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</si>
  <si>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</si>
  <si>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</si>
  <si>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</si>
  <si>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</si>
  <si>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</si>
  <si>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</si>
  <si>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</si>
  <si>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</si>
  <si>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</si>
  <si>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</si>
  <si>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</si>
  <si>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</si>
  <si>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</si>
  <si>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</si>
  <si>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</si>
  <si>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</si>
  <si>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</si>
  <si>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</si>
  <si>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</si>
  <si>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</si>
  <si>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</si>
  <si>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</si>
  <si>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</si>
  <si>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</si>
  <si>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</si>
  <si>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</si>
  <si>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</si>
  <si>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</si>
  <si>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</si>
  <si>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</si>
  <si>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</si>
  <si>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</si>
  <si>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</si>
  <si>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</si>
  <si>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</si>
  <si>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</si>
  <si>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</si>
  <si>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</si>
  <si>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</si>
  <si>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</si>
  <si>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</si>
  <si>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</si>
  <si>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</si>
  <si>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</si>
  <si>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</si>
  <si>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</si>
  <si>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</si>
  <si>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</si>
  <si>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</si>
  <si>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</si>
  <si>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</si>
  <si>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</si>
  <si>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</si>
  <si>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</si>
  <si>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</si>
  <si>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</si>
  <si>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</si>
  <si>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</si>
  <si>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</si>
  <si>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</si>
  <si>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</si>
  <si>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</si>
  <si>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</si>
  <si>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</si>
  <si>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</si>
  <si>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</si>
  <si>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</si>
  <si>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</si>
  <si>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</si>
  <si>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</si>
  <si>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</si>
  <si>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</si>
  <si>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</si>
  <si>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</si>
  <si>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</si>
  <si>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</si>
  <si>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</si>
  <si>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</si>
  <si>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</si>
  <si>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</si>
  <si>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</si>
  <si>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</si>
  <si>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</si>
  <si>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</si>
  <si>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</si>
  <si>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</si>
  <si>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</si>
  <si>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</si>
  <si>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</si>
  <si>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</si>
  <si>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</si>
  <si>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</si>
  <si>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</si>
  <si>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</si>
  <si>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</si>
  <si>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</si>
  <si>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</si>
  <si>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</si>
  <si>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</si>
  <si>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</si>
  <si>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</si>
  <si>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</si>
  <si>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</si>
  <si>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</si>
  <si>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</si>
  <si>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</si>
  <si>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</si>
  <si>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</si>
  <si>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</si>
  <si>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</si>
  <si>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</si>
  <si>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</si>
  <si>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</si>
  <si>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</si>
  <si>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</si>
  <si>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</si>
  <si>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</si>
  <si>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</si>
  <si>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</si>
  <si>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</si>
  <si>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</si>
  <si>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</si>
  <si>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</si>
  <si>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</si>
  <si>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</si>
  <si>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</si>
  <si>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</si>
  <si>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</si>
  <si>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</si>
  <si>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</si>
  <si>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</si>
  <si>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</si>
  <si>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</si>
  <si>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</si>
  <si>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</si>
  <si>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</si>
  <si>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</si>
  <si>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</si>
  <si>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</si>
  <si>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</si>
  <si>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</si>
  <si>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</si>
  <si>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</si>
  <si>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</si>
  <si>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</si>
  <si>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</si>
  <si>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</si>
  <si>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</si>
  <si>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</si>
  <si>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</si>
  <si>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</si>
  <si>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</si>
  <si>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</si>
  <si>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</si>
  <si>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</si>
  <si>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</si>
  <si>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</si>
  <si>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</si>
  <si>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</si>
  <si>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</si>
  <si>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</si>
  <si>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</si>
  <si>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</si>
  <si>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</si>
  <si>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</si>
  <si>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</si>
  <si>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</si>
  <si>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</si>
  <si>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</si>
  <si>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</si>
  <si>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</si>
  <si>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</si>
  <si>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</si>
  <si>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</si>
  <si>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</si>
  <si>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</si>
  <si>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</si>
  <si>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</si>
  <si>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</si>
  <si>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</si>
  <si>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</si>
  <si>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</si>
  <si>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</si>
  <si>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</si>
  <si>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</si>
  <si>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</si>
  <si>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</si>
  <si>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</si>
  <si>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</si>
  <si>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</si>
  <si>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</si>
  <si>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</si>
  <si>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</si>
  <si>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</si>
  <si>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</si>
  <si>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</si>
  <si>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</si>
  <si>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</si>
  <si>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</si>
  <si>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</si>
  <si>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</si>
  <si>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</si>
  <si>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</si>
  <si>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</si>
  <si>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</si>
  <si>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</si>
  <si>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</si>
  <si>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</si>
  <si>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</si>
  <si>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</si>
  <si>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</si>
  <si>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</si>
  <si>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</si>
  <si>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</si>
  <si>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</si>
  <si>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</si>
  <si>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</si>
  <si>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</si>
  <si>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</si>
  <si>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</si>
  <si>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</si>
  <si>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</si>
  <si>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</si>
  <si>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</si>
  <si>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</si>
  <si>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</si>
  <si>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</si>
  <si>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</si>
  <si>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</si>
  <si>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</si>
  <si>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</si>
  <si>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</si>
  <si>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</si>
  <si>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</si>
  <si>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</si>
  <si>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</si>
  <si>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</si>
  <si>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</si>
  <si>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</si>
  <si>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</si>
  <si>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</si>
  <si>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</si>
  <si>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</si>
  <si>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</si>
  <si>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</si>
  <si>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</si>
  <si>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</si>
  <si>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</si>
  <si>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</si>
  <si>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</si>
  <si>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</si>
  <si>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</si>
  <si>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</si>
  <si>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</si>
  <si>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</si>
  <si>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</si>
  <si>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</si>
  <si>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</si>
  <si>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</si>
  <si>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</si>
  <si>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</si>
  <si>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</si>
  <si>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</si>
  <si>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</si>
  <si>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</si>
  <si>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</si>
  <si>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</si>
  <si>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</si>
  <si>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</si>
  <si>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</si>
  <si>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</si>
  <si>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</si>
  <si>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</si>
  <si>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</si>
  <si>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</si>
  <si>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</si>
  <si>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</si>
  <si>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</si>
  <si>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</si>
  <si>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</si>
  <si>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</si>
  <si>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</si>
  <si>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</si>
  <si>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</si>
  <si>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</si>
  <si>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</si>
  <si>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</si>
  <si>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</si>
  <si>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</si>
  <si>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</si>
  <si>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</si>
  <si>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</si>
  <si>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</si>
  <si>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</si>
  <si>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</si>
  <si>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</si>
  <si>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</si>
  <si>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</si>
  <si>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</si>
  <si>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</si>
  <si>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</si>
  <si>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</si>
  <si>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</si>
  <si>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</si>
  <si>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</si>
  <si>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</si>
  <si>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</si>
  <si>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</si>
  <si>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</si>
  <si>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</si>
  <si>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</si>
  <si>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</si>
  <si>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</si>
  <si>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</si>
  <si>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</si>
  <si>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</si>
  <si>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</si>
  <si>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</si>
  <si>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</si>
  <si>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</si>
  <si>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</si>
  <si>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</si>
  <si>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</si>
  <si>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</si>
  <si>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</si>
  <si>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</si>
  <si>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</si>
  <si>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</si>
  <si>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</si>
  <si>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</si>
  <si>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</si>
  <si>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</si>
  <si>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</si>
  <si>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</si>
  <si>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</si>
  <si>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</si>
  <si>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</si>
  <si>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</si>
  <si>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</si>
  <si>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</si>
  <si>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</si>
  <si>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</si>
  <si>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</si>
  <si>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</si>
  <si>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</si>
  <si>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</si>
  <si>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</si>
  <si>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</si>
  <si>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</si>
  <si>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</si>
  <si>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</si>
  <si>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</si>
  <si>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</si>
  <si>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</si>
  <si>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</si>
  <si>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</si>
  <si>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</si>
  <si>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</si>
  <si>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</si>
  <si>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</si>
  <si>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</si>
  <si>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</si>
  <si>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</si>
  <si>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</si>
  <si>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</si>
  <si>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</si>
  <si>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</si>
  <si>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</si>
  <si>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</si>
  <si>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</si>
  <si>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</si>
  <si>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</si>
  <si>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</si>
  <si>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</si>
  <si>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</si>
  <si>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</si>
  <si>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</si>
  <si>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</si>
  <si>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</si>
  <si>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</si>
  <si>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</si>
  <si>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</si>
  <si>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</si>
  <si>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</si>
  <si>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</si>
  <si>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</si>
  <si>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</si>
  <si>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</si>
  <si>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</si>
  <si>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</si>
  <si>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</si>
  <si>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</si>
  <si>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</si>
  <si>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</si>
  <si>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</si>
  <si>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</si>
  <si>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</si>
  <si>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</si>
  <si>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</si>
  <si>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</si>
  <si>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</si>
  <si>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</si>
  <si>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</si>
  <si>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</si>
  <si>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</si>
  <si>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</si>
  <si>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</si>
  <si>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</si>
  <si>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</si>
  <si>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</si>
  <si>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</si>
  <si>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</si>
  <si>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</si>
  <si>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</si>
  <si>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</si>
  <si>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</si>
  <si>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</si>
  <si>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</si>
  <si>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</si>
  <si>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</si>
  <si>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</si>
  <si>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</si>
  <si>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</si>
  <si>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</si>
  <si>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</si>
  <si>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</si>
  <si>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</si>
  <si>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</si>
  <si>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</si>
  <si>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</si>
  <si>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</si>
  <si>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</si>
  <si>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</si>
  <si>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</si>
  <si>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</si>
  <si>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</si>
  <si>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</si>
  <si>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</si>
  <si>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</si>
  <si>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</si>
  <si>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</si>
  <si>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</si>
  <si>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</si>
  <si>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</si>
  <si>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</si>
  <si>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</si>
  <si>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</si>
  <si>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</si>
  <si>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</si>
  <si>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</si>
  <si>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</si>
  <si>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</si>
  <si>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</si>
  <si>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</si>
  <si>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</si>
  <si>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</si>
  <si>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</si>
  <si>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</si>
  <si>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</si>
  <si>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</si>
  <si>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</si>
  <si>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</si>
  <si>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</si>
  <si>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</si>
  <si>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</si>
  <si>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</si>
  <si>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</si>
  <si>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</si>
  <si>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</si>
  <si>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</si>
  <si>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</si>
  <si>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</si>
  <si>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</si>
  <si>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</si>
  <si>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</si>
  <si>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</si>
  <si>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</si>
  <si>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</si>
  <si>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</si>
  <si>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</si>
  <si>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</si>
  <si>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</si>
  <si>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</si>
  <si>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</si>
  <si>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</si>
  <si>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</si>
  <si>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</si>
  <si>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</si>
  <si>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</si>
  <si>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</si>
  <si>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</si>
  <si>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</si>
  <si>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</si>
  <si>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</si>
  <si>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</si>
  <si>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</si>
  <si>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</si>
  <si>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</si>
  <si>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</si>
  <si>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</si>
  <si>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</si>
  <si>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</si>
  <si>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</si>
  <si>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</si>
  <si>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</si>
  <si>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</si>
  <si>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</si>
  <si>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</si>
  <si>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</si>
  <si>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</si>
  <si>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</si>
  <si>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</si>
  <si>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</si>
  <si>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</si>
  <si>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</si>
  <si>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</si>
  <si>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</si>
  <si>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</si>
  <si>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</si>
  <si>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</si>
  <si>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</si>
  <si>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</si>
  <si>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</si>
  <si>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</si>
  <si>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</si>
  <si>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</si>
  <si>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</si>
  <si>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</si>
  <si>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</si>
  <si>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</si>
  <si>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</si>
  <si>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</si>
  <si>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</si>
  <si>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</si>
  <si>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</si>
  <si>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</si>
  <si>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</si>
  <si>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</si>
  <si>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</si>
  <si>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</si>
  <si>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</si>
  <si>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</si>
  <si>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</si>
  <si>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</si>
  <si>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</si>
  <si>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</si>
  <si>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</si>
  <si>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</si>
  <si>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</si>
  <si>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</si>
  <si>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</si>
  <si>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</si>
  <si>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</si>
  <si>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</si>
  <si>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</si>
  <si>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</si>
  <si>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</si>
  <si>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</si>
  <si>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</si>
  <si>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</si>
  <si>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</si>
  <si>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</si>
  <si>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</si>
  <si>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</si>
  <si>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</si>
  <si>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</si>
  <si>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</si>
  <si>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</si>
  <si>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</si>
  <si>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</si>
  <si>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</si>
  <si>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</si>
  <si>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</si>
  <si>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</si>
  <si>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</si>
  <si>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</si>
  <si>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</si>
  <si>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</si>
  <si>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</si>
  <si>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</si>
  <si>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</si>
  <si>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</si>
  <si>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</si>
  <si>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</si>
  <si>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</si>
  <si>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</si>
  <si>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</si>
  <si>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</si>
  <si>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</si>
  <si>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</si>
  <si>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</si>
  <si>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</si>
  <si>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</si>
  <si>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</si>
  <si>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</si>
  <si>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</si>
  <si>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</si>
  <si>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</si>
  <si>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</si>
  <si>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</si>
  <si>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</si>
  <si>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</si>
  <si>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</si>
  <si>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</si>
  <si>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</si>
  <si>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</si>
  <si>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</si>
  <si>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</si>
  <si>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</si>
  <si>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</si>
  <si>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</si>
  <si>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</si>
  <si>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</si>
  <si>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</si>
  <si>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</si>
  <si>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</si>
  <si>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</si>
  <si>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</si>
  <si>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</si>
  <si>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</si>
  <si>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</si>
  <si>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</si>
  <si>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</si>
  <si>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</si>
  <si>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</si>
  <si>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</si>
  <si>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</si>
  <si>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</si>
  <si>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</si>
  <si>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</si>
  <si>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</si>
  <si>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</si>
  <si>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</si>
  <si>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</si>
  <si>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</si>
  <si>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</si>
  <si>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</si>
  <si>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</si>
  <si>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</si>
  <si>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</si>
  <si>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</si>
  <si>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</si>
  <si>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</si>
  <si>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</si>
  <si>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</si>
  <si>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</si>
  <si>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</si>
  <si>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</si>
  <si>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</si>
  <si>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</si>
  <si>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</si>
  <si>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</si>
  <si>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</si>
  <si>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</si>
  <si>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</si>
  <si>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</si>
  <si>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</si>
  <si>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</si>
  <si>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</si>
  <si>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</si>
  <si>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</si>
  <si>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</si>
  <si>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</si>
  <si>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</si>
  <si>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</si>
  <si>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</si>
  <si>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</si>
  <si>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</si>
  <si>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</si>
  <si>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</si>
  <si>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</si>
  <si>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</si>
  <si>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</si>
  <si>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</si>
  <si>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</si>
  <si>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</si>
  <si>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</si>
  <si>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</si>
  <si>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</si>
  <si>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</si>
  <si>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</si>
  <si>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</si>
  <si>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</si>
  <si>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</si>
  <si>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</si>
  <si>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</si>
  <si>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</si>
  <si>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</si>
  <si>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</si>
  <si>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</si>
  <si>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</si>
  <si>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</si>
  <si>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</si>
  <si>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</si>
  <si>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</si>
  <si>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</si>
  <si>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</si>
  <si>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</si>
  <si>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</si>
  <si>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</si>
  <si>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</si>
  <si>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</si>
  <si>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</si>
  <si>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</si>
  <si>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</si>
  <si>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</si>
  <si>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</si>
  <si>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</si>
  <si>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</si>
  <si>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</si>
  <si>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</si>
  <si>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</si>
  <si>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</si>
  <si>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</si>
  <si>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</si>
  <si>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</si>
  <si>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</si>
  <si>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</si>
  <si>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</si>
  <si>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</si>
  <si>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</si>
  <si>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</si>
  <si>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</si>
  <si>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</si>
  <si>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</si>
  <si>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</si>
  <si>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</si>
  <si>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</si>
  <si>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</si>
  <si>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</si>
  <si>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</si>
  <si>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</si>
  <si>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</si>
  <si>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</si>
  <si>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</si>
  <si>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</si>
  <si>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</si>
  <si>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</si>
  <si>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</si>
  <si>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</si>
  <si>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</si>
  <si>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</si>
  <si>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</si>
  <si>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</si>
  <si>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</si>
  <si>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</si>
  <si>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</si>
  <si>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</si>
  <si>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</si>
  <si>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</si>
  <si>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</si>
  <si>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</si>
  <si>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</si>
  <si>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</si>
  <si>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</si>
  <si>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</si>
  <si>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</si>
  <si>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</si>
  <si>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</si>
  <si>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</si>
  <si>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</si>
  <si>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</si>
  <si>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</si>
  <si>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</si>
  <si>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</si>
  <si>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</si>
  <si>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</si>
  <si>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</si>
  <si>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</si>
  <si>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</si>
  <si>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</si>
  <si>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</si>
  <si>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</si>
  <si>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</si>
  <si>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</si>
  <si>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</si>
  <si>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</si>
  <si>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</si>
  <si>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</si>
  <si>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</si>
  <si>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</si>
  <si>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</si>
  <si>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</si>
  <si>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</si>
  <si>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</si>
  <si>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</si>
  <si>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</si>
  <si>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</si>
  <si>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</si>
  <si>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</si>
  <si>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</si>
  <si>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</si>
  <si>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</si>
  <si>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</si>
  <si>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</si>
  <si>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</si>
  <si>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</si>
  <si>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</si>
  <si>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</si>
  <si>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</si>
  <si>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</si>
  <si>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</si>
  <si>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</si>
  <si>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</si>
  <si>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</si>
  <si>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</si>
  <si>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</si>
  <si>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</si>
  <si>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</si>
  <si>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</si>
  <si>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</si>
  <si>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</si>
  <si>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</si>
  <si>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</si>
  <si>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</si>
  <si>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</si>
  <si>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</si>
  <si>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</si>
  <si>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</si>
  <si>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</si>
  <si>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</si>
  <si>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</si>
  <si>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</si>
  <si>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</si>
  <si>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</si>
  <si>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</si>
  <si>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</si>
  <si>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</si>
  <si>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</si>
  <si>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</si>
  <si>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</si>
  <si>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</si>
  <si>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</si>
  <si>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</si>
  <si>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</si>
  <si>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</si>
  <si>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</si>
  <si>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</si>
  <si>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</si>
  <si>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</si>
  <si>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</si>
  <si>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</si>
  <si>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</si>
  <si>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</si>
  <si>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</si>
  <si>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</si>
  <si>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</si>
  <si>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</si>
  <si>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</si>
  <si>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</si>
  <si>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</si>
  <si>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</si>
  <si>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</si>
  <si>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</si>
  <si>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</si>
  <si>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</si>
  <si>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</si>
  <si>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</si>
  <si>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</si>
  <si>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</si>
  <si>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</si>
  <si>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</si>
  <si>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</si>
  <si>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</si>
  <si>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</si>
  <si>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</si>
  <si>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</si>
  <si>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</si>
  <si>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</si>
  <si>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</si>
  <si>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</si>
  <si>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</si>
  <si>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</si>
  <si>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</si>
  <si>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</si>
  <si>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</si>
  <si>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</si>
  <si>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</si>
  <si>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</si>
  <si>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</si>
  <si>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</si>
  <si>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</si>
  <si>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</si>
  <si>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</si>
  <si>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</si>
  <si>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</si>
  <si>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</si>
  <si>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</si>
  <si>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</si>
  <si>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</si>
  <si>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</si>
  <si>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</si>
  <si>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</si>
  <si>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</si>
  <si>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</si>
  <si>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</si>
  <si>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</si>
  <si>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</si>
  <si>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</si>
  <si>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</si>
  <si>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</si>
  <si>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</si>
  <si>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</si>
  <si>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</si>
  <si>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</si>
  <si>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</si>
  <si>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</si>
  <si>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</si>
  <si>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</si>
  <si>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</si>
  <si>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</si>
  <si>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</si>
  <si>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</si>
  <si>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</si>
  <si>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</si>
  <si>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</si>
  <si>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</si>
  <si>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</si>
  <si>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</si>
  <si>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</si>
  <si>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</si>
  <si>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</si>
  <si>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</si>
  <si>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</si>
  <si>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</si>
  <si>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</si>
  <si>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</si>
  <si>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</si>
  <si>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</si>
  <si>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</si>
  <si>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</si>
  <si>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</si>
  <si>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</si>
  <si>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</si>
  <si>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</si>
  <si>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</si>
  <si>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</si>
  <si>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</si>
  <si>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</si>
  <si>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</si>
  <si>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</si>
  <si>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</si>
  <si>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</si>
  <si>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</si>
  <si>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</si>
  <si>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</si>
  <si>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</si>
  <si>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</si>
  <si>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</si>
  <si>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</si>
  <si>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</si>
  <si>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</si>
  <si>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</si>
  <si>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</si>
  <si>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</si>
  <si>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</si>
  <si>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</si>
  <si>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</si>
  <si>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</si>
  <si>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</si>
  <si>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</si>
  <si>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</si>
  <si>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</si>
  <si>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</si>
  <si>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</si>
  <si>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</si>
  <si>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</si>
  <si>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</si>
  <si>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</si>
  <si>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</si>
  <si>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</si>
  <si>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</si>
  <si>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</si>
  <si>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</si>
  <si>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</si>
  <si>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</si>
  <si>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</si>
  <si>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</si>
  <si>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</si>
  <si>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</si>
  <si>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</si>
  <si>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</si>
  <si>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</si>
  <si>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</si>
  <si>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</si>
  <si>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</si>
  <si>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</si>
  <si>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</si>
  <si>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</si>
  <si>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</si>
  <si>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</si>
  <si>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</si>
  <si>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</si>
  <si>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</si>
  <si>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</si>
  <si>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</si>
  <si>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</si>
  <si>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</si>
  <si>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</si>
  <si>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</si>
  <si>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</si>
  <si>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</si>
  <si>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</si>
  <si>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</si>
  <si>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</si>
  <si>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</si>
  <si>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</si>
  <si>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</si>
  <si>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</si>
  <si>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</si>
  <si>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</si>
  <si>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</si>
  <si>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</si>
  <si>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</si>
  <si>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</si>
  <si>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</si>
  <si>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</si>
  <si>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</si>
  <si>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</si>
  <si>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</si>
  <si>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</si>
  <si>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</si>
  <si>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</si>
  <si>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</si>
  <si>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</si>
  <si>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</si>
  <si>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</si>
  <si>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</si>
  <si>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</si>
  <si>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</si>
  <si>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</si>
  <si>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</si>
  <si>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</si>
  <si>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</si>
  <si>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</si>
  <si>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</si>
  <si>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</si>
  <si>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</si>
  <si>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</si>
  <si>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</si>
  <si>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</si>
  <si>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</si>
  <si>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</si>
  <si>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</si>
  <si>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</si>
  <si>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</si>
  <si>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</si>
  <si>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</si>
  <si>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</si>
  <si>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</si>
  <si>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</si>
  <si>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</si>
  <si>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</si>
  <si>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</si>
  <si>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</si>
  <si>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</si>
  <si>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</si>
  <si>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</si>
  <si>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</si>
  <si>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</si>
  <si>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</si>
  <si>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</si>
  <si>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</si>
  <si>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</si>
  <si>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</si>
  <si>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</si>
  <si>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</si>
  <si>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</si>
  <si>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</si>
  <si>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</si>
  <si>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</si>
  <si>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</si>
  <si>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</si>
  <si>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</si>
  <si>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</si>
  <si>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</si>
  <si>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</si>
  <si>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</si>
  <si>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</si>
  <si>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</si>
  <si>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</si>
  <si>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</si>
  <si>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</si>
  <si>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</si>
  <si>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</si>
  <si>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</si>
  <si>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</si>
  <si>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</si>
  <si>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</si>
  <si>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</si>
  <si>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</si>
  <si>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</si>
  <si>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</si>
  <si>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</si>
  <si>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</si>
  <si>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</si>
  <si>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</si>
  <si>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</si>
  <si>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</si>
  <si>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</si>
  <si>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</si>
  <si>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</si>
  <si>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</si>
  <si>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</si>
  <si>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</si>
  <si>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</si>
  <si>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</si>
  <si>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</si>
  <si>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</si>
  <si>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</si>
  <si>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</si>
  <si>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</si>
  <si>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</si>
  <si>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</si>
  <si>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</si>
  <si>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</si>
  <si>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</si>
  <si>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</si>
  <si>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</si>
  <si>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</si>
  <si>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</si>
  <si>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</si>
  <si>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</si>
  <si>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</si>
  <si>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</si>
  <si>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</si>
  <si>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</si>
  <si>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</si>
  <si>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</si>
  <si>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</si>
  <si>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</si>
  <si>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</si>
  <si>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</si>
  <si>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</si>
  <si>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</si>
  <si>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</si>
  <si>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</si>
  <si>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</si>
  <si>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</si>
  <si>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</si>
  <si>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</si>
  <si>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</si>
  <si>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</si>
  <si>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</si>
  <si>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</si>
  <si>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</si>
  <si>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</si>
  <si>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</si>
  <si>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</si>
  <si>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</si>
  <si>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</si>
  <si>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</si>
  <si>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</si>
  <si>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</si>
  <si>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</si>
  <si>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</si>
  <si>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</si>
  <si>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</si>
  <si>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</si>
  <si>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</si>
  <si>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</si>
  <si>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</si>
  <si>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</si>
  <si>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</si>
  <si>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</si>
  <si>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</si>
  <si>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</si>
  <si>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</si>
  <si>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</si>
  <si>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</si>
  <si>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</si>
  <si>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</si>
  <si>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</si>
  <si>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</si>
  <si>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</si>
  <si>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</si>
  <si>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</si>
  <si>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</si>
  <si>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</si>
  <si>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</si>
  <si>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</si>
  <si>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</si>
  <si>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</si>
  <si>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</si>
  <si>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</si>
  <si>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</si>
  <si>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</si>
  <si>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</si>
  <si>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</si>
  <si>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</si>
  <si>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</si>
  <si>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</si>
  <si>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</si>
  <si>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</si>
  <si>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</si>
  <si>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</si>
  <si>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</si>
  <si>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</si>
  <si>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</si>
  <si>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</si>
  <si>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</si>
  <si>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</si>
  <si>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</si>
  <si>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</si>
  <si>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</si>
  <si>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</si>
  <si>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</si>
  <si>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</si>
  <si>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</si>
  <si>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</si>
  <si>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</si>
  <si>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</si>
  <si>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</si>
  <si>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</si>
  <si>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</si>
  <si>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</si>
  <si>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</si>
  <si>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</si>
  <si>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</si>
  <si>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</si>
  <si>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</si>
  <si>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</si>
  <si>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</si>
  <si>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</si>
  <si>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</si>
  <si>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</si>
  <si>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</si>
  <si>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</si>
  <si>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</si>
  <si>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</si>
  <si>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</si>
  <si>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</si>
  <si>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</si>
  <si>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</si>
  <si>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</si>
  <si>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</si>
  <si>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</si>
  <si>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</si>
  <si>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</si>
  <si>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</si>
  <si>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</si>
  <si>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</si>
  <si>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</si>
  <si>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</si>
  <si>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</si>
  <si>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</si>
  <si>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</si>
  <si>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</si>
  <si>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</si>
  <si>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</si>
  <si>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</si>
  <si>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</si>
  <si>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</si>
  <si>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</si>
  <si>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</si>
  <si>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</si>
  <si>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</si>
  <si>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</si>
  <si>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</si>
  <si>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</si>
  <si>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</si>
  <si>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</si>
  <si>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</si>
  <si>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</si>
  <si>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</si>
  <si>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</si>
  <si>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</si>
  <si>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</si>
  <si>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</si>
  <si>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</si>
  <si>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</si>
  <si>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</si>
  <si>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</si>
  <si>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</si>
  <si>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</si>
  <si>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</si>
  <si>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</si>
  <si>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</si>
  <si>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</si>
  <si>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</si>
  <si>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</si>
  <si>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</si>
  <si>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</si>
  <si>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</si>
  <si>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</si>
  <si>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</si>
  <si>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</si>
  <si>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</si>
  <si>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</si>
  <si>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</si>
  <si>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</si>
  <si>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</si>
  <si>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</si>
  <si>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</si>
  <si>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</si>
  <si>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</si>
  <si>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</si>
  <si>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</si>
  <si>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</si>
  <si>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</si>
  <si>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</si>
  <si>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</si>
  <si>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</si>
  <si>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</si>
  <si>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</si>
  <si>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</si>
  <si>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</si>
  <si>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</si>
  <si>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</si>
  <si>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</si>
  <si>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</si>
  <si>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</si>
  <si>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</si>
  <si>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</si>
  <si>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</si>
  <si>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</si>
  <si>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</si>
  <si>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</si>
  <si>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</si>
  <si>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</si>
  <si>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</si>
  <si>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</si>
  <si>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</si>
  <si>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</si>
  <si>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</si>
  <si>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</si>
  <si>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</si>
  <si>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</si>
  <si>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</si>
  <si>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</si>
  <si>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</si>
  <si>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</si>
  <si>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</si>
  <si>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</si>
  <si>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</si>
  <si>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</si>
  <si>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</si>
  <si>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</si>
  <si>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</si>
  <si>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</si>
  <si>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</si>
  <si>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</si>
  <si>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</si>
  <si>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</si>
  <si>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</si>
  <si>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</si>
  <si>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</si>
  <si>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</si>
  <si>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</si>
  <si>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</si>
  <si>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</si>
  <si>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</si>
  <si>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</si>
  <si>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</si>
  <si>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</si>
  <si>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</si>
  <si>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</si>
  <si>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</si>
  <si>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</si>
  <si>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</si>
  <si>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</si>
  <si>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</si>
  <si>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</si>
  <si>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</si>
  <si>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</si>
  <si>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</si>
  <si>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</si>
  <si>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</si>
  <si>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</si>
  <si>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</si>
  <si>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</si>
  <si>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</si>
  <si>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</si>
  <si>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</si>
  <si>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</si>
  <si>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</si>
  <si>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</si>
  <si>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</si>
  <si>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</si>
  <si>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</si>
  <si>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</si>
  <si>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</si>
  <si>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</si>
  <si>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</si>
  <si>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</si>
  <si>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</si>
  <si>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</si>
  <si>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</si>
  <si>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</si>
  <si>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</si>
  <si>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</si>
  <si>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</si>
  <si>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</si>
  <si>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</si>
  <si>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</si>
  <si>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</si>
  <si>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</si>
  <si>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</si>
  <si>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</si>
  <si>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</si>
  <si>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</si>
  <si>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</si>
  <si>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</si>
  <si>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</si>
  <si>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</si>
  <si>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</si>
  <si>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</si>
  <si>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</si>
  <si>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</si>
  <si>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</si>
  <si>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</si>
  <si>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</si>
  <si>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</si>
  <si>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</si>
  <si>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</si>
  <si>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</si>
  <si>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</si>
  <si>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</si>
  <si>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</si>
  <si>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</si>
  <si>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</si>
  <si>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</si>
  <si>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</si>
  <si>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</si>
  <si>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</si>
  <si>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</si>
  <si>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</si>
  <si>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</si>
  <si>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</si>
  <si>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</si>
  <si>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</si>
  <si>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</si>
  <si>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</si>
  <si>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</si>
  <si>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</si>
  <si>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</si>
  <si>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</si>
  <si>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</si>
  <si>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</si>
  <si>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</si>
  <si>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</si>
  <si>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</si>
  <si>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</si>
  <si>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</si>
  <si>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</si>
  <si>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</si>
  <si>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</si>
  <si>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</si>
  <si>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</si>
  <si>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</si>
  <si>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</si>
  <si>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</si>
  <si>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</si>
  <si>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</si>
  <si>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</si>
  <si>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</si>
  <si>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</si>
  <si>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</si>
  <si>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</si>
  <si>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</si>
  <si>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</si>
  <si>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</si>
  <si>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</si>
  <si>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</si>
  <si>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</si>
  <si>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</si>
  <si>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</si>
  <si>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</si>
  <si>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</si>
  <si>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</si>
  <si>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</si>
  <si>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</si>
  <si>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</si>
  <si>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</si>
  <si>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</si>
  <si>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</si>
  <si>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</si>
  <si>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</si>
  <si>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</si>
  <si>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</si>
  <si>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</si>
  <si>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</si>
  <si>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</si>
  <si>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</si>
  <si>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</si>
  <si>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</si>
  <si>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</si>
  <si>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</si>
  <si>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</si>
  <si>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</si>
  <si>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</si>
  <si>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</si>
  <si>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</si>
  <si>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</si>
  <si>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</si>
  <si>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</si>
  <si>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</si>
  <si>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</si>
  <si>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</si>
  <si>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</si>
  <si>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</si>
  <si>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</si>
  <si>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</si>
  <si>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</si>
  <si>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</si>
  <si>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</si>
  <si>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</si>
  <si>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</si>
  <si>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</si>
  <si>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</si>
  <si>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</si>
  <si>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</si>
  <si>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</si>
  <si>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</si>
  <si>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</si>
  <si>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</si>
  <si>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</si>
  <si>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</si>
  <si>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</si>
  <si>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</si>
  <si>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</si>
  <si>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</si>
  <si>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</si>
  <si>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</si>
  <si>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</si>
  <si>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</si>
  <si>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</si>
  <si>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</si>
  <si>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</si>
  <si>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</si>
  <si>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</si>
  <si>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</si>
  <si>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</si>
  <si>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</si>
  <si>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</si>
  <si>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</si>
  <si>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</si>
  <si>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</si>
  <si>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</si>
  <si>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</si>
  <si>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</si>
  <si>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</si>
  <si>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</si>
  <si>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</si>
  <si>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</si>
  <si>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</si>
  <si>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</si>
  <si>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</si>
  <si>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</si>
  <si>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</si>
  <si>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</si>
  <si>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</si>
  <si>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</si>
  <si>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</si>
  <si>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</si>
  <si>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</si>
  <si>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</si>
  <si>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</si>
  <si>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</si>
  <si>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</si>
  <si>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</si>
  <si>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</si>
  <si>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</si>
  <si>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</si>
  <si>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</si>
  <si>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</si>
  <si>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</si>
  <si>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</si>
  <si>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</si>
  <si>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</si>
  <si>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</si>
  <si>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</si>
  <si>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</si>
  <si>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</si>
  <si>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</si>
  <si>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</si>
  <si>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</si>
  <si>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</si>
  <si>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</si>
  <si>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</si>
  <si>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</si>
  <si>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</si>
  <si>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</si>
  <si>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</si>
  <si>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</si>
  <si>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</si>
  <si>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</si>
  <si>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</si>
  <si>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</si>
  <si>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</si>
  <si>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</si>
  <si>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</si>
  <si>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</si>
  <si>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</si>
  <si>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</si>
  <si>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</si>
  <si>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</si>
  <si>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</si>
  <si>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</si>
  <si>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</si>
  <si>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</si>
  <si>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</si>
  <si>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</si>
  <si>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</si>
  <si>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</si>
  <si>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</si>
  <si>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</si>
  <si>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</si>
  <si>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</si>
  <si>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</si>
  <si>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</si>
  <si>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</si>
  <si>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</si>
  <si>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</si>
  <si>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</si>
  <si>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</si>
  <si>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</si>
  <si>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</si>
  <si>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</si>
  <si>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</si>
  <si>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</si>
  <si>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</si>
  <si>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</si>
  <si>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</si>
  <si>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</si>
  <si>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</si>
  <si>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</si>
  <si>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</si>
  <si>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</si>
  <si>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</si>
  <si>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</si>
  <si>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</si>
  <si>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</si>
  <si>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</si>
  <si>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</si>
  <si>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</si>
  <si>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</si>
  <si>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</si>
  <si>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</si>
  <si>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</si>
  <si>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</si>
  <si>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</si>
  <si>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</si>
  <si>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</si>
  <si>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</si>
  <si>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</si>
  <si>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</si>
  <si>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</si>
  <si>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</si>
  <si>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</si>
  <si>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</si>
  <si>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</si>
  <si>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</si>
  <si>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</si>
  <si>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</si>
  <si>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</si>
  <si>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</si>
  <si>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</si>
  <si>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</si>
  <si>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</si>
  <si>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</si>
  <si>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</si>
  <si>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</si>
  <si>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</si>
  <si>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</si>
  <si>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</si>
  <si>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</si>
  <si>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</si>
  <si>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</si>
  <si>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</si>
  <si>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</si>
  <si>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</si>
  <si>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</si>
  <si>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</si>
  <si>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</si>
  <si>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</si>
  <si>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</si>
  <si>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</si>
  <si>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</si>
  <si>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</si>
  <si>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</si>
  <si>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</si>
  <si>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</si>
  <si>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</si>
  <si>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</si>
  <si>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</si>
  <si>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</si>
  <si>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</si>
  <si>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</si>
  <si>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</si>
  <si>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</si>
  <si>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</si>
  <si>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</si>
  <si>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</si>
  <si>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</si>
  <si>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</si>
  <si>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</si>
  <si>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</si>
  <si>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</si>
  <si>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</si>
  <si>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</si>
  <si>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</si>
  <si>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</si>
  <si>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</si>
  <si>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</si>
  <si>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</si>
  <si>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</si>
  <si>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</si>
  <si>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</si>
  <si>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</si>
  <si>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</si>
  <si>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</si>
  <si>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</si>
  <si>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</si>
  <si>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</si>
  <si>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</si>
  <si>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</si>
  <si>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</si>
  <si>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</si>
  <si>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</si>
  <si>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</si>
  <si>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</si>
  <si>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</si>
  <si>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</si>
  <si>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</si>
  <si>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</si>
  <si>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</si>
  <si>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</si>
  <si>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</si>
  <si>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</si>
  <si>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</si>
  <si>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</si>
  <si>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</si>
  <si>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</si>
  <si>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</si>
  <si>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</si>
  <si>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</si>
  <si>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</si>
  <si>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</si>
  <si>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</si>
  <si>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</si>
  <si>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</si>
  <si>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</si>
  <si>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</si>
  <si>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</si>
  <si>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</si>
  <si>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</si>
  <si>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</si>
  <si>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</si>
  <si>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</si>
  <si>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</si>
  <si>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</si>
  <si>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</si>
  <si>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</si>
  <si>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</si>
  <si>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</si>
  <si>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</si>
  <si>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</si>
  <si>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</si>
  <si>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</si>
  <si>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</si>
  <si>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</si>
  <si>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</si>
  <si>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</si>
  <si>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</si>
  <si>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</si>
  <si>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</si>
  <si>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</si>
  <si>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</si>
  <si>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</si>
  <si>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</si>
  <si>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</si>
  <si>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</si>
  <si>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</si>
  <si>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</si>
  <si>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</si>
  <si>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</si>
  <si>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</si>
  <si>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</si>
  <si>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</si>
  <si>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</si>
  <si>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</si>
  <si>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</si>
  <si>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</si>
  <si>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</si>
  <si>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</si>
  <si>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</si>
  <si>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</si>
  <si>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</si>
  <si>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</si>
  <si>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</si>
  <si>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</si>
  <si>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</si>
  <si>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</si>
  <si>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</si>
  <si>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</si>
  <si>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</si>
  <si>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</si>
  <si>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</si>
  <si>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</si>
  <si>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</si>
  <si>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</si>
  <si>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</si>
  <si>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</si>
  <si>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</si>
  <si>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</si>
  <si>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</si>
  <si>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</si>
  <si>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</si>
  <si>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</si>
  <si>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</si>
  <si>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</si>
  <si>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</si>
  <si>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</si>
  <si>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</si>
  <si>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</si>
  <si>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</si>
  <si>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</si>
  <si>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</si>
  <si>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</si>
  <si>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</si>
  <si>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</si>
  <si>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</si>
  <si>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</si>
  <si>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</si>
  <si>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</si>
  <si>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</si>
  <si>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</si>
  <si>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</si>
  <si>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</si>
  <si>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</si>
  <si>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</si>
  <si>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</si>
  <si>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</si>
  <si>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</si>
  <si>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</si>
  <si>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</si>
  <si>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</si>
  <si>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</si>
  <si>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</si>
  <si>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</si>
  <si>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</si>
  <si>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</si>
  <si>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</si>
  <si>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</si>
  <si>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</si>
  <si>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</si>
  <si>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</si>
  <si>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</si>
  <si>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</si>
  <si>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</si>
  <si>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</si>
  <si>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</si>
  <si>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</si>
  <si>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</si>
  <si>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</si>
  <si>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</si>
  <si>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</si>
  <si>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</si>
  <si>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</si>
  <si>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</si>
  <si>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</si>
  <si>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</si>
  <si>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</si>
  <si>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</si>
  <si>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</si>
  <si>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</si>
  <si>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</si>
  <si>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</si>
  <si>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</si>
  <si>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</si>
  <si>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</si>
  <si>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</si>
  <si>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</si>
  <si>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</si>
  <si>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</si>
  <si>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</si>
  <si>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</si>
  <si>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</si>
  <si>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</si>
  <si>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</si>
  <si>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</si>
  <si>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</si>
  <si>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</si>
  <si>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</si>
  <si>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</si>
  <si>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</si>
  <si>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</si>
  <si>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</si>
  <si>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</si>
  <si>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</si>
  <si>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</si>
  <si>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</si>
  <si>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</si>
  <si>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</si>
  <si>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</si>
  <si>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</si>
  <si>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</si>
  <si>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</si>
  <si>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</si>
  <si>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</si>
  <si>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</si>
  <si>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</si>
  <si>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</si>
  <si>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</si>
  <si>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</si>
  <si>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</si>
  <si>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</si>
  <si>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</si>
  <si>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</si>
  <si>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</si>
  <si>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</si>
  <si>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</si>
  <si>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</si>
  <si>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</si>
  <si>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</si>
  <si>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</si>
  <si>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</si>
  <si>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</si>
  <si>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</si>
  <si>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</si>
  <si>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</si>
  <si>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</si>
  <si>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</si>
  <si>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</si>
  <si>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</si>
  <si>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</si>
  <si>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</si>
  <si>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</si>
  <si>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</si>
  <si>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</si>
  <si>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</si>
  <si>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</si>
  <si>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</si>
  <si>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</si>
  <si>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</si>
  <si>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</si>
  <si>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</si>
  <si>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</si>
  <si>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</si>
  <si>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</si>
  <si>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</si>
  <si>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</si>
  <si>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</si>
  <si>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</si>
  <si>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</si>
  <si>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</si>
  <si>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</si>
  <si>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</si>
  <si>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</si>
  <si>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</si>
  <si>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</si>
  <si>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</si>
  <si>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</si>
  <si>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</si>
  <si>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</si>
  <si>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</si>
  <si>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</si>
  <si>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</si>
  <si>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</si>
  <si>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</si>
  <si>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</si>
  <si>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</si>
  <si>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</si>
  <si>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</si>
  <si>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</si>
  <si>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</si>
  <si>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</si>
  <si>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</si>
  <si>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</si>
  <si>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</si>
  <si>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</si>
  <si>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</si>
  <si>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</si>
  <si>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</si>
  <si>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</si>
  <si>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</si>
  <si>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</si>
  <si>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</si>
  <si>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</si>
  <si>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</si>
  <si>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</si>
  <si>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</si>
  <si>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</si>
  <si>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</si>
  <si>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</si>
  <si>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</si>
  <si>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</si>
  <si>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</si>
  <si>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</si>
  <si>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</si>
  <si>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</si>
  <si>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</si>
  <si>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</si>
  <si>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</si>
  <si>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</si>
  <si>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</si>
  <si>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</si>
  <si>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</si>
  <si>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</si>
  <si>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</si>
  <si>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</si>
  <si>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</si>
  <si>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</si>
  <si>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</si>
  <si>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</si>
  <si>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</si>
  <si>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</si>
  <si>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</si>
  <si>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</si>
  <si>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</si>
  <si>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</si>
  <si>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</si>
  <si>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</si>
  <si>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</si>
  <si>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</si>
  <si>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</si>
  <si>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</si>
  <si>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</si>
  <si>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</si>
  <si>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</si>
  <si>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</si>
  <si>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</si>
  <si>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</si>
  <si>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</si>
  <si>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</si>
  <si>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</si>
  <si>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</si>
  <si>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</si>
  <si>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</si>
  <si>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</si>
  <si>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</si>
  <si>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</si>
  <si>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</si>
  <si>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</si>
  <si>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</si>
  <si>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</si>
  <si>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</si>
  <si>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</si>
  <si>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</si>
  <si>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</si>
  <si>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</si>
  <si>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</si>
  <si>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</si>
  <si>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</si>
  <si>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</si>
  <si>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</si>
  <si>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</si>
  <si>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</si>
  <si>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</si>
  <si>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</si>
  <si>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</si>
  <si>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</si>
  <si>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</si>
  <si>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</si>
  <si>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</si>
  <si>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</si>
  <si>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</si>
  <si>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</si>
  <si>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</si>
  <si>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</si>
  <si>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</si>
  <si>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</si>
  <si>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</si>
  <si>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</si>
  <si>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</si>
  <si>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</si>
  <si>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</si>
  <si>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</si>
  <si>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</si>
  <si>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</si>
  <si>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</si>
  <si>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</si>
  <si>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</si>
  <si>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</si>
  <si>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</si>
  <si>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</si>
  <si>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</si>
  <si>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</si>
  <si>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</si>
  <si>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</si>
  <si>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</si>
  <si>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</si>
  <si>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</si>
  <si>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</si>
  <si>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</si>
  <si>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</si>
  <si>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</si>
  <si>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</si>
  <si>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</si>
  <si>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</si>
  <si>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</si>
  <si>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</si>
  <si>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</si>
  <si>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</si>
  <si>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</si>
  <si>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</si>
  <si>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</si>
  <si>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</si>
  <si>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</si>
  <si>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</si>
  <si>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</si>
  <si>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</si>
  <si>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</si>
  <si>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</si>
  <si>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</si>
  <si>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</si>
  <si>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</si>
  <si>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</si>
  <si>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</si>
  <si>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</si>
  <si>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</si>
  <si>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</si>
  <si>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</si>
  <si>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</si>
  <si>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</si>
  <si>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</si>
  <si>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</si>
  <si>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</si>
  <si>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</si>
  <si>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</si>
  <si>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</si>
  <si>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</si>
  <si>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</si>
  <si>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</si>
  <si>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</si>
  <si>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</si>
  <si>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</si>
  <si>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</si>
  <si>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</si>
  <si>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</si>
  <si>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</si>
  <si>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</si>
  <si>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</si>
  <si>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</si>
  <si>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</si>
  <si>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</si>
  <si>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</si>
  <si>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</si>
  <si>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</si>
  <si>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</si>
  <si>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</si>
  <si>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</si>
  <si>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</si>
  <si>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</si>
  <si>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</si>
  <si>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</si>
  <si>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</si>
  <si>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</si>
  <si>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</si>
  <si>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</si>
  <si>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</si>
  <si>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</si>
  <si>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</si>
  <si>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</si>
  <si>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</si>
  <si>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</si>
  <si>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</si>
  <si>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</si>
  <si>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</si>
  <si>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</si>
  <si>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</si>
  <si>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</si>
  <si>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</si>
  <si>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</si>
  <si>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</si>
  <si>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</si>
  <si>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</si>
  <si>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</si>
  <si>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</si>
  <si>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</si>
  <si>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</si>
  <si>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</si>
  <si>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</si>
  <si>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</si>
  <si>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</si>
  <si>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</si>
  <si>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</si>
  <si>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</si>
  <si>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</si>
  <si>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</si>
  <si>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</si>
  <si>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</si>
  <si>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</si>
  <si>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</si>
  <si>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</si>
  <si>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</si>
  <si>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</si>
  <si>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</si>
  <si>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</si>
  <si>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</si>
  <si>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</si>
  <si>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</si>
  <si>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</si>
  <si>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</si>
  <si>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</si>
  <si>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</si>
  <si>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</si>
  <si>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</si>
  <si>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</si>
  <si>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</si>
  <si>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</si>
  <si>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</si>
  <si>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</si>
  <si>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</si>
  <si>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</si>
  <si>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</si>
  <si>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</si>
  <si>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</si>
  <si>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</si>
  <si>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</si>
  <si>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</si>
  <si>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</si>
  <si>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</si>
  <si>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</si>
  <si>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</si>
  <si>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</si>
  <si>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</si>
  <si>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</si>
  <si>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</si>
  <si>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</si>
  <si>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</si>
  <si>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</si>
  <si>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</si>
  <si>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</si>
  <si>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</si>
  <si>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</si>
  <si>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</si>
  <si>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</si>
  <si>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</si>
  <si>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</si>
  <si>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</si>
  <si>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</si>
  <si>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</si>
  <si>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</si>
  <si>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</si>
  <si>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</si>
  <si>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</si>
  <si>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</si>
  <si>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</si>
  <si>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</si>
  <si>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</si>
  <si>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</si>
  <si>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</si>
  <si>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</si>
  <si>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</si>
  <si>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</si>
  <si>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</si>
  <si>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</si>
  <si>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</si>
  <si>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</si>
  <si>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</si>
  <si>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</si>
  <si>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</si>
  <si>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</si>
  <si>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</si>
  <si>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</si>
  <si>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</si>
  <si>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</si>
  <si>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</si>
  <si>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</si>
  <si>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</si>
  <si>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</si>
  <si>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</si>
  <si>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</si>
  <si>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</si>
  <si>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</si>
  <si>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</si>
  <si>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</si>
  <si>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</si>
  <si>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</si>
  <si>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</si>
  <si>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</si>
  <si>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</si>
  <si>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</si>
  <si>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</si>
  <si>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</si>
  <si>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</si>
  <si>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</si>
  <si>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</si>
  <si>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</si>
  <si>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</si>
  <si>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</si>
  <si>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</si>
  <si>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</si>
  <si>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</si>
  <si>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</si>
  <si>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</si>
  <si>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</si>
  <si>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</si>
  <si>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</si>
  <si>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</si>
  <si>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</si>
  <si>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</si>
  <si>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</si>
  <si>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</si>
  <si>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</si>
  <si>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</si>
  <si>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</si>
  <si>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</si>
  <si>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</si>
  <si>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</si>
  <si>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</si>
  <si>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</si>
  <si>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</si>
  <si>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</si>
  <si>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</si>
  <si>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</si>
  <si>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</si>
  <si>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</si>
  <si>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</si>
  <si>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</si>
  <si>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</si>
  <si>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</si>
  <si>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</si>
  <si>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</si>
  <si>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</si>
  <si>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</si>
  <si>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</si>
  <si>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</si>
  <si>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</si>
  <si>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</si>
  <si>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</si>
  <si>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</si>
  <si>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</si>
  <si>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</si>
  <si>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</si>
  <si>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</si>
  <si>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</si>
  <si>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</si>
  <si>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</si>
  <si>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</si>
  <si>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</si>
  <si>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</si>
  <si>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</si>
  <si>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</si>
  <si>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</si>
  <si>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</si>
  <si>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</si>
  <si>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</si>
  <si>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</si>
  <si>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</si>
  <si>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</si>
  <si>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</si>
  <si>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</si>
  <si>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</si>
  <si>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</si>
  <si>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</si>
  <si>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</si>
  <si>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</si>
  <si>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</si>
  <si>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</si>
  <si>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</si>
  <si>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</si>
  <si>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</si>
  <si>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</si>
  <si>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</si>
  <si>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</si>
  <si>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</si>
  <si>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</si>
  <si>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</si>
  <si>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</si>
  <si>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</si>
  <si>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</si>
  <si>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</si>
  <si>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</si>
  <si>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</si>
  <si>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</si>
  <si>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</si>
  <si>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</si>
  <si>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</si>
  <si>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</si>
  <si>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</si>
  <si>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</si>
  <si>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</si>
  <si>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</si>
  <si>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</si>
  <si>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</si>
  <si>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</si>
  <si>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</si>
  <si>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</si>
  <si>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</si>
  <si>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</si>
  <si>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</si>
  <si>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</si>
  <si>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</si>
  <si>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</si>
  <si>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</si>
  <si>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</si>
  <si>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</si>
  <si>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</si>
  <si>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</si>
  <si>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</si>
  <si>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</si>
  <si>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</si>
  <si>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</si>
  <si>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</si>
  <si>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</si>
  <si>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</si>
  <si>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</si>
  <si>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</si>
  <si>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</si>
  <si>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</si>
  <si>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</si>
  <si>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</si>
  <si>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</si>
  <si>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</si>
  <si>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</si>
  <si>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</si>
  <si>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</si>
  <si>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</si>
  <si>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</si>
  <si>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</si>
  <si>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</si>
  <si>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</si>
  <si>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</si>
  <si>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</si>
  <si>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</si>
  <si>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</si>
  <si>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</si>
  <si>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</si>
  <si>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</si>
  <si>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</si>
  <si>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</si>
  <si>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</si>
  <si>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</si>
  <si>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</si>
  <si>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</si>
  <si>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</si>
  <si>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</si>
  <si>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</si>
  <si>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</si>
  <si>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</si>
  <si>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</si>
  <si>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</si>
  <si>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</si>
  <si>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</si>
  <si>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</si>
  <si>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</si>
  <si>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</si>
  <si>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</si>
  <si>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</si>
  <si>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</si>
  <si>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</si>
  <si>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</si>
  <si>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</si>
  <si>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</si>
  <si>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</si>
  <si>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</si>
  <si>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</si>
  <si>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</si>
  <si>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</si>
  <si>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</si>
  <si>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</si>
  <si>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</si>
  <si>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</si>
  <si>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</si>
  <si>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</si>
  <si>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</si>
  <si>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</si>
  <si>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</si>
  <si>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</si>
  <si>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</si>
  <si>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</si>
  <si>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</si>
  <si>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</si>
  <si>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</si>
  <si>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</si>
  <si>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</si>
  <si>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</si>
  <si>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</si>
  <si>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</si>
  <si>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</si>
  <si>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</si>
  <si>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</si>
  <si>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</si>
  <si>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</si>
  <si>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</si>
  <si>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</si>
  <si>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</si>
  <si>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</si>
  <si>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</si>
  <si>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</si>
  <si>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</si>
  <si>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</si>
  <si>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</si>
  <si>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</si>
  <si>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</si>
  <si>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</si>
  <si>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</si>
  <si>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</si>
  <si>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</si>
  <si>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</si>
  <si>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</si>
  <si>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</si>
  <si>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</si>
  <si>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</si>
  <si>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</si>
  <si>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</si>
  <si>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</si>
  <si>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</si>
  <si>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</si>
  <si>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</si>
  <si>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</si>
  <si>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</si>
  <si>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</si>
  <si>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</si>
  <si>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</si>
  <si>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</si>
  <si>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</si>
  <si>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</si>
  <si>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</si>
  <si>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</si>
  <si>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</si>
  <si>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</si>
  <si>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</si>
  <si>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</si>
  <si>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</si>
  <si>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</si>
  <si>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</si>
  <si>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</si>
  <si>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</si>
  <si>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</si>
  <si>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</si>
  <si>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</si>
  <si>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</si>
  <si>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</si>
  <si>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</si>
  <si>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</si>
  <si>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</si>
  <si>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</si>
  <si>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</si>
  <si>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</si>
  <si>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</si>
  <si>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</si>
  <si>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</si>
  <si>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</si>
  <si>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</si>
  <si>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</si>
  <si>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</si>
  <si>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</si>
  <si>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</si>
  <si>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</si>
  <si>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</si>
  <si>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</si>
  <si>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</si>
  <si>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</si>
  <si>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</si>
  <si>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</si>
  <si>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</si>
  <si>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</si>
  <si>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</si>
  <si>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</si>
  <si>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</si>
  <si>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</si>
  <si>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</si>
  <si>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</si>
  <si>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</si>
  <si>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</si>
  <si>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</si>
  <si>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</si>
  <si>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</si>
  <si>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</si>
  <si>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</si>
  <si>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</si>
  <si>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</si>
  <si>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</si>
  <si>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</si>
  <si>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</si>
  <si>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</si>
  <si>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</si>
  <si>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</si>
  <si>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</si>
  <si>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</si>
  <si>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</si>
  <si>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</si>
  <si>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</si>
  <si>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</si>
  <si>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</si>
  <si>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</si>
  <si>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</si>
  <si>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</si>
  <si>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</si>
  <si>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</si>
  <si>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</si>
  <si>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</si>
  <si>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</si>
  <si>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</si>
  <si>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</si>
  <si>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</si>
  <si>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</si>
  <si>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</si>
  <si>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</si>
  <si>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</si>
  <si>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</si>
  <si>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</si>
  <si>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</si>
  <si>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</si>
  <si>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</si>
  <si>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</si>
  <si>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</si>
  <si>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</si>
  <si>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</si>
  <si>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</si>
  <si>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</si>
  <si>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</si>
  <si>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</si>
  <si>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</si>
  <si>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</si>
  <si>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</si>
  <si>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</si>
  <si>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</si>
  <si>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</si>
  <si>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</si>
  <si>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</si>
  <si>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</si>
  <si>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</si>
  <si>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</si>
  <si>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</si>
  <si>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</si>
  <si>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</si>
  <si>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</si>
  <si>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</si>
  <si>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</si>
  <si>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</si>
  <si>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</si>
  <si>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</si>
  <si>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</si>
  <si>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</si>
  <si>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</si>
  <si>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</si>
  <si>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</si>
  <si>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</si>
  <si>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</si>
  <si>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</si>
  <si>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</si>
  <si>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</si>
  <si>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</si>
  <si>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</si>
  <si>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</si>
  <si>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</si>
  <si>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</si>
  <si>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</si>
  <si>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</si>
  <si>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</si>
  <si>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</si>
  <si>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</si>
  <si>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</si>
  <si>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</si>
  <si>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</si>
  <si>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</si>
  <si>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</si>
  <si>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</si>
  <si>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</si>
  <si>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</si>
  <si>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</si>
  <si>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</si>
  <si>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</si>
  <si>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</si>
  <si>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</si>
  <si>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</si>
  <si>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</si>
  <si>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</si>
  <si>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</si>
  <si>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</si>
  <si>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</si>
  <si>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</si>
  <si>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</si>
  <si>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</si>
  <si>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</si>
  <si>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</si>
  <si>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</si>
  <si>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</si>
  <si>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</si>
  <si>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</si>
  <si>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</si>
  <si>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</si>
  <si>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</si>
  <si>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</si>
  <si>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</si>
  <si>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</si>
  <si>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</si>
  <si>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</si>
  <si>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</si>
  <si>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</si>
  <si>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</si>
  <si>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</si>
  <si>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</si>
  <si>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</si>
  <si>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</si>
  <si>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</si>
  <si>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</si>
  <si>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</si>
  <si>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</si>
  <si>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</si>
  <si>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</si>
  <si>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</si>
  <si>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</si>
  <si>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</si>
  <si>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</si>
  <si>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</si>
  <si>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</si>
  <si>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</si>
  <si>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</si>
  <si>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</si>
  <si>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</si>
  <si>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</si>
  <si>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</si>
  <si>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</si>
  <si>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</si>
  <si>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</si>
  <si>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</si>
  <si>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</si>
  <si>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</si>
  <si>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</si>
  <si>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</si>
  <si>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</si>
  <si>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</si>
  <si>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</si>
  <si>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</si>
  <si>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</si>
  <si>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</si>
  <si>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</si>
  <si>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</si>
  <si>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</si>
  <si>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</si>
  <si>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</si>
  <si>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</si>
  <si>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</si>
  <si>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</si>
  <si>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</si>
  <si>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</si>
  <si>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</si>
  <si>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</si>
  <si>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</si>
  <si>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</si>
  <si>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</si>
  <si>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</si>
  <si>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</si>
  <si>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</si>
  <si>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</si>
  <si>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</si>
  <si>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</si>
  <si>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</si>
  <si>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</si>
  <si>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</si>
  <si>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</si>
  <si>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</si>
  <si>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</si>
  <si>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</si>
  <si>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</si>
  <si>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</si>
  <si>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</si>
  <si>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</si>
  <si>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</si>
  <si>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</si>
  <si>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</si>
  <si>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</si>
  <si>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</si>
  <si>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</si>
  <si>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</si>
  <si>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</si>
  <si>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</si>
  <si>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</si>
  <si>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</si>
  <si>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</si>
  <si>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</si>
  <si>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</si>
  <si>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</si>
  <si>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</si>
  <si>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</si>
  <si>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</si>
  <si>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</si>
  <si>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</si>
  <si>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</si>
  <si>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</si>
  <si>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</si>
  <si>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</si>
  <si>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</si>
  <si>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</si>
  <si>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</si>
  <si>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</si>
  <si>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</si>
  <si>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</si>
  <si>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</si>
  <si>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</si>
  <si>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</si>
  <si>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</si>
  <si>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</si>
  <si>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</si>
  <si>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</si>
  <si>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</si>
  <si>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</si>
  <si>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</si>
  <si>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</si>
  <si>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</si>
  <si>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</si>
  <si>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</si>
  <si>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</si>
  <si>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</si>
  <si>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</si>
  <si>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</si>
  <si>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</si>
  <si>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</si>
  <si>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</si>
  <si>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</si>
  <si>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</si>
  <si>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</si>
  <si>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</si>
  <si>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</si>
  <si>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</si>
  <si>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</si>
  <si>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</si>
  <si>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</si>
  <si>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</si>
  <si>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</si>
  <si>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</si>
  <si>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</si>
  <si>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</si>
  <si>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</si>
  <si>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</si>
  <si>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</si>
  <si>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</si>
  <si>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</si>
  <si>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</si>
  <si>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</si>
  <si>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</si>
  <si>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</si>
  <si>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</si>
  <si>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</si>
  <si>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</si>
  <si>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</si>
  <si>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</si>
  <si>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</si>
  <si>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</si>
  <si>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</si>
  <si>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</si>
  <si>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</si>
  <si>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</si>
  <si>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</si>
  <si>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</si>
  <si>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</si>
  <si>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</si>
  <si>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</si>
  <si>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</si>
  <si>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</si>
  <si>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</si>
  <si>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</si>
  <si>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</si>
  <si>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</si>
  <si>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</si>
  <si>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</si>
  <si>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</si>
  <si>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</si>
  <si>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</si>
  <si>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</si>
  <si>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</si>
  <si>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</si>
  <si>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</si>
  <si>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</si>
  <si>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</si>
  <si>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</si>
  <si>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</si>
  <si>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</si>
  <si>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</si>
  <si>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</si>
  <si>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</si>
  <si>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</si>
  <si>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</si>
  <si>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</si>
  <si>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</si>
  <si>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</si>
  <si>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</si>
  <si>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</si>
  <si>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</si>
  <si>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</si>
  <si>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</si>
  <si>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</si>
  <si>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</si>
  <si>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</si>
  <si>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</si>
  <si>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</si>
  <si>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</si>
  <si>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</si>
  <si>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</si>
  <si>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</si>
  <si>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</si>
  <si>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</si>
  <si>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</si>
  <si>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</si>
  <si>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</si>
  <si>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</si>
  <si>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</si>
  <si>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</si>
  <si>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</si>
  <si>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</si>
  <si>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</si>
  <si>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</si>
  <si>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</si>
  <si>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</si>
  <si>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</si>
  <si>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</si>
  <si>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</si>
  <si>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</si>
  <si>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</si>
  <si>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</si>
  <si>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</si>
  <si>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</si>
  <si>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</si>
  <si>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</si>
  <si>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</si>
  <si>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</si>
  <si>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</si>
  <si>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</si>
  <si>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</si>
  <si>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</si>
  <si>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</si>
  <si>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</si>
  <si>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</si>
  <si>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</si>
  <si>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</si>
  <si>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</si>
  <si>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</si>
  <si>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</si>
  <si>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</si>
  <si>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</si>
  <si>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</si>
  <si>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</si>
  <si>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</si>
  <si>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</si>
  <si>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</si>
  <si>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</si>
  <si>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</si>
  <si>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</si>
  <si>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</si>
  <si>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</si>
  <si>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</si>
  <si>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</si>
  <si>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</si>
  <si>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</si>
  <si>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</si>
  <si>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</si>
  <si>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</si>
  <si>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</si>
  <si>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</si>
  <si>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</si>
  <si>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</si>
  <si>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</si>
  <si>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</si>
  <si>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</si>
  <si>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</si>
  <si>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</si>
  <si>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</si>
  <si>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</si>
  <si>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</si>
  <si>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</si>
  <si>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</si>
  <si>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</si>
  <si>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</si>
  <si>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</si>
  <si>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</si>
  <si>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</si>
  <si>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</si>
  <si>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</si>
  <si>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</si>
  <si>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</si>
  <si>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</si>
  <si>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</si>
  <si>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</si>
  <si>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</si>
  <si>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</si>
  <si>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</si>
  <si>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</si>
  <si>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</si>
  <si>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</si>
  <si>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</si>
  <si>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</si>
  <si>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</si>
  <si>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</si>
  <si>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</si>
  <si>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</si>
  <si>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</si>
  <si>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</si>
  <si>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</si>
  <si>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</si>
  <si>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</si>
  <si>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</si>
  <si>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</si>
  <si>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</si>
  <si>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</si>
  <si>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</si>
  <si>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</si>
  <si>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</si>
  <si>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</si>
  <si>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</si>
  <si>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</si>
  <si>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</si>
  <si>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</si>
  <si>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</si>
  <si>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</si>
  <si>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</si>
  <si>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</si>
  <si>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</si>
  <si>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</si>
  <si>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</si>
  <si>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</si>
  <si>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</si>
  <si>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</si>
  <si>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</si>
  <si>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</si>
  <si>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</si>
  <si>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</si>
  <si>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</si>
  <si>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</si>
  <si>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</si>
  <si>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</si>
  <si>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</si>
  <si>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</si>
  <si>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</si>
  <si>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</si>
  <si>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</si>
  <si>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</si>
  <si>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</si>
  <si>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</si>
  <si>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</si>
  <si>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</si>
  <si>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</si>
  <si>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</si>
  <si>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</si>
  <si>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</si>
  <si>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</si>
  <si>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</si>
  <si>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</si>
  <si>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</si>
  <si>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</si>
  <si>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</si>
  <si>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</si>
  <si>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</si>
  <si>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</si>
  <si>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</si>
  <si>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</si>
  <si>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</si>
  <si>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</si>
  <si>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</si>
  <si>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</si>
  <si>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</si>
  <si>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</si>
  <si>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</si>
  <si>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</si>
  <si>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</si>
  <si>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</si>
  <si>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</si>
  <si>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</si>
  <si>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</si>
  <si>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</si>
  <si>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</si>
  <si>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</si>
  <si>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</si>
  <si>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</si>
  <si>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</si>
  <si>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</si>
  <si>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</si>
  <si>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</si>
  <si>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</si>
  <si>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</si>
  <si>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</si>
  <si>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</si>
  <si>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</si>
  <si>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</si>
  <si>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</si>
  <si>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</si>
  <si>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</si>
  <si>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</si>
  <si>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</si>
  <si>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</si>
  <si>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</si>
  <si>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</si>
  <si>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</si>
  <si>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</si>
  <si>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</si>
  <si>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</si>
  <si>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</si>
  <si>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</si>
  <si>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</si>
  <si>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</si>
  <si>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</si>
  <si>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</si>
  <si>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</si>
  <si>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</si>
  <si>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</si>
  <si>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</si>
  <si>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</si>
  <si>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</si>
  <si>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</si>
  <si>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</si>
  <si>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</si>
  <si>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</si>
  <si>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</si>
  <si>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</si>
  <si>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</si>
  <si>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</si>
  <si>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</si>
  <si>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</si>
  <si>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</si>
  <si>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</si>
  <si>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</si>
  <si>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</si>
  <si>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</si>
  <si>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</si>
  <si>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</si>
  <si>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</si>
  <si>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</si>
  <si>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</si>
  <si>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</si>
  <si>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</si>
  <si>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</si>
  <si>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</si>
  <si>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</si>
  <si>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</si>
  <si>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</si>
  <si>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</si>
  <si>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</si>
  <si>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</si>
  <si>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</si>
  <si>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</si>
  <si>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</si>
  <si>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</si>
  <si>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</si>
  <si>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</si>
  <si>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</si>
  <si>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</si>
  <si>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</si>
  <si>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</si>
  <si>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</si>
  <si>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</si>
  <si>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</si>
  <si>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</si>
  <si>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</si>
  <si>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</si>
  <si>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</si>
  <si>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</si>
  <si>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</si>
  <si>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</si>
  <si>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</si>
  <si>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</si>
  <si>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</si>
  <si>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</si>
  <si>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</si>
  <si>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</si>
  <si>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</si>
  <si>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</si>
  <si>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</si>
  <si>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</si>
  <si>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</si>
  <si>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</si>
  <si>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</si>
  <si>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</si>
  <si>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</si>
  <si>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</si>
  <si>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</si>
  <si>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</si>
  <si>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</si>
  <si>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</si>
  <si>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</si>
  <si>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</si>
  <si>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</si>
  <si>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</si>
  <si>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</si>
  <si>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</si>
  <si>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</si>
  <si>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</si>
  <si>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</si>
  <si>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</si>
  <si>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</si>
  <si>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</si>
  <si>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</si>
  <si>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</si>
  <si>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</si>
  <si>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</si>
  <si>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</si>
  <si>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</si>
  <si>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</si>
  <si>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</si>
  <si>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</si>
  <si>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</si>
  <si>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</si>
  <si>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</si>
  <si>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</si>
  <si>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</si>
  <si>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</si>
  <si>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</si>
  <si>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</si>
  <si>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</si>
  <si>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</si>
  <si>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</si>
  <si>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</si>
  <si>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</si>
  <si>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</si>
  <si>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</si>
  <si>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</si>
  <si>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</si>
  <si>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</si>
  <si>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</si>
  <si>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</si>
  <si>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</si>
  <si>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</si>
  <si>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</si>
  <si>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</si>
  <si>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</si>
  <si>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</si>
  <si>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</si>
  <si>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</si>
  <si>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</si>
  <si>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</si>
  <si>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</si>
  <si>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</si>
  <si>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</si>
  <si>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</si>
  <si>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</si>
  <si>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</si>
  <si>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</si>
  <si>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</si>
  <si>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</si>
  <si>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</si>
  <si>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</si>
  <si>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</si>
  <si>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</si>
  <si>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</si>
  <si>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</si>
  <si>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</si>
  <si>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</si>
  <si>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</si>
  <si>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</si>
  <si>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</si>
  <si>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</si>
  <si>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</si>
  <si>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</si>
  <si>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</si>
  <si>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</si>
  <si>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</si>
  <si>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</si>
  <si>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</si>
  <si>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</si>
  <si>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</si>
  <si>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</si>
  <si>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</si>
  <si>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</si>
  <si>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</si>
  <si>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</si>
  <si>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</si>
  <si>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</si>
  <si>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</si>
  <si>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</si>
  <si>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</si>
  <si>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</si>
  <si>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</si>
  <si>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</si>
  <si>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</si>
  <si>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</si>
  <si>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</si>
  <si>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</si>
  <si>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</si>
  <si>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</si>
  <si>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</si>
  <si>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</si>
  <si>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</si>
  <si>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</si>
  <si>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</si>
  <si>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</si>
  <si>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</si>
  <si>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</si>
  <si>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</si>
  <si>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</si>
  <si>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</si>
  <si>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</si>
  <si>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</si>
  <si>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</si>
  <si>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</si>
  <si>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</si>
  <si>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</si>
  <si>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</si>
  <si>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</si>
  <si>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</si>
  <si>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</si>
  <si>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</si>
  <si>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</si>
  <si>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</si>
  <si>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</si>
  <si>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</si>
  <si>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</si>
  <si>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</si>
  <si>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</si>
  <si>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</si>
  <si>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</si>
  <si>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</si>
  <si>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</si>
  <si>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</si>
  <si>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</si>
  <si>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</si>
  <si>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</si>
  <si>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</si>
  <si>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</si>
  <si>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</si>
  <si>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</si>
  <si>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</si>
  <si>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</si>
  <si>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</si>
  <si>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</si>
  <si>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</si>
  <si>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</si>
  <si>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</si>
  <si>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</si>
  <si>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</si>
  <si>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</si>
  <si>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</si>
  <si>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</si>
  <si>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</si>
  <si>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</si>
  <si>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</si>
  <si>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</si>
  <si>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</si>
  <si>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</si>
  <si>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</si>
  <si>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</si>
  <si>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</si>
  <si>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</si>
  <si>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</si>
  <si>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</si>
  <si>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</si>
  <si>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</si>
  <si>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</si>
  <si>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</si>
  <si>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</si>
  <si>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</si>
  <si>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</si>
  <si>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</si>
  <si>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</si>
  <si>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</si>
  <si>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</si>
  <si>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</si>
  <si>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</si>
  <si>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</si>
  <si>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</si>
  <si>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</si>
  <si>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</si>
  <si>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</si>
  <si>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</si>
  <si>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</si>
  <si>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</si>
  <si>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</si>
  <si>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</si>
  <si>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</si>
  <si>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</si>
  <si>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</si>
  <si>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</si>
  <si>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</si>
  <si>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</si>
  <si>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</si>
  <si>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</si>
  <si>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</si>
  <si>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</si>
  <si>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</si>
  <si>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</si>
  <si>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</si>
  <si>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</si>
  <si>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</si>
  <si>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</si>
  <si>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</si>
  <si>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</si>
  <si>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</si>
  <si>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</si>
  <si>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</si>
  <si>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</si>
  <si>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</si>
  <si>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</si>
  <si>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</si>
  <si>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</si>
  <si>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</si>
  <si>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</si>
  <si>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</si>
  <si>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</si>
  <si>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</si>
  <si>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</si>
  <si>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</si>
  <si>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</si>
  <si>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</si>
  <si>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</si>
  <si>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</si>
  <si>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</si>
  <si>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</si>
  <si>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</si>
  <si>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</si>
  <si>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</si>
  <si>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</si>
  <si>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</si>
  <si>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</si>
  <si>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</si>
  <si>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</si>
  <si>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</si>
  <si>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</si>
  <si>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</si>
  <si>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</si>
  <si>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</si>
  <si>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</si>
  <si>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</si>
  <si>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</si>
  <si>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</si>
  <si>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</si>
  <si>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</si>
  <si>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</si>
  <si>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</si>
  <si>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</si>
  <si>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</si>
  <si>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</si>
  <si>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</si>
  <si>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</si>
  <si>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</si>
  <si>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</si>
  <si>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</si>
  <si>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</si>
  <si>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</si>
  <si>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</si>
  <si>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</si>
  <si>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</si>
  <si>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</si>
  <si>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</si>
  <si>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</si>
  <si>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</si>
  <si>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</si>
  <si>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</si>
  <si>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</si>
  <si>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</si>
  <si>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</si>
  <si>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</si>
  <si>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</si>
  <si>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</si>
  <si>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</si>
  <si>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</si>
  <si>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</si>
  <si>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</si>
  <si>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</si>
  <si>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</si>
  <si>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</si>
  <si>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</si>
  <si>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</si>
  <si>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</si>
  <si>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</si>
  <si>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</si>
  <si>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</si>
  <si>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</si>
  <si>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</si>
  <si>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</si>
  <si>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</si>
  <si>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</si>
  <si>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</si>
  <si>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</si>
  <si>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</si>
  <si>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</si>
  <si>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</si>
  <si>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</si>
  <si>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</si>
  <si>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</si>
  <si>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</si>
  <si>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</si>
  <si>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</si>
  <si>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</si>
  <si>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</si>
  <si>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</si>
  <si>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</si>
  <si>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</si>
  <si>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</si>
  <si>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</si>
  <si>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</si>
  <si>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</si>
  <si>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</si>
  <si>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</si>
  <si>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</si>
  <si>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</si>
  <si>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</si>
  <si>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</si>
  <si>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</si>
  <si>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</si>
  <si>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</si>
  <si>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</si>
  <si>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</si>
  <si>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</si>
  <si>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</si>
  <si>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</si>
  <si>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</si>
  <si>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</si>
  <si>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</si>
  <si>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</si>
  <si>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</si>
  <si>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</si>
  <si>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</si>
  <si>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</si>
  <si>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</si>
  <si>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</si>
  <si>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</si>
  <si>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</si>
  <si>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</si>
  <si>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</si>
  <si>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</si>
  <si>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</si>
  <si>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</si>
  <si>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</si>
  <si>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</si>
  <si>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</si>
  <si>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</si>
  <si>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</si>
  <si>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</si>
  <si>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</si>
  <si>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</si>
  <si>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</si>
  <si>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</si>
  <si>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</si>
  <si>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</si>
  <si>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</si>
  <si>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</si>
  <si>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</si>
  <si>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</si>
  <si>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</si>
  <si>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</si>
  <si>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</si>
  <si>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</si>
  <si>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</si>
  <si>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</si>
  <si>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</si>
  <si>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</si>
  <si>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</si>
  <si>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</si>
  <si>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</si>
  <si>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</si>
  <si>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</si>
  <si>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</si>
  <si>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</si>
  <si>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</si>
  <si>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</si>
  <si>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</si>
  <si>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</si>
  <si>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</si>
  <si>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</si>
  <si>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</si>
  <si>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</si>
  <si>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</si>
  <si>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</si>
  <si>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</si>
  <si>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</si>
  <si>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</si>
  <si>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</si>
  <si>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</si>
  <si>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</si>
  <si>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</si>
  <si>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</si>
  <si>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</si>
  <si>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</si>
  <si>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</si>
  <si>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</si>
  <si>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</si>
  <si>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</si>
  <si>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</si>
  <si>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</si>
  <si>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</si>
  <si>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</si>
  <si>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</si>
  <si>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</si>
  <si>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</si>
  <si>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</si>
  <si>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</si>
  <si>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</si>
  <si>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</si>
  <si>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</si>
  <si>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</si>
  <si>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</si>
  <si>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</si>
  <si>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</si>
  <si>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</si>
  <si>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</si>
  <si>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</si>
  <si>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</si>
  <si>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</si>
  <si>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</si>
  <si>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</si>
  <si>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</si>
  <si>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</si>
  <si>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</si>
  <si>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</si>
  <si>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</si>
  <si>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</si>
  <si>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</si>
  <si>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</si>
  <si>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</si>
  <si>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</si>
  <si>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</si>
  <si>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</si>
  <si>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</si>
  <si>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</si>
  <si>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</si>
  <si>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</si>
  <si>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</si>
  <si>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</si>
  <si>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</si>
  <si>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</si>
  <si>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</si>
  <si>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</si>
  <si>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</si>
  <si>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</si>
  <si>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</si>
  <si>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</si>
  <si>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</si>
  <si>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</si>
  <si>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</si>
  <si>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</si>
  <si>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</si>
  <si>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</si>
  <si>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</si>
  <si>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</si>
  <si>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</si>
  <si>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</si>
  <si>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</si>
  <si>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</si>
  <si>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</si>
  <si>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</si>
  <si>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</si>
  <si>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</si>
  <si>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</si>
  <si>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</si>
  <si>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</si>
  <si>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</si>
  <si>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</si>
  <si>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</si>
  <si>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</si>
  <si>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</si>
  <si>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</si>
  <si>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</si>
  <si>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</si>
  <si>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</si>
  <si>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</si>
  <si>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</si>
  <si>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</si>
  <si>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</si>
  <si>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</si>
  <si>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</si>
  <si>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</si>
  <si>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</si>
  <si>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</si>
  <si>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</si>
  <si>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</si>
  <si>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</si>
  <si>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</si>
  <si>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</si>
  <si>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</si>
  <si>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</si>
  <si>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</si>
  <si>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</si>
  <si>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</si>
  <si>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</si>
  <si>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</si>
  <si>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</si>
  <si>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</si>
  <si>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</si>
  <si>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</si>
  <si>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</si>
  <si>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</si>
  <si>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</si>
  <si>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</si>
  <si>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</si>
  <si>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</si>
  <si>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</si>
  <si>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</si>
  <si>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</si>
  <si>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</si>
  <si>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</si>
  <si>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</si>
  <si>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</si>
  <si>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</si>
  <si>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</si>
  <si>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</si>
  <si>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</si>
  <si>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</si>
  <si>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</si>
  <si>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</si>
  <si>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</si>
  <si>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</si>
  <si>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</si>
  <si>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</si>
  <si>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</si>
  <si>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</si>
  <si>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</si>
  <si>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</si>
  <si>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</si>
  <si>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</si>
  <si>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</si>
  <si>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</si>
  <si>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</si>
  <si>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</si>
  <si>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</si>
  <si>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</si>
  <si>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</si>
  <si>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</si>
  <si>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</si>
  <si>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</si>
  <si>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</si>
  <si>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</si>
  <si>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</si>
  <si>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</si>
  <si>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</si>
  <si>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</si>
  <si>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</si>
  <si>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</si>
  <si>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</si>
  <si>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</si>
  <si>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</si>
  <si>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</si>
  <si>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</si>
  <si>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</si>
  <si>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</si>
  <si>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</si>
  <si>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</si>
  <si>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</si>
  <si>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</si>
  <si>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</si>
  <si>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</si>
  <si>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</si>
  <si>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</si>
  <si>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</si>
  <si>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</si>
  <si>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</si>
  <si>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</si>
  <si>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</si>
  <si>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</si>
  <si>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</si>
  <si>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</si>
  <si>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</si>
  <si>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</si>
  <si>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</si>
  <si>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</si>
  <si>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</si>
  <si>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</si>
  <si>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</si>
  <si>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</si>
  <si>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</si>
  <si>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</si>
  <si>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</si>
  <si>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</si>
  <si>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</si>
  <si>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</si>
  <si>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</si>
  <si>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</si>
  <si>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</si>
  <si>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</si>
  <si>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</si>
  <si>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</si>
  <si>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</si>
  <si>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</si>
  <si>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</si>
  <si>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</si>
  <si>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</si>
  <si>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</si>
  <si>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</si>
  <si>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</si>
  <si>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</si>
  <si>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</si>
  <si>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</si>
  <si>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</si>
  <si>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</si>
  <si>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</si>
  <si>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</si>
  <si>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</si>
  <si>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</si>
  <si>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</si>
  <si>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</si>
  <si>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</si>
  <si>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</si>
  <si>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</si>
  <si>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</si>
  <si>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</si>
  <si>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</si>
  <si>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</si>
  <si>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</si>
  <si>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</si>
  <si>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</si>
  <si>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</si>
  <si>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</si>
  <si>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</si>
  <si>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</si>
  <si>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</si>
  <si>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</si>
  <si>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</si>
  <si>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</si>
  <si>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</si>
  <si>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</si>
  <si>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</si>
  <si>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</si>
  <si>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</si>
  <si>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</si>
  <si>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</si>
  <si>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</si>
  <si>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</si>
  <si>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</si>
  <si>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</si>
  <si>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</si>
  <si>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</si>
  <si>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</si>
  <si>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</si>
  <si>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</si>
  <si>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</si>
  <si>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</si>
  <si>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</si>
  <si>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</si>
  <si>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</si>
  <si>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</si>
  <si>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</si>
  <si>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</si>
  <si>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</si>
  <si>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</si>
  <si>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</si>
  <si>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</si>
  <si>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</si>
  <si>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</si>
  <si>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</si>
  <si>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</si>
  <si>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</si>
  <si>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</si>
  <si>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</si>
  <si>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</si>
  <si>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</si>
  <si>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</si>
  <si>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</si>
  <si>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</si>
  <si>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</si>
  <si>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</si>
  <si>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</si>
  <si>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</si>
  <si>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</si>
  <si>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</si>
  <si>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</si>
  <si>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</si>
  <si>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</si>
  <si>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</si>
  <si>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</si>
  <si>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</si>
  <si>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</si>
  <si>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</si>
  <si>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</si>
  <si>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</si>
  <si>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</si>
  <si>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</si>
  <si>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</si>
  <si>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</si>
  <si>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</si>
  <si>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</si>
  <si>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</si>
  <si>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</si>
  <si>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</si>
  <si>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</si>
  <si>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</si>
  <si>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</si>
  <si>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</si>
  <si>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</si>
  <si>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</si>
  <si>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</si>
  <si>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</si>
  <si>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</si>
  <si>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</si>
  <si>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</si>
  <si>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</si>
  <si>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</si>
  <si>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</si>
  <si>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</si>
  <si>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</si>
  <si>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</si>
  <si>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</si>
  <si>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</si>
  <si>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</si>
  <si>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</si>
  <si>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</si>
  <si>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</si>
  <si>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</si>
  <si>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</si>
  <si>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</si>
  <si>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</si>
  <si>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</si>
  <si>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</si>
  <si>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</si>
  <si>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</si>
  <si>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</si>
  <si>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</si>
  <si>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</si>
  <si>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</si>
  <si>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</si>
  <si>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</si>
  <si>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</si>
  <si>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</si>
  <si>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</si>
  <si>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</si>
  <si>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</si>
  <si>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</si>
  <si>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</si>
  <si>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</si>
  <si>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</si>
  <si>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</si>
  <si>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</si>
  <si>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</si>
  <si>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</si>
  <si>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</si>
  <si>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</si>
  <si>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</si>
  <si>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</si>
  <si>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</si>
  <si>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</si>
  <si>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</si>
  <si>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</si>
  <si>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</si>
  <si>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</si>
  <si>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</si>
  <si>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</si>
  <si>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</si>
  <si>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</si>
  <si>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</si>
  <si>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</si>
  <si>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</si>
  <si>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</si>
  <si>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</si>
  <si>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</si>
  <si>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</si>
  <si>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</si>
  <si>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</si>
  <si>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</si>
  <si>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</si>
  <si>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</si>
  <si>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</si>
  <si>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</si>
  <si>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</si>
  <si>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</si>
  <si>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</si>
  <si>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</si>
  <si>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</si>
  <si>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</si>
  <si>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</si>
  <si>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</si>
  <si>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</si>
  <si>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</si>
  <si>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</si>
  <si>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</si>
  <si>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</si>
  <si>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</si>
  <si>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</si>
  <si>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</si>
  <si>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</si>
  <si>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</si>
  <si>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</si>
  <si>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</si>
  <si>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</si>
  <si>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</si>
  <si>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</si>
  <si>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</si>
  <si>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</si>
  <si>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</si>
  <si>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</si>
  <si>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</si>
  <si>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</si>
  <si>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</si>
  <si>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</si>
  <si>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</si>
  <si>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</si>
  <si>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</si>
  <si>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</si>
  <si>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</si>
  <si>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</si>
  <si>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</si>
  <si>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</si>
  <si>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</si>
  <si>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</si>
  <si>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</si>
  <si>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</si>
  <si>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</si>
  <si>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</si>
  <si>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</si>
  <si>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</si>
  <si>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</si>
  <si>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</si>
  <si>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</si>
  <si>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</si>
  <si>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</si>
  <si>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</si>
  <si>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</si>
  <si>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</si>
  <si>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</si>
  <si>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</si>
  <si>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</si>
  <si>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</si>
  <si>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</si>
  <si>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</si>
  <si>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</si>
  <si>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</si>
  <si>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</si>
  <si>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</si>
  <si>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</si>
  <si>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</si>
  <si>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</si>
  <si>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</si>
  <si>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</si>
  <si>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</si>
  <si>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</si>
  <si>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</si>
  <si>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</si>
  <si>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</si>
  <si>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</si>
  <si>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</si>
  <si>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</si>
  <si>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</si>
  <si>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</si>
  <si>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</si>
  <si>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</si>
  <si>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</si>
  <si>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</si>
  <si>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</si>
  <si>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</si>
  <si>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</si>
  <si>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</si>
  <si>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</si>
  <si>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</si>
  <si>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</si>
  <si>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</si>
  <si>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</si>
  <si>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</si>
  <si>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</si>
  <si>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</si>
  <si>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</si>
  <si>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</si>
  <si>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</si>
  <si>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</si>
  <si>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</si>
  <si>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</si>
  <si>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</si>
  <si>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</si>
  <si>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</si>
  <si>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</si>
  <si>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</si>
  <si>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</si>
  <si>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</si>
  <si>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</si>
  <si>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</si>
  <si>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</si>
  <si>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</si>
  <si>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</si>
  <si>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</si>
  <si>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</si>
  <si>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</si>
  <si>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</si>
  <si>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</si>
  <si>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</si>
  <si>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</si>
  <si>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</si>
  <si>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</si>
  <si>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</si>
  <si>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</si>
  <si>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</si>
  <si>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</si>
  <si>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</si>
  <si>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</si>
  <si>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</si>
  <si>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</si>
  <si>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</si>
  <si>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</si>
  <si>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</si>
  <si>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</si>
  <si>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</si>
  <si>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</si>
  <si>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</si>
  <si>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</si>
  <si>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</si>
  <si>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</si>
  <si>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</si>
  <si>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</si>
  <si>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</si>
  <si>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</si>
  <si>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</si>
  <si>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</si>
  <si>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</si>
  <si>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</si>
  <si>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</si>
  <si>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</si>
  <si>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</si>
  <si>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</si>
  <si>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</si>
  <si>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</si>
  <si>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</si>
  <si>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</si>
  <si>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</si>
  <si>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</si>
  <si>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</si>
  <si>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</si>
  <si>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</si>
  <si>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</si>
  <si>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</si>
  <si>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</si>
  <si>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</si>
  <si>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</si>
  <si>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</si>
  <si>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</si>
  <si>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</si>
  <si>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</si>
  <si>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</si>
  <si>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</si>
  <si>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</si>
  <si>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</si>
  <si>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</si>
  <si>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</si>
  <si>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</si>
  <si>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</si>
  <si>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</si>
  <si>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</si>
  <si>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</si>
  <si>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</si>
  <si>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</si>
  <si>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</si>
  <si>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</si>
  <si>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</si>
  <si>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</si>
  <si>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</si>
  <si>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</si>
  <si>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</si>
  <si>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</si>
  <si>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</si>
  <si>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</si>
  <si>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</si>
  <si>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</si>
  <si>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</si>
  <si>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</si>
  <si>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</si>
  <si>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</si>
  <si>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</si>
  <si>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</si>
  <si>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</si>
  <si>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</si>
  <si>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</si>
  <si>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</si>
  <si>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</si>
  <si>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</si>
  <si>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</si>
  <si>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</si>
  <si>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</si>
  <si>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</si>
  <si>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</si>
  <si>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</si>
  <si>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</si>
  <si>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</si>
  <si>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</si>
  <si>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</si>
  <si>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</si>
  <si>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</si>
  <si>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</si>
  <si>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</si>
  <si>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</si>
  <si>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</si>
  <si>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</si>
  <si>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</si>
  <si>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</si>
  <si>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</si>
  <si>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</si>
  <si>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</si>
  <si>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</si>
  <si>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</si>
  <si>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</si>
  <si>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</si>
  <si>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</si>
  <si>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</si>
  <si>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</si>
  <si>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</si>
  <si>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</si>
  <si>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</si>
  <si>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</si>
  <si>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</si>
  <si>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</si>
  <si>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</si>
  <si>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</si>
  <si>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</si>
  <si>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</si>
  <si>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</si>
  <si>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</si>
  <si>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</si>
  <si>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</si>
  <si>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</si>
  <si>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</si>
  <si>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</si>
  <si>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</si>
  <si>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</si>
  <si>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</si>
  <si>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</si>
  <si>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</si>
  <si>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</si>
  <si>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</si>
  <si>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</si>
  <si>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</si>
  <si>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</si>
  <si>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</si>
  <si>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</si>
  <si>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</si>
  <si>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</si>
  <si>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</si>
  <si>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</si>
  <si>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</si>
  <si>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</si>
  <si>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</si>
  <si>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</si>
  <si>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</si>
  <si>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</si>
  <si>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</si>
  <si>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</si>
  <si>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</si>
  <si>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</si>
  <si>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</si>
  <si>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</si>
  <si>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</si>
  <si>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</si>
  <si>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</si>
  <si>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</si>
  <si>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</si>
  <si>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</si>
  <si>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</si>
  <si>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</si>
  <si>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</si>
  <si>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</si>
  <si>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</si>
  <si>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</si>
  <si>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</si>
  <si>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</si>
  <si>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</si>
  <si>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</si>
  <si>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</si>
  <si>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</si>
  <si>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</si>
  <si>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</si>
  <si>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</si>
  <si>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</si>
  <si>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</si>
  <si>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</si>
  <si>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</si>
  <si>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</si>
  <si>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</si>
  <si>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</si>
  <si>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</si>
  <si>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</si>
  <si>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</si>
  <si>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</si>
  <si>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</si>
  <si>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</si>
  <si>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</si>
  <si>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</si>
  <si>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</si>
  <si>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</si>
  <si>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</si>
  <si>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</si>
  <si>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</si>
  <si>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</si>
  <si>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</si>
  <si>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</si>
  <si>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</si>
  <si>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</si>
  <si>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</si>
  <si>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</si>
  <si>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</si>
  <si>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</si>
  <si>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</si>
  <si>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</si>
  <si>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</si>
  <si>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</si>
  <si>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</si>
  <si>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</si>
  <si>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</si>
  <si>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</si>
  <si>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</si>
  <si>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</si>
  <si>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</si>
  <si>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</si>
  <si>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</si>
  <si>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</si>
  <si>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</si>
  <si>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</si>
  <si>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</si>
  <si>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</si>
  <si>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</si>
  <si>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</si>
  <si>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</si>
  <si>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</si>
  <si>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</si>
  <si>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</si>
  <si>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</si>
  <si>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</si>
  <si>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</si>
  <si>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</si>
  <si>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</si>
  <si>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</si>
  <si>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</si>
  <si>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</si>
  <si>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</si>
  <si>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</si>
  <si>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</si>
  <si>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</si>
  <si>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</si>
  <si>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</si>
  <si>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</si>
  <si>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</si>
  <si>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</si>
  <si>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</si>
  <si>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</si>
  <si>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</si>
  <si>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</si>
  <si>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</si>
  <si>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</si>
  <si>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</si>
  <si>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</si>
  <si>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</si>
  <si>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</si>
  <si>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</si>
  <si>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</si>
  <si>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</si>
  <si>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</si>
  <si>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</si>
  <si>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</si>
  <si>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</si>
  <si>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</si>
  <si>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</si>
  <si>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</si>
  <si>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</si>
  <si>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</si>
  <si>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</si>
  <si>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</si>
  <si>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</si>
  <si>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</si>
  <si>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</si>
  <si>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</si>
  <si>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</si>
  <si>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</si>
  <si>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</si>
  <si>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</si>
  <si>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</si>
  <si>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</si>
  <si>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</si>
  <si>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</si>
  <si>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</si>
  <si>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</si>
  <si>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</si>
  <si>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</si>
  <si>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</si>
  <si>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</si>
  <si>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</si>
  <si>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</si>
  <si>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</si>
  <si>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</si>
  <si>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</si>
  <si>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</si>
  <si>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</si>
  <si>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</si>
  <si>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</si>
  <si>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</si>
  <si>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</si>
  <si>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</si>
  <si>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</si>
  <si>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</si>
  <si>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</si>
  <si>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</si>
  <si>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</si>
  <si>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</si>
  <si>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</si>
  <si>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</si>
  <si>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</si>
  <si>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</si>
  <si>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</si>
  <si>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</si>
  <si>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</si>
  <si>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</si>
  <si>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</si>
  <si>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</si>
  <si>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</si>
  <si>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</si>
  <si>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</si>
  <si>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</si>
  <si>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</si>
  <si>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</si>
  <si>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</si>
  <si>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</si>
  <si>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</si>
  <si>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</si>
  <si>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</si>
  <si>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</si>
  <si>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</si>
  <si>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</si>
  <si>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</si>
  <si>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</si>
  <si>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</si>
  <si>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</si>
  <si>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</si>
  <si>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</si>
  <si>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</si>
  <si>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</si>
  <si>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</si>
  <si>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</si>
  <si>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</si>
  <si>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</si>
  <si>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</si>
  <si>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</si>
  <si>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</si>
  <si>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</si>
  <si>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</si>
  <si>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</si>
  <si>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</si>
  <si>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</si>
  <si>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</si>
  <si>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</si>
  <si>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</si>
  <si>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</si>
  <si>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</si>
  <si>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</si>
  <si>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</si>
  <si>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</si>
  <si>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</si>
  <si>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</si>
  <si>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</si>
  <si>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</si>
  <si>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</si>
  <si>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</si>
  <si>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</si>
  <si>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</si>
  <si>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</si>
  <si>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</si>
  <si>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</si>
  <si>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</si>
  <si>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</si>
  <si>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</si>
  <si>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</si>
  <si>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</si>
  <si>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</si>
  <si>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</si>
  <si>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</si>
  <si>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</si>
  <si>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</si>
  <si>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</si>
  <si>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</si>
  <si>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</si>
  <si>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</si>
  <si>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</si>
  <si>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</si>
  <si>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</si>
  <si>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</si>
  <si>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</si>
  <si>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</si>
  <si>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</si>
  <si>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</si>
  <si>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</si>
  <si>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</si>
  <si>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</si>
  <si>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</si>
  <si>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</si>
  <si>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</si>
  <si>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</si>
  <si>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</si>
  <si>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</si>
  <si>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</si>
  <si>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</si>
  <si>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</si>
  <si>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</si>
  <si>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</si>
  <si>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</si>
  <si>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</si>
  <si>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</si>
  <si>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</si>
  <si>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</si>
  <si>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</si>
  <si>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</si>
  <si>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</si>
  <si>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</si>
  <si>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</si>
  <si>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</si>
  <si>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</si>
  <si>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</si>
  <si>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</si>
  <si>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</si>
  <si>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</si>
  <si>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</si>
  <si>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</si>
  <si>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</si>
  <si>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</si>
  <si>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</si>
  <si>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</si>
  <si>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</si>
  <si>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</si>
  <si>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</si>
  <si>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</si>
  <si>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</si>
  <si>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</si>
  <si>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</si>
  <si>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</si>
  <si>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</si>
  <si>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</si>
  <si>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</si>
  <si>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</si>
  <si>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</si>
  <si>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</si>
  <si>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</si>
  <si>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</si>
  <si>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</si>
  <si>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</si>
  <si>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</si>
  <si>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</si>
  <si>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</si>
  <si>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</si>
  <si>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</si>
  <si>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</si>
  <si>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</si>
  <si>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</si>
  <si>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</si>
  <si>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</si>
  <si>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</si>
  <si>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</si>
  <si>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</si>
  <si>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</si>
  <si>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</si>
  <si>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</si>
  <si>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</si>
  <si>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</si>
  <si>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</si>
  <si>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</si>
  <si>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</si>
  <si>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</si>
  <si>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</si>
  <si>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</si>
  <si>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</si>
  <si>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</si>
  <si>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</si>
  <si>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</si>
  <si>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</si>
  <si>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</si>
  <si>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</si>
  <si>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</si>
  <si>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</si>
  <si>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</si>
  <si>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</si>
  <si>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</si>
  <si>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</si>
  <si>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</si>
  <si>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</si>
  <si>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</si>
  <si>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</si>
  <si>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</si>
  <si>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</si>
  <si>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</si>
  <si>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</si>
  <si>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</si>
  <si>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</si>
  <si>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</si>
  <si>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</si>
  <si>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</si>
  <si>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</si>
  <si>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</si>
  <si>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</si>
  <si>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</si>
  <si>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</si>
  <si>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</si>
  <si>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</si>
  <si>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</si>
  <si>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</si>
  <si>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</si>
  <si>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</si>
  <si>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</si>
  <si>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</si>
  <si>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</si>
  <si>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</si>
  <si>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</si>
  <si>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</si>
  <si>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</si>
  <si>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</si>
  <si>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</si>
  <si>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</si>
  <si>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</si>
  <si>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</si>
  <si>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</si>
  <si>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</si>
  <si>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</si>
  <si>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</si>
  <si>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</si>
  <si>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</si>
  <si>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</si>
  <si>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</si>
  <si>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</si>
  <si>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</si>
  <si>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</si>
  <si>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</si>
  <si>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</si>
  <si>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</si>
  <si>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</si>
  <si>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</si>
  <si>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</si>
  <si>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</si>
  <si>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</si>
  <si>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</si>
  <si>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</si>
  <si>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</si>
  <si>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</si>
  <si>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</si>
  <si>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</si>
  <si>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</si>
  <si>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</si>
  <si>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</si>
  <si>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</si>
  <si>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</si>
  <si>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</si>
  <si>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</si>
  <si>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</si>
  <si>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</si>
  <si>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</si>
  <si>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</si>
  <si>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</si>
  <si>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</si>
  <si>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</si>
  <si>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</si>
  <si>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</si>
  <si>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</si>
  <si>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</si>
  <si>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</si>
  <si>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</si>
  <si>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</si>
  <si>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</si>
  <si>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</si>
  <si>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</si>
  <si>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</si>
  <si>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</si>
  <si>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</si>
  <si>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</si>
  <si>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</si>
  <si>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</si>
  <si>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</si>
  <si>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</si>
  <si>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</si>
  <si>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</si>
  <si>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</si>
  <si>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</si>
  <si>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</si>
  <si>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</si>
  <si>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</si>
  <si>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</si>
  <si>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</si>
  <si>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</si>
  <si>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</si>
  <si>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</si>
  <si>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</si>
  <si>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</si>
  <si>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</si>
  <si>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</si>
  <si>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</si>
  <si>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</si>
  <si>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</si>
  <si>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</si>
  <si>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</si>
  <si>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</si>
  <si>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</si>
  <si>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</si>
  <si>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</si>
  <si>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</si>
  <si>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</si>
  <si>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</si>
  <si>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</si>
  <si>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</si>
  <si>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</si>
  <si>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</si>
  <si>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</si>
  <si>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</si>
  <si>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</si>
  <si>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</si>
  <si>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</si>
  <si>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</si>
  <si>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</si>
  <si>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</si>
  <si>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</si>
  <si>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</si>
  <si>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</si>
  <si>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</si>
  <si>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</si>
  <si>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</si>
  <si>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</si>
  <si>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</si>
  <si>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</si>
  <si>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</si>
  <si>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</si>
  <si>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</si>
  <si>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</si>
  <si>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</si>
  <si>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</si>
  <si>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</si>
  <si>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</si>
  <si>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</si>
  <si>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</si>
  <si>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</si>
  <si>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</si>
  <si>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</si>
  <si>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</si>
  <si>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</si>
  <si>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</si>
  <si>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</si>
  <si>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</si>
  <si>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</si>
  <si>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</si>
  <si>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</si>
  <si>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</si>
  <si>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</si>
  <si>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</si>
  <si>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</si>
  <si>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</si>
  <si>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</si>
  <si>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</si>
  <si>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</si>
  <si>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</si>
  <si>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</si>
  <si>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</si>
  <si>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</si>
  <si>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</si>
  <si>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</si>
  <si>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</si>
  <si>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</si>
  <si>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</si>
  <si>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</si>
  <si>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</si>
  <si>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</si>
  <si>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</si>
  <si>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</si>
  <si>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</si>
  <si>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</si>
  <si>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</si>
  <si>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</si>
  <si>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</si>
  <si>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</si>
  <si>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</si>
  <si>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</si>
  <si>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</si>
  <si>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</si>
  <si>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</si>
  <si>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</si>
  <si>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</si>
  <si>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</si>
  <si>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</si>
  <si>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</si>
  <si>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</si>
  <si>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</si>
  <si>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</si>
  <si>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</si>
  <si>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</si>
  <si>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</si>
  <si>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</si>
  <si>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</si>
  <si>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</si>
  <si>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</si>
  <si>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</si>
  <si>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</si>
  <si>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</si>
  <si>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</si>
  <si>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</si>
  <si>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</si>
  <si>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</si>
  <si>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</si>
  <si>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</si>
  <si>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</si>
  <si>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</si>
  <si>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</si>
  <si>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</si>
  <si>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</si>
  <si>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</si>
  <si>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</si>
  <si>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</si>
  <si>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</si>
  <si>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</si>
  <si>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</si>
  <si>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</si>
  <si>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</si>
  <si>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</si>
  <si>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</si>
  <si>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</si>
  <si>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</si>
  <si>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</si>
  <si>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</si>
  <si>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</si>
  <si>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</si>
  <si>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</si>
  <si>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</si>
  <si>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</si>
  <si>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</si>
  <si>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</si>
  <si>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</si>
  <si>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</si>
  <si>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</si>
  <si>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</si>
  <si>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</si>
  <si>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</si>
  <si>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</si>
  <si>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</si>
  <si>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</si>
  <si>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</si>
  <si>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</si>
  <si>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</si>
  <si>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</si>
  <si>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</si>
  <si>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</si>
  <si>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</si>
  <si>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</si>
  <si>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</si>
  <si>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</si>
  <si>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</si>
  <si>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</si>
  <si>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</si>
  <si>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</si>
  <si>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</si>
  <si>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</si>
  <si>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</si>
  <si>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</si>
  <si>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</si>
  <si>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</si>
  <si>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</si>
  <si>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</si>
  <si>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</si>
  <si>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</si>
  <si>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</si>
  <si>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</si>
  <si>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</si>
  <si>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</si>
  <si>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</si>
  <si>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</si>
  <si>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</si>
  <si>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</si>
  <si>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</si>
  <si>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</si>
  <si>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</si>
  <si>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</si>
  <si>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</si>
  <si>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</si>
  <si>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</si>
  <si>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</si>
  <si>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</si>
  <si>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</si>
  <si>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</si>
  <si>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</si>
  <si>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</si>
  <si>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</si>
  <si>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</si>
  <si>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</si>
  <si>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</si>
  <si>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</si>
  <si>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</si>
  <si>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</si>
  <si>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</si>
  <si>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</si>
  <si>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</si>
  <si>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</si>
  <si>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</si>
  <si>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</si>
  <si>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</si>
  <si>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</si>
  <si>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</si>
  <si>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</si>
  <si>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</si>
  <si>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</si>
  <si>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</si>
  <si>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</si>
  <si>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</si>
  <si>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</si>
  <si>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</si>
  <si>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</si>
  <si>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</si>
  <si>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</si>
  <si>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</si>
  <si>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</si>
  <si>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</si>
  <si>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</si>
  <si>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</si>
  <si>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</si>
  <si>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</si>
  <si>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</si>
  <si>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</si>
  <si>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</si>
  <si>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</si>
  <si>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</si>
  <si>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</si>
  <si>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</si>
  <si>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</si>
  <si>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</si>
  <si>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</si>
  <si>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</si>
  <si>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</si>
  <si>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</si>
  <si>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</si>
  <si>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</si>
  <si>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</si>
  <si>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</si>
  <si>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</si>
  <si>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</si>
  <si>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</si>
  <si>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</si>
  <si>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</si>
  <si>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</si>
  <si>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</si>
  <si>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</si>
  <si>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</si>
  <si>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</si>
  <si>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</si>
  <si>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</si>
  <si>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</si>
  <si>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</si>
  <si>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</si>
  <si>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</si>
  <si>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</si>
  <si>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</si>
  <si>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</si>
  <si>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</si>
  <si>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</si>
  <si>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</si>
  <si>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</si>
  <si>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</si>
  <si>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</si>
  <si>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</si>
  <si>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</si>
  <si>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</si>
  <si>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</si>
  <si>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</si>
  <si>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</si>
  <si>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</si>
  <si>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</si>
  <si>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</si>
  <si>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</si>
  <si>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</si>
  <si>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</si>
  <si>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</si>
  <si>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</si>
  <si>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</si>
  <si>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</si>
  <si>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</si>
  <si>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</si>
  <si>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</si>
  <si>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</si>
  <si>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</si>
  <si>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</si>
  <si>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</si>
  <si>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</si>
  <si>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</si>
  <si>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</si>
  <si>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</si>
  <si>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</si>
  <si>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</si>
  <si>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</si>
  <si>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</si>
  <si>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</si>
  <si>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</si>
  <si>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</si>
  <si>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</si>
  <si>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</si>
  <si>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</si>
  <si>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</si>
  <si>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</si>
  <si>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</si>
  <si>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</si>
  <si>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</si>
  <si>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</si>
  <si>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</si>
  <si>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</si>
  <si>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</si>
  <si>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</si>
  <si>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</si>
  <si>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</si>
  <si>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</si>
  <si>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</si>
  <si>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</si>
  <si>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</si>
  <si>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</si>
  <si>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</si>
  <si>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</si>
  <si>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</si>
  <si>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</si>
  <si>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</si>
  <si>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</si>
  <si>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</si>
  <si>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</si>
  <si>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</si>
  <si>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</si>
  <si>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</si>
  <si>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</si>
  <si>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</si>
  <si>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</si>
  <si>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</si>
  <si>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</si>
  <si>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</si>
  <si>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</si>
  <si>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</si>
  <si>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</si>
  <si>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</si>
  <si>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</si>
  <si>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</si>
  <si>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</si>
  <si>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</si>
  <si>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</si>
  <si>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</si>
  <si>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</si>
  <si>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</si>
  <si>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</si>
  <si>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</si>
  <si>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</si>
  <si>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</si>
  <si>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</si>
  <si>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</si>
  <si>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</si>
  <si>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</si>
  <si>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</si>
  <si>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</si>
  <si>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</si>
  <si>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</si>
  <si>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</si>
  <si>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</si>
  <si>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</si>
  <si>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</si>
  <si>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</si>
  <si>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</si>
  <si>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</si>
  <si>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</si>
  <si>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</si>
  <si>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</si>
  <si>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</si>
  <si>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</si>
  <si>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</si>
  <si>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</si>
  <si>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</si>
  <si>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</si>
  <si>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</si>
  <si>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</si>
  <si>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</si>
  <si>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</si>
  <si>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</si>
  <si>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</si>
  <si>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</si>
  <si>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</si>
  <si>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</si>
  <si>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</si>
  <si>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</si>
  <si>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</si>
  <si>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</si>
  <si>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</si>
  <si>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</si>
  <si>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</si>
  <si>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</si>
  <si>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</si>
  <si>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</si>
  <si>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</si>
  <si>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</si>
  <si>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</si>
  <si>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</si>
  <si>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</si>
  <si>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</si>
  <si>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</si>
  <si>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</si>
  <si>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</si>
  <si>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</si>
  <si>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</si>
  <si>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</si>
  <si>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</si>
  <si>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</si>
  <si>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</si>
  <si>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</si>
  <si>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</si>
  <si>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</si>
  <si>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</si>
  <si>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</si>
  <si>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</si>
  <si>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</si>
  <si>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</si>
  <si>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</si>
  <si>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</si>
  <si>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</si>
  <si>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</si>
  <si>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</si>
  <si>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</si>
  <si>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</si>
  <si>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</si>
  <si>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</si>
  <si>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</si>
  <si>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</si>
  <si>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</si>
  <si>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</si>
  <si>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</si>
  <si>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</si>
  <si>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</si>
  <si>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</si>
  <si>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</si>
  <si>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</si>
  <si>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</si>
  <si>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</si>
  <si>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</si>
  <si>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</si>
  <si>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</si>
  <si>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</si>
  <si>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</si>
  <si>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</si>
  <si>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</si>
  <si>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</si>
  <si>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</si>
  <si>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</si>
  <si>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</si>
  <si>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</si>
  <si>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</si>
  <si>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</si>
  <si>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</si>
  <si>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</si>
  <si>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</si>
  <si>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</si>
  <si>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</si>
  <si>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</si>
  <si>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</si>
  <si>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</si>
  <si>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</si>
  <si>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</si>
  <si>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</si>
  <si>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</si>
  <si>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</si>
  <si>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</si>
  <si>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</si>
  <si>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</si>
  <si>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</si>
  <si>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</si>
  <si>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</si>
  <si>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</si>
  <si>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</si>
  <si>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</si>
  <si>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</si>
  <si>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</si>
  <si>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</si>
  <si>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</si>
  <si>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</si>
  <si>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</si>
  <si>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</si>
  <si>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</si>
  <si>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</si>
  <si>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</si>
  <si>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</si>
  <si>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</si>
  <si>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</si>
  <si>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</si>
  <si>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</si>
  <si>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</si>
  <si>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</si>
  <si>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</si>
  <si>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</si>
  <si>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</si>
  <si>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</si>
  <si>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</si>
  <si>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</si>
  <si>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</si>
  <si>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</si>
  <si>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</si>
  <si>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</si>
  <si>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</si>
  <si>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</si>
  <si>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</si>
  <si>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</si>
  <si>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</si>
  <si>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</si>
  <si>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</si>
  <si>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</si>
  <si>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</si>
  <si>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</si>
  <si>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</si>
  <si>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</si>
  <si>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</si>
  <si>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</si>
  <si>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</si>
  <si>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</si>
  <si>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</si>
  <si>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</si>
  <si>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</si>
  <si>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</si>
  <si>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</si>
  <si>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</si>
  <si>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</si>
  <si>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</si>
  <si>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</si>
  <si>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</si>
  <si>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</si>
  <si>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</si>
  <si>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</si>
  <si>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</si>
  <si>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</si>
  <si>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</si>
  <si>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</si>
  <si>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</si>
  <si>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</si>
  <si>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</si>
  <si>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</si>
  <si>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</si>
  <si>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</si>
  <si>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</si>
  <si>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</si>
  <si>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</si>
  <si>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</si>
  <si>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</si>
  <si>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</si>
  <si>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</si>
  <si>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</si>
  <si>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</si>
  <si>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</si>
  <si>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</si>
  <si>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</si>
  <si>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</si>
  <si>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</si>
  <si>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</si>
  <si>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</si>
  <si>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</si>
  <si>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</si>
  <si>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</si>
  <si>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</si>
  <si>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</si>
  <si>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</si>
  <si>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</si>
  <si>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</si>
  <si>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</si>
  <si>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</si>
  <si>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</si>
  <si>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</si>
  <si>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</si>
  <si>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</si>
  <si>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</si>
  <si>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</si>
  <si>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</si>
  <si>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</si>
  <si>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</si>
  <si>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</si>
  <si>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</si>
  <si>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</si>
  <si>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</si>
  <si>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</si>
  <si>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</si>
  <si>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</si>
  <si>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</si>
  <si>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</si>
  <si>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</si>
  <si>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</si>
  <si>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</si>
  <si>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</si>
  <si>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</si>
  <si>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</si>
  <si>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</si>
  <si>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</si>
  <si>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</si>
  <si>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</si>
  <si>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</si>
  <si>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</si>
  <si>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</si>
  <si>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</si>
  <si>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</si>
  <si>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</si>
  <si>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</si>
  <si>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</si>
  <si>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</si>
  <si>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</si>
  <si>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</si>
  <si>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</si>
  <si>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</si>
  <si>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</si>
  <si>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</si>
  <si>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</si>
  <si>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</si>
  <si>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</si>
  <si>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</si>
  <si>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</si>
  <si>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</si>
  <si>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</si>
  <si>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</si>
  <si>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</si>
  <si>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</si>
  <si>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</si>
  <si>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</si>
  <si>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</si>
  <si>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</si>
  <si>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</si>
  <si>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</si>
  <si>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</si>
  <si>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</si>
  <si>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</si>
  <si>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</si>
  <si>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</si>
  <si>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</si>
  <si>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</si>
  <si>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</si>
  <si>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</si>
  <si>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</si>
  <si>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</si>
  <si>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</si>
  <si>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</si>
  <si>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</si>
  <si>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</si>
  <si>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</si>
  <si>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</si>
  <si>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</si>
  <si>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</si>
  <si>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</si>
  <si>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</si>
  <si>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</si>
  <si>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</si>
  <si>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</si>
  <si>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</si>
  <si>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</si>
  <si>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</si>
  <si>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</si>
  <si>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</si>
  <si>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</si>
  <si>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</si>
  <si>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</si>
  <si>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</si>
  <si>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</si>
  <si>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</si>
  <si>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</si>
  <si>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</si>
  <si>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</si>
  <si>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</si>
  <si>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</si>
  <si>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</si>
  <si>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</si>
  <si>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</si>
  <si>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</si>
  <si>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</si>
  <si>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</si>
  <si>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</si>
  <si>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</si>
  <si>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</si>
  <si>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</si>
  <si>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</si>
  <si>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</si>
  <si>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</si>
  <si>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</si>
  <si>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</si>
  <si>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</si>
  <si>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</si>
  <si>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</si>
  <si>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</si>
  <si>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</si>
  <si>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</si>
  <si>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</si>
  <si>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</si>
  <si>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</si>
  <si>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</si>
  <si>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</si>
  <si>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</si>
  <si>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</si>
  <si>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</si>
  <si>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</si>
  <si>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</si>
  <si>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</si>
  <si>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</si>
  <si>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</si>
  <si>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</si>
  <si>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</si>
  <si>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</si>
  <si>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</si>
  <si>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</si>
  <si>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</si>
  <si>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</si>
  <si>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</si>
  <si>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</si>
  <si>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</si>
  <si>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</si>
  <si>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</si>
  <si>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</si>
  <si>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</si>
  <si>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</si>
  <si>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</si>
  <si>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</si>
  <si>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</si>
  <si>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</si>
  <si>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</si>
  <si>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</si>
  <si>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</si>
  <si>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</si>
  <si>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</si>
  <si>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</si>
  <si>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</si>
  <si>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</si>
  <si>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</si>
  <si>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</si>
  <si>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</si>
  <si>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</si>
  <si>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</si>
  <si>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</si>
  <si>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</si>
  <si>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</si>
  <si>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</si>
  <si>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</si>
  <si>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</si>
  <si>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</si>
  <si>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</si>
  <si>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</si>
  <si>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</si>
  <si>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</si>
  <si>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</si>
  <si>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</si>
  <si>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</si>
  <si>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</si>
  <si>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</si>
  <si>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</si>
  <si>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</si>
  <si>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</si>
  <si>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</si>
  <si>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</si>
  <si>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</si>
  <si>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</si>
  <si>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</si>
  <si>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</si>
  <si>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</si>
  <si>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</si>
  <si>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</si>
  <si>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</si>
  <si>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</si>
  <si>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</si>
  <si>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</si>
  <si>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</si>
  <si>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</si>
  <si>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</si>
  <si>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</si>
  <si>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</si>
  <si>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</si>
  <si>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</si>
  <si>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</si>
  <si>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</si>
  <si>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</si>
  <si>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</si>
  <si>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</si>
  <si>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</si>
  <si>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</si>
  <si>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</si>
  <si>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</si>
  <si>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</si>
  <si>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</si>
  <si>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</si>
  <si>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</si>
  <si>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</si>
  <si>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</si>
  <si>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</si>
  <si>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</si>
  <si>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</si>
  <si>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</si>
  <si>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</si>
  <si>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</si>
  <si>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</si>
  <si>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</si>
  <si>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</si>
  <si>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</si>
  <si>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</si>
  <si>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</si>
  <si>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</si>
  <si>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</si>
  <si>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</si>
  <si>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</si>
  <si>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</si>
  <si>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</si>
  <si>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</si>
  <si>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</si>
  <si>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</si>
  <si>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</si>
  <si>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</si>
  <si>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</si>
  <si>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</si>
  <si>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</si>
  <si>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</si>
  <si>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</si>
  <si>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</si>
  <si>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</si>
  <si>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</si>
  <si>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</si>
  <si>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</si>
  <si>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</si>
  <si>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</si>
  <si>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</si>
  <si>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</si>
  <si>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</si>
  <si>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</si>
  <si>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</si>
  <si>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</si>
  <si>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</si>
  <si>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</si>
  <si>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</si>
  <si>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</si>
  <si>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</si>
  <si>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</si>
  <si>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</si>
  <si>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</si>
  <si>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</si>
  <si>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</si>
  <si>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</si>
  <si>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</si>
  <si>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</si>
  <si>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</si>
  <si>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</si>
  <si>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</si>
  <si>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</si>
  <si>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</si>
  <si>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</si>
  <si>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</si>
  <si>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</si>
  <si>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</si>
  <si>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</si>
  <si>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</si>
  <si>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</si>
  <si>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</si>
  <si>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</si>
  <si>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</si>
  <si>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</si>
  <si>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</si>
  <si>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</si>
  <si>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</si>
  <si>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</si>
  <si>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</si>
  <si>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</si>
  <si>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</si>
  <si>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</si>
  <si>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</si>
  <si>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</si>
  <si>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</si>
  <si>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</si>
  <si>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</si>
  <si>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</si>
  <si>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</si>
  <si>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</si>
  <si>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</si>
  <si>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</si>
  <si>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</si>
  <si>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</si>
  <si>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</si>
  <si>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</si>
  <si>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</si>
  <si>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</si>
  <si>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</si>
  <si>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</si>
  <si>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</si>
  <si>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</si>
  <si>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</si>
  <si>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</si>
  <si>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</si>
  <si>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</si>
  <si>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</si>
  <si>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</si>
  <si>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</si>
  <si>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</si>
  <si>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</si>
  <si>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</si>
  <si>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</si>
  <si>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</si>
  <si>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</si>
  <si>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</si>
  <si>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</si>
  <si>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</si>
  <si>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</si>
  <si>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</si>
  <si>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</si>
  <si>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</si>
  <si>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</si>
  <si>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</si>
  <si>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</si>
  <si>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</si>
  <si>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</si>
  <si>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</si>
  <si>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</si>
  <si>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</si>
  <si>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</si>
  <si>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</si>
  <si>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</si>
  <si>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</si>
  <si>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</si>
  <si>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</si>
  <si>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</si>
  <si>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</si>
  <si>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</si>
  <si>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</si>
  <si>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</si>
  <si>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</si>
  <si>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</si>
  <si>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</si>
  <si>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</si>
  <si>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</si>
  <si>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</si>
  <si>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</si>
  <si>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</si>
  <si>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</si>
  <si>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</si>
  <si>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</si>
  <si>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</si>
  <si>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</si>
  <si>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</si>
  <si>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</si>
  <si>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</si>
  <si>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</si>
  <si>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</si>
  <si>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</si>
  <si>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</si>
  <si>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</si>
  <si>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</si>
  <si>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</si>
  <si>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</si>
  <si>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</si>
  <si>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</si>
  <si>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</si>
  <si>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</si>
  <si>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</si>
  <si>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</si>
  <si>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</si>
  <si>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</si>
  <si>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</si>
  <si>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</si>
  <si>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</si>
  <si>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</si>
  <si>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</si>
  <si>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</si>
  <si>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</si>
  <si>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</si>
  <si>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</si>
  <si>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</si>
  <si>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</si>
  <si>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</si>
  <si>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</si>
  <si>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</si>
  <si>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</si>
  <si>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</si>
  <si>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</si>
  <si>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</si>
  <si>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</si>
  <si>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</si>
  <si>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</si>
  <si>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</si>
  <si>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</si>
  <si>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</si>
  <si>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</si>
  <si>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</si>
  <si>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</si>
  <si>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</si>
  <si>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</si>
  <si>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</si>
  <si>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</si>
  <si>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</si>
  <si>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</si>
  <si>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</si>
  <si>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</si>
  <si>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</si>
  <si>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</si>
  <si>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</si>
  <si>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</si>
  <si>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</si>
  <si>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</si>
  <si>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</si>
  <si>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</si>
  <si>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</si>
  <si>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</si>
  <si>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</si>
  <si>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</si>
  <si>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</si>
  <si>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</si>
  <si>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</si>
  <si>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</si>
  <si>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</si>
  <si>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</si>
  <si>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</si>
  <si>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</si>
  <si>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</si>
  <si>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</si>
  <si>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</si>
  <si>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</si>
  <si>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</si>
  <si>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</si>
  <si>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</si>
  <si>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</si>
  <si>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</si>
  <si>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</si>
  <si>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</si>
  <si>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</si>
  <si>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</si>
  <si>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</si>
  <si>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</si>
  <si>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</si>
  <si>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</si>
  <si>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</si>
  <si>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</si>
  <si>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</si>
  <si>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</si>
  <si>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</si>
  <si>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</si>
  <si>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</si>
  <si>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</si>
  <si>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</si>
  <si>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</si>
  <si>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</si>
  <si>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</si>
  <si>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</si>
  <si>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</si>
  <si>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</si>
  <si>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</si>
  <si>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</si>
  <si>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</si>
  <si>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</si>
  <si>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</si>
  <si>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</si>
  <si>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</si>
  <si>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</si>
  <si>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</si>
  <si>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</si>
  <si>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</si>
  <si>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</si>
  <si>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</si>
  <si>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</si>
  <si>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</si>
  <si>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</si>
  <si>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</si>
  <si>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</si>
  <si>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</si>
  <si>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</si>
  <si>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</si>
  <si>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</si>
  <si>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</si>
  <si>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</si>
  <si>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</si>
  <si>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</si>
  <si>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</si>
  <si>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</si>
  <si>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</si>
  <si>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</si>
  <si>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</si>
  <si>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</si>
  <si>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</si>
  <si>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</si>
  <si>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</si>
  <si>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</si>
  <si>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</si>
  <si>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</si>
  <si>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</si>
  <si>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</si>
  <si>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</si>
  <si>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</si>
  <si>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</si>
  <si>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</si>
  <si>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</si>
  <si>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</si>
  <si>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</si>
  <si>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</si>
  <si>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</si>
  <si>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</si>
  <si>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</si>
  <si>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</si>
  <si>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</si>
  <si>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</si>
  <si>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</si>
  <si>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</si>
  <si>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</si>
  <si>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</si>
  <si>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</si>
  <si>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</si>
  <si>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</si>
  <si>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</si>
  <si>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</si>
  <si>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</si>
  <si>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</si>
  <si>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</si>
  <si>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</si>
  <si>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</si>
  <si>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</si>
  <si>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</si>
  <si>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</si>
  <si>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</si>
  <si>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</si>
  <si>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</si>
  <si>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</si>
  <si>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</si>
  <si>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</si>
  <si>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</si>
  <si>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</si>
  <si>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</si>
  <si>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</si>
  <si>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</si>
  <si>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</si>
  <si>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</si>
  <si>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</si>
  <si>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</si>
  <si>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</si>
  <si>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</si>
  <si>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</si>
  <si>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</si>
  <si>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</si>
  <si>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</si>
  <si>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</si>
  <si>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</si>
  <si>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</si>
  <si>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</si>
  <si>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</si>
  <si>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</si>
  <si>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</si>
  <si>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</si>
  <si>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</si>
  <si>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</si>
  <si>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</si>
  <si>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</si>
  <si>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</si>
  <si>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</si>
  <si>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</si>
  <si>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</si>
  <si>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</si>
  <si>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</si>
  <si>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</si>
  <si>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</si>
  <si>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</si>
  <si>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</si>
  <si>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</si>
  <si>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</si>
  <si>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</si>
  <si>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</si>
  <si>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</si>
  <si>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</si>
  <si>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</si>
  <si>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</si>
  <si>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</si>
  <si>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</si>
  <si>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</si>
  <si>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</si>
  <si>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</si>
  <si>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</si>
  <si>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</si>
  <si>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</si>
  <si>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</si>
  <si>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</si>
  <si>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</si>
  <si>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</si>
  <si>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</si>
  <si>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</si>
  <si>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</si>
  <si>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</si>
  <si>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</si>
  <si>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</si>
  <si>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</si>
  <si>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</si>
  <si>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</si>
  <si>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</si>
  <si>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</si>
  <si>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</si>
  <si>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</si>
  <si>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</si>
  <si>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</si>
  <si>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</si>
  <si>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</si>
  <si>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</si>
  <si>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</si>
  <si>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</si>
  <si>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</si>
  <si>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</si>
  <si>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</si>
  <si>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</si>
  <si>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</si>
  <si>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</si>
  <si>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</si>
  <si>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</si>
  <si>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</si>
  <si>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</si>
  <si>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</si>
  <si>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</si>
  <si>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</si>
  <si>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</si>
  <si>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</si>
  <si>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</si>
  <si>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</si>
  <si>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</si>
  <si>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</si>
  <si>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</si>
  <si>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</si>
  <si>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</si>
  <si>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</si>
  <si>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</si>
  <si>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</si>
  <si>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</si>
  <si>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</si>
  <si>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</si>
  <si>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</si>
  <si>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</si>
  <si>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</si>
  <si>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</si>
  <si>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</si>
  <si>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</si>
  <si>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</si>
  <si>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</si>
  <si>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</si>
  <si>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</si>
  <si>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</si>
  <si>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</si>
  <si>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</si>
  <si>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</si>
  <si>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</si>
  <si>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</si>
  <si>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</si>
  <si>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</si>
  <si>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</si>
  <si>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</si>
  <si>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</si>
  <si>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</si>
  <si>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</si>
  <si>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</si>
  <si>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</si>
  <si>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</si>
  <si>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</si>
  <si>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</si>
  <si>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</si>
  <si>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</si>
  <si>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</si>
  <si>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</si>
  <si>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</si>
  <si>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</si>
  <si>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</si>
  <si>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</si>
  <si>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</si>
  <si>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</si>
  <si>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</si>
  <si>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</si>
  <si>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</si>
  <si>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</si>
  <si>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</si>
  <si>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</si>
  <si>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</si>
  <si>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</si>
  <si>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</si>
  <si>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</si>
  <si>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</si>
  <si>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</si>
  <si>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</si>
  <si>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</si>
  <si>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</si>
  <si>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</si>
  <si>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</si>
  <si>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</si>
  <si>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</si>
  <si>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</si>
  <si>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</si>
  <si>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</si>
  <si>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</si>
  <si>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</si>
  <si>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</si>
  <si>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</si>
  <si>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</si>
  <si>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</si>
  <si>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</si>
  <si>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</si>
  <si>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</si>
  <si>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</si>
  <si>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</si>
  <si>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</si>
  <si>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</si>
  <si>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</si>
  <si>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</si>
  <si>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</si>
  <si>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</si>
  <si>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</si>
  <si>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</si>
  <si>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</si>
  <si>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</si>
  <si>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</si>
  <si>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</si>
  <si>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</si>
  <si>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</si>
  <si>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</si>
  <si>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</si>
  <si>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</si>
  <si>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</si>
  <si>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</si>
  <si>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</si>
  <si>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</si>
  <si>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</si>
  <si>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</si>
  <si>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</si>
  <si>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</si>
  <si>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</si>
  <si>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</si>
  <si>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</si>
  <si>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</si>
  <si>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</si>
  <si>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</si>
  <si>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</si>
  <si>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</si>
  <si>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</si>
  <si>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</si>
  <si>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</si>
  <si>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</si>
  <si>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</si>
  <si>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</si>
  <si>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</si>
  <si>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</si>
  <si>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</si>
  <si>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</si>
  <si>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</si>
  <si>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</si>
  <si>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</si>
  <si>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</si>
  <si>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</si>
  <si>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</si>
  <si>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</si>
  <si>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</si>
  <si>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</si>
  <si>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</si>
  <si>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</si>
  <si>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</si>
  <si>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</si>
  <si>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</si>
  <si>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</si>
  <si>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</si>
  <si>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</si>
  <si>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</si>
  <si>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</si>
  <si>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</si>
  <si>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</si>
  <si>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</si>
  <si>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</si>
  <si>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</si>
  <si>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</si>
  <si>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</si>
  <si>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</si>
  <si>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</si>
  <si>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</si>
  <si>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</si>
  <si>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</si>
  <si>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</si>
  <si>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</si>
  <si>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</si>
  <si>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</si>
  <si>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</si>
  <si>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</si>
  <si>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</si>
  <si>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</si>
  <si>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</si>
  <si>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</si>
  <si>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</si>
  <si>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</si>
  <si>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</si>
  <si>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</si>
  <si>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</si>
  <si>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</si>
  <si>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</si>
  <si>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</si>
  <si>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</si>
  <si>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</si>
  <si>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</si>
  <si>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</si>
  <si>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</si>
  <si>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</si>
  <si>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</si>
  <si>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</si>
  <si>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</si>
  <si>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</si>
  <si>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</si>
  <si>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</si>
  <si>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</si>
  <si>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</si>
  <si>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</si>
  <si>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</si>
  <si>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</si>
  <si>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</si>
  <si>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</si>
  <si>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</si>
  <si>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</si>
  <si>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</si>
  <si>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</si>
  <si>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</si>
  <si>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</si>
  <si>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</si>
  <si>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</si>
  <si>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</si>
  <si>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</si>
  <si>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</si>
  <si>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</si>
  <si>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</si>
  <si>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</si>
  <si>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</si>
  <si>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</si>
  <si>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</si>
  <si>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</si>
  <si>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</si>
  <si>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</si>
  <si>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</si>
  <si>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</si>
  <si>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</si>
  <si>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</si>
  <si>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</si>
  <si>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</si>
  <si>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</si>
  <si>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</si>
  <si>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</si>
  <si>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</si>
  <si>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</si>
  <si>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</si>
  <si>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</si>
  <si>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</si>
  <si>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</si>
  <si>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</si>
  <si>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</si>
  <si>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</si>
  <si>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</si>
  <si>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</si>
  <si>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</si>
  <si>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</si>
  <si>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</si>
  <si>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</si>
  <si>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</si>
  <si>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</si>
  <si>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</si>
  <si>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</si>
  <si>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</si>
  <si>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</si>
  <si>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</si>
  <si>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</si>
  <si>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</si>
  <si>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</si>
  <si>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</si>
  <si>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</si>
  <si>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</si>
  <si>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</si>
  <si>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</si>
  <si>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</si>
  <si>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</si>
  <si>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</si>
  <si>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</si>
  <si>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</si>
  <si>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</si>
  <si>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</si>
  <si>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</si>
  <si>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</si>
  <si>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</si>
  <si>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</si>
  <si>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</si>
  <si>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</si>
  <si>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</si>
  <si>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</si>
  <si>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</si>
  <si>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</si>
  <si>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</si>
  <si>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</si>
  <si>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</si>
  <si>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</si>
  <si>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</si>
  <si>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</si>
  <si>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</si>
  <si>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</si>
  <si>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</si>
  <si>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</si>
  <si>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</si>
  <si>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</si>
  <si>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</si>
  <si>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</si>
  <si>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</si>
  <si>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</si>
  <si>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</si>
  <si>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</si>
  <si>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</si>
  <si>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</si>
  <si>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</si>
  <si>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</si>
  <si>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</si>
  <si>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</si>
  <si>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</si>
  <si>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</si>
  <si>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</si>
  <si>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</si>
  <si>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</si>
  <si>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</si>
  <si>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</si>
  <si>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</si>
  <si>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</si>
  <si>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</si>
  <si>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2013-2014</t>
  </si>
  <si>
    <t>Prémesques</t>
  </si>
  <si>
    <t>FRA_59_PREM</t>
  </si>
  <si>
    <t>Dugué</t>
  </si>
  <si>
    <t>Damien</t>
  </si>
  <si>
    <t>ddugue@ragt.fr</t>
  </si>
  <si>
    <t>RAGT R2n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</si>
  <si>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</si>
  <si>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</si>
  <si>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</si>
  <si>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</si>
  <si>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</si>
  <si>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</si>
  <si>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</si>
  <si>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</si>
  <si>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</si>
  <si>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</si>
  <si>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</si>
  <si>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</si>
  <si>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</si>
  <si>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</si>
  <si>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</si>
  <si>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</si>
  <si>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</si>
  <si>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</si>
  <si>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</si>
  <si>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</si>
  <si>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</si>
  <si>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</si>
  <si>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</si>
  <si>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</si>
  <si>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</si>
  <si>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</si>
  <si>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</si>
  <si>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</si>
  <si>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</si>
  <si>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</si>
  <si>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</si>
  <si>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</si>
  <si>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</si>
  <si>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</si>
  <si>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</si>
  <si>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</si>
  <si>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</si>
  <si>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</si>
  <si>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</si>
  <si>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</si>
  <si>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</si>
  <si>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</si>
  <si>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</si>
  <si>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</si>
  <si>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</si>
  <si>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</si>
  <si>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</si>
  <si>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</si>
  <si>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</si>
  <si>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</si>
  <si>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</si>
  <si>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</si>
  <si>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</si>
  <si>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</si>
  <si>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</si>
  <si>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</si>
  <si>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</si>
  <si>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</si>
  <si>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</si>
  <si>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</si>
  <si>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</si>
  <si>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</si>
  <si>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</si>
  <si>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</si>
  <si>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</si>
  <si>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</si>
  <si>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</si>
  <si>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</si>
  <si>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</si>
  <si>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</si>
  <si>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</si>
  <si>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</si>
  <si>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</si>
  <si>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</si>
  <si>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</si>
  <si>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</si>
  <si>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</si>
  <si>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</si>
  <si>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</si>
  <si>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</si>
  <si>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</si>
  <si>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</si>
  <si>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</si>
  <si>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</si>
  <si>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</si>
  <si>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</si>
  <si>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</si>
  <si>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</si>
  <si>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</si>
  <si>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</si>
  <si>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</si>
  <si>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</si>
  <si>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</si>
  <si>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</si>
  <si>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</si>
  <si>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</si>
  <si>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</si>
  <si>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</si>
  <si>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</si>
  <si>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</si>
  <si>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</si>
  <si>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</si>
  <si>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</si>
  <si>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</si>
  <si>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</si>
  <si>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</si>
  <si>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</si>
  <si>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</si>
  <si>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</si>
  <si>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</si>
  <si>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</si>
  <si>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</si>
  <si>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</si>
  <si>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</si>
  <si>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</si>
  <si>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</si>
  <si>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</si>
  <si>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</si>
  <si>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</si>
  <si>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</si>
  <si>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</si>
  <si>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</si>
  <si>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</si>
  <si>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</si>
  <si>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</si>
  <si>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</si>
  <si>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</si>
  <si>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</si>
  <si>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</si>
  <si>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</si>
  <si>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</si>
  <si>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</si>
  <si>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</si>
  <si>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</si>
  <si>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</si>
  <si>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</si>
  <si>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</si>
  <si>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</si>
  <si>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</si>
  <si>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</si>
  <si>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</si>
  <si>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</si>
  <si>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</si>
  <si>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</si>
  <si>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</si>
  <si>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</si>
  <si>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</si>
  <si>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</si>
  <si>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</si>
  <si>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</si>
  <si>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</si>
  <si>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</si>
  <si>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</si>
  <si>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</si>
  <si>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</si>
  <si>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</si>
  <si>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</si>
  <si>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</si>
  <si>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</si>
  <si>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</si>
  <si>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</si>
  <si>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</si>
  <si>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</si>
  <si>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</si>
  <si>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</si>
  <si>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</si>
  <si>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</si>
  <si>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</si>
  <si>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</si>
  <si>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</si>
  <si>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</si>
  <si>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</si>
  <si>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</si>
  <si>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</si>
  <si>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</si>
  <si>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</si>
  <si>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</si>
  <si>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</si>
  <si>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</si>
  <si>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</si>
  <si>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</si>
  <si>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</si>
  <si>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</si>
  <si>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</si>
  <si>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</si>
  <si>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</si>
  <si>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</si>
  <si>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</si>
  <si>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</si>
  <si>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</si>
  <si>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</si>
  <si>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</si>
  <si>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</si>
  <si>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</si>
  <si>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</si>
  <si>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</si>
  <si>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</si>
  <si>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</si>
  <si>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</si>
  <si>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</si>
  <si>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</si>
  <si>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</si>
  <si>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</si>
  <si>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</si>
  <si>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</si>
  <si>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</si>
  <si>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</si>
  <si>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</si>
  <si>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</si>
  <si>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</si>
  <si>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</si>
  <si>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</si>
  <si>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</si>
  <si>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</si>
  <si>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</si>
  <si>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</si>
  <si>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</si>
  <si>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</si>
  <si>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</si>
  <si>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</si>
  <si>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</si>
  <si>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</si>
  <si>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</si>
  <si>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</si>
  <si>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</si>
  <si>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</si>
  <si>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</si>
  <si>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</si>
  <si>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</si>
  <si>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</si>
  <si>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</si>
  <si>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</si>
  <si>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</si>
  <si>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</si>
  <si>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</si>
  <si>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</si>
  <si>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</si>
  <si>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</si>
  <si>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</si>
  <si>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</si>
  <si>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</si>
  <si>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</si>
  <si>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</si>
  <si>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</si>
  <si>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</si>
  <si>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</si>
  <si>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</si>
  <si>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</si>
  <si>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</si>
  <si>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</si>
  <si>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</si>
  <si>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</si>
  <si>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</si>
  <si>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</si>
  <si>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</si>
  <si>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</si>
  <si>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</si>
  <si>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</si>
  <si>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</si>
  <si>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</si>
  <si>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</si>
  <si>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</si>
  <si>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</si>
  <si>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</si>
  <si>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</si>
  <si>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</si>
  <si>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</si>
  <si>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</si>
  <si>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</si>
  <si>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</si>
  <si>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</si>
  <si>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</si>
  <si>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</si>
  <si>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</si>
  <si>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</si>
  <si>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</si>
  <si>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</si>
  <si>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</si>
  <si>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</si>
  <si>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</si>
  <si>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</si>
  <si>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</si>
  <si>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</si>
  <si>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</si>
  <si>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</si>
  <si>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</si>
  <si>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</si>
  <si>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</si>
  <si>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</si>
  <si>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</si>
  <si>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</si>
  <si>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</si>
  <si>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</si>
  <si>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</si>
  <si>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</si>
  <si>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</si>
  <si>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</si>
  <si>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</si>
  <si>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</si>
  <si>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</si>
  <si>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</si>
  <si>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</si>
  <si>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</si>
  <si>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</si>
  <si>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</si>
  <si>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</si>
  <si>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</si>
  <si>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</si>
  <si>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</si>
  <si>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</si>
  <si>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</si>
  <si>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</si>
  <si>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</si>
  <si>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</si>
  <si>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</si>
  <si>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</si>
  <si>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</si>
  <si>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</si>
  <si>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</si>
  <si>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</si>
  <si>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</si>
  <si>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</si>
  <si>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</si>
  <si>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</si>
  <si>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</si>
  <si>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</si>
  <si>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</si>
  <si>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</si>
  <si>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</si>
  <si>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</si>
  <si>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</si>
  <si>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</si>
  <si>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</si>
  <si>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</si>
  <si>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</si>
  <si>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</si>
  <si>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</si>
  <si>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</si>
  <si>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</si>
  <si>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</si>
  <si>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</si>
  <si>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</si>
  <si>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</si>
  <si>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</si>
  <si>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</si>
  <si>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</si>
  <si>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</si>
  <si>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</si>
  <si>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</si>
  <si>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</si>
  <si>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</si>
  <si>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</si>
  <si>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</si>
  <si>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</si>
  <si>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</si>
  <si>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</si>
  <si>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</si>
  <si>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</si>
  <si>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</si>
  <si>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</si>
  <si>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</si>
  <si>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</si>
  <si>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</si>
  <si>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</si>
  <si>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</si>
  <si>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</si>
  <si>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</si>
  <si>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</si>
  <si>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</si>
  <si>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</si>
  <si>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</si>
  <si>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</si>
  <si>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</si>
  <si>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</si>
  <si>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</si>
  <si>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</si>
  <si>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</si>
  <si>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</si>
  <si>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</si>
  <si>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</si>
  <si>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</si>
  <si>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</si>
  <si>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</si>
  <si>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</si>
  <si>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</si>
  <si>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</si>
  <si>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</si>
  <si>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</si>
  <si>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</si>
  <si>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</si>
  <si>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</si>
  <si>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</si>
  <si>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</si>
  <si>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</si>
  <si>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</si>
  <si>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</si>
  <si>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</si>
  <si>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</si>
  <si>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</si>
  <si>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</si>
  <si>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</si>
  <si>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</si>
  <si>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</si>
  <si>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</si>
  <si>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</si>
  <si>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DKEXQUISITE</t>
  </si>
  <si>
    <t>Fertilisation limitante (Dose)</t>
  </si>
  <si>
    <t>Fertilisation optimale (Dose)</t>
  </si>
  <si>
    <t>Prot_Yield</t>
  </si>
  <si>
    <t>Oil_Yield</t>
  </si>
  <si>
    <t>CROP</t>
  </si>
  <si>
    <t>Crop</t>
  </si>
  <si>
    <t>Seed_Impurities</t>
  </si>
  <si>
    <t>Glucosinolates</t>
  </si>
  <si>
    <t>panel_ragt14</t>
  </si>
  <si>
    <t>P14RAGT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</si>
  <si>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</si>
  <si>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</si>
  <si>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</si>
  <si>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</si>
  <si>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</si>
  <si>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</si>
  <si>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</si>
  <si>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</si>
  <si>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</si>
  <si>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</si>
  <si>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</si>
  <si>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</si>
  <si>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</si>
  <si>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</si>
  <si>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</si>
  <si>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</si>
  <si>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</si>
  <si>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</si>
  <si>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</si>
  <si>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</si>
  <si>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</si>
  <si>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</si>
  <si>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</si>
  <si>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</si>
  <si>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</si>
  <si>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</si>
  <si>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</si>
  <si>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</si>
  <si>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</si>
  <si>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</si>
  <si>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</si>
  <si>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</si>
  <si>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</si>
  <si>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</si>
  <si>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</si>
  <si>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</si>
  <si>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</si>
  <si>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</si>
  <si>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</si>
  <si>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</si>
  <si>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</si>
  <si>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</si>
  <si>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</si>
  <si>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</si>
  <si>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</si>
  <si>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</si>
  <si>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</si>
  <si>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</si>
  <si>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</si>
  <si>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</si>
  <si>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</si>
  <si>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</si>
  <si>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</si>
  <si>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</si>
  <si>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</si>
  <si>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</si>
  <si>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</si>
  <si>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</si>
  <si>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</si>
  <si>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</si>
  <si>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</si>
  <si>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</si>
  <si>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</si>
  <si>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</si>
  <si>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</si>
  <si>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</si>
  <si>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</si>
  <si>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</si>
  <si>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</si>
  <si>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</si>
  <si>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</si>
  <si>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</si>
  <si>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</si>
  <si>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</si>
  <si>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</si>
  <si>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</si>
  <si>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</si>
  <si>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</si>
  <si>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</si>
  <si>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</si>
  <si>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The seed sample for SEEDH2O_LAB determination is used for seed counting (NBSEED_sample) using a precision counter.                                                                   TSW = (SEEDH2O_LAB / NBSEED_sample) x 1000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</si>
  <si>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</si>
  <si>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</si>
  <si>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</si>
  <si>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</si>
  <si>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</si>
  <si>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</si>
  <si>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</si>
  <si>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</si>
  <si>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</si>
  <si>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</si>
  <si>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</si>
  <si>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</si>
  <si>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</si>
  <si>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</si>
  <si>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</si>
  <si>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</si>
  <si>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</si>
  <si>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</si>
  <si>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</si>
  <si>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</si>
  <si>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</si>
  <si>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</si>
  <si>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</si>
  <si>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</si>
  <si>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</si>
  <si>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</si>
  <si>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</si>
  <si>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</si>
  <si>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</si>
  <si>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</si>
  <si>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</si>
  <si>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</si>
  <si>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</si>
  <si>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</si>
  <si>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</si>
  <si>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</si>
  <si>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</si>
  <si>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</si>
  <si>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</si>
  <si>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</si>
  <si>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</si>
  <si>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</si>
  <si>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</si>
  <si>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</si>
  <si>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</si>
  <si>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</si>
  <si>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</si>
  <si>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</si>
  <si>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</si>
  <si>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</si>
  <si>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</si>
  <si>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</si>
  <si>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</si>
  <si>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</si>
  <si>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</si>
  <si>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</si>
  <si>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</si>
  <si>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</si>
  <si>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</si>
  <si>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</si>
  <si>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</si>
  <si>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</si>
  <si>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</si>
  <si>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</si>
  <si>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</si>
  <si>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</si>
  <si>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</si>
  <si>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</si>
  <si>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</si>
  <si>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</si>
  <si>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</si>
  <si>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</si>
  <si>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</si>
  <si>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</si>
  <si>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</si>
  <si>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</si>
  <si>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</si>
  <si>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</si>
  <si>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</si>
  <si>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</si>
  <si>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</si>
  <si>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</si>
  <si>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</si>
  <si>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</si>
  <si>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</si>
  <si>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</si>
  <si>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</si>
  <si>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</si>
  <si>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</si>
  <si>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</si>
  <si>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</si>
  <si>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</si>
  <si>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</si>
  <si>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</si>
  <si>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</si>
  <si>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</si>
  <si>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</si>
  <si>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</si>
  <si>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</si>
  <si>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</si>
  <si>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</si>
  <si>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</si>
  <si>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</si>
  <si>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                                                 SEEDH2O_LAB = ((FWg – DWg) / FWg) x 100 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</si>
  <si>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</si>
  <si>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</si>
  <si>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</si>
  <si>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</si>
  <si>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</si>
  <si>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</si>
  <si>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</si>
  <si>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</si>
  <si>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</si>
  <si>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</si>
  <si>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</si>
  <si>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</si>
  <si>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</si>
  <si>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</si>
  <si>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</si>
  <si>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</si>
  <si>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</si>
  <si>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</si>
  <si>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</si>
  <si>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</si>
  <si>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</si>
  <si>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</si>
  <si>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</si>
  <si>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</si>
  <si>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</si>
  <si>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</si>
  <si>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</si>
  <si>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</si>
  <si>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</si>
  <si>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</si>
  <si>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</si>
  <si>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</si>
  <si>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</si>
  <si>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</si>
  <si>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</si>
  <si>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</si>
  <si>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</si>
  <si>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</si>
  <si>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</si>
  <si>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</si>
  <si>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</si>
  <si>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</si>
  <si>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</si>
  <si>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</si>
  <si>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</si>
  <si>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</si>
  <si>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</si>
  <si>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</si>
  <si>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</si>
  <si>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</si>
  <si>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</si>
  <si>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</si>
  <si>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</si>
  <si>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</si>
  <si>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</si>
  <si>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</si>
  <si>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</si>
  <si>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</si>
  <si>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</si>
  <si>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</si>
  <si>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</si>
  <si>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</si>
  <si>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</si>
  <si>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</si>
  <si>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</si>
  <si>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</si>
  <si>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</si>
  <si>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</si>
  <si>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</si>
  <si>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</si>
  <si>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temoin_3</t>
  </si>
  <si>
    <t>DKEXSTORM</t>
  </si>
  <si>
    <t xml:space="preserve"> PIGEON </t>
  </si>
  <si>
    <t xml:space="preserve"> PIGEON VV</t>
  </si>
  <si>
    <t xml:space="preserve"> PIGEON VV REFLO</t>
  </si>
  <si>
    <t xml:space="preserve"> PIGEON WEEDS</t>
  </si>
  <si>
    <t xml:space="preserve"> PIGEON T TARD</t>
  </si>
  <si>
    <t xml:space="preserve"> PIGEON FASC</t>
  </si>
  <si>
    <t xml:space="preserve"> PIGEON EGRENNE OISEAUX</t>
  </si>
  <si>
    <t xml:space="preserve"> PIGEON VV WEEDS</t>
  </si>
  <si>
    <t xml:space="preserve"> VV</t>
  </si>
  <si>
    <t xml:space="preserve"> </t>
  </si>
  <si>
    <t xml:space="preserve"> VV WEEDS</t>
  </si>
  <si>
    <t xml:space="preserve"> EGRENNE OISEAUX</t>
  </si>
  <si>
    <t xml:space="preserve"> VV REFLO</t>
  </si>
  <si>
    <t xml:space="preserve"> WEEDS</t>
  </si>
  <si>
    <t xml:space="preserve"> VV EGRENAGE</t>
  </si>
  <si>
    <t xml:space="preserve"> OUT, EGRENNE COMP OISEAUX</t>
  </si>
  <si>
    <t xml:space="preserve"> FASC EGRENNE</t>
  </si>
  <si>
    <t>MAUVAISE LEVEE WEEDS</t>
  </si>
  <si>
    <t xml:space="preserve"> HETEROG</t>
  </si>
  <si>
    <t xml:space="preserve"> T TARD</t>
  </si>
  <si>
    <t xml:space="preserve"> FASC</t>
  </si>
  <si>
    <t xml:space="preserve"> OUT EGRENNAGE WEEDS</t>
  </si>
  <si>
    <t xml:space="preserve"> VV, WEEDS</t>
  </si>
  <si>
    <t xml:space="preserve"> THETEROG</t>
  </si>
  <si>
    <t xml:space="preserve"> TARD</t>
  </si>
  <si>
    <t>out INN</t>
  </si>
  <si>
    <t>Meteo_data</t>
  </si>
  <si>
    <t>See tab</t>
  </si>
  <si>
    <t>Excel</t>
  </si>
  <si>
    <t>Soil_data</t>
  </si>
  <si>
    <t>INN_data</t>
  </si>
  <si>
    <t>Parcellaire_data</t>
  </si>
  <si>
    <t>ITK_data</t>
  </si>
  <si>
    <t>Nom de la demande</t>
  </si>
  <si>
    <t>Station Aucamvillr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</si>
  <si>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</si>
  <si>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</si>
  <si>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</si>
  <si>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</si>
  <si>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</si>
  <si>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</si>
  <si>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</si>
  <si>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</si>
  <si>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</si>
  <si>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</si>
  <si>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</si>
  <si>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</si>
  <si>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</si>
  <si>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</si>
  <si>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</si>
  <si>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</si>
  <si>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</si>
  <si>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</si>
  <si>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</si>
  <si>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</si>
  <si>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</si>
  <si>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</si>
  <si>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</si>
  <si>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</si>
  <si>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</si>
  <si>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</si>
  <si>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</si>
  <si>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</si>
  <si>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</si>
  <si>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</si>
  <si>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</si>
  <si>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</si>
  <si>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</si>
  <si>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</si>
  <si>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</si>
  <si>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</si>
  <si>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</si>
  <si>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Action</t>
  </si>
  <si>
    <t>Produits</t>
  </si>
  <si>
    <t>Cibles</t>
  </si>
  <si>
    <t>Détails</t>
  </si>
  <si>
    <t>4/5</t>
  </si>
  <si>
    <t>1/5</t>
  </si>
  <si>
    <t>Total</t>
  </si>
  <si>
    <t>N % DUMAS Spécial Ferti</t>
  </si>
  <si>
    <t>Manip</t>
  </si>
  <si>
    <t>Modalite</t>
  </si>
  <si>
    <t>Genotype</t>
  </si>
  <si>
    <t>Stade</t>
  </si>
  <si>
    <t>Nbr</t>
  </si>
  <si>
    <t>MF (g)</t>
  </si>
  <si>
    <t>MS (g)</t>
  </si>
  <si>
    <t>% Humidité</t>
  </si>
  <si>
    <t>MF Feuilles (g)</t>
  </si>
  <si>
    <t>MF Tige (g)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</si>
  <si>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</si>
  <si>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</si>
  <si>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</si>
  <si>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</si>
  <si>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</si>
  <si>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</si>
  <si>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</si>
  <si>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</si>
  <si>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</si>
  <si>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</si>
  <si>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</si>
  <si>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INN1</t>
  </si>
  <si>
    <t>INN2</t>
  </si>
  <si>
    <t>INN3</t>
  </si>
  <si>
    <t>INN4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</si>
  <si>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</si>
  <si>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</si>
  <si>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</si>
  <si>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</si>
  <si>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</si>
  <si>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</si>
  <si>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</si>
  <si>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</si>
  <si>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</si>
  <si>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</si>
  <si>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</si>
  <si>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</si>
  <si>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rep 2</t>
  </si>
  <si>
    <t xml:space="preserve">    </t>
  </si>
  <si>
    <t xml:space="preserve">  </t>
  </si>
  <si>
    <t>rep 4</t>
  </si>
  <si>
    <t>rep 1</t>
  </si>
  <si>
    <t>rep 3</t>
  </si>
  <si>
    <t>R1N1</t>
  </si>
  <si>
    <t>R4N1</t>
  </si>
  <si>
    <t>R2N2</t>
  </si>
  <si>
    <t>R3N2</t>
  </si>
  <si>
    <t>N1 rep1</t>
  </si>
  <si>
    <t>N2 rep2</t>
  </si>
  <si>
    <t>N2 rep3</t>
  </si>
  <si>
    <t>N1 rep4</t>
  </si>
  <si>
    <t>N1 R1</t>
  </si>
  <si>
    <t>N2 R2</t>
  </si>
  <si>
    <t>N2 R3</t>
  </si>
  <si>
    <t>N1 R4</t>
  </si>
  <si>
    <t>Pas prise en compte des silliques,,,</t>
  </si>
  <si>
    <t>75U</t>
  </si>
  <si>
    <t>30U</t>
  </si>
  <si>
    <t>50U</t>
  </si>
  <si>
    <t>20U</t>
  </si>
  <si>
    <t>100U</t>
  </si>
  <si>
    <t>80U</t>
  </si>
  <si>
    <t>NOVALL</t>
  </si>
  <si>
    <t>FONGICIDES</t>
  </si>
  <si>
    <t>JANTIL</t>
  </si>
  <si>
    <t>0,8L</t>
  </si>
  <si>
    <t>INSECTICIDES</t>
  </si>
  <si>
    <t>MESUROL</t>
  </si>
  <si>
    <t>3KG</t>
  </si>
  <si>
    <t>KARATE ZEON</t>
  </si>
  <si>
    <t>0,07L</t>
  </si>
  <si>
    <t>SEMIS</t>
  </si>
  <si>
    <t>50 grains/m², avec un semoir type oyord 6 rangs, écartement de22 cm et longueur récoltée de 8m.</t>
  </si>
  <si>
    <t>HERBICIDES</t>
  </si>
  <si>
    <t>2,5L/h</t>
  </si>
  <si>
    <t>FERTILISATION</t>
  </si>
  <si>
    <t>souffre, kiésérite</t>
  </si>
  <si>
    <t>0,8 L ; 2,70HA</t>
  </si>
  <si>
    <t>RECOLTE</t>
  </si>
  <si>
    <t>218 g/kg</t>
  </si>
  <si>
    <t>209 g/kg</t>
  </si>
  <si>
    <t>366 g/kg</t>
  </si>
  <si>
    <t>207 g/kg</t>
  </si>
  <si>
    <t>Granulométrie</t>
  </si>
  <si>
    <t>Carbone Organique</t>
  </si>
  <si>
    <t>Matière organique</t>
  </si>
  <si>
    <t>Argile (&lt; 2 µm)</t>
  </si>
  <si>
    <t>Limons fins (2 - 20 µm)</t>
  </si>
  <si>
    <t>Limons grossiers (20 - 50 µm)</t>
  </si>
  <si>
    <t>Sables totaux (50 - 2000µm)</t>
  </si>
  <si>
    <t>9,32 g/kg</t>
  </si>
  <si>
    <t>16,12 g/kg</t>
  </si>
  <si>
    <t>Composition du sol en sept-13</t>
  </si>
  <si>
    <r>
      <t>Argile (</t>
    </r>
    <r>
      <rPr>
        <sz val="9"/>
        <rFont val="Calibri"/>
        <family val="2"/>
      </rPr>
      <t>‰</t>
    </r>
    <r>
      <rPr>
        <sz val="9"/>
        <rFont val="Geneva"/>
      </rPr>
      <t>) : 205</t>
    </r>
  </si>
  <si>
    <r>
      <t>Sable (</t>
    </r>
    <r>
      <rPr>
        <sz val="9"/>
        <rFont val="Calibri"/>
        <family val="2"/>
      </rPr>
      <t>‰</t>
    </r>
    <r>
      <rPr>
        <sz val="7.2"/>
        <rFont val="Geneva"/>
        <family val="2"/>
        <charset val="1"/>
      </rPr>
      <t xml:space="preserve">) </t>
    </r>
    <r>
      <rPr>
        <sz val="9"/>
        <rFont val="Geneva"/>
      </rPr>
      <t>: 250</t>
    </r>
  </si>
  <si>
    <r>
      <t>Calcaire (</t>
    </r>
    <r>
      <rPr>
        <sz val="9"/>
        <rFont val="Calibri"/>
        <family val="2"/>
      </rPr>
      <t>‰</t>
    </r>
    <r>
      <rPr>
        <sz val="7.2"/>
        <rFont val="Geneva"/>
        <family val="2"/>
        <charset val="1"/>
      </rPr>
      <t xml:space="preserve">) </t>
    </r>
    <r>
      <rPr>
        <sz val="9"/>
        <rFont val="Geneva"/>
      </rPr>
      <t>: 10</t>
    </r>
  </si>
  <si>
    <r>
      <t>Matière organique (</t>
    </r>
    <r>
      <rPr>
        <sz val="9"/>
        <rFont val="Calibri"/>
        <family val="2"/>
      </rPr>
      <t>‰</t>
    </r>
    <r>
      <rPr>
        <sz val="9"/>
        <rFont val="Geneva"/>
      </rPr>
      <t>) : 20</t>
    </r>
  </si>
  <si>
    <t>Profondeur de labour (cm) : 27</t>
  </si>
  <si>
    <t>Carge en cailloux (%) : 0</t>
  </si>
  <si>
    <t>Nature du sol : Argile</t>
  </si>
  <si>
    <t>Profondeur d'apparition du sous-sol : &gt; 90</t>
  </si>
  <si>
    <t>Profondeur d'enracinement : &gt; 90</t>
  </si>
  <si>
    <t>Profil d'azote minéral en sept-2013</t>
  </si>
  <si>
    <t>Horizon</t>
  </si>
  <si>
    <t xml:space="preserve">Profondeur  (cm) </t>
  </si>
  <si>
    <t>Humidité (%)</t>
  </si>
  <si>
    <t>Azote ammoniacal (N NH4 kg/ha)</t>
  </si>
  <si>
    <t>Azote minéral (kg/ha)</t>
  </si>
  <si>
    <t>0-30</t>
  </si>
  <si>
    <t>30-60</t>
  </si>
  <si>
    <t>60-90</t>
  </si>
  <si>
    <t>TOTAL</t>
  </si>
  <si>
    <t>Azote nitrique        (N NO3 kg/ha)</t>
  </si>
  <si>
    <r>
      <t>Matière organique (</t>
    </r>
    <r>
      <rPr>
        <sz val="9"/>
        <rFont val="Calibri"/>
        <family val="2"/>
      </rPr>
      <t>‰</t>
    </r>
    <r>
      <rPr>
        <sz val="9"/>
        <rFont val="Geneva"/>
      </rPr>
      <t>) : 10</t>
    </r>
  </si>
  <si>
    <t>Profondeur de labour (cm) : 25</t>
  </si>
  <si>
    <t>Profondeur d'apparition du sous-sol : 40</t>
  </si>
  <si>
    <t>Reliquat mesuré utilisable par la culture (sur 90 cm)</t>
  </si>
  <si>
    <t>Composition du sol couvert en janv-14</t>
  </si>
  <si>
    <t>Calcul du bilan d'azote sur sol couvert (en kg N/ha)</t>
  </si>
  <si>
    <t>Profil d'azote minéral en janv-14</t>
  </si>
  <si>
    <t>Besoin de la culture : Colza d'hiver - (50 q/ha)</t>
  </si>
  <si>
    <t>Azote restant dans le sol après récolte (reliquat post-recolte)</t>
  </si>
  <si>
    <t>Besoins totaux (a)</t>
  </si>
  <si>
    <t>Azote fourni par le sol (pas de prairies) (b)</t>
  </si>
  <si>
    <t>Azote déjà absorbé ©</t>
  </si>
  <si>
    <t>Fumure azotée totale à épendre (= a-b-c)</t>
  </si>
  <si>
    <t>Composition du sol en aout-14 pour N-</t>
  </si>
  <si>
    <t>Composition du sol en aout-14 pour N+</t>
  </si>
  <si>
    <t>Profil d'azote minéral en aout-14 pour N-</t>
  </si>
  <si>
    <t>Profil d'azote minéral en aout-14 pour N+</t>
  </si>
  <si>
    <t>Azote nitrique             (N NO3 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</si>
</sst>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/mm/yy"/>
    <numFmt numFmtId="165" formatCode="d/mm/yyyy;@"/>
    <numFmt numFmtId="166" formatCode="0.0000"/>
    <numFmt numFmtId="167" formatCode="0.0"/>
    <numFmt numFmtId="168" formatCode="d/m/yy;@"/>
  </numFmts>
  <fonts count="57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8"/>
      <color indexed="8"/>
      <name val="Calibri"/>
      <family val="2"/>
      <charset val="1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</font>
    <font>
      <sz val="9"/>
      <color rgb="FFFF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Geneva"/>
    </font>
    <font>
      <b/>
      <sz val="10"/>
      <name val="Arial"/>
      <family val="2"/>
    </font>
    <font>
      <sz val="10"/>
      <name val="Courier New"/>
      <family val="3"/>
    </font>
    <font>
      <sz val="11"/>
      <name val="Calibri"/>
      <family val="2"/>
      <scheme val="minor"/>
    </font>
    <font>
      <sz val="8"/>
      <color indexed="8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7.2"/>
      <name val="Geneva"/>
      <family val="2"/>
      <charset val="1"/>
    </font>
    <font>
      <sz val="9"/>
      <name val="Geneva"/>
    </font>
    <font>
      <b/>
      <sz val="10"/>
      <name val="Geneva"/>
    </font>
    <font>
      <b/>
      <sz val="11"/>
      <name val="Geneva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31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8" fillId="0" borderId="0" applyNumberFormat="0" applyFont="0" applyFill="0" applyBorder="0" applyAlignment="0" applyProtection="0"/>
    <xf numFmtId="0" fontId="23" fillId="0" borderId="0"/>
    <xf numFmtId="0" fontId="28" fillId="0" borderId="0"/>
    <xf numFmtId="0" fontId="1" fillId="0" borderId="0"/>
  </cellStyleXfs>
  <cellXfs count="442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24" fillId="0" borderId="1" xfId="0" applyFont="1" applyBorder="1"/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25" fillId="0" borderId="0" xfId="1" applyNumberFormat="1" applyFont="1" applyFill="1" applyBorder="1" applyAlignment="1" applyProtection="1">
      <protection locked="0"/>
    </xf>
    <xf numFmtId="0" fontId="23" fillId="0" borderId="0" xfId="0" applyFont="1" applyAlignment="1">
      <alignment wrapText="1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6" fillId="3" borderId="11" xfId="0" applyFont="1" applyFill="1" applyBorder="1" applyAlignment="1">
      <alignment vertical="center"/>
    </xf>
    <xf numFmtId="0" fontId="26" fillId="0" borderId="12" xfId="0" applyFont="1" applyFill="1" applyBorder="1"/>
    <xf numFmtId="0" fontId="27" fillId="0" borderId="0" xfId="0" applyFont="1" applyAlignment="1">
      <alignment horizontal="right"/>
    </xf>
    <xf numFmtId="0" fontId="27" fillId="0" borderId="0" xfId="0" applyFont="1"/>
    <xf numFmtId="0" fontId="29" fillId="0" borderId="0" xfId="0" applyFont="1"/>
    <xf numFmtId="0" fontId="29" fillId="0" borderId="0" xfId="0" applyFont="1" applyAlignment="1">
      <alignment horizontal="right"/>
    </xf>
    <xf numFmtId="0" fontId="22" fillId="6" borderId="12" xfId="5" applyFont="1" applyFill="1" applyBorder="1"/>
    <xf numFmtId="0" fontId="30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4" fontId="0" fillId="0" borderId="12" xfId="0" applyNumberFormat="1" applyFill="1" applyBorder="1"/>
    <xf numFmtId="0" fontId="2" fillId="3" borderId="11" xfId="1" applyFill="1" applyBorder="1"/>
    <xf numFmtId="165" fontId="27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textRotation="90" wrapText="1"/>
    </xf>
    <xf numFmtId="0" fontId="13" fillId="0" borderId="14" xfId="9" applyFont="1" applyFill="1" applyBorder="1" applyAlignment="1">
      <alignment horizontal="center" textRotation="90" wrapText="1"/>
    </xf>
    <xf numFmtId="0" fontId="10" fillId="4" borderId="14" xfId="0" applyFont="1" applyFill="1" applyBorder="1" applyAlignment="1">
      <alignment horizontal="center" textRotation="90" wrapText="1"/>
    </xf>
    <xf numFmtId="0" fontId="28" fillId="0" borderId="0" xfId="0" applyFont="1" applyAlignment="1" applyProtection="1">
      <alignment textRotation="90" wrapText="1"/>
      <protection locked="0"/>
    </xf>
    <xf numFmtId="165" fontId="28" fillId="0" borderId="0" xfId="0" applyNumberFormat="1" applyFont="1" applyAlignment="1" applyProtection="1">
      <alignment textRotation="90" wrapText="1"/>
      <protection locked="0"/>
    </xf>
    <xf numFmtId="0" fontId="27" fillId="0" borderId="0" xfId="0" applyFont="1" applyAlignment="1">
      <alignment horizontal="left" textRotation="90" wrapText="1"/>
    </xf>
    <xf numFmtId="0" fontId="27" fillId="0" borderId="0" xfId="0" applyFont="1" applyFill="1" applyAlignment="1">
      <alignment horizontal="right" textRotation="90" wrapText="1"/>
    </xf>
    <xf numFmtId="0" fontId="27" fillId="0" borderId="0" xfId="0" applyFont="1" applyFill="1" applyAlignment="1">
      <alignment textRotation="90" wrapText="1"/>
    </xf>
    <xf numFmtId="165" fontId="29" fillId="0" borderId="0" xfId="0" applyNumberFormat="1" applyFont="1"/>
    <xf numFmtId="2" fontId="27" fillId="0" borderId="0" xfId="0" applyNumberFormat="1" applyFont="1" applyAlignment="1">
      <alignment horizontal="right"/>
    </xf>
    <xf numFmtId="0" fontId="27" fillId="0" borderId="0" xfId="0" applyNumberFormat="1" applyFont="1" applyAlignment="1">
      <alignment horizontal="right"/>
    </xf>
    <xf numFmtId="0" fontId="0" fillId="0" borderId="0" xfId="0" applyFill="1" applyBorder="1"/>
    <xf numFmtId="0" fontId="29" fillId="0" borderId="12" xfId="0" applyFont="1" applyBorder="1"/>
    <xf numFmtId="0" fontId="36" fillId="3" borderId="0" xfId="0" applyFont="1" applyFill="1" applyBorder="1" applyAlignment="1">
      <alignment vertical="center"/>
    </xf>
    <xf numFmtId="0" fontId="37" fillId="0" borderId="12" xfId="0" applyFont="1" applyFill="1" applyBorder="1"/>
    <xf numFmtId="0" fontId="37" fillId="0" borderId="0" xfId="0" applyFont="1"/>
    <xf numFmtId="0" fontId="36" fillId="4" borderId="12" xfId="0" applyFont="1" applyFill="1" applyBorder="1"/>
    <xf numFmtId="0" fontId="37" fillId="0" borderId="0" xfId="0" applyFont="1" applyFill="1" applyBorder="1"/>
    <xf numFmtId="165" fontId="38" fillId="0" borderId="0" xfId="0" applyNumberFormat="1" applyFont="1"/>
    <xf numFmtId="0" fontId="39" fillId="0" borderId="0" xfId="0" applyFont="1" applyAlignment="1">
      <alignment horizontal="right"/>
    </xf>
    <xf numFmtId="165" fontId="39" fillId="0" borderId="0" xfId="0" applyNumberFormat="1" applyFont="1" applyAlignment="1">
      <alignment horizontal="right"/>
    </xf>
    <xf numFmtId="2" fontId="39" fillId="0" borderId="0" xfId="0" applyNumberFormat="1" applyFont="1" applyAlignment="1">
      <alignment horizontal="right"/>
    </xf>
    <xf numFmtId="0" fontId="39" fillId="0" borderId="0" xfId="0" applyNumberFormat="1" applyFont="1" applyAlignment="1">
      <alignment horizontal="right"/>
    </xf>
    <xf numFmtId="0" fontId="39" fillId="0" borderId="0" xfId="0" applyFont="1"/>
    <xf numFmtId="0" fontId="38" fillId="0" borderId="0" xfId="0" applyFont="1"/>
    <xf numFmtId="0" fontId="38" fillId="0" borderId="0" xfId="0" applyFont="1" applyAlignment="1">
      <alignment horizontal="right"/>
    </xf>
    <xf numFmtId="0" fontId="28" fillId="0" borderId="0" xfId="12" applyNumberFormat="1" applyFont="1" applyFill="1" applyBorder="1" applyAlignment="1">
      <alignment horizontal="center"/>
    </xf>
    <xf numFmtId="0" fontId="23" fillId="0" borderId="0" xfId="13" applyAlignment="1">
      <alignment horizontal="center"/>
    </xf>
    <xf numFmtId="0" fontId="23" fillId="0" borderId="0" xfId="13"/>
    <xf numFmtId="14" fontId="28" fillId="0" borderId="0" xfId="12" applyNumberFormat="1" applyFont="1" applyFill="1" applyBorder="1" applyAlignment="1">
      <alignment horizontal="center"/>
    </xf>
    <xf numFmtId="0" fontId="23" fillId="0" borderId="0" xfId="13" applyBorder="1" applyAlignment="1">
      <alignment horizontal="center"/>
    </xf>
    <xf numFmtId="0" fontId="34" fillId="0" borderId="0" xfId="13" applyFont="1" applyBorder="1" applyAlignment="1">
      <alignment horizontal="center"/>
    </xf>
    <xf numFmtId="0" fontId="34" fillId="0" borderId="0" xfId="13" applyFont="1" applyFill="1" applyBorder="1" applyAlignment="1">
      <alignment horizontal="center"/>
    </xf>
    <xf numFmtId="0" fontId="28" fillId="0" borderId="0" xfId="13" applyFont="1" applyFill="1"/>
    <xf numFmtId="0" fontId="28" fillId="0" borderId="25" xfId="13" applyFont="1" applyFill="1" applyBorder="1"/>
    <xf numFmtId="0" fontId="28" fillId="0" borderId="0" xfId="14"/>
    <xf numFmtId="0" fontId="28" fillId="0" borderId="0" xfId="14" applyAlignment="1">
      <alignment horizontal="center"/>
    </xf>
    <xf numFmtId="0" fontId="23" fillId="0" borderId="17" xfId="13" applyBorder="1"/>
    <xf numFmtId="0" fontId="45" fillId="8" borderId="32" xfId="14" applyFont="1" applyFill="1" applyBorder="1" applyAlignment="1">
      <alignment horizontal="center"/>
    </xf>
    <xf numFmtId="0" fontId="45" fillId="8" borderId="33" xfId="14" applyFont="1" applyFill="1" applyBorder="1" applyAlignment="1">
      <alignment horizontal="center"/>
    </xf>
    <xf numFmtId="0" fontId="45" fillId="8" borderId="34" xfId="14" applyFont="1" applyFill="1" applyBorder="1" applyAlignment="1">
      <alignment horizontal="center"/>
    </xf>
    <xf numFmtId="0" fontId="45" fillId="8" borderId="35" xfId="14" applyFont="1" applyFill="1" applyBorder="1" applyAlignment="1">
      <alignment horizontal="center"/>
    </xf>
    <xf numFmtId="0" fontId="45" fillId="8" borderId="36" xfId="14" applyFont="1" applyFill="1" applyBorder="1" applyAlignment="1">
      <alignment horizontal="center"/>
    </xf>
    <xf numFmtId="0" fontId="45" fillId="8" borderId="37" xfId="14" applyFont="1" applyFill="1" applyBorder="1" applyAlignment="1">
      <alignment horizontal="center"/>
    </xf>
    <xf numFmtId="0" fontId="45" fillId="8" borderId="38" xfId="14" applyFont="1" applyFill="1" applyBorder="1" applyAlignment="1">
      <alignment horizontal="center"/>
    </xf>
    <xf numFmtId="0" fontId="45" fillId="8" borderId="39" xfId="14" applyFont="1" applyFill="1" applyBorder="1" applyAlignment="1">
      <alignment horizontal="center"/>
    </xf>
    <xf numFmtId="0" fontId="45" fillId="8" borderId="17" xfId="14" applyFont="1" applyFill="1" applyBorder="1" applyAlignment="1">
      <alignment horizontal="center"/>
    </xf>
    <xf numFmtId="0" fontId="45" fillId="10" borderId="17" xfId="14" applyFont="1" applyFill="1" applyBorder="1" applyAlignment="1">
      <alignment horizontal="center"/>
    </xf>
    <xf numFmtId="0" fontId="28" fillId="0" borderId="32" xfId="14" applyFont="1" applyBorder="1" applyAlignment="1">
      <alignment horizontal="center"/>
    </xf>
    <xf numFmtId="0" fontId="28" fillId="0" borderId="32" xfId="14" applyNumberFormat="1" applyBorder="1" applyAlignment="1">
      <alignment horizontal="center"/>
    </xf>
    <xf numFmtId="0" fontId="28" fillId="0" borderId="32" xfId="14" applyBorder="1" applyAlignment="1">
      <alignment horizontal="center"/>
    </xf>
    <xf numFmtId="0" fontId="28" fillId="0" borderId="26" xfId="14" applyBorder="1" applyAlignment="1">
      <alignment horizontal="center"/>
    </xf>
    <xf numFmtId="0" fontId="28" fillId="0" borderId="33" xfId="14" applyBorder="1" applyAlignment="1">
      <alignment horizontal="center"/>
    </xf>
    <xf numFmtId="0" fontId="28" fillId="0" borderId="17" xfId="14" applyBorder="1" applyAlignment="1">
      <alignment horizontal="center"/>
    </xf>
    <xf numFmtId="2" fontId="28" fillId="0" borderId="40" xfId="14" applyNumberFormat="1" applyBorder="1" applyAlignment="1">
      <alignment horizontal="center"/>
    </xf>
    <xf numFmtId="166" fontId="23" fillId="0" borderId="17" xfId="13" applyNumberFormat="1" applyBorder="1" applyAlignment="1">
      <alignment horizontal="center"/>
    </xf>
    <xf numFmtId="0" fontId="28" fillId="0" borderId="42" xfId="14" applyBorder="1" applyAlignment="1">
      <alignment horizontal="center"/>
    </xf>
    <xf numFmtId="0" fontId="45" fillId="0" borderId="0" xfId="14" applyFont="1"/>
    <xf numFmtId="0" fontId="28" fillId="0" borderId="0" xfId="14" applyFont="1"/>
    <xf numFmtId="0" fontId="46" fillId="0" borderId="0" xfId="0" applyFont="1" applyFill="1"/>
    <xf numFmtId="0" fontId="47" fillId="0" borderId="0" xfId="0" applyFont="1" applyFill="1"/>
    <xf numFmtId="0" fontId="47" fillId="0" borderId="17" xfId="0" applyFont="1" applyFill="1" applyBorder="1"/>
    <xf numFmtId="0" fontId="47" fillId="11" borderId="17" xfId="0" applyFont="1" applyFill="1" applyBorder="1"/>
    <xf numFmtId="14" fontId="48" fillId="0" borderId="17" xfId="14" applyNumberFormat="1" applyFont="1" applyBorder="1"/>
    <xf numFmtId="0" fontId="28" fillId="0" borderId="42" xfId="14" applyFont="1" applyBorder="1" applyAlignment="1">
      <alignment horizontal="center"/>
    </xf>
    <xf numFmtId="0" fontId="28" fillId="0" borderId="42" xfId="14" applyNumberFormat="1" applyBorder="1" applyAlignment="1">
      <alignment horizontal="center"/>
    </xf>
    <xf numFmtId="0" fontId="28" fillId="0" borderId="49" xfId="14" applyBorder="1" applyAlignment="1">
      <alignment horizontal="center"/>
    </xf>
    <xf numFmtId="0" fontId="28" fillId="0" borderId="50" xfId="14" applyBorder="1" applyAlignment="1">
      <alignment horizontal="center"/>
    </xf>
    <xf numFmtId="0" fontId="28" fillId="0" borderId="21" xfId="14" applyBorder="1" applyAlignment="1">
      <alignment horizontal="center"/>
    </xf>
    <xf numFmtId="2" fontId="28" fillId="0" borderId="52" xfId="14" applyNumberFormat="1" applyBorder="1" applyAlignment="1">
      <alignment horizontal="center"/>
    </xf>
    <xf numFmtId="166" fontId="23" fillId="0" borderId="21" xfId="13" applyNumberFormat="1" applyBorder="1" applyAlignment="1">
      <alignment horizontal="center"/>
    </xf>
    <xf numFmtId="0" fontId="28" fillId="0" borderId="53" xfId="14" applyFont="1" applyBorder="1" applyAlignment="1">
      <alignment horizontal="center"/>
    </xf>
    <xf numFmtId="14" fontId="48" fillId="0" borderId="54" xfId="14" applyNumberFormat="1" applyFont="1" applyBorder="1"/>
    <xf numFmtId="0" fontId="28" fillId="0" borderId="53" xfId="14" applyNumberFormat="1" applyBorder="1" applyAlignment="1">
      <alignment horizontal="center"/>
    </xf>
    <xf numFmtId="0" fontId="28" fillId="0" borderId="53" xfId="14" applyBorder="1" applyAlignment="1">
      <alignment horizontal="center"/>
    </xf>
    <xf numFmtId="0" fontId="28" fillId="0" borderId="55" xfId="14" applyBorder="1" applyAlignment="1">
      <alignment horizontal="center"/>
    </xf>
    <xf numFmtId="0" fontId="28" fillId="0" borderId="56" xfId="14" applyBorder="1" applyAlignment="1">
      <alignment horizontal="center"/>
    </xf>
    <xf numFmtId="2" fontId="28" fillId="0" borderId="59" xfId="14" applyNumberFormat="1" applyBorder="1" applyAlignment="1">
      <alignment horizontal="center"/>
    </xf>
    <xf numFmtId="166" fontId="23" fillId="0" borderId="54" xfId="13" applyNumberFormat="1" applyBorder="1" applyAlignment="1">
      <alignment horizontal="center"/>
    </xf>
    <xf numFmtId="1" fontId="26" fillId="0" borderId="17" xfId="0" applyNumberFormat="1" applyFont="1" applyFill="1" applyBorder="1" applyAlignment="1">
      <alignment horizontal="center" wrapText="1"/>
    </xf>
    <xf numFmtId="167" fontId="26" fillId="0" borderId="17" xfId="0" applyNumberFormat="1" applyFont="1" applyFill="1" applyBorder="1" applyAlignment="1">
      <alignment horizontal="center" wrapText="1"/>
    </xf>
    <xf numFmtId="168" fontId="26" fillId="0" borderId="17" xfId="0" applyNumberFormat="1" applyFont="1" applyFill="1" applyBorder="1" applyAlignment="1">
      <alignment horizontal="left" wrapText="1"/>
    </xf>
    <xf numFmtId="0" fontId="26" fillId="0" borderId="17" xfId="14" applyFont="1" applyBorder="1" applyAlignment="1">
      <alignment horizontal="left"/>
    </xf>
    <xf numFmtId="168" fontId="26" fillId="0" borderId="54" xfId="0" applyNumberFormat="1" applyFont="1" applyFill="1" applyBorder="1" applyAlignment="1">
      <alignment horizontal="left" wrapText="1"/>
    </xf>
    <xf numFmtId="0" fontId="26" fillId="0" borderId="54" xfId="14" applyFont="1" applyBorder="1" applyAlignment="1">
      <alignment horizontal="left"/>
    </xf>
    <xf numFmtId="1" fontId="26" fillId="0" borderId="54" xfId="0" applyNumberFormat="1" applyFont="1" applyFill="1" applyBorder="1" applyAlignment="1">
      <alignment horizontal="center" wrapText="1"/>
    </xf>
    <xf numFmtId="167" fontId="26" fillId="0" borderId="54" xfId="0" applyNumberFormat="1" applyFont="1" applyFill="1" applyBorder="1" applyAlignment="1">
      <alignment horizontal="center" wrapText="1"/>
    </xf>
    <xf numFmtId="0" fontId="23" fillId="0" borderId="60" xfId="13" applyBorder="1"/>
    <xf numFmtId="2" fontId="26" fillId="0" borderId="17" xfId="0" applyNumberFormat="1" applyFont="1" applyFill="1" applyBorder="1" applyAlignment="1">
      <alignment horizontal="center" wrapText="1"/>
    </xf>
    <xf numFmtId="2" fontId="26" fillId="0" borderId="54" xfId="0" applyNumberFormat="1" applyFont="1" applyFill="1" applyBorder="1" applyAlignment="1">
      <alignment horizontal="center" wrapText="1"/>
    </xf>
    <xf numFmtId="1" fontId="26" fillId="0" borderId="21" xfId="0" applyNumberFormat="1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0" fontId="28" fillId="0" borderId="17" xfId="14" applyBorder="1"/>
    <xf numFmtId="0" fontId="28" fillId="0" borderId="17" xfId="14" applyFont="1" applyBorder="1" applyAlignment="1">
      <alignment horizontal="center"/>
    </xf>
    <xf numFmtId="0" fontId="28" fillId="0" borderId="17" xfId="14" applyNumberFormat="1" applyBorder="1" applyAlignment="1">
      <alignment horizontal="center"/>
    </xf>
    <xf numFmtId="2" fontId="28" fillId="0" borderId="17" xfId="14" applyNumberFormat="1" applyBorder="1" applyAlignment="1">
      <alignment horizontal="center"/>
    </xf>
    <xf numFmtId="14" fontId="26" fillId="0" borderId="17" xfId="0" applyNumberFormat="1" applyFont="1" applyFill="1" applyBorder="1" applyAlignment="1">
      <alignment horizontal="center" wrapText="1"/>
    </xf>
    <xf numFmtId="0" fontId="28" fillId="0" borderId="0" xfId="14" applyFont="1" applyBorder="1" applyAlignment="1">
      <alignment horizontal="center"/>
    </xf>
    <xf numFmtId="14" fontId="26" fillId="0" borderId="0" xfId="0" applyNumberFormat="1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28" fillId="12" borderId="32" xfId="14" applyFont="1" applyFill="1" applyBorder="1" applyAlignment="1">
      <alignment horizontal="center"/>
    </xf>
    <xf numFmtId="14" fontId="48" fillId="12" borderId="17" xfId="14" applyNumberFormat="1" applyFont="1" applyFill="1" applyBorder="1"/>
    <xf numFmtId="0" fontId="28" fillId="12" borderId="32" xfId="14" applyNumberFormat="1" applyFill="1" applyBorder="1" applyAlignment="1">
      <alignment horizontal="center"/>
    </xf>
    <xf numFmtId="0" fontId="28" fillId="12" borderId="32" xfId="14" applyFill="1" applyBorder="1" applyAlignment="1">
      <alignment horizontal="center"/>
    </xf>
    <xf numFmtId="0" fontId="28" fillId="12" borderId="26" xfId="14" applyFill="1" applyBorder="1" applyAlignment="1">
      <alignment horizontal="center"/>
    </xf>
    <xf numFmtId="0" fontId="28" fillId="12" borderId="33" xfId="14" applyFill="1" applyBorder="1" applyAlignment="1">
      <alignment horizontal="center"/>
    </xf>
    <xf numFmtId="1" fontId="26" fillId="12" borderId="17" xfId="0" applyNumberFormat="1" applyFont="1" applyFill="1" applyBorder="1" applyAlignment="1">
      <alignment horizontal="center" wrapText="1"/>
    </xf>
    <xf numFmtId="0" fontId="28" fillId="12" borderId="17" xfId="14" applyFill="1" applyBorder="1" applyAlignment="1">
      <alignment horizontal="center"/>
    </xf>
    <xf numFmtId="2" fontId="28" fillId="12" borderId="40" xfId="14" applyNumberFormat="1" applyFill="1" applyBorder="1" applyAlignment="1">
      <alignment horizontal="center"/>
    </xf>
    <xf numFmtId="2" fontId="28" fillId="12" borderId="32" xfId="14" applyNumberFormat="1" applyFill="1" applyBorder="1" applyAlignment="1">
      <alignment horizontal="center"/>
    </xf>
    <xf numFmtId="166" fontId="23" fillId="12" borderId="17" xfId="13" applyNumberFormat="1" applyFill="1" applyBorder="1" applyAlignment="1">
      <alignment horizontal="center"/>
    </xf>
    <xf numFmtId="0" fontId="23" fillId="12" borderId="0" xfId="13" applyFill="1"/>
    <xf numFmtId="0" fontId="28" fillId="12" borderId="53" xfId="14" applyFont="1" applyFill="1" applyBorder="1" applyAlignment="1">
      <alignment horizontal="center"/>
    </xf>
    <xf numFmtId="14" fontId="48" fillId="12" borderId="54" xfId="14" applyNumberFormat="1" applyFont="1" applyFill="1" applyBorder="1"/>
    <xf numFmtId="0" fontId="28" fillId="12" borderId="53" xfId="14" applyFill="1" applyBorder="1" applyAlignment="1">
      <alignment horizontal="center"/>
    </xf>
    <xf numFmtId="0" fontId="28" fillId="12" borderId="55" xfId="14" applyFill="1" applyBorder="1" applyAlignment="1">
      <alignment horizontal="center"/>
    </xf>
    <xf numFmtId="0" fontId="28" fillId="12" borderId="56" xfId="14" applyFill="1" applyBorder="1" applyAlignment="1">
      <alignment horizontal="center"/>
    </xf>
    <xf numFmtId="1" fontId="26" fillId="12" borderId="63" xfId="0" applyNumberFormat="1" applyFont="1" applyFill="1" applyBorder="1" applyAlignment="1">
      <alignment horizontal="center" wrapText="1"/>
    </xf>
    <xf numFmtId="0" fontId="28" fillId="12" borderId="54" xfId="14" applyFill="1" applyBorder="1" applyAlignment="1">
      <alignment horizontal="center"/>
    </xf>
    <xf numFmtId="2" fontId="28" fillId="12" borderId="59" xfId="14" applyNumberFormat="1" applyFill="1" applyBorder="1" applyAlignment="1">
      <alignment horizontal="center"/>
    </xf>
    <xf numFmtId="166" fontId="23" fillId="12" borderId="54" xfId="13" applyNumberFormat="1" applyFill="1" applyBorder="1" applyAlignment="1">
      <alignment horizontal="center"/>
    </xf>
    <xf numFmtId="0" fontId="28" fillId="12" borderId="42" xfId="14" applyFont="1" applyFill="1" applyBorder="1" applyAlignment="1">
      <alignment horizontal="center"/>
    </xf>
    <xf numFmtId="0" fontId="28" fillId="12" borderId="42" xfId="14" applyFill="1" applyBorder="1" applyAlignment="1">
      <alignment horizontal="center"/>
    </xf>
    <xf numFmtId="0" fontId="28" fillId="12" borderId="50" xfId="14" applyFill="1" applyBorder="1" applyAlignment="1">
      <alignment horizontal="center"/>
    </xf>
    <xf numFmtId="0" fontId="28" fillId="12" borderId="49" xfId="14" applyFill="1" applyBorder="1" applyAlignment="1">
      <alignment horizontal="center"/>
    </xf>
    <xf numFmtId="167" fontId="26" fillId="12" borderId="17" xfId="0" applyNumberFormat="1" applyFont="1" applyFill="1" applyBorder="1" applyAlignment="1">
      <alignment horizontal="center" wrapText="1"/>
    </xf>
    <xf numFmtId="0" fontId="28" fillId="12" borderId="21" xfId="14" applyFill="1" applyBorder="1" applyAlignment="1">
      <alignment horizontal="center"/>
    </xf>
    <xf numFmtId="2" fontId="26" fillId="12" borderId="17" xfId="0" applyNumberFormat="1" applyFont="1" applyFill="1" applyBorder="1" applyAlignment="1">
      <alignment horizontal="center" wrapText="1"/>
    </xf>
    <xf numFmtId="2" fontId="28" fillId="12" borderId="52" xfId="14" applyNumberFormat="1" applyFill="1" applyBorder="1" applyAlignment="1">
      <alignment horizontal="center"/>
    </xf>
    <xf numFmtId="2" fontId="28" fillId="12" borderId="42" xfId="14" applyNumberFormat="1" applyFill="1" applyBorder="1" applyAlignment="1">
      <alignment horizontal="center"/>
    </xf>
    <xf numFmtId="166" fontId="23" fillId="12" borderId="21" xfId="13" applyNumberFormat="1" applyFill="1" applyBorder="1" applyAlignment="1">
      <alignment horizontal="center"/>
    </xf>
    <xf numFmtId="0" fontId="28" fillId="12" borderId="35" xfId="14" applyFill="1" applyBorder="1" applyAlignment="1">
      <alignment horizontal="center"/>
    </xf>
    <xf numFmtId="0" fontId="28" fillId="12" borderId="26" xfId="14" applyFont="1" applyFill="1" applyBorder="1" applyAlignment="1">
      <alignment horizontal="center"/>
    </xf>
    <xf numFmtId="0" fontId="0" fillId="12" borderId="17" xfId="0" applyFill="1" applyBorder="1"/>
    <xf numFmtId="0" fontId="28" fillId="12" borderId="40" xfId="14" applyFill="1" applyBorder="1" applyAlignment="1">
      <alignment horizontal="center"/>
    </xf>
    <xf numFmtId="0" fontId="28" fillId="12" borderId="27" xfId="14" applyFill="1" applyBorder="1" applyAlignment="1">
      <alignment horizontal="center"/>
    </xf>
    <xf numFmtId="0" fontId="28" fillId="12" borderId="28" xfId="14" applyFill="1" applyBorder="1" applyAlignment="1">
      <alignment horizontal="center"/>
    </xf>
    <xf numFmtId="0" fontId="26" fillId="12" borderId="17" xfId="0" applyFont="1" applyFill="1" applyBorder="1" applyAlignment="1">
      <alignment horizontal="center" wrapText="1"/>
    </xf>
    <xf numFmtId="0" fontId="28" fillId="12" borderId="35" xfId="14" applyFont="1" applyFill="1" applyBorder="1" applyAlignment="1">
      <alignment horizontal="center"/>
    </xf>
    <xf numFmtId="14" fontId="48" fillId="12" borderId="24" xfId="14" applyNumberFormat="1" applyFont="1" applyFill="1" applyBorder="1"/>
    <xf numFmtId="0" fontId="28" fillId="12" borderId="35" xfId="14" applyNumberFormat="1" applyFill="1" applyBorder="1" applyAlignment="1">
      <alignment horizontal="center"/>
    </xf>
    <xf numFmtId="0" fontId="28" fillId="12" borderId="41" xfId="14" applyFont="1" applyFill="1" applyBorder="1" applyAlignment="1">
      <alignment horizontal="center"/>
    </xf>
    <xf numFmtId="0" fontId="0" fillId="12" borderId="24" xfId="0" applyFill="1" applyBorder="1"/>
    <xf numFmtId="0" fontId="28" fillId="12" borderId="37" xfId="14" applyFill="1" applyBorder="1" applyAlignment="1">
      <alignment horizontal="center"/>
    </xf>
    <xf numFmtId="0" fontId="28" fillId="12" borderId="36" xfId="14" applyFill="1" applyBorder="1" applyAlignment="1">
      <alignment horizontal="center"/>
    </xf>
    <xf numFmtId="0" fontId="26" fillId="12" borderId="24" xfId="0" applyFont="1" applyFill="1" applyBorder="1" applyAlignment="1">
      <alignment horizontal="center" wrapText="1"/>
    </xf>
    <xf numFmtId="0" fontId="28" fillId="12" borderId="66" xfId="14" applyFill="1" applyBorder="1" applyAlignment="1">
      <alignment horizontal="center"/>
    </xf>
    <xf numFmtId="167" fontId="26" fillId="12" borderId="24" xfId="0" applyNumberFormat="1" applyFont="1" applyFill="1" applyBorder="1" applyAlignment="1">
      <alignment horizontal="center" wrapText="1"/>
    </xf>
    <xf numFmtId="0" fontId="28" fillId="12" borderId="24" xfId="14" applyFill="1" applyBorder="1" applyAlignment="1">
      <alignment horizontal="center"/>
    </xf>
    <xf numFmtId="2" fontId="26" fillId="12" borderId="24" xfId="0" applyNumberFormat="1" applyFont="1" applyFill="1" applyBorder="1" applyAlignment="1">
      <alignment horizontal="center" wrapText="1"/>
    </xf>
    <xf numFmtId="0" fontId="28" fillId="12" borderId="65" xfId="14" applyFill="1" applyBorder="1" applyAlignment="1">
      <alignment horizontal="center"/>
    </xf>
    <xf numFmtId="2" fontId="28" fillId="12" borderId="37" xfId="14" applyNumberFormat="1" applyFill="1" applyBorder="1" applyAlignment="1">
      <alignment horizontal="center"/>
    </xf>
    <xf numFmtId="166" fontId="23" fillId="12" borderId="24" xfId="13" applyNumberFormat="1" applyFill="1" applyBorder="1" applyAlignment="1">
      <alignment horizontal="center"/>
    </xf>
    <xf numFmtId="0" fontId="28" fillId="12" borderId="54" xfId="14" applyFont="1" applyFill="1" applyBorder="1" applyAlignment="1">
      <alignment horizontal="center"/>
    </xf>
    <xf numFmtId="0" fontId="28" fillId="12" borderId="54" xfId="14" applyNumberFormat="1" applyFill="1" applyBorder="1" applyAlignment="1">
      <alignment horizontal="center"/>
    </xf>
    <xf numFmtId="0" fontId="0" fillId="12" borderId="54" xfId="0" applyFill="1" applyBorder="1"/>
    <xf numFmtId="0" fontId="28" fillId="12" borderId="68" xfId="14" applyFill="1" applyBorder="1" applyAlignment="1">
      <alignment horizontal="center"/>
    </xf>
    <xf numFmtId="0" fontId="26" fillId="12" borderId="54" xfId="0" applyFont="1" applyFill="1" applyBorder="1" applyAlignment="1">
      <alignment horizontal="center" wrapText="1"/>
    </xf>
    <xf numFmtId="167" fontId="26" fillId="12" borderId="54" xfId="0" applyNumberFormat="1" applyFont="1" applyFill="1" applyBorder="1" applyAlignment="1">
      <alignment horizontal="center" wrapText="1"/>
    </xf>
    <xf numFmtId="2" fontId="26" fillId="12" borderId="54" xfId="0" applyNumberFormat="1" applyFont="1" applyFill="1" applyBorder="1" applyAlignment="1">
      <alignment horizontal="center" wrapText="1"/>
    </xf>
    <xf numFmtId="0" fontId="28" fillId="12" borderId="67" xfId="14" applyFill="1" applyBorder="1" applyAlignment="1">
      <alignment horizontal="center"/>
    </xf>
    <xf numFmtId="2" fontId="28" fillId="12" borderId="54" xfId="14" applyNumberFormat="1" applyFill="1" applyBorder="1" applyAlignment="1">
      <alignment horizontal="center"/>
    </xf>
    <xf numFmtId="0" fontId="23" fillId="0" borderId="0" xfId="13" applyBorder="1"/>
    <xf numFmtId="0" fontId="28" fillId="0" borderId="21" xfId="14" applyFont="1" applyBorder="1" applyAlignment="1">
      <alignment horizontal="center"/>
    </xf>
    <xf numFmtId="14" fontId="26" fillId="0" borderId="21" xfId="0" applyNumberFormat="1" applyFont="1" applyFill="1" applyBorder="1" applyAlignment="1">
      <alignment horizontal="center" wrapText="1"/>
    </xf>
    <xf numFmtId="0" fontId="28" fillId="0" borderId="21" xfId="14" applyNumberFormat="1" applyBorder="1" applyAlignment="1">
      <alignment horizontal="center"/>
    </xf>
    <xf numFmtId="0" fontId="0" fillId="0" borderId="21" xfId="0" applyBorder="1"/>
    <xf numFmtId="2" fontId="28" fillId="0" borderId="21" xfId="14" applyNumberFormat="1" applyBorder="1" applyAlignment="1">
      <alignment horizontal="center"/>
    </xf>
    <xf numFmtId="0" fontId="23" fillId="12" borderId="0" xfId="13" applyFill="1" applyBorder="1"/>
    <xf numFmtId="0" fontId="0" fillId="12" borderId="0" xfId="0" applyFill="1" applyBorder="1"/>
    <xf numFmtId="14" fontId="48" fillId="12" borderId="21" xfId="14" applyNumberFormat="1" applyFont="1" applyFill="1" applyBorder="1"/>
    <xf numFmtId="0" fontId="28" fillId="12" borderId="42" xfId="14" applyNumberFormat="1" applyFill="1" applyBorder="1" applyAlignment="1">
      <alignment horizontal="center"/>
    </xf>
    <xf numFmtId="1" fontId="26" fillId="12" borderId="21" xfId="0" applyNumberFormat="1" applyFont="1" applyFill="1" applyBorder="1" applyAlignment="1">
      <alignment horizontal="center" wrapText="1"/>
    </xf>
    <xf numFmtId="167" fontId="26" fillId="12" borderId="21" xfId="0" applyNumberFormat="1" applyFont="1" applyFill="1" applyBorder="1" applyAlignment="1">
      <alignment horizontal="center" wrapText="1"/>
    </xf>
    <xf numFmtId="2" fontId="26" fillId="12" borderId="21" xfId="0" applyNumberFormat="1" applyFont="1" applyFill="1" applyBorder="1" applyAlignment="1">
      <alignment horizontal="center" wrapText="1"/>
    </xf>
    <xf numFmtId="2" fontId="28" fillId="12" borderId="69" xfId="14" applyNumberFormat="1" applyFill="1" applyBorder="1" applyAlignment="1">
      <alignment horizontal="center"/>
    </xf>
    <xf numFmtId="2" fontId="28" fillId="12" borderId="70" xfId="14" applyNumberFormat="1" applyFill="1" applyBorder="1" applyAlignment="1">
      <alignment horizontal="center"/>
    </xf>
    <xf numFmtId="0" fontId="26" fillId="0" borderId="71" xfId="0" applyFont="1" applyFill="1" applyBorder="1" applyAlignment="1">
      <alignment horizontal="center" wrapText="1"/>
    </xf>
    <xf numFmtId="0" fontId="26" fillId="0" borderId="21" xfId="0" applyFont="1" applyFill="1" applyBorder="1" applyAlignment="1">
      <alignment horizontal="center" wrapText="1"/>
    </xf>
    <xf numFmtId="166" fontId="23" fillId="11" borderId="21" xfId="13" applyNumberFormat="1" applyFill="1" applyBorder="1" applyAlignment="1">
      <alignment horizontal="center"/>
    </xf>
    <xf numFmtId="166" fontId="23" fillId="11" borderId="17" xfId="13" applyNumberFormat="1" applyFill="1" applyBorder="1" applyAlignment="1">
      <alignment horizontal="center"/>
    </xf>
    <xf numFmtId="14" fontId="0" fillId="0" borderId="0" xfId="0" applyNumberFormat="1" applyFill="1"/>
    <xf numFmtId="167" fontId="0" fillId="0" borderId="0" xfId="0" applyNumberFormat="1"/>
    <xf numFmtId="0" fontId="41" fillId="8" borderId="17" xfId="13" applyFont="1" applyFill="1" applyBorder="1" applyAlignment="1">
      <alignment horizontal="center" vertical="center"/>
    </xf>
    <xf numFmtId="14" fontId="41" fillId="9" borderId="17" xfId="13" applyNumberFormat="1" applyFont="1" applyFill="1" applyBorder="1" applyAlignment="1">
      <alignment horizontal="center" vertical="center"/>
    </xf>
    <xf numFmtId="14" fontId="42" fillId="0" borderId="17" xfId="13" applyNumberFormat="1" applyFont="1" applyBorder="1" applyAlignment="1">
      <alignment horizontal="center" vertical="center"/>
    </xf>
    <xf numFmtId="0" fontId="42" fillId="0" borderId="17" xfId="13" applyFont="1" applyBorder="1" applyAlignment="1">
      <alignment horizontal="center" vertical="center"/>
    </xf>
    <xf numFmtId="0" fontId="28" fillId="0" borderId="17" xfId="14" applyBorder="1" applyAlignment="1">
      <alignment horizontal="center" vertical="center"/>
    </xf>
    <xf numFmtId="0" fontId="28" fillId="0" borderId="17" xfId="14" applyFont="1" applyBorder="1" applyAlignment="1">
      <alignment horizontal="center" vertical="center"/>
    </xf>
    <xf numFmtId="0" fontId="45" fillId="0" borderId="17" xfId="14" applyFont="1" applyBorder="1" applyAlignment="1">
      <alignment horizontal="center" vertical="center"/>
    </xf>
    <xf numFmtId="3" fontId="45" fillId="0" borderId="17" xfId="14" applyNumberFormat="1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 wrapText="1"/>
    </xf>
    <xf numFmtId="0" fontId="50" fillId="0" borderId="17" xfId="14" applyFont="1" applyBorder="1" applyAlignment="1">
      <alignment horizontal="center" vertical="center"/>
    </xf>
    <xf numFmtId="0" fontId="23" fillId="0" borderId="17" xfId="13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13" borderId="46" xfId="0" applyFill="1" applyBorder="1" applyAlignment="1">
      <alignment horizontal="center" vertical="center"/>
    </xf>
    <xf numFmtId="0" fontId="0" fillId="13" borderId="47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0" fontId="29" fillId="0" borderId="0" xfId="0" applyFont="1" applyBorder="1"/>
    <xf numFmtId="0" fontId="38" fillId="0" borderId="12" xfId="0" applyFont="1" applyBorder="1"/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23" fillId="0" borderId="0" xfId="13" applyAlignment="1">
      <alignment horizontal="center"/>
    </xf>
    <xf numFmtId="0" fontId="34" fillId="0" borderId="0" xfId="13" applyFont="1" applyBorder="1" applyAlignment="1">
      <alignment horizontal="center"/>
    </xf>
    <xf numFmtId="0" fontId="23" fillId="0" borderId="0" xfId="13" applyBorder="1" applyAlignment="1">
      <alignment horizontal="center" vertical="center"/>
    </xf>
    <xf numFmtId="0" fontId="56" fillId="14" borderId="17" xfId="0" applyFont="1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5" fillId="14" borderId="17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wrapText="1"/>
    </xf>
    <xf numFmtId="0" fontId="26" fillId="0" borderId="61" xfId="0" applyFont="1" applyFill="1" applyBorder="1" applyAlignment="1">
      <alignment horizontal="center" wrapText="1"/>
    </xf>
    <xf numFmtId="0" fontId="26" fillId="0" borderId="62" xfId="0" applyFont="1" applyFill="1" applyBorder="1" applyAlignment="1">
      <alignment horizontal="center" wrapText="1"/>
    </xf>
    <xf numFmtId="0" fontId="26" fillId="12" borderId="54" xfId="0" applyFont="1" applyFill="1" applyBorder="1" applyAlignment="1">
      <alignment horizontal="center" wrapText="1"/>
    </xf>
    <xf numFmtId="0" fontId="26" fillId="12" borderId="39" xfId="0" applyFont="1" applyFill="1" applyBorder="1" applyAlignment="1">
      <alignment horizontal="center" wrapText="1"/>
    </xf>
    <xf numFmtId="0" fontId="26" fillId="12" borderId="47" xfId="0" applyFont="1" applyFill="1" applyBorder="1" applyAlignment="1">
      <alignment horizontal="center" wrapText="1"/>
    </xf>
    <xf numFmtId="0" fontId="26" fillId="12" borderId="17" xfId="0" applyFont="1" applyFill="1" applyBorder="1" applyAlignment="1">
      <alignment horizontal="center" wrapText="1"/>
    </xf>
    <xf numFmtId="0" fontId="26" fillId="12" borderId="24" xfId="0" applyFont="1" applyFill="1" applyBorder="1" applyAlignment="1">
      <alignment horizontal="center" wrapText="1"/>
    </xf>
    <xf numFmtId="0" fontId="26" fillId="0" borderId="54" xfId="0" applyFont="1" applyFill="1" applyBorder="1" applyAlignment="1">
      <alignment horizontal="center" wrapText="1"/>
    </xf>
    <xf numFmtId="167" fontId="26" fillId="0" borderId="17" xfId="0" applyNumberFormat="1" applyFont="1" applyFill="1" applyBorder="1" applyAlignment="1">
      <alignment horizontal="center" wrapText="1"/>
    </xf>
    <xf numFmtId="2" fontId="26" fillId="0" borderId="17" xfId="0" applyNumberFormat="1" applyFont="1" applyFill="1" applyBorder="1" applyAlignment="1">
      <alignment horizontal="center" wrapText="1"/>
    </xf>
    <xf numFmtId="167" fontId="26" fillId="0" borderId="54" xfId="0" applyNumberFormat="1" applyFont="1" applyFill="1" applyBorder="1" applyAlignment="1">
      <alignment horizontal="center" wrapText="1"/>
    </xf>
    <xf numFmtId="2" fontId="26" fillId="0" borderId="54" xfId="0" applyNumberFormat="1" applyFont="1" applyFill="1" applyBorder="1" applyAlignment="1">
      <alignment horizontal="center" wrapText="1"/>
    </xf>
    <xf numFmtId="1" fontId="26" fillId="12" borderId="54" xfId="0" applyNumberFormat="1" applyFont="1" applyFill="1" applyBorder="1" applyAlignment="1">
      <alignment horizontal="center" wrapText="1"/>
    </xf>
    <xf numFmtId="0" fontId="28" fillId="12" borderId="57" xfId="14" applyFill="1" applyBorder="1" applyAlignment="1">
      <alignment horizontal="center"/>
    </xf>
    <xf numFmtId="0" fontId="28" fillId="12" borderId="58" xfId="14" applyFill="1" applyBorder="1" applyAlignment="1">
      <alignment horizontal="center"/>
    </xf>
    <xf numFmtId="0" fontId="23" fillId="12" borderId="54" xfId="13" applyFill="1" applyBorder="1" applyAlignment="1">
      <alignment horizontal="center"/>
    </xf>
    <xf numFmtId="167" fontId="26" fillId="0" borderId="21" xfId="0" applyNumberFormat="1" applyFont="1" applyFill="1" applyBorder="1" applyAlignment="1">
      <alignment horizontal="center" wrapText="1"/>
    </xf>
    <xf numFmtId="2" fontId="26" fillId="0" borderId="61" xfId="0" applyNumberFormat="1" applyFont="1" applyFill="1" applyBorder="1" applyAlignment="1">
      <alignment horizontal="center" wrapText="1"/>
    </xf>
    <xf numFmtId="2" fontId="26" fillId="0" borderId="62" xfId="0" applyNumberFormat="1" applyFont="1" applyFill="1" applyBorder="1" applyAlignment="1">
      <alignment horizontal="center" wrapText="1"/>
    </xf>
    <xf numFmtId="0" fontId="26" fillId="0" borderId="64" xfId="0" applyFont="1" applyFill="1" applyBorder="1" applyAlignment="1">
      <alignment horizontal="center" wrapText="1"/>
    </xf>
    <xf numFmtId="1" fontId="26" fillId="12" borderId="19" xfId="0" applyNumberFormat="1" applyFont="1" applyFill="1" applyBorder="1" applyAlignment="1">
      <alignment horizontal="center" wrapText="1"/>
    </xf>
    <xf numFmtId="1" fontId="26" fillId="12" borderId="23" xfId="0" applyNumberFormat="1" applyFont="1" applyFill="1" applyBorder="1" applyAlignment="1">
      <alignment horizontal="center" wrapText="1"/>
    </xf>
    <xf numFmtId="0" fontId="28" fillId="12" borderId="22" xfId="14" applyFill="1" applyBorder="1" applyAlignment="1">
      <alignment horizontal="center"/>
    </xf>
    <xf numFmtId="0" fontId="28" fillId="12" borderId="51" xfId="14" applyFill="1" applyBorder="1" applyAlignment="1">
      <alignment horizontal="center"/>
    </xf>
    <xf numFmtId="0" fontId="23" fillId="12" borderId="17" xfId="13" applyFill="1" applyBorder="1" applyAlignment="1">
      <alignment horizontal="center"/>
    </xf>
    <xf numFmtId="49" fontId="43" fillId="9" borderId="26" xfId="14" applyNumberFormat="1" applyFont="1" applyFill="1" applyBorder="1" applyAlignment="1">
      <alignment horizontal="center"/>
    </xf>
    <xf numFmtId="49" fontId="43" fillId="9" borderId="27" xfId="14" applyNumberFormat="1" applyFont="1" applyFill="1" applyBorder="1" applyAlignment="1">
      <alignment horizontal="center"/>
    </xf>
    <xf numFmtId="49" fontId="43" fillId="9" borderId="28" xfId="14" applyNumberFormat="1" applyFont="1" applyFill="1" applyBorder="1" applyAlignment="1">
      <alignment horizontal="center"/>
    </xf>
    <xf numFmtId="49" fontId="43" fillId="9" borderId="29" xfId="14" applyNumberFormat="1" applyFont="1" applyFill="1" applyBorder="1" applyAlignment="1">
      <alignment horizontal="center"/>
    </xf>
    <xf numFmtId="0" fontId="44" fillId="9" borderId="30" xfId="13" applyFont="1" applyFill="1" applyBorder="1" applyAlignment="1">
      <alignment horizontal="center"/>
    </xf>
    <xf numFmtId="0" fontId="44" fillId="9" borderId="31" xfId="13" applyFont="1" applyFill="1" applyBorder="1" applyAlignment="1">
      <alignment horizontal="center"/>
    </xf>
    <xf numFmtId="0" fontId="40" fillId="9" borderId="17" xfId="13" applyFont="1" applyFill="1" applyBorder="1" applyAlignment="1">
      <alignment horizontal="center"/>
    </xf>
    <xf numFmtId="0" fontId="40" fillId="9" borderId="19" xfId="13" applyFont="1" applyFill="1" applyBorder="1" applyAlignment="1">
      <alignment horizontal="center"/>
    </xf>
    <xf numFmtId="14" fontId="41" fillId="9" borderId="17" xfId="13" applyNumberFormat="1" applyFont="1" applyFill="1" applyBorder="1" applyAlignment="1">
      <alignment horizontal="center" vertical="center"/>
    </xf>
    <xf numFmtId="16" fontId="49" fillId="0" borderId="0" xfId="14" applyNumberFormat="1" applyFont="1" applyAlignment="1">
      <alignment horizontal="center" vertical="center"/>
    </xf>
    <xf numFmtId="14" fontId="42" fillId="0" borderId="17" xfId="13" applyNumberFormat="1" applyFont="1" applyBorder="1" applyAlignment="1">
      <alignment horizontal="center" vertical="center"/>
    </xf>
  </cellXfs>
  <cellStyles count="16">
    <cellStyle name="Lien hypertexte" xfId="1" builtinId="8"/>
    <cellStyle name="Lien hypertexte 2" xfId="2"/>
    <cellStyle name="Lien hypertexte 3" xfId="3"/>
    <cellStyle name="Lien hypertexte 4" xfId="4"/>
    <cellStyle name="Normal" xfId="0" builtinId="0"/>
    <cellStyle name="Normal 10" xfId="5"/>
    <cellStyle name="Normal 2" xfId="6"/>
    <cellStyle name="Normal 2 2" xfId="14"/>
    <cellStyle name="Normal 3" xfId="7"/>
    <cellStyle name="Normal 3 2" xfId="8"/>
    <cellStyle name="Normal 4" xfId="9"/>
    <cellStyle name="Normal 5" xfId="10"/>
    <cellStyle name="Normal 6" xfId="13"/>
    <cellStyle name="Normal 7" xfId="12"/>
    <cellStyle name="Normal 8 2" xfId="15"/>
    <cellStyle name="Normalny 2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26</xdr:row>
      <xdr:rowOff>0</xdr:rowOff>
    </xdr:from>
    <xdr:to>
      <xdr:col>29</xdr:col>
      <xdr:colOff>752475</xdr:colOff>
      <xdr:row>31</xdr:row>
      <xdr:rowOff>47626</xdr:rowOff>
    </xdr:to>
    <xdr:pic>
      <xdr:nvPicPr>
        <xdr:cNvPr id="8" name="Imag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2631281"/>
          <a:ext cx="10658475" cy="821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29</xdr:col>
      <xdr:colOff>523875</xdr:colOff>
      <xdr:row>44</xdr:row>
      <xdr:rowOff>76200</xdr:rowOff>
    </xdr:to>
    <xdr:pic>
      <xdr:nvPicPr>
        <xdr:cNvPr id="9" name="Imag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3657600"/>
          <a:ext cx="10429875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ddugue@ragt.fr" TargetMode="External"/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zoomScale="95" zoomScaleNormal="95" workbookViewId="0">
      <selection activeCell="C23" sqref="C23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87" t="s">
        <v>5</v>
      </c>
      <c r="B5" s="387"/>
      <c r="C5" s="387"/>
      <c r="D5" s="387"/>
      <c r="E5" s="387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88" t="s">
        <v>6</v>
      </c>
      <c r="B7" s="389" t="s">
        <v>7</v>
      </c>
      <c r="C7" s="389"/>
      <c r="D7" s="389"/>
      <c r="E7" s="389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88"/>
      <c r="B8" s="390" t="s">
        <v>8</v>
      </c>
      <c r="C8" s="390"/>
      <c r="D8" s="390"/>
      <c r="E8" s="390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88"/>
      <c r="B9" s="391" t="s">
        <v>9</v>
      </c>
      <c r="C9" s="391"/>
      <c r="D9" s="391"/>
      <c r="E9" s="391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92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92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93" t="s">
        <v>29</v>
      </c>
      <c r="B69" s="394" t="s">
        <v>196</v>
      </c>
      <c r="C69" s="87" t="s">
        <v>197</v>
      </c>
      <c r="D69" s="87" t="s">
        <v>198</v>
      </c>
      <c r="E69" s="386" t="s">
        <v>199</v>
      </c>
      <c r="F69" s="386" t="s">
        <v>200</v>
      </c>
      <c r="G69" s="386" t="s">
        <v>201</v>
      </c>
      <c r="H69" s="386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93"/>
      <c r="B70" s="394"/>
      <c r="C70" s="90" t="s">
        <v>204</v>
      </c>
      <c r="D70" s="90" t="s">
        <v>205</v>
      </c>
      <c r="E70" s="386"/>
      <c r="F70" s="386"/>
      <c r="G70" s="386"/>
      <c r="H70" s="386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P2"/>
  <sheetViews>
    <sheetView zoomScale="95" zoomScaleNormal="95" workbookViewId="0">
      <selection activeCell="A12" sqref="A12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A2" s="111" t="s">
        <v>7872</v>
      </c>
      <c r="B2" s="111" t="s">
        <v>7873</v>
      </c>
      <c r="C2" s="155"/>
      <c r="D2" s="155"/>
      <c r="G2" s="112" t="s">
        <v>7451</v>
      </c>
      <c r="N2" s="112" t="s">
        <v>243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C12" sqref="C12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7452</v>
      </c>
      <c r="G2" s="117" t="s">
        <v>7453</v>
      </c>
      <c r="H2" s="123"/>
      <c r="I2" s="123"/>
      <c r="J2" s="118" t="s">
        <v>2672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3"/>
  <sheetViews>
    <sheetView zoomScale="95" zoomScaleNormal="95" workbookViewId="0">
      <selection activeCell="F49" sqref="F49"/>
    </sheetView>
  </sheetViews>
  <sheetFormatPr baseColWidth="10" defaultColWidth="10.7109375" defaultRowHeight="12.75"/>
  <cols>
    <col min="1" max="1" width="8.7109375" style="124" customWidth="1"/>
    <col min="2" max="2" width="10.85546875" style="124" customWidth="1"/>
    <col min="3" max="3" width="11.140625" style="124" customWidth="1"/>
    <col min="4" max="4" width="7.42578125" style="112" customWidth="1"/>
    <col min="5" max="5" width="4.5703125" style="118" customWidth="1"/>
    <col min="6" max="6" width="26" style="124" customWidth="1"/>
    <col min="7" max="7" width="23.7109375" style="124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5" t="s">
        <v>101</v>
      </c>
      <c r="F1" s="114" t="s">
        <v>102</v>
      </c>
      <c r="G1" s="114" t="s">
        <v>103</v>
      </c>
      <c r="H1" s="115" t="s">
        <v>104</v>
      </c>
    </row>
    <row r="2" spans="1:8">
      <c r="A2" s="126" t="s">
        <v>113</v>
      </c>
      <c r="B2" s="126" t="s">
        <v>244</v>
      </c>
      <c r="C2" s="126" t="s">
        <v>245</v>
      </c>
      <c r="F2" s="127" t="s">
        <v>246</v>
      </c>
      <c r="G2" s="126" t="s">
        <v>119</v>
      </c>
      <c r="H2" s="128" t="s">
        <v>247</v>
      </c>
    </row>
    <row r="3" spans="1:8">
      <c r="B3" s="124" t="s">
        <v>7454</v>
      </c>
      <c r="C3" s="124" t="s">
        <v>7455</v>
      </c>
      <c r="F3" s="156" t="s">
        <v>7456</v>
      </c>
      <c r="G3" s="124" t="s">
        <v>7457</v>
      </c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4"/>
  <sheetViews>
    <sheetView zoomScale="70" zoomScaleNormal="70" workbookViewId="0">
      <selection activeCell="B44" sqref="B44"/>
    </sheetView>
  </sheetViews>
  <sheetFormatPr baseColWidth="10" defaultColWidth="12.7109375" defaultRowHeight="12.75"/>
  <cols>
    <col min="1" max="1" width="41.42578125" style="124" customWidth="1"/>
    <col min="2" max="2" width="17.7109375" style="124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7.42578125" style="112" customWidth="1"/>
    <col min="7" max="7" width="15.42578125" style="112" customWidth="1"/>
    <col min="8" max="8" width="10.42578125" style="112" customWidth="1"/>
    <col min="9" max="16384" width="12.7109375" style="129"/>
  </cols>
  <sheetData>
    <row r="1" spans="1:8" s="130" customFormat="1">
      <c r="A1" s="159" t="s">
        <v>126</v>
      </c>
      <c r="B1" s="159" t="s">
        <v>127</v>
      </c>
      <c r="C1" s="160" t="s">
        <v>128</v>
      </c>
      <c r="D1" s="161" t="s">
        <v>29</v>
      </c>
      <c r="E1" s="161" t="s">
        <v>129</v>
      </c>
      <c r="F1" s="161" t="s">
        <v>130</v>
      </c>
      <c r="G1" s="162" t="s">
        <v>131</v>
      </c>
      <c r="H1" s="162" t="s">
        <v>74</v>
      </c>
    </row>
    <row r="2" spans="1:8" ht="89.25">
      <c r="A2" s="163" t="s">
        <v>248</v>
      </c>
      <c r="B2" s="163" t="s">
        <v>7906</v>
      </c>
      <c r="C2" s="164" t="s">
        <v>7907</v>
      </c>
      <c r="D2" s="165" t="s">
        <v>7908</v>
      </c>
      <c r="E2" s="165" t="s">
        <v>7909</v>
      </c>
      <c r="F2" s="166" t="s">
        <v>7910</v>
      </c>
      <c r="G2" s="167"/>
      <c r="H2" s="167"/>
    </row>
    <row r="3" spans="1:8" ht="38.25">
      <c r="A3" s="163" t="s">
        <v>248</v>
      </c>
      <c r="B3" s="163" t="s">
        <v>7911</v>
      </c>
      <c r="C3" s="164" t="s">
        <v>7912</v>
      </c>
      <c r="D3" s="165" t="s">
        <v>7913</v>
      </c>
      <c r="E3" s="165" t="s">
        <v>7914</v>
      </c>
      <c r="F3" s="166" t="s">
        <v>7915</v>
      </c>
      <c r="G3" s="167"/>
      <c r="H3" s="167"/>
    </row>
    <row r="4" spans="1:8" ht="38.25">
      <c r="A4" s="163" t="s">
        <v>248</v>
      </c>
      <c r="B4" s="163" t="s">
        <v>7916</v>
      </c>
      <c r="C4" s="164" t="s">
        <v>7917</v>
      </c>
      <c r="D4" s="165" t="s">
        <v>7918</v>
      </c>
      <c r="E4" s="165" t="s">
        <v>250</v>
      </c>
      <c r="F4" s="166" t="s">
        <v>7919</v>
      </c>
      <c r="G4" s="167"/>
      <c r="H4" s="167"/>
    </row>
    <row r="5" spans="1:8" ht="76.5">
      <c r="A5" s="163" t="s">
        <v>248</v>
      </c>
      <c r="B5" s="163" t="s">
        <v>7920</v>
      </c>
      <c r="C5" s="164" t="s">
        <v>7921</v>
      </c>
      <c r="D5" s="165" t="s">
        <v>7922</v>
      </c>
      <c r="E5" s="165" t="s">
        <v>251</v>
      </c>
      <c r="F5" s="166" t="s">
        <v>7923</v>
      </c>
      <c r="G5" s="167"/>
      <c r="H5" s="167"/>
    </row>
    <row r="6" spans="1:8" ht="38.25">
      <c r="A6" s="163" t="s">
        <v>248</v>
      </c>
      <c r="B6" s="163" t="s">
        <v>7924</v>
      </c>
      <c r="C6" s="164" t="s">
        <v>7925</v>
      </c>
      <c r="D6" s="165" t="s">
        <v>7926</v>
      </c>
      <c r="E6" s="165" t="s">
        <v>251</v>
      </c>
      <c r="F6" s="166" t="s">
        <v>7927</v>
      </c>
      <c r="G6" s="167"/>
      <c r="H6" s="167"/>
    </row>
    <row r="7" spans="1:8" ht="20.25" customHeight="1">
      <c r="A7" s="163" t="s">
        <v>248</v>
      </c>
      <c r="B7" s="163" t="s">
        <v>258</v>
      </c>
      <c r="C7" s="164" t="s">
        <v>7867</v>
      </c>
      <c r="D7" s="165" t="s">
        <v>7928</v>
      </c>
      <c r="E7" s="165" t="s">
        <v>7929</v>
      </c>
      <c r="F7" s="166" t="s">
        <v>7930</v>
      </c>
      <c r="G7" s="167"/>
      <c r="H7" s="167"/>
    </row>
    <row r="8" spans="1:8" ht="38.25">
      <c r="A8" s="163" t="s">
        <v>248</v>
      </c>
      <c r="B8" s="163" t="s">
        <v>7931</v>
      </c>
      <c r="C8" s="164" t="s">
        <v>7932</v>
      </c>
      <c r="D8" s="165" t="s">
        <v>7933</v>
      </c>
      <c r="E8" s="165" t="s">
        <v>249</v>
      </c>
      <c r="F8" s="166" t="s">
        <v>7934</v>
      </c>
      <c r="G8" s="167"/>
      <c r="H8" s="167"/>
    </row>
    <row r="9" spans="1:8" ht="25.5">
      <c r="A9" s="163" t="s">
        <v>248</v>
      </c>
      <c r="B9" s="163" t="s">
        <v>7935</v>
      </c>
      <c r="C9" s="164" t="s">
        <v>7936</v>
      </c>
      <c r="D9" s="165" t="s">
        <v>7937</v>
      </c>
      <c r="E9" s="165" t="s">
        <v>7914</v>
      </c>
      <c r="F9" s="166" t="s">
        <v>7938</v>
      </c>
      <c r="G9" s="167"/>
      <c r="H9" s="167"/>
    </row>
    <row r="10" spans="1:8">
      <c r="A10" s="163" t="s">
        <v>248</v>
      </c>
      <c r="B10" s="163" t="s">
        <v>257</v>
      </c>
      <c r="C10" s="164" t="s">
        <v>7866</v>
      </c>
      <c r="D10" s="165" t="s">
        <v>7939</v>
      </c>
      <c r="E10" s="165" t="s">
        <v>7929</v>
      </c>
      <c r="F10" s="166" t="s">
        <v>7940</v>
      </c>
      <c r="G10" s="167"/>
      <c r="H10" s="167"/>
    </row>
    <row r="11" spans="1:8" ht="20.25" customHeight="1">
      <c r="A11" s="163" t="s">
        <v>248</v>
      </c>
      <c r="B11" s="163" t="s">
        <v>255</v>
      </c>
      <c r="C11" s="164" t="s">
        <v>7941</v>
      </c>
      <c r="D11" s="165" t="s">
        <v>7942</v>
      </c>
      <c r="E11" s="165" t="s">
        <v>7943</v>
      </c>
      <c r="F11" s="166" t="s">
        <v>7944</v>
      </c>
      <c r="G11" s="167"/>
      <c r="H11" s="167"/>
    </row>
    <row r="12" spans="1:8" ht="25.5">
      <c r="A12" s="163" t="s">
        <v>248</v>
      </c>
      <c r="B12" s="163" t="s">
        <v>252</v>
      </c>
      <c r="C12" s="164" t="s">
        <v>7945</v>
      </c>
      <c r="D12" s="165" t="s">
        <v>7946</v>
      </c>
      <c r="E12" s="165" t="s">
        <v>7929</v>
      </c>
      <c r="F12" s="166" t="s">
        <v>7947</v>
      </c>
      <c r="G12" s="167"/>
      <c r="H12" s="167"/>
    </row>
    <row r="13" spans="1:8" ht="38.25">
      <c r="A13" s="163" t="s">
        <v>248</v>
      </c>
      <c r="B13" s="163" t="s">
        <v>7948</v>
      </c>
      <c r="C13" s="164" t="s">
        <v>7949</v>
      </c>
      <c r="D13" s="165" t="s">
        <v>7950</v>
      </c>
      <c r="E13" s="165" t="s">
        <v>7929</v>
      </c>
      <c r="F13" s="166" t="s">
        <v>7951</v>
      </c>
      <c r="G13" s="167"/>
      <c r="H13" s="167"/>
    </row>
    <row r="14" spans="1:8" ht="51">
      <c r="A14" s="163" t="s">
        <v>248</v>
      </c>
      <c r="B14" s="163" t="s">
        <v>253</v>
      </c>
      <c r="C14" s="164" t="s">
        <v>7952</v>
      </c>
      <c r="D14" s="165" t="s">
        <v>7953</v>
      </c>
      <c r="E14" s="165" t="s">
        <v>254</v>
      </c>
      <c r="F14" s="166" t="s">
        <v>7954</v>
      </c>
      <c r="G14" s="167"/>
      <c r="H14" s="167"/>
    </row>
    <row r="15" spans="1:8" ht="25.5">
      <c r="A15" s="163" t="s">
        <v>248</v>
      </c>
      <c r="B15" s="163" t="s">
        <v>8059</v>
      </c>
      <c r="C15" s="164" t="s">
        <v>7955</v>
      </c>
      <c r="D15" s="165" t="s">
        <v>7956</v>
      </c>
      <c r="E15" s="165" t="s">
        <v>143</v>
      </c>
      <c r="F15" s="166" t="s">
        <v>7957</v>
      </c>
      <c r="G15" s="167"/>
      <c r="H15" s="168"/>
    </row>
    <row r="16" spans="1:8" ht="60">
      <c r="A16" s="163" t="s">
        <v>248</v>
      </c>
      <c r="B16" s="163" t="s">
        <v>7958</v>
      </c>
      <c r="C16" s="164" t="s">
        <v>7959</v>
      </c>
      <c r="D16" s="165" t="s">
        <v>7960</v>
      </c>
      <c r="E16" s="165" t="s">
        <v>7961</v>
      </c>
      <c r="F16" s="166" t="s">
        <v>7962</v>
      </c>
      <c r="G16" s="167"/>
      <c r="H16" s="167"/>
    </row>
    <row r="17" spans="1:8" ht="36">
      <c r="A17" s="163" t="s">
        <v>248</v>
      </c>
      <c r="B17" s="163" t="s">
        <v>7963</v>
      </c>
      <c r="C17" s="164" t="s">
        <v>7964</v>
      </c>
      <c r="D17" s="165" t="s">
        <v>7965</v>
      </c>
      <c r="E17" s="165" t="s">
        <v>7966</v>
      </c>
      <c r="F17" s="166" t="s">
        <v>7962</v>
      </c>
      <c r="G17" s="167"/>
      <c r="H17" s="167"/>
    </row>
    <row r="18" spans="1:8" ht="36">
      <c r="A18" s="170" t="s">
        <v>248</v>
      </c>
      <c r="B18" s="170" t="s">
        <v>7967</v>
      </c>
      <c r="C18" s="171" t="s">
        <v>7968</v>
      </c>
      <c r="D18" s="172" t="s">
        <v>7969</v>
      </c>
      <c r="E18" s="172" t="s">
        <v>7966</v>
      </c>
      <c r="F18" s="173" t="s">
        <v>7962</v>
      </c>
      <c r="G18" s="174"/>
      <c r="H18" s="174"/>
    </row>
    <row r="19" spans="1:8" ht="114.75">
      <c r="A19" s="163" t="s">
        <v>248</v>
      </c>
      <c r="B19" s="163" t="s">
        <v>7970</v>
      </c>
      <c r="C19" s="164" t="s">
        <v>7971</v>
      </c>
      <c r="D19" s="169" t="s">
        <v>7972</v>
      </c>
      <c r="E19" s="165" t="s">
        <v>7966</v>
      </c>
      <c r="F19" s="166" t="s">
        <v>7973</v>
      </c>
      <c r="G19" s="167"/>
      <c r="H19" s="167"/>
    </row>
    <row r="20" spans="1:8" ht="36">
      <c r="A20" s="163" t="s">
        <v>248</v>
      </c>
      <c r="B20" s="163" t="s">
        <v>7974</v>
      </c>
      <c r="C20" s="164" t="s">
        <v>7975</v>
      </c>
      <c r="D20" s="165" t="s">
        <v>7976</v>
      </c>
      <c r="E20" s="165" t="s">
        <v>7966</v>
      </c>
      <c r="F20" s="166" t="s">
        <v>7962</v>
      </c>
      <c r="G20" s="167"/>
      <c r="H20" s="167"/>
    </row>
    <row r="21" spans="1:8" ht="36">
      <c r="A21" s="163" t="s">
        <v>248</v>
      </c>
      <c r="B21" s="163" t="s">
        <v>7977</v>
      </c>
      <c r="C21" s="164" t="s">
        <v>7978</v>
      </c>
      <c r="D21" s="165" t="s">
        <v>7979</v>
      </c>
      <c r="E21" s="165" t="s">
        <v>7966</v>
      </c>
      <c r="F21" s="166" t="s">
        <v>7962</v>
      </c>
      <c r="G21" s="167"/>
      <c r="H21" s="167"/>
    </row>
    <row r="22" spans="1:8" ht="36">
      <c r="A22" s="163" t="s">
        <v>248</v>
      </c>
      <c r="B22" s="163" t="s">
        <v>7980</v>
      </c>
      <c r="C22" s="164" t="s">
        <v>7981</v>
      </c>
      <c r="D22" s="165" t="s">
        <v>7982</v>
      </c>
      <c r="E22" s="165" t="s">
        <v>7966</v>
      </c>
      <c r="F22" s="166" t="s">
        <v>7962</v>
      </c>
      <c r="G22" s="167"/>
      <c r="H22" s="167"/>
    </row>
    <row r="23" spans="1:8" ht="89.25">
      <c r="A23" s="163" t="s">
        <v>248</v>
      </c>
      <c r="B23" s="163" t="s">
        <v>7983</v>
      </c>
      <c r="C23" s="164" t="s">
        <v>7984</v>
      </c>
      <c r="D23" s="165" t="s">
        <v>7985</v>
      </c>
      <c r="E23" s="165" t="s">
        <v>7966</v>
      </c>
      <c r="F23" s="166" t="s">
        <v>7986</v>
      </c>
      <c r="G23" s="167"/>
      <c r="H23" s="168"/>
    </row>
    <row r="24" spans="1:8" ht="36">
      <c r="A24" s="163" t="s">
        <v>248</v>
      </c>
      <c r="B24" s="163" t="s">
        <v>7987</v>
      </c>
      <c r="C24" s="164" t="s">
        <v>7988</v>
      </c>
      <c r="D24" s="165" t="s">
        <v>7989</v>
      </c>
      <c r="E24" s="165" t="s">
        <v>7966</v>
      </c>
      <c r="F24" s="166" t="s">
        <v>7962</v>
      </c>
      <c r="G24" s="167"/>
      <c r="H24" s="168"/>
    </row>
    <row r="25" spans="1:8" ht="89.25">
      <c r="A25" s="163" t="s">
        <v>248</v>
      </c>
      <c r="B25" s="163" t="s">
        <v>7990</v>
      </c>
      <c r="C25" s="164" t="s">
        <v>7991</v>
      </c>
      <c r="D25" s="165" t="s">
        <v>7992</v>
      </c>
      <c r="E25" s="165" t="s">
        <v>7966</v>
      </c>
      <c r="F25" s="166" t="s">
        <v>7993</v>
      </c>
      <c r="G25" s="167"/>
      <c r="H25" s="168"/>
    </row>
    <row r="26" spans="1:8" ht="38.25">
      <c r="A26" s="163" t="s">
        <v>248</v>
      </c>
      <c r="B26" s="163" t="s">
        <v>7994</v>
      </c>
      <c r="C26" s="164" t="s">
        <v>7995</v>
      </c>
      <c r="D26" s="165" t="s">
        <v>7996</v>
      </c>
      <c r="E26" s="165" t="s">
        <v>251</v>
      </c>
      <c r="F26" s="166" t="s">
        <v>7997</v>
      </c>
      <c r="G26" s="167"/>
      <c r="H26" s="168"/>
    </row>
    <row r="27" spans="1:8">
      <c r="A27" s="163" t="s">
        <v>248</v>
      </c>
      <c r="B27" s="163" t="s">
        <v>7998</v>
      </c>
      <c r="C27" s="164" t="s">
        <v>7999</v>
      </c>
      <c r="D27" s="165" t="s">
        <v>8000</v>
      </c>
      <c r="E27" s="165" t="s">
        <v>8001</v>
      </c>
      <c r="F27" s="166" t="s">
        <v>8002</v>
      </c>
      <c r="G27" s="167"/>
      <c r="H27" s="168"/>
    </row>
    <row r="28" spans="1:8">
      <c r="A28" s="163" t="s">
        <v>248</v>
      </c>
      <c r="B28" s="163" t="s">
        <v>8003</v>
      </c>
      <c r="C28" s="164" t="s">
        <v>8004</v>
      </c>
      <c r="D28" s="165" t="s">
        <v>8005</v>
      </c>
      <c r="E28" s="165" t="s">
        <v>8001</v>
      </c>
      <c r="F28" s="166" t="s">
        <v>8002</v>
      </c>
      <c r="G28" s="167"/>
      <c r="H28" s="168"/>
    </row>
    <row r="29" spans="1:8">
      <c r="A29" s="163" t="s">
        <v>248</v>
      </c>
      <c r="B29" s="163" t="s">
        <v>8006</v>
      </c>
      <c r="C29" s="164" t="s">
        <v>8007</v>
      </c>
      <c r="D29" s="165" t="s">
        <v>8008</v>
      </c>
      <c r="E29" s="165" t="s">
        <v>8001</v>
      </c>
      <c r="F29" s="166" t="s">
        <v>8002</v>
      </c>
      <c r="G29" s="167"/>
      <c r="H29" s="168"/>
    </row>
    <row r="30" spans="1:8">
      <c r="A30" s="163" t="s">
        <v>248</v>
      </c>
      <c r="B30" s="163" t="s">
        <v>8009</v>
      </c>
      <c r="C30" s="164" t="s">
        <v>8010</v>
      </c>
      <c r="D30" s="165" t="s">
        <v>8011</v>
      </c>
      <c r="E30" s="165" t="s">
        <v>8001</v>
      </c>
      <c r="F30" s="166" t="s">
        <v>8002</v>
      </c>
      <c r="G30" s="167"/>
      <c r="H30" s="168"/>
    </row>
    <row r="31" spans="1:8">
      <c r="A31" s="163" t="s">
        <v>248</v>
      </c>
      <c r="B31" s="163" t="s">
        <v>8012</v>
      </c>
      <c r="C31" s="164" t="s">
        <v>8013</v>
      </c>
      <c r="D31" s="165" t="s">
        <v>8014</v>
      </c>
      <c r="E31" s="165" t="s">
        <v>8001</v>
      </c>
      <c r="F31" s="166" t="s">
        <v>8002</v>
      </c>
      <c r="G31" s="167"/>
      <c r="H31" s="168"/>
    </row>
    <row r="32" spans="1:8">
      <c r="A32" s="163" t="s">
        <v>248</v>
      </c>
      <c r="B32" s="163" t="s">
        <v>8015</v>
      </c>
      <c r="C32" s="164" t="s">
        <v>8016</v>
      </c>
      <c r="D32" s="165" t="s">
        <v>8017</v>
      </c>
      <c r="E32" s="165" t="s">
        <v>8001</v>
      </c>
      <c r="F32" s="166" t="s">
        <v>8002</v>
      </c>
      <c r="G32" s="167"/>
      <c r="H32" s="168"/>
    </row>
    <row r="33" spans="1:8" ht="24">
      <c r="A33" s="163" t="s">
        <v>248</v>
      </c>
      <c r="B33" s="163" t="s">
        <v>256</v>
      </c>
      <c r="C33" s="164" t="s">
        <v>8018</v>
      </c>
      <c r="D33" s="165" t="s">
        <v>8019</v>
      </c>
      <c r="E33" s="165" t="s">
        <v>8020</v>
      </c>
      <c r="F33" s="166" t="s">
        <v>8002</v>
      </c>
      <c r="G33" s="167"/>
      <c r="H33" s="168"/>
    </row>
    <row r="34" spans="1:8" ht="24">
      <c r="A34" s="163" t="s">
        <v>248</v>
      </c>
      <c r="B34" s="163" t="s">
        <v>8021</v>
      </c>
      <c r="C34" s="164" t="s">
        <v>8022</v>
      </c>
      <c r="D34" s="165" t="s">
        <v>8023</v>
      </c>
      <c r="E34" s="165" t="s">
        <v>8020</v>
      </c>
      <c r="F34" s="166" t="s">
        <v>8002</v>
      </c>
      <c r="G34" s="167"/>
      <c r="H34" s="168"/>
    </row>
    <row r="35" spans="1:8">
      <c r="A35" s="163" t="s">
        <v>248</v>
      </c>
      <c r="B35" s="163" t="s">
        <v>8024</v>
      </c>
      <c r="C35" s="164" t="s">
        <v>7871</v>
      </c>
      <c r="D35" s="165" t="s">
        <v>8025</v>
      </c>
      <c r="E35" s="165" t="s">
        <v>8026</v>
      </c>
      <c r="F35" s="166" t="s">
        <v>8002</v>
      </c>
      <c r="G35" s="167"/>
      <c r="H35" s="167"/>
    </row>
    <row r="36" spans="1:8">
      <c r="A36" s="163" t="s">
        <v>248</v>
      </c>
      <c r="B36" s="163" t="s">
        <v>8027</v>
      </c>
      <c r="C36" s="164" t="s">
        <v>8028</v>
      </c>
      <c r="D36" s="165" t="s">
        <v>8029</v>
      </c>
      <c r="E36" s="165" t="s">
        <v>251</v>
      </c>
      <c r="F36" s="166" t="s">
        <v>8002</v>
      </c>
      <c r="G36" s="167"/>
      <c r="H36" s="167"/>
    </row>
    <row r="37" spans="1:8" ht="24">
      <c r="A37" s="163" t="s">
        <v>248</v>
      </c>
      <c r="B37" s="163" t="s">
        <v>8030</v>
      </c>
      <c r="C37" s="164" t="s">
        <v>8031</v>
      </c>
      <c r="D37" s="165" t="s">
        <v>8032</v>
      </c>
      <c r="E37" s="165" t="s">
        <v>8020</v>
      </c>
      <c r="F37" s="166" t="s">
        <v>8002</v>
      </c>
      <c r="G37" s="167"/>
      <c r="H37" s="167"/>
    </row>
    <row r="38" spans="1:8">
      <c r="A38" s="163" t="s">
        <v>248</v>
      </c>
      <c r="B38" s="163" t="s">
        <v>8033</v>
      </c>
      <c r="C38" s="164" t="s">
        <v>8034</v>
      </c>
      <c r="D38" s="165" t="s">
        <v>8035</v>
      </c>
      <c r="E38" s="165" t="s">
        <v>251</v>
      </c>
      <c r="F38" s="166" t="s">
        <v>8036</v>
      </c>
      <c r="G38" s="167"/>
      <c r="H38" s="167"/>
    </row>
    <row r="39" spans="1:8" ht="63.75">
      <c r="A39" s="163" t="s">
        <v>248</v>
      </c>
      <c r="B39" s="163" t="s">
        <v>8037</v>
      </c>
      <c r="C39" s="164" t="s">
        <v>8038</v>
      </c>
      <c r="D39" s="165" t="s">
        <v>8039</v>
      </c>
      <c r="E39" s="165" t="s">
        <v>251</v>
      </c>
      <c r="F39" s="166" t="s">
        <v>8058</v>
      </c>
      <c r="G39" s="167"/>
      <c r="H39" s="167"/>
    </row>
    <row r="40" spans="1:8" ht="63.75">
      <c r="A40" s="163" t="s">
        <v>248</v>
      </c>
      <c r="B40" s="163" t="s">
        <v>8040</v>
      </c>
      <c r="C40" s="164" t="s">
        <v>7870</v>
      </c>
      <c r="D40" s="165" t="s">
        <v>8041</v>
      </c>
      <c r="E40" s="165" t="s">
        <v>251</v>
      </c>
      <c r="F40" s="166" t="s">
        <v>8042</v>
      </c>
      <c r="G40" s="167"/>
      <c r="H40" s="167"/>
    </row>
    <row r="41" spans="1:8" ht="36">
      <c r="A41" s="163" t="s">
        <v>248</v>
      </c>
      <c r="B41" s="163" t="s">
        <v>8043</v>
      </c>
      <c r="C41" s="164" t="s">
        <v>8044</v>
      </c>
      <c r="D41" s="165" t="s">
        <v>8045</v>
      </c>
      <c r="E41" s="165" t="s">
        <v>8046</v>
      </c>
      <c r="F41" s="166" t="s">
        <v>8047</v>
      </c>
      <c r="G41" s="167"/>
      <c r="H41" s="167"/>
    </row>
    <row r="42" spans="1:8" ht="36">
      <c r="A42" s="163" t="s">
        <v>248</v>
      </c>
      <c r="B42" s="163" t="s">
        <v>7868</v>
      </c>
      <c r="C42" s="164" t="s">
        <v>7869</v>
      </c>
      <c r="D42" s="165" t="s">
        <v>8048</v>
      </c>
      <c r="E42" s="165" t="s">
        <v>8049</v>
      </c>
      <c r="F42" s="166" t="s">
        <v>8047</v>
      </c>
      <c r="G42" s="167"/>
      <c r="H42" s="167"/>
    </row>
    <row r="43" spans="1:8" ht="36">
      <c r="A43" s="163" t="s">
        <v>248</v>
      </c>
      <c r="B43" s="163" t="s">
        <v>8050</v>
      </c>
      <c r="C43" s="164" t="s">
        <v>8051</v>
      </c>
      <c r="D43" s="165" t="s">
        <v>8052</v>
      </c>
      <c r="E43" s="165" t="s">
        <v>8053</v>
      </c>
      <c r="F43" s="166" t="s">
        <v>8047</v>
      </c>
      <c r="G43" s="167"/>
      <c r="H43" s="167"/>
    </row>
    <row r="44" spans="1:8" ht="114.75">
      <c r="A44" s="170" t="s">
        <v>248</v>
      </c>
      <c r="B44" s="170" t="s">
        <v>8054</v>
      </c>
      <c r="C44" s="171" t="s">
        <v>8055</v>
      </c>
      <c r="D44" s="172" t="s">
        <v>8056</v>
      </c>
      <c r="E44" s="172" t="s">
        <v>7914</v>
      </c>
      <c r="F44" s="173" t="s">
        <v>8057</v>
      </c>
      <c r="G44" s="174"/>
      <c r="H44" s="174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12"/>
  <sheetViews>
    <sheetView topLeftCell="A45" zoomScale="95" zoomScaleNormal="95" workbookViewId="0">
      <selection activeCell="D73" sqref="D73"/>
    </sheetView>
  </sheetViews>
  <sheetFormatPr baseColWidth="10" defaultColWidth="12.7109375" defaultRowHeight="12.75"/>
  <cols>
    <col min="1" max="1" width="21.85546875" style="124" customWidth="1"/>
    <col min="2" max="2" width="24.42578125" style="124" customWidth="1"/>
    <col min="3" max="3" width="26" style="124" customWidth="1"/>
    <col min="4" max="4" width="18.5703125" style="131" customWidth="1"/>
    <col min="5" max="5" width="12.140625" style="124" bestFit="1" customWidth="1"/>
    <col min="6" max="16384" width="12.7109375" style="132"/>
  </cols>
  <sheetData>
    <row r="1" spans="1:5" s="134" customFormat="1" ht="13.5" thickBot="1">
      <c r="A1" s="114" t="s">
        <v>146</v>
      </c>
      <c r="B1" s="114" t="s">
        <v>147</v>
      </c>
      <c r="C1" s="114" t="s">
        <v>148</v>
      </c>
      <c r="D1" s="133" t="s">
        <v>149</v>
      </c>
      <c r="E1" s="114" t="s">
        <v>150</v>
      </c>
    </row>
    <row r="2" spans="1:5">
      <c r="A2" s="135" t="s">
        <v>259</v>
      </c>
      <c r="B2" s="126" t="s">
        <v>7874</v>
      </c>
      <c r="C2" s="126" t="s">
        <v>7822</v>
      </c>
      <c r="D2" s="136"/>
      <c r="E2" s="126" t="s">
        <v>7616</v>
      </c>
    </row>
    <row r="3" spans="1:5">
      <c r="A3" s="135" t="s">
        <v>259</v>
      </c>
      <c r="B3" s="124" t="s">
        <v>7458</v>
      </c>
      <c r="C3" s="124" t="s">
        <v>7458</v>
      </c>
      <c r="E3" s="124" t="s">
        <v>7617</v>
      </c>
    </row>
    <row r="4" spans="1:5">
      <c r="A4" s="135" t="s">
        <v>259</v>
      </c>
      <c r="B4" s="124" t="s">
        <v>7875</v>
      </c>
      <c r="C4" s="124" t="s">
        <v>7823</v>
      </c>
      <c r="E4" s="124" t="s">
        <v>7618</v>
      </c>
    </row>
    <row r="5" spans="1:5">
      <c r="A5" s="135" t="s">
        <v>259</v>
      </c>
      <c r="B5" s="124" t="s">
        <v>261</v>
      </c>
      <c r="C5" s="124" t="s">
        <v>261</v>
      </c>
      <c r="E5" s="124" t="s">
        <v>7619</v>
      </c>
    </row>
    <row r="6" spans="1:5">
      <c r="A6" s="135" t="s">
        <v>259</v>
      </c>
      <c r="B6" s="124" t="s">
        <v>7459</v>
      </c>
      <c r="C6" s="124" t="s">
        <v>7459</v>
      </c>
      <c r="E6" s="124" t="s">
        <v>7620</v>
      </c>
    </row>
    <row r="7" spans="1:5">
      <c r="A7" s="135" t="s">
        <v>259</v>
      </c>
      <c r="B7" s="124" t="s">
        <v>7460</v>
      </c>
      <c r="C7" s="124" t="s">
        <v>7460</v>
      </c>
      <c r="E7" s="124" t="s">
        <v>7621</v>
      </c>
    </row>
    <row r="8" spans="1:5">
      <c r="A8" s="135" t="s">
        <v>259</v>
      </c>
      <c r="B8" s="124" t="s">
        <v>7876</v>
      </c>
      <c r="C8" s="124" t="s">
        <v>7824</v>
      </c>
      <c r="E8" s="124" t="s">
        <v>7622</v>
      </c>
    </row>
    <row r="9" spans="1:5">
      <c r="A9" s="135" t="s">
        <v>259</v>
      </c>
      <c r="B9" s="124" t="s">
        <v>7461</v>
      </c>
      <c r="C9" s="124" t="s">
        <v>7461</v>
      </c>
      <c r="E9" s="124" t="s">
        <v>7623</v>
      </c>
    </row>
    <row r="10" spans="1:5">
      <c r="A10" s="135" t="s">
        <v>259</v>
      </c>
      <c r="B10" s="124" t="s">
        <v>7877</v>
      </c>
      <c r="C10" s="124" t="s">
        <v>7825</v>
      </c>
      <c r="E10" s="124" t="s">
        <v>7624</v>
      </c>
    </row>
    <row r="11" spans="1:5">
      <c r="A11" s="135" t="s">
        <v>259</v>
      </c>
      <c r="B11" s="124" t="s">
        <v>7826</v>
      </c>
      <c r="C11" s="124" t="s">
        <v>7826</v>
      </c>
      <c r="E11" s="124" t="s">
        <v>7625</v>
      </c>
    </row>
    <row r="12" spans="1:5">
      <c r="A12" s="135" t="s">
        <v>259</v>
      </c>
      <c r="B12" s="124" t="s">
        <v>7463</v>
      </c>
      <c r="C12" s="124" t="s">
        <v>7463</v>
      </c>
      <c r="E12" s="124" t="s">
        <v>7626</v>
      </c>
    </row>
    <row r="13" spans="1:5">
      <c r="A13" s="135" t="s">
        <v>259</v>
      </c>
      <c r="B13" s="124" t="s">
        <v>7464</v>
      </c>
      <c r="C13" s="124" t="s">
        <v>7464</v>
      </c>
      <c r="E13" s="124" t="s">
        <v>7627</v>
      </c>
    </row>
    <row r="14" spans="1:5">
      <c r="A14" s="135" t="s">
        <v>259</v>
      </c>
      <c r="B14" s="124" t="s">
        <v>7465</v>
      </c>
      <c r="C14" s="124" t="s">
        <v>7465</v>
      </c>
      <c r="E14" s="124" t="s">
        <v>7628</v>
      </c>
    </row>
    <row r="15" spans="1:5">
      <c r="A15" s="135" t="s">
        <v>259</v>
      </c>
      <c r="B15" s="124" t="s">
        <v>7466</v>
      </c>
      <c r="C15" s="124" t="s">
        <v>7466</v>
      </c>
      <c r="E15" s="124" t="s">
        <v>7629</v>
      </c>
    </row>
    <row r="16" spans="1:5">
      <c r="A16" s="135" t="s">
        <v>259</v>
      </c>
      <c r="B16" s="124" t="s">
        <v>7878</v>
      </c>
      <c r="C16" s="124" t="s">
        <v>267</v>
      </c>
      <c r="E16" s="124" t="s">
        <v>7630</v>
      </c>
    </row>
    <row r="17" spans="1:5">
      <c r="A17" s="135" t="s">
        <v>259</v>
      </c>
      <c r="B17" s="124" t="s">
        <v>7467</v>
      </c>
      <c r="C17" s="124" t="s">
        <v>7467</v>
      </c>
      <c r="E17" s="124" t="s">
        <v>7631</v>
      </c>
    </row>
    <row r="18" spans="1:5">
      <c r="A18" s="135" t="s">
        <v>259</v>
      </c>
      <c r="B18" s="124" t="s">
        <v>7879</v>
      </c>
      <c r="C18" s="124" t="s">
        <v>7827</v>
      </c>
      <c r="E18" s="124" t="s">
        <v>7632</v>
      </c>
    </row>
    <row r="19" spans="1:5">
      <c r="A19" s="135" t="s">
        <v>259</v>
      </c>
      <c r="B19" s="124" t="s">
        <v>7468</v>
      </c>
      <c r="C19" s="124" t="s">
        <v>7468</v>
      </c>
      <c r="E19" s="124" t="s">
        <v>7633</v>
      </c>
    </row>
    <row r="20" spans="1:5">
      <c r="A20" s="135" t="s">
        <v>259</v>
      </c>
      <c r="B20" s="124" t="s">
        <v>7469</v>
      </c>
      <c r="C20" s="124" t="s">
        <v>7469</v>
      </c>
      <c r="E20" s="124" t="s">
        <v>7634</v>
      </c>
    </row>
    <row r="21" spans="1:5">
      <c r="A21" s="135" t="s">
        <v>259</v>
      </c>
      <c r="B21" s="124" t="s">
        <v>7470</v>
      </c>
      <c r="C21" s="124" t="s">
        <v>7470</v>
      </c>
      <c r="E21" s="124" t="s">
        <v>7635</v>
      </c>
    </row>
    <row r="22" spans="1:5">
      <c r="A22" s="135" t="s">
        <v>259</v>
      </c>
      <c r="B22" s="124" t="s">
        <v>7471</v>
      </c>
      <c r="C22" s="124" t="s">
        <v>7471</v>
      </c>
      <c r="E22" s="124" t="s">
        <v>7636</v>
      </c>
    </row>
    <row r="23" spans="1:5">
      <c r="A23" s="135" t="s">
        <v>259</v>
      </c>
      <c r="B23" s="124" t="s">
        <v>7880</v>
      </c>
      <c r="C23" s="124" t="s">
        <v>7828</v>
      </c>
      <c r="E23" s="124" t="s">
        <v>7637</v>
      </c>
    </row>
    <row r="24" spans="1:5">
      <c r="A24" s="135" t="s">
        <v>259</v>
      </c>
      <c r="B24" s="124" t="s">
        <v>7472</v>
      </c>
      <c r="C24" s="124" t="s">
        <v>7472</v>
      </c>
      <c r="E24" s="124" t="s">
        <v>7638</v>
      </c>
    </row>
    <row r="25" spans="1:5">
      <c r="A25" s="135" t="s">
        <v>259</v>
      </c>
      <c r="B25" s="124" t="s">
        <v>7473</v>
      </c>
      <c r="C25" s="124" t="s">
        <v>7473</v>
      </c>
      <c r="E25" s="124" t="s">
        <v>7639</v>
      </c>
    </row>
    <row r="26" spans="1:5">
      <c r="A26" s="135" t="s">
        <v>259</v>
      </c>
      <c r="B26" s="124" t="s">
        <v>7474</v>
      </c>
      <c r="C26" s="124" t="s">
        <v>7474</v>
      </c>
      <c r="E26" s="124" t="s">
        <v>7640</v>
      </c>
    </row>
    <row r="27" spans="1:5">
      <c r="A27" s="135" t="s">
        <v>259</v>
      </c>
      <c r="B27" s="124" t="s">
        <v>7475</v>
      </c>
      <c r="C27" s="124" t="s">
        <v>7475</v>
      </c>
      <c r="E27" s="124" t="s">
        <v>7641</v>
      </c>
    </row>
    <row r="28" spans="1:5">
      <c r="A28" s="135" t="s">
        <v>259</v>
      </c>
      <c r="B28" s="124" t="s">
        <v>7476</v>
      </c>
      <c r="C28" s="124" t="s">
        <v>7476</v>
      </c>
      <c r="E28" s="124" t="s">
        <v>7642</v>
      </c>
    </row>
    <row r="29" spans="1:5">
      <c r="A29" s="135" t="s">
        <v>259</v>
      </c>
      <c r="B29" s="124" t="s">
        <v>7477</v>
      </c>
      <c r="C29" s="124" t="s">
        <v>7477</v>
      </c>
      <c r="E29" s="124" t="s">
        <v>7643</v>
      </c>
    </row>
    <row r="30" spans="1:5">
      <c r="A30" s="135" t="s">
        <v>259</v>
      </c>
      <c r="B30" s="124" t="s">
        <v>7478</v>
      </c>
      <c r="C30" s="124" t="s">
        <v>7478</v>
      </c>
      <c r="E30" s="124" t="s">
        <v>7644</v>
      </c>
    </row>
    <row r="31" spans="1:5">
      <c r="A31" s="135" t="s">
        <v>259</v>
      </c>
      <c r="B31" s="124" t="s">
        <v>260</v>
      </c>
      <c r="C31" s="124" t="s">
        <v>260</v>
      </c>
      <c r="E31" s="124" t="s">
        <v>7645</v>
      </c>
    </row>
    <row r="32" spans="1:5">
      <c r="A32" s="135" t="s">
        <v>259</v>
      </c>
      <c r="B32" s="124" t="s">
        <v>7479</v>
      </c>
      <c r="C32" s="124" t="s">
        <v>7479</v>
      </c>
      <c r="E32" s="124" t="s">
        <v>7646</v>
      </c>
    </row>
    <row r="33" spans="1:5">
      <c r="A33" s="135" t="s">
        <v>259</v>
      </c>
      <c r="B33" s="124" t="s">
        <v>7480</v>
      </c>
      <c r="C33" s="124" t="s">
        <v>7480</v>
      </c>
      <c r="E33" s="124" t="s">
        <v>7647</v>
      </c>
    </row>
    <row r="34" spans="1:5">
      <c r="A34" s="135" t="s">
        <v>259</v>
      </c>
      <c r="B34" s="124" t="s">
        <v>7481</v>
      </c>
      <c r="C34" s="124" t="s">
        <v>7481</v>
      </c>
      <c r="E34" s="124" t="s">
        <v>7648</v>
      </c>
    </row>
    <row r="35" spans="1:5">
      <c r="A35" s="135" t="s">
        <v>259</v>
      </c>
      <c r="B35" s="124" t="s">
        <v>7482</v>
      </c>
      <c r="C35" s="124" t="s">
        <v>7482</v>
      </c>
      <c r="E35" s="124" t="s">
        <v>7649</v>
      </c>
    </row>
    <row r="36" spans="1:5">
      <c r="A36" s="135" t="s">
        <v>259</v>
      </c>
      <c r="B36" s="124" t="s">
        <v>7483</v>
      </c>
      <c r="C36" s="124" t="s">
        <v>7483</v>
      </c>
      <c r="E36" s="124" t="s">
        <v>7650</v>
      </c>
    </row>
    <row r="37" spans="1:5">
      <c r="A37" s="135" t="s">
        <v>259</v>
      </c>
      <c r="B37" s="124" t="s">
        <v>7881</v>
      </c>
      <c r="C37" s="124" t="s">
        <v>7829</v>
      </c>
      <c r="E37" s="124" t="s">
        <v>7651</v>
      </c>
    </row>
    <row r="38" spans="1:5">
      <c r="A38" s="135" t="s">
        <v>259</v>
      </c>
      <c r="B38" s="124" t="s">
        <v>7484</v>
      </c>
      <c r="C38" s="124" t="s">
        <v>7484</v>
      </c>
      <c r="E38" s="124" t="s">
        <v>7652</v>
      </c>
    </row>
    <row r="39" spans="1:5">
      <c r="A39" s="135" t="s">
        <v>259</v>
      </c>
      <c r="B39" s="124" t="s">
        <v>7485</v>
      </c>
      <c r="C39" s="124" t="s">
        <v>7485</v>
      </c>
      <c r="E39" s="124" t="s">
        <v>7653</v>
      </c>
    </row>
    <row r="40" spans="1:5">
      <c r="A40" s="135" t="s">
        <v>259</v>
      </c>
      <c r="B40" s="124" t="s">
        <v>7486</v>
      </c>
      <c r="C40" s="124" t="s">
        <v>7486</v>
      </c>
      <c r="E40" s="124" t="s">
        <v>7654</v>
      </c>
    </row>
    <row r="41" spans="1:5">
      <c r="A41" s="135" t="s">
        <v>259</v>
      </c>
      <c r="B41" s="124" t="s">
        <v>7487</v>
      </c>
      <c r="C41" s="124" t="s">
        <v>7487</v>
      </c>
      <c r="E41" s="124" t="s">
        <v>7655</v>
      </c>
    </row>
    <row r="42" spans="1:5">
      <c r="A42" s="135" t="s">
        <v>259</v>
      </c>
      <c r="B42" s="124" t="s">
        <v>7488</v>
      </c>
      <c r="C42" s="124" t="s">
        <v>7488</v>
      </c>
      <c r="E42" s="124" t="s">
        <v>7656</v>
      </c>
    </row>
    <row r="43" spans="1:5">
      <c r="A43" s="135" t="s">
        <v>259</v>
      </c>
      <c r="B43" s="124" t="s">
        <v>7489</v>
      </c>
      <c r="C43" s="124" t="s">
        <v>7489</v>
      </c>
      <c r="E43" s="124" t="s">
        <v>7657</v>
      </c>
    </row>
    <row r="44" spans="1:5">
      <c r="A44" s="135" t="s">
        <v>259</v>
      </c>
      <c r="B44" s="124" t="s">
        <v>7490</v>
      </c>
      <c r="C44" s="124" t="s">
        <v>7490</v>
      </c>
      <c r="E44" s="124" t="s">
        <v>7658</v>
      </c>
    </row>
    <row r="45" spans="1:5">
      <c r="A45" s="135" t="s">
        <v>259</v>
      </c>
      <c r="B45" s="124" t="s">
        <v>7491</v>
      </c>
      <c r="C45" s="124" t="s">
        <v>7491</v>
      </c>
      <c r="E45" s="124" t="s">
        <v>7659</v>
      </c>
    </row>
    <row r="46" spans="1:5">
      <c r="A46" s="135" t="s">
        <v>259</v>
      </c>
      <c r="B46" s="124" t="s">
        <v>7492</v>
      </c>
      <c r="C46" s="124" t="s">
        <v>7492</v>
      </c>
      <c r="E46" s="124" t="s">
        <v>7660</v>
      </c>
    </row>
    <row r="47" spans="1:5">
      <c r="A47" s="135" t="s">
        <v>259</v>
      </c>
      <c r="B47" s="124" t="s">
        <v>7493</v>
      </c>
      <c r="C47" s="124" t="s">
        <v>7493</v>
      </c>
      <c r="E47" s="124" t="s">
        <v>7661</v>
      </c>
    </row>
    <row r="48" spans="1:5">
      <c r="A48" s="135" t="s">
        <v>259</v>
      </c>
      <c r="B48" s="124" t="s">
        <v>264</v>
      </c>
      <c r="C48" s="124" t="s">
        <v>264</v>
      </c>
      <c r="E48" s="124" t="s">
        <v>7662</v>
      </c>
    </row>
    <row r="49" spans="1:5">
      <c r="A49" s="135" t="s">
        <v>259</v>
      </c>
      <c r="B49" s="124" t="s">
        <v>7494</v>
      </c>
      <c r="C49" s="124" t="s">
        <v>7494</v>
      </c>
      <c r="E49" s="124" t="s">
        <v>7663</v>
      </c>
    </row>
    <row r="50" spans="1:5">
      <c r="A50" s="135" t="s">
        <v>259</v>
      </c>
      <c r="B50" s="124" t="s">
        <v>7495</v>
      </c>
      <c r="C50" s="124" t="s">
        <v>7495</v>
      </c>
      <c r="E50" s="124" t="s">
        <v>7664</v>
      </c>
    </row>
    <row r="51" spans="1:5">
      <c r="A51" s="135" t="s">
        <v>259</v>
      </c>
      <c r="B51" s="124" t="s">
        <v>7496</v>
      </c>
      <c r="C51" s="124" t="s">
        <v>7496</v>
      </c>
      <c r="E51" s="124" t="s">
        <v>7665</v>
      </c>
    </row>
    <row r="52" spans="1:5">
      <c r="A52" s="135" t="s">
        <v>259</v>
      </c>
      <c r="B52" s="124" t="s">
        <v>7497</v>
      </c>
      <c r="C52" s="124" t="s">
        <v>7497</v>
      </c>
      <c r="E52" s="124" t="s">
        <v>7666</v>
      </c>
    </row>
    <row r="53" spans="1:5">
      <c r="A53" s="135" t="s">
        <v>259</v>
      </c>
      <c r="B53" s="124" t="s">
        <v>7830</v>
      </c>
      <c r="C53" s="124" t="s">
        <v>7830</v>
      </c>
      <c r="E53" s="124" t="s">
        <v>7667</v>
      </c>
    </row>
    <row r="54" spans="1:5">
      <c r="A54" s="135" t="s">
        <v>259</v>
      </c>
      <c r="B54" s="124" t="s">
        <v>7498</v>
      </c>
      <c r="C54" s="124" t="s">
        <v>7498</v>
      </c>
      <c r="E54" s="124" t="s">
        <v>7668</v>
      </c>
    </row>
    <row r="55" spans="1:5">
      <c r="A55" s="135" t="s">
        <v>259</v>
      </c>
      <c r="B55" s="124" t="s">
        <v>7499</v>
      </c>
      <c r="C55" s="124" t="s">
        <v>7499</v>
      </c>
      <c r="E55" s="124" t="s">
        <v>7669</v>
      </c>
    </row>
    <row r="56" spans="1:5">
      <c r="A56" s="135" t="s">
        <v>259</v>
      </c>
      <c r="B56" s="124" t="s">
        <v>7500</v>
      </c>
      <c r="C56" s="124" t="s">
        <v>7500</v>
      </c>
      <c r="E56" s="124" t="s">
        <v>7670</v>
      </c>
    </row>
    <row r="57" spans="1:5">
      <c r="A57" s="135" t="s">
        <v>259</v>
      </c>
      <c r="B57" s="124" t="s">
        <v>7501</v>
      </c>
      <c r="C57" s="124" t="s">
        <v>7501</v>
      </c>
      <c r="E57" s="124" t="s">
        <v>7671</v>
      </c>
    </row>
    <row r="58" spans="1:5">
      <c r="A58" s="135" t="s">
        <v>259</v>
      </c>
      <c r="B58" s="124" t="s">
        <v>7502</v>
      </c>
      <c r="C58" s="124" t="s">
        <v>7502</v>
      </c>
      <c r="E58" s="124" t="s">
        <v>7672</v>
      </c>
    </row>
    <row r="59" spans="1:5">
      <c r="A59" s="135" t="s">
        <v>259</v>
      </c>
      <c r="B59" s="124" t="s">
        <v>7503</v>
      </c>
      <c r="C59" s="124" t="s">
        <v>7503</v>
      </c>
      <c r="E59" s="124" t="s">
        <v>7673</v>
      </c>
    </row>
    <row r="60" spans="1:5">
      <c r="A60" s="135" t="s">
        <v>259</v>
      </c>
      <c r="B60" s="124" t="s">
        <v>7504</v>
      </c>
      <c r="C60" s="124" t="s">
        <v>7504</v>
      </c>
      <c r="E60" s="124" t="s">
        <v>7674</v>
      </c>
    </row>
    <row r="61" spans="1:5">
      <c r="A61" s="135" t="s">
        <v>259</v>
      </c>
      <c r="B61" s="124" t="s">
        <v>7505</v>
      </c>
      <c r="C61" s="124" t="s">
        <v>7505</v>
      </c>
      <c r="E61" s="124" t="s">
        <v>7675</v>
      </c>
    </row>
    <row r="62" spans="1:5">
      <c r="A62" s="135" t="s">
        <v>259</v>
      </c>
      <c r="B62" s="124" t="s">
        <v>7506</v>
      </c>
      <c r="C62" s="124" t="s">
        <v>7506</v>
      </c>
      <c r="E62" s="124" t="s">
        <v>7676</v>
      </c>
    </row>
    <row r="63" spans="1:5">
      <c r="A63" s="135" t="s">
        <v>259</v>
      </c>
      <c r="B63" s="124" t="s">
        <v>7882</v>
      </c>
      <c r="C63" s="124" t="s">
        <v>7831</v>
      </c>
      <c r="E63" s="124" t="s">
        <v>7677</v>
      </c>
    </row>
    <row r="64" spans="1:5">
      <c r="A64" s="135" t="s">
        <v>259</v>
      </c>
      <c r="B64" s="124" t="s">
        <v>7507</v>
      </c>
      <c r="C64" s="124" t="s">
        <v>7507</v>
      </c>
      <c r="E64" s="124" t="s">
        <v>7678</v>
      </c>
    </row>
    <row r="65" spans="1:5">
      <c r="A65" s="135" t="s">
        <v>259</v>
      </c>
      <c r="B65" s="124" t="s">
        <v>7508</v>
      </c>
      <c r="C65" s="124" t="s">
        <v>7508</v>
      </c>
      <c r="E65" s="124" t="s">
        <v>7679</v>
      </c>
    </row>
    <row r="66" spans="1:5">
      <c r="A66" s="135" t="s">
        <v>259</v>
      </c>
      <c r="B66" s="124" t="s">
        <v>7509</v>
      </c>
      <c r="C66" s="124" t="s">
        <v>7509</v>
      </c>
      <c r="E66" s="124" t="s">
        <v>7680</v>
      </c>
    </row>
    <row r="67" spans="1:5">
      <c r="A67" s="135" t="s">
        <v>259</v>
      </c>
      <c r="B67" s="124" t="s">
        <v>7510</v>
      </c>
      <c r="C67" s="124" t="s">
        <v>7510</v>
      </c>
      <c r="E67" s="124" t="s">
        <v>7681</v>
      </c>
    </row>
    <row r="68" spans="1:5">
      <c r="A68" s="135" t="s">
        <v>259</v>
      </c>
      <c r="B68" s="124" t="s">
        <v>7511</v>
      </c>
      <c r="C68" s="124" t="s">
        <v>7511</v>
      </c>
      <c r="E68" s="124" t="s">
        <v>7682</v>
      </c>
    </row>
    <row r="69" spans="1:5">
      <c r="A69" s="135" t="s">
        <v>259</v>
      </c>
      <c r="B69" s="124" t="s">
        <v>7512</v>
      </c>
      <c r="C69" s="124" t="s">
        <v>7512</v>
      </c>
      <c r="E69" s="124" t="s">
        <v>7683</v>
      </c>
    </row>
    <row r="70" spans="1:5">
      <c r="A70" s="135" t="s">
        <v>259</v>
      </c>
      <c r="B70" s="124" t="s">
        <v>7513</v>
      </c>
      <c r="C70" s="124" t="s">
        <v>7513</v>
      </c>
      <c r="E70" s="124" t="s">
        <v>7684</v>
      </c>
    </row>
    <row r="71" spans="1:5">
      <c r="A71" s="135" t="s">
        <v>259</v>
      </c>
      <c r="B71" s="124" t="s">
        <v>7514</v>
      </c>
      <c r="C71" s="124" t="s">
        <v>7514</v>
      </c>
      <c r="E71" s="124" t="s">
        <v>7685</v>
      </c>
    </row>
    <row r="72" spans="1:5">
      <c r="A72" s="135" t="s">
        <v>259</v>
      </c>
      <c r="B72" s="124" t="s">
        <v>7515</v>
      </c>
      <c r="C72" s="124" t="s">
        <v>7515</v>
      </c>
      <c r="E72" s="124" t="s">
        <v>7686</v>
      </c>
    </row>
    <row r="73" spans="1:5">
      <c r="A73" s="135" t="s">
        <v>259</v>
      </c>
      <c r="B73" s="124" t="s">
        <v>7516</v>
      </c>
      <c r="C73" s="124" t="s">
        <v>7516</v>
      </c>
      <c r="E73" s="124" t="s">
        <v>7687</v>
      </c>
    </row>
    <row r="74" spans="1:5">
      <c r="A74" s="135" t="s">
        <v>259</v>
      </c>
      <c r="B74" s="124" t="s">
        <v>7517</v>
      </c>
      <c r="C74" s="124" t="s">
        <v>7517</v>
      </c>
      <c r="E74" s="124" t="s">
        <v>7688</v>
      </c>
    </row>
    <row r="75" spans="1:5">
      <c r="A75" s="135" t="s">
        <v>259</v>
      </c>
      <c r="B75" s="124" t="s">
        <v>262</v>
      </c>
      <c r="C75" s="124" t="s">
        <v>262</v>
      </c>
      <c r="E75" s="124" t="s">
        <v>7689</v>
      </c>
    </row>
    <row r="76" spans="1:5">
      <c r="A76" s="135" t="s">
        <v>259</v>
      </c>
      <c r="B76" s="124" t="s">
        <v>265</v>
      </c>
      <c r="C76" s="124" t="s">
        <v>265</v>
      </c>
      <c r="E76" s="124" t="s">
        <v>7690</v>
      </c>
    </row>
    <row r="77" spans="1:5">
      <c r="A77" s="135" t="s">
        <v>259</v>
      </c>
      <c r="B77" s="124" t="s">
        <v>7518</v>
      </c>
      <c r="C77" s="124" t="s">
        <v>7518</v>
      </c>
      <c r="E77" s="124" t="s">
        <v>7691</v>
      </c>
    </row>
    <row r="78" spans="1:5">
      <c r="A78" s="135" t="s">
        <v>259</v>
      </c>
      <c r="B78" s="124" t="s">
        <v>7519</v>
      </c>
      <c r="C78" s="124" t="s">
        <v>7519</v>
      </c>
      <c r="E78" s="124" t="s">
        <v>7692</v>
      </c>
    </row>
    <row r="79" spans="1:5">
      <c r="A79" s="135" t="s">
        <v>259</v>
      </c>
      <c r="B79" s="124" t="s">
        <v>7520</v>
      </c>
      <c r="C79" s="124" t="s">
        <v>7520</v>
      </c>
      <c r="E79" s="124" t="s">
        <v>7693</v>
      </c>
    </row>
    <row r="80" spans="1:5">
      <c r="A80" s="135" t="s">
        <v>259</v>
      </c>
      <c r="B80" s="124" t="s">
        <v>7521</v>
      </c>
      <c r="C80" s="124" t="s">
        <v>7521</v>
      </c>
      <c r="E80" s="124" t="s">
        <v>7694</v>
      </c>
    </row>
    <row r="81" spans="1:5">
      <c r="A81" s="135" t="s">
        <v>259</v>
      </c>
      <c r="B81" s="124" t="s">
        <v>7522</v>
      </c>
      <c r="C81" s="124" t="s">
        <v>7522</v>
      </c>
      <c r="E81" s="124" t="s">
        <v>7695</v>
      </c>
    </row>
    <row r="82" spans="1:5">
      <c r="A82" s="135" t="s">
        <v>259</v>
      </c>
      <c r="B82" s="124" t="s">
        <v>7523</v>
      </c>
      <c r="C82" s="124" t="s">
        <v>7523</v>
      </c>
      <c r="E82" s="124" t="s">
        <v>7696</v>
      </c>
    </row>
    <row r="83" spans="1:5">
      <c r="A83" s="135" t="s">
        <v>259</v>
      </c>
      <c r="B83" s="124" t="s">
        <v>7524</v>
      </c>
      <c r="C83" s="124" t="s">
        <v>7524</v>
      </c>
      <c r="E83" s="124" t="s">
        <v>7697</v>
      </c>
    </row>
    <row r="84" spans="1:5">
      <c r="A84" s="135" t="s">
        <v>259</v>
      </c>
      <c r="B84" s="124" t="s">
        <v>266</v>
      </c>
      <c r="C84" s="124" t="s">
        <v>266</v>
      </c>
      <c r="E84" s="124" t="s">
        <v>7698</v>
      </c>
    </row>
    <row r="85" spans="1:5">
      <c r="A85" s="135" t="s">
        <v>259</v>
      </c>
      <c r="B85" s="124" t="s">
        <v>7525</v>
      </c>
      <c r="C85" s="124" t="s">
        <v>7525</v>
      </c>
      <c r="E85" s="124" t="s">
        <v>7699</v>
      </c>
    </row>
    <row r="86" spans="1:5">
      <c r="A86" s="135" t="s">
        <v>259</v>
      </c>
      <c r="B86" s="124" t="s">
        <v>7526</v>
      </c>
      <c r="C86" s="124" t="s">
        <v>7526</v>
      </c>
      <c r="E86" s="124" t="s">
        <v>7700</v>
      </c>
    </row>
    <row r="87" spans="1:5">
      <c r="A87" s="135" t="s">
        <v>259</v>
      </c>
      <c r="B87" s="124" t="s">
        <v>7527</v>
      </c>
      <c r="C87" s="124" t="s">
        <v>7527</v>
      </c>
      <c r="E87" s="124" t="s">
        <v>7701</v>
      </c>
    </row>
    <row r="88" spans="1:5">
      <c r="A88" s="135" t="s">
        <v>259</v>
      </c>
      <c r="B88" s="124" t="s">
        <v>7528</v>
      </c>
      <c r="C88" s="124" t="s">
        <v>7528</v>
      </c>
      <c r="E88" s="124" t="s">
        <v>7702</v>
      </c>
    </row>
    <row r="89" spans="1:5">
      <c r="A89" s="135" t="s">
        <v>259</v>
      </c>
      <c r="B89" s="124" t="s">
        <v>7529</v>
      </c>
      <c r="C89" s="124" t="s">
        <v>7529</v>
      </c>
      <c r="E89" s="124" t="s">
        <v>7703</v>
      </c>
    </row>
    <row r="90" spans="1:5">
      <c r="A90" s="135" t="s">
        <v>259</v>
      </c>
      <c r="B90" s="124" t="s">
        <v>7530</v>
      </c>
      <c r="C90" s="124" t="s">
        <v>7530</v>
      </c>
      <c r="E90" s="124" t="s">
        <v>7704</v>
      </c>
    </row>
    <row r="91" spans="1:5">
      <c r="A91" s="135" t="s">
        <v>259</v>
      </c>
      <c r="B91" s="124" t="s">
        <v>7531</v>
      </c>
      <c r="C91" s="124" t="s">
        <v>7531</v>
      </c>
      <c r="E91" s="124" t="s">
        <v>7705</v>
      </c>
    </row>
    <row r="92" spans="1:5">
      <c r="A92" s="135" t="s">
        <v>259</v>
      </c>
      <c r="B92" s="124" t="s">
        <v>7532</v>
      </c>
      <c r="C92" s="124" t="s">
        <v>7532</v>
      </c>
      <c r="E92" s="124" t="s">
        <v>7706</v>
      </c>
    </row>
    <row r="93" spans="1:5">
      <c r="A93" s="135" t="s">
        <v>259</v>
      </c>
      <c r="B93" s="124" t="s">
        <v>7533</v>
      </c>
      <c r="C93" s="124" t="s">
        <v>7533</v>
      </c>
      <c r="E93" s="124" t="s">
        <v>7707</v>
      </c>
    </row>
    <row r="94" spans="1:5">
      <c r="A94" s="135" t="s">
        <v>259</v>
      </c>
      <c r="B94" s="124" t="s">
        <v>7534</v>
      </c>
      <c r="C94" s="124" t="s">
        <v>7534</v>
      </c>
      <c r="E94" s="124" t="s">
        <v>7708</v>
      </c>
    </row>
    <row r="95" spans="1:5">
      <c r="A95" s="135" t="s">
        <v>259</v>
      </c>
      <c r="B95" s="124" t="s">
        <v>7535</v>
      </c>
      <c r="C95" s="124" t="s">
        <v>7535</v>
      </c>
      <c r="E95" s="124" t="s">
        <v>7709</v>
      </c>
    </row>
    <row r="96" spans="1:5">
      <c r="A96" s="135" t="s">
        <v>259</v>
      </c>
      <c r="B96" s="124" t="s">
        <v>7536</v>
      </c>
      <c r="C96" s="124" t="s">
        <v>7536</v>
      </c>
      <c r="E96" s="124" t="s">
        <v>7710</v>
      </c>
    </row>
    <row r="97" spans="1:5">
      <c r="A97" s="135" t="s">
        <v>259</v>
      </c>
      <c r="B97" s="124" t="s">
        <v>7537</v>
      </c>
      <c r="C97" s="124" t="s">
        <v>7537</v>
      </c>
      <c r="E97" s="124" t="s">
        <v>7711</v>
      </c>
    </row>
    <row r="98" spans="1:5">
      <c r="A98" s="135" t="s">
        <v>259</v>
      </c>
      <c r="B98" s="124" t="s">
        <v>7538</v>
      </c>
      <c r="C98" s="124" t="s">
        <v>7538</v>
      </c>
      <c r="E98" s="124" t="s">
        <v>7712</v>
      </c>
    </row>
    <row r="99" spans="1:5">
      <c r="A99" s="135" t="s">
        <v>259</v>
      </c>
      <c r="B99" s="124" t="s">
        <v>7539</v>
      </c>
      <c r="C99" s="124" t="s">
        <v>7539</v>
      </c>
      <c r="E99" s="124" t="s">
        <v>7713</v>
      </c>
    </row>
    <row r="100" spans="1:5">
      <c r="A100" s="135" t="s">
        <v>259</v>
      </c>
      <c r="B100" s="124" t="s">
        <v>7540</v>
      </c>
      <c r="C100" s="124" t="s">
        <v>7540</v>
      </c>
      <c r="E100" s="124" t="s">
        <v>7714</v>
      </c>
    </row>
    <row r="101" spans="1:5">
      <c r="A101" s="135" t="s">
        <v>259</v>
      </c>
      <c r="B101" s="124" t="s">
        <v>7541</v>
      </c>
      <c r="C101" s="124" t="s">
        <v>7541</v>
      </c>
      <c r="E101" s="124" t="s">
        <v>7715</v>
      </c>
    </row>
    <row r="102" spans="1:5">
      <c r="A102" s="135" t="s">
        <v>259</v>
      </c>
      <c r="B102" s="124" t="s">
        <v>7542</v>
      </c>
      <c r="C102" s="124" t="s">
        <v>7542</v>
      </c>
      <c r="E102" s="124" t="s">
        <v>7716</v>
      </c>
    </row>
    <row r="103" spans="1:5">
      <c r="A103" s="135" t="s">
        <v>259</v>
      </c>
      <c r="B103" s="124" t="s">
        <v>7543</v>
      </c>
      <c r="C103" s="124" t="s">
        <v>7543</v>
      </c>
      <c r="E103" s="124" t="s">
        <v>7717</v>
      </c>
    </row>
    <row r="104" spans="1:5">
      <c r="A104" s="135" t="s">
        <v>259</v>
      </c>
      <c r="B104" s="124" t="s">
        <v>7544</v>
      </c>
      <c r="C104" s="124" t="s">
        <v>7544</v>
      </c>
      <c r="E104" s="124" t="s">
        <v>7718</v>
      </c>
    </row>
    <row r="105" spans="1:5">
      <c r="A105" s="135" t="s">
        <v>259</v>
      </c>
      <c r="B105" s="124" t="s">
        <v>7545</v>
      </c>
      <c r="C105" s="124" t="s">
        <v>7545</v>
      </c>
      <c r="E105" s="124" t="s">
        <v>7719</v>
      </c>
    </row>
    <row r="106" spans="1:5">
      <c r="A106" s="135" t="s">
        <v>259</v>
      </c>
      <c r="B106" s="124" t="s">
        <v>7546</v>
      </c>
      <c r="C106" s="124" t="s">
        <v>7546</v>
      </c>
      <c r="E106" s="124" t="s">
        <v>7720</v>
      </c>
    </row>
    <row r="107" spans="1:5">
      <c r="A107" s="135" t="s">
        <v>259</v>
      </c>
      <c r="B107" s="124" t="s">
        <v>7883</v>
      </c>
      <c r="C107" s="124" t="s">
        <v>7832</v>
      </c>
      <c r="E107" s="124" t="s">
        <v>7721</v>
      </c>
    </row>
    <row r="108" spans="1:5">
      <c r="A108" s="135" t="s">
        <v>259</v>
      </c>
      <c r="B108" s="124" t="s">
        <v>7547</v>
      </c>
      <c r="C108" s="124" t="s">
        <v>7547</v>
      </c>
      <c r="E108" s="124" t="s">
        <v>7722</v>
      </c>
    </row>
    <row r="109" spans="1:5">
      <c r="A109" s="135" t="s">
        <v>259</v>
      </c>
      <c r="B109" s="124" t="s">
        <v>7548</v>
      </c>
      <c r="C109" s="124" t="s">
        <v>7548</v>
      </c>
      <c r="E109" s="124" t="s">
        <v>7723</v>
      </c>
    </row>
    <row r="110" spans="1:5">
      <c r="A110" s="135" t="s">
        <v>259</v>
      </c>
      <c r="B110" s="124" t="s">
        <v>263</v>
      </c>
      <c r="C110" s="124" t="s">
        <v>263</v>
      </c>
      <c r="E110" s="124" t="s">
        <v>7724</v>
      </c>
    </row>
    <row r="111" spans="1:5">
      <c r="A111" s="135" t="s">
        <v>259</v>
      </c>
      <c r="B111" s="124" t="s">
        <v>7549</v>
      </c>
      <c r="C111" s="124" t="s">
        <v>7549</v>
      </c>
      <c r="E111" s="124" t="s">
        <v>7725</v>
      </c>
    </row>
    <row r="112" spans="1:5">
      <c r="A112" s="135" t="s">
        <v>259</v>
      </c>
      <c r="B112" s="124" t="s">
        <v>7550</v>
      </c>
      <c r="C112" s="124" t="s">
        <v>7550</v>
      </c>
      <c r="E112" s="124" t="s">
        <v>7726</v>
      </c>
    </row>
    <row r="113" spans="1:5">
      <c r="A113" s="135" t="s">
        <v>259</v>
      </c>
      <c r="B113" s="124" t="s">
        <v>7551</v>
      </c>
      <c r="C113" s="124" t="s">
        <v>7551</v>
      </c>
      <c r="E113" s="124" t="s">
        <v>7727</v>
      </c>
    </row>
    <row r="114" spans="1:5">
      <c r="A114" s="135" t="s">
        <v>259</v>
      </c>
      <c r="B114" s="124" t="s">
        <v>7552</v>
      </c>
      <c r="C114" s="124" t="s">
        <v>7552</v>
      </c>
      <c r="E114" s="124" t="s">
        <v>7728</v>
      </c>
    </row>
    <row r="115" spans="1:5">
      <c r="A115" s="135" t="s">
        <v>259</v>
      </c>
      <c r="B115" s="124" t="s">
        <v>7553</v>
      </c>
      <c r="C115" s="124" t="s">
        <v>7553</v>
      </c>
      <c r="E115" s="124" t="s">
        <v>7729</v>
      </c>
    </row>
    <row r="116" spans="1:5">
      <c r="A116" s="135" t="s">
        <v>259</v>
      </c>
      <c r="B116" s="124" t="s">
        <v>7554</v>
      </c>
      <c r="C116" s="124" t="s">
        <v>7554</v>
      </c>
      <c r="E116" s="124" t="s">
        <v>7730</v>
      </c>
    </row>
    <row r="117" spans="1:5">
      <c r="A117" s="135" t="s">
        <v>259</v>
      </c>
      <c r="B117" s="124" t="s">
        <v>7555</v>
      </c>
      <c r="C117" s="124" t="s">
        <v>7555</v>
      </c>
      <c r="E117" s="124" t="s">
        <v>7731</v>
      </c>
    </row>
    <row r="118" spans="1:5">
      <c r="A118" s="135" t="s">
        <v>259</v>
      </c>
      <c r="B118" s="124" t="s">
        <v>7556</v>
      </c>
      <c r="C118" s="124" t="s">
        <v>7556</v>
      </c>
      <c r="E118" s="124" t="s">
        <v>7732</v>
      </c>
    </row>
    <row r="119" spans="1:5">
      <c r="A119" s="135" t="s">
        <v>259</v>
      </c>
      <c r="B119" s="124" t="s">
        <v>7557</v>
      </c>
      <c r="C119" s="124" t="s">
        <v>7557</v>
      </c>
      <c r="E119" s="124" t="s">
        <v>7733</v>
      </c>
    </row>
    <row r="120" spans="1:5">
      <c r="A120" s="135" t="s">
        <v>259</v>
      </c>
      <c r="B120" s="124" t="s">
        <v>7558</v>
      </c>
      <c r="C120" s="124" t="s">
        <v>7558</v>
      </c>
      <c r="E120" s="124" t="s">
        <v>7734</v>
      </c>
    </row>
    <row r="121" spans="1:5">
      <c r="A121" s="135" t="s">
        <v>259</v>
      </c>
      <c r="B121" s="124" t="s">
        <v>7559</v>
      </c>
      <c r="C121" s="124" t="s">
        <v>7559</v>
      </c>
      <c r="E121" s="124" t="s">
        <v>7735</v>
      </c>
    </row>
    <row r="122" spans="1:5">
      <c r="A122" s="135" t="s">
        <v>259</v>
      </c>
      <c r="B122" s="124" t="s">
        <v>7884</v>
      </c>
      <c r="C122" s="124" t="s">
        <v>7833</v>
      </c>
      <c r="E122" s="124" t="s">
        <v>7736</v>
      </c>
    </row>
    <row r="123" spans="1:5">
      <c r="A123" s="135" t="s">
        <v>259</v>
      </c>
      <c r="B123" s="124" t="s">
        <v>7560</v>
      </c>
      <c r="C123" s="124" t="s">
        <v>7560</v>
      </c>
      <c r="E123" s="124" t="s">
        <v>7737</v>
      </c>
    </row>
    <row r="124" spans="1:5">
      <c r="A124" s="135" t="s">
        <v>259</v>
      </c>
      <c r="B124" s="124" t="s">
        <v>7561</v>
      </c>
      <c r="C124" s="124" t="s">
        <v>7561</v>
      </c>
      <c r="E124" s="124" t="s">
        <v>7738</v>
      </c>
    </row>
    <row r="125" spans="1:5">
      <c r="A125" s="135" t="s">
        <v>259</v>
      </c>
      <c r="B125" s="124" t="s">
        <v>7562</v>
      </c>
      <c r="C125" s="124" t="s">
        <v>7562</v>
      </c>
      <c r="E125" s="124" t="s">
        <v>7739</v>
      </c>
    </row>
    <row r="126" spans="1:5">
      <c r="A126" s="135" t="s">
        <v>259</v>
      </c>
      <c r="B126" s="124" t="s">
        <v>7563</v>
      </c>
      <c r="C126" s="124" t="s">
        <v>7563</v>
      </c>
      <c r="E126" s="124" t="s">
        <v>7740</v>
      </c>
    </row>
    <row r="127" spans="1:5">
      <c r="A127" s="135" t="s">
        <v>259</v>
      </c>
      <c r="B127" s="124" t="s">
        <v>7564</v>
      </c>
      <c r="C127" s="124" t="s">
        <v>7564</v>
      </c>
      <c r="E127" s="124" t="s">
        <v>7741</v>
      </c>
    </row>
    <row r="128" spans="1:5">
      <c r="A128" s="135" t="s">
        <v>259</v>
      </c>
      <c r="B128" s="124" t="s">
        <v>7565</v>
      </c>
      <c r="C128" s="124" t="s">
        <v>7565</v>
      </c>
      <c r="E128" s="124" t="s">
        <v>7742</v>
      </c>
    </row>
    <row r="129" spans="1:5">
      <c r="A129" s="135" t="s">
        <v>259</v>
      </c>
      <c r="B129" s="124" t="s">
        <v>7566</v>
      </c>
      <c r="C129" s="124" t="s">
        <v>7566</v>
      </c>
      <c r="E129" s="124" t="s">
        <v>7743</v>
      </c>
    </row>
    <row r="130" spans="1:5">
      <c r="A130" s="135" t="s">
        <v>259</v>
      </c>
      <c r="B130" s="124" t="s">
        <v>7567</v>
      </c>
      <c r="C130" s="124" t="s">
        <v>7567</v>
      </c>
      <c r="E130" s="124" t="s">
        <v>7744</v>
      </c>
    </row>
    <row r="131" spans="1:5">
      <c r="A131" s="135" t="s">
        <v>259</v>
      </c>
      <c r="B131" s="124" t="s">
        <v>7568</v>
      </c>
      <c r="C131" s="124" t="s">
        <v>7568</v>
      </c>
      <c r="E131" s="124" t="s">
        <v>7745</v>
      </c>
    </row>
    <row r="132" spans="1:5">
      <c r="A132" s="135" t="s">
        <v>259</v>
      </c>
      <c r="B132" s="124" t="s">
        <v>7569</v>
      </c>
      <c r="C132" s="124" t="s">
        <v>7569</v>
      </c>
      <c r="E132" s="124" t="s">
        <v>7746</v>
      </c>
    </row>
    <row r="133" spans="1:5">
      <c r="A133" s="135" t="s">
        <v>259</v>
      </c>
      <c r="B133" s="124" t="s">
        <v>7570</v>
      </c>
      <c r="C133" s="124" t="s">
        <v>7570</v>
      </c>
      <c r="E133" s="124" t="s">
        <v>7747</v>
      </c>
    </row>
    <row r="134" spans="1:5">
      <c r="A134" s="135" t="s">
        <v>259</v>
      </c>
      <c r="B134" s="124" t="s">
        <v>7901</v>
      </c>
      <c r="C134" s="124" t="s">
        <v>7834</v>
      </c>
      <c r="E134" s="124" t="s">
        <v>7748</v>
      </c>
    </row>
    <row r="135" spans="1:5">
      <c r="A135" s="135" t="s">
        <v>259</v>
      </c>
      <c r="B135" s="124" t="s">
        <v>7900</v>
      </c>
      <c r="C135" s="124" t="s">
        <v>7835</v>
      </c>
      <c r="E135" s="124" t="s">
        <v>7749</v>
      </c>
    </row>
    <row r="136" spans="1:5">
      <c r="A136" s="135" t="s">
        <v>259</v>
      </c>
      <c r="B136" s="124" t="s">
        <v>7899</v>
      </c>
      <c r="C136" s="124" t="s">
        <v>7836</v>
      </c>
      <c r="E136" s="124" t="s">
        <v>7750</v>
      </c>
    </row>
    <row r="137" spans="1:5">
      <c r="A137" s="135" t="s">
        <v>259</v>
      </c>
      <c r="B137" s="124" t="s">
        <v>7898</v>
      </c>
      <c r="C137" s="124" t="s">
        <v>7837</v>
      </c>
      <c r="E137" s="124" t="s">
        <v>7751</v>
      </c>
    </row>
    <row r="138" spans="1:5">
      <c r="A138" s="135" t="s">
        <v>259</v>
      </c>
      <c r="B138" s="124" t="s">
        <v>7897</v>
      </c>
      <c r="C138" s="124" t="s">
        <v>7838</v>
      </c>
      <c r="E138" s="124" t="s">
        <v>7752</v>
      </c>
    </row>
    <row r="139" spans="1:5">
      <c r="A139" s="135" t="s">
        <v>259</v>
      </c>
      <c r="B139" s="124" t="s">
        <v>7896</v>
      </c>
      <c r="C139" s="124" t="s">
        <v>7839</v>
      </c>
      <c r="E139" s="124" t="s">
        <v>7753</v>
      </c>
    </row>
    <row r="140" spans="1:5">
      <c r="A140" s="135" t="s">
        <v>259</v>
      </c>
      <c r="B140" s="124" t="s">
        <v>7895</v>
      </c>
      <c r="C140" s="124" t="s">
        <v>7840</v>
      </c>
      <c r="E140" s="124" t="s">
        <v>7754</v>
      </c>
    </row>
    <row r="141" spans="1:5">
      <c r="A141" s="135" t="s">
        <v>259</v>
      </c>
      <c r="B141" s="124" t="s">
        <v>7894</v>
      </c>
      <c r="C141" s="124" t="s">
        <v>7841</v>
      </c>
      <c r="E141" s="124" t="s">
        <v>7755</v>
      </c>
    </row>
    <row r="142" spans="1:5">
      <c r="A142" s="135" t="s">
        <v>259</v>
      </c>
      <c r="B142" s="124" t="s">
        <v>7893</v>
      </c>
      <c r="C142" s="124" t="s">
        <v>7842</v>
      </c>
      <c r="E142" s="124" t="s">
        <v>7756</v>
      </c>
    </row>
    <row r="143" spans="1:5">
      <c r="A143" s="135" t="s">
        <v>259</v>
      </c>
      <c r="B143" s="124" t="s">
        <v>7892</v>
      </c>
      <c r="C143" s="124" t="s">
        <v>7843</v>
      </c>
      <c r="E143" s="124" t="s">
        <v>7757</v>
      </c>
    </row>
    <row r="144" spans="1:5">
      <c r="A144" s="135" t="s">
        <v>259</v>
      </c>
      <c r="B144" s="124" t="s">
        <v>7904</v>
      </c>
      <c r="C144" s="124" t="s">
        <v>7844</v>
      </c>
      <c r="E144" s="124" t="s">
        <v>7758</v>
      </c>
    </row>
    <row r="145" spans="1:5">
      <c r="A145" s="135" t="s">
        <v>259</v>
      </c>
      <c r="B145" s="124" t="s">
        <v>7891</v>
      </c>
      <c r="C145" s="124" t="s">
        <v>7845</v>
      </c>
      <c r="E145" s="124" t="s">
        <v>7759</v>
      </c>
    </row>
    <row r="146" spans="1:5">
      <c r="A146" s="135" t="s">
        <v>259</v>
      </c>
      <c r="B146" s="124" t="s">
        <v>7890</v>
      </c>
      <c r="C146" s="124" t="s">
        <v>7846</v>
      </c>
      <c r="E146" s="124" t="s">
        <v>7760</v>
      </c>
    </row>
    <row r="147" spans="1:5">
      <c r="A147" s="135" t="s">
        <v>259</v>
      </c>
      <c r="B147" s="124" t="s">
        <v>7905</v>
      </c>
      <c r="C147" s="124" t="s">
        <v>7847</v>
      </c>
      <c r="E147" s="124" t="s">
        <v>7761</v>
      </c>
    </row>
    <row r="148" spans="1:5">
      <c r="A148" s="135" t="s">
        <v>259</v>
      </c>
      <c r="B148" s="124" t="s">
        <v>7889</v>
      </c>
      <c r="C148" s="124" t="s">
        <v>7848</v>
      </c>
      <c r="E148" s="124" t="s">
        <v>7762</v>
      </c>
    </row>
    <row r="149" spans="1:5">
      <c r="A149" s="135" t="s">
        <v>259</v>
      </c>
      <c r="B149" s="124" t="s">
        <v>7571</v>
      </c>
      <c r="C149" s="124" t="s">
        <v>7571</v>
      </c>
      <c r="E149" s="124" t="s">
        <v>7763</v>
      </c>
    </row>
    <row r="150" spans="1:5">
      <c r="A150" s="135" t="s">
        <v>259</v>
      </c>
      <c r="B150" s="124" t="s">
        <v>7572</v>
      </c>
      <c r="C150" s="124" t="s">
        <v>7572</v>
      </c>
      <c r="E150" s="124" t="s">
        <v>7764</v>
      </c>
    </row>
    <row r="151" spans="1:5">
      <c r="A151" s="135" t="s">
        <v>259</v>
      </c>
      <c r="B151" s="124" t="s">
        <v>7573</v>
      </c>
      <c r="C151" s="124" t="s">
        <v>7573</v>
      </c>
      <c r="E151" s="124" t="s">
        <v>7765</v>
      </c>
    </row>
    <row r="152" spans="1:5">
      <c r="A152" s="135" t="s">
        <v>259</v>
      </c>
      <c r="B152" s="124" t="s">
        <v>7574</v>
      </c>
      <c r="C152" s="124" t="s">
        <v>7574</v>
      </c>
      <c r="E152" s="124" t="s">
        <v>7766</v>
      </c>
    </row>
    <row r="153" spans="1:5">
      <c r="A153" s="135" t="s">
        <v>259</v>
      </c>
      <c r="B153" s="124" t="s">
        <v>7575</v>
      </c>
      <c r="C153" s="124" t="s">
        <v>7575</v>
      </c>
      <c r="E153" s="124" t="s">
        <v>7767</v>
      </c>
    </row>
    <row r="154" spans="1:5">
      <c r="A154" s="135" t="s">
        <v>259</v>
      </c>
      <c r="B154" s="124" t="s">
        <v>7576</v>
      </c>
      <c r="C154" s="124" t="s">
        <v>7576</v>
      </c>
      <c r="E154" s="124" t="s">
        <v>7768</v>
      </c>
    </row>
    <row r="155" spans="1:5">
      <c r="A155" s="135" t="s">
        <v>259</v>
      </c>
      <c r="B155" s="124" t="s">
        <v>7462</v>
      </c>
      <c r="C155" s="124" t="s">
        <v>7462</v>
      </c>
      <c r="E155" s="124" t="s">
        <v>7769</v>
      </c>
    </row>
    <row r="156" spans="1:5">
      <c r="A156" s="135" t="s">
        <v>259</v>
      </c>
      <c r="B156" s="124" t="s">
        <v>7577</v>
      </c>
      <c r="C156" s="124" t="s">
        <v>7577</v>
      </c>
      <c r="E156" s="124" t="s">
        <v>7770</v>
      </c>
    </row>
    <row r="157" spans="1:5">
      <c r="A157" s="135" t="s">
        <v>259</v>
      </c>
      <c r="B157" s="124" t="s">
        <v>7578</v>
      </c>
      <c r="C157" s="124" t="s">
        <v>7578</v>
      </c>
      <c r="E157" s="124" t="s">
        <v>7771</v>
      </c>
    </row>
    <row r="158" spans="1:5">
      <c r="A158" s="135" t="s">
        <v>259</v>
      </c>
      <c r="B158" s="124" t="s">
        <v>7849</v>
      </c>
      <c r="C158" s="124" t="s">
        <v>7849</v>
      </c>
      <c r="E158" s="124" t="s">
        <v>7772</v>
      </c>
    </row>
    <row r="159" spans="1:5">
      <c r="A159" s="135" t="s">
        <v>259</v>
      </c>
      <c r="B159" s="124" t="s">
        <v>7850</v>
      </c>
      <c r="C159" s="124" t="s">
        <v>7850</v>
      </c>
      <c r="E159" s="124" t="s">
        <v>7773</v>
      </c>
    </row>
    <row r="160" spans="1:5">
      <c r="A160" s="135" t="s">
        <v>259</v>
      </c>
      <c r="B160" s="124" t="s">
        <v>7851</v>
      </c>
      <c r="C160" s="124" t="s">
        <v>7851</v>
      </c>
      <c r="E160" s="124" t="s">
        <v>7774</v>
      </c>
    </row>
    <row r="161" spans="1:5">
      <c r="A161" s="135" t="s">
        <v>259</v>
      </c>
      <c r="B161" s="124" t="s">
        <v>7852</v>
      </c>
      <c r="C161" s="124" t="s">
        <v>7852</v>
      </c>
      <c r="E161" s="124" t="s">
        <v>7775</v>
      </c>
    </row>
    <row r="162" spans="1:5">
      <c r="A162" s="135" t="s">
        <v>259</v>
      </c>
      <c r="B162" s="124" t="s">
        <v>7853</v>
      </c>
      <c r="C162" s="124" t="s">
        <v>7853</v>
      </c>
      <c r="E162" s="124" t="s">
        <v>7776</v>
      </c>
    </row>
    <row r="163" spans="1:5">
      <c r="A163" s="135" t="s">
        <v>259</v>
      </c>
      <c r="B163" s="124" t="s">
        <v>7579</v>
      </c>
      <c r="C163" s="124" t="s">
        <v>7579</v>
      </c>
      <c r="E163" s="124" t="s">
        <v>7777</v>
      </c>
    </row>
    <row r="164" spans="1:5">
      <c r="A164" s="135" t="s">
        <v>259</v>
      </c>
      <c r="B164" s="124" t="s">
        <v>7854</v>
      </c>
      <c r="C164" s="124" t="s">
        <v>7854</v>
      </c>
      <c r="E164" s="124" t="s">
        <v>7778</v>
      </c>
    </row>
    <row r="165" spans="1:5">
      <c r="A165" s="135" t="s">
        <v>259</v>
      </c>
      <c r="B165" s="124" t="s">
        <v>7855</v>
      </c>
      <c r="C165" s="124" t="s">
        <v>7855</v>
      </c>
      <c r="E165" s="124" t="s">
        <v>7779</v>
      </c>
    </row>
    <row r="166" spans="1:5">
      <c r="A166" s="135" t="s">
        <v>259</v>
      </c>
      <c r="B166" s="124" t="s">
        <v>7856</v>
      </c>
      <c r="C166" s="124" t="s">
        <v>7856</v>
      </c>
      <c r="E166" s="124" t="s">
        <v>7780</v>
      </c>
    </row>
    <row r="167" spans="1:5">
      <c r="A167" s="135" t="s">
        <v>259</v>
      </c>
      <c r="B167" s="124" t="s">
        <v>7857</v>
      </c>
      <c r="C167" s="124" t="s">
        <v>7857</v>
      </c>
      <c r="E167" s="124" t="s">
        <v>7781</v>
      </c>
    </row>
    <row r="168" spans="1:5">
      <c r="A168" s="135" t="s">
        <v>259</v>
      </c>
      <c r="B168" s="124" t="s">
        <v>7580</v>
      </c>
      <c r="C168" s="124" t="s">
        <v>7580</v>
      </c>
      <c r="E168" s="124" t="s">
        <v>7782</v>
      </c>
    </row>
    <row r="169" spans="1:5">
      <c r="A169" s="135" t="s">
        <v>259</v>
      </c>
      <c r="B169" s="124" t="s">
        <v>7581</v>
      </c>
      <c r="C169" s="124" t="s">
        <v>7581</v>
      </c>
      <c r="E169" s="124" t="s">
        <v>7783</v>
      </c>
    </row>
    <row r="170" spans="1:5">
      <c r="A170" s="135" t="s">
        <v>259</v>
      </c>
      <c r="B170" s="124" t="s">
        <v>7582</v>
      </c>
      <c r="C170" s="124" t="s">
        <v>7582</v>
      </c>
      <c r="E170" s="124" t="s">
        <v>7784</v>
      </c>
    </row>
    <row r="171" spans="1:5">
      <c r="A171" s="135" t="s">
        <v>259</v>
      </c>
      <c r="B171" s="124" t="s">
        <v>7583</v>
      </c>
      <c r="C171" s="124" t="s">
        <v>7583</v>
      </c>
      <c r="E171" s="124" t="s">
        <v>7785</v>
      </c>
    </row>
    <row r="172" spans="1:5">
      <c r="A172" s="135" t="s">
        <v>259</v>
      </c>
      <c r="B172" s="124" t="s">
        <v>7584</v>
      </c>
      <c r="C172" s="124" t="s">
        <v>7584</v>
      </c>
      <c r="E172" s="124" t="s">
        <v>7786</v>
      </c>
    </row>
    <row r="173" spans="1:5">
      <c r="A173" s="135" t="s">
        <v>259</v>
      </c>
      <c r="B173" s="124" t="s">
        <v>7585</v>
      </c>
      <c r="C173" s="124" t="s">
        <v>7585</v>
      </c>
      <c r="E173" s="124" t="s">
        <v>7787</v>
      </c>
    </row>
    <row r="174" spans="1:5">
      <c r="A174" s="135" t="s">
        <v>259</v>
      </c>
      <c r="B174" s="124" t="s">
        <v>7586</v>
      </c>
      <c r="C174" s="124" t="s">
        <v>7586</v>
      </c>
      <c r="E174" s="124" t="s">
        <v>7788</v>
      </c>
    </row>
    <row r="175" spans="1:5">
      <c r="A175" s="135" t="s">
        <v>259</v>
      </c>
      <c r="B175" s="124" t="s">
        <v>7587</v>
      </c>
      <c r="C175" s="124" t="s">
        <v>7587</v>
      </c>
      <c r="E175" s="124" t="s">
        <v>7789</v>
      </c>
    </row>
    <row r="176" spans="1:5">
      <c r="A176" s="135" t="s">
        <v>259</v>
      </c>
      <c r="B176" s="124" t="s">
        <v>7588</v>
      </c>
      <c r="C176" s="124" t="s">
        <v>7588</v>
      </c>
      <c r="E176" s="124" t="s">
        <v>7790</v>
      </c>
    </row>
    <row r="177" spans="1:5">
      <c r="A177" s="135" t="s">
        <v>259</v>
      </c>
      <c r="B177" s="124" t="s">
        <v>7589</v>
      </c>
      <c r="C177" s="124" t="s">
        <v>7589</v>
      </c>
      <c r="E177" s="124" t="s">
        <v>7791</v>
      </c>
    </row>
    <row r="178" spans="1:5">
      <c r="A178" s="135" t="s">
        <v>259</v>
      </c>
      <c r="B178" s="124" t="s">
        <v>7590</v>
      </c>
      <c r="C178" s="124" t="s">
        <v>7590</v>
      </c>
      <c r="E178" s="124" t="s">
        <v>7792</v>
      </c>
    </row>
    <row r="179" spans="1:5">
      <c r="A179" s="135" t="s">
        <v>259</v>
      </c>
      <c r="B179" s="124" t="s">
        <v>7591</v>
      </c>
      <c r="C179" s="124" t="s">
        <v>7591</v>
      </c>
      <c r="E179" s="124" t="s">
        <v>7793</v>
      </c>
    </row>
    <row r="180" spans="1:5">
      <c r="A180" s="135" t="s">
        <v>259</v>
      </c>
      <c r="B180" s="124" t="s">
        <v>7592</v>
      </c>
      <c r="C180" s="124" t="s">
        <v>7592</v>
      </c>
      <c r="E180" s="124" t="s">
        <v>7794</v>
      </c>
    </row>
    <row r="181" spans="1:5">
      <c r="A181" s="135" t="s">
        <v>259</v>
      </c>
      <c r="B181" s="124" t="s">
        <v>7593</v>
      </c>
      <c r="C181" s="124" t="s">
        <v>7593</v>
      </c>
      <c r="E181" s="124" t="s">
        <v>7795</v>
      </c>
    </row>
    <row r="182" spans="1:5">
      <c r="A182" s="135" t="s">
        <v>259</v>
      </c>
      <c r="B182" s="124" t="s">
        <v>7594</v>
      </c>
      <c r="C182" s="124" t="s">
        <v>7594</v>
      </c>
      <c r="E182" s="124" t="s">
        <v>7796</v>
      </c>
    </row>
    <row r="183" spans="1:5">
      <c r="A183" s="135" t="s">
        <v>259</v>
      </c>
      <c r="B183" s="124" t="s">
        <v>7595</v>
      </c>
      <c r="C183" s="124" t="s">
        <v>7595</v>
      </c>
      <c r="E183" s="124" t="s">
        <v>7797</v>
      </c>
    </row>
    <row r="184" spans="1:5">
      <c r="A184" s="135" t="s">
        <v>259</v>
      </c>
      <c r="B184" s="124" t="s">
        <v>7596</v>
      </c>
      <c r="C184" s="124" t="s">
        <v>7596</v>
      </c>
      <c r="E184" s="124" t="s">
        <v>7798</v>
      </c>
    </row>
    <row r="185" spans="1:5">
      <c r="A185" s="135" t="s">
        <v>259</v>
      </c>
      <c r="B185" s="124" t="s">
        <v>7597</v>
      </c>
      <c r="C185" s="124" t="s">
        <v>7597</v>
      </c>
      <c r="E185" s="124" t="s">
        <v>7799</v>
      </c>
    </row>
    <row r="186" spans="1:5">
      <c r="A186" s="135" t="s">
        <v>259</v>
      </c>
      <c r="B186" s="124" t="s">
        <v>7598</v>
      </c>
      <c r="C186" s="124" t="s">
        <v>7598</v>
      </c>
      <c r="E186" s="124" t="s">
        <v>7800</v>
      </c>
    </row>
    <row r="187" spans="1:5">
      <c r="A187" s="135" t="s">
        <v>259</v>
      </c>
      <c r="B187" s="124" t="s">
        <v>7599</v>
      </c>
      <c r="C187" s="124" t="s">
        <v>7599</v>
      </c>
      <c r="E187" s="124" t="s">
        <v>7801</v>
      </c>
    </row>
    <row r="188" spans="1:5">
      <c r="A188" s="135" t="s">
        <v>259</v>
      </c>
      <c r="B188" s="124" t="s">
        <v>7600</v>
      </c>
      <c r="C188" s="124" t="s">
        <v>7600</v>
      </c>
      <c r="E188" s="124" t="s">
        <v>7802</v>
      </c>
    </row>
    <row r="189" spans="1:5">
      <c r="A189" s="135" t="s">
        <v>259</v>
      </c>
      <c r="B189" s="124" t="s">
        <v>7601</v>
      </c>
      <c r="C189" s="124" t="s">
        <v>7601</v>
      </c>
      <c r="E189" s="124" t="s">
        <v>7803</v>
      </c>
    </row>
    <row r="190" spans="1:5">
      <c r="A190" s="135" t="s">
        <v>259</v>
      </c>
      <c r="B190" s="124" t="s">
        <v>7602</v>
      </c>
      <c r="C190" s="124" t="s">
        <v>7602</v>
      </c>
      <c r="E190" s="124" t="s">
        <v>7804</v>
      </c>
    </row>
    <row r="191" spans="1:5">
      <c r="A191" s="135" t="s">
        <v>259</v>
      </c>
      <c r="B191" s="124" t="s">
        <v>7603</v>
      </c>
      <c r="C191" s="124" t="s">
        <v>7603</v>
      </c>
      <c r="E191" s="124" t="s">
        <v>7805</v>
      </c>
    </row>
    <row r="192" spans="1:5">
      <c r="A192" s="135" t="s">
        <v>259</v>
      </c>
      <c r="B192" s="124" t="s">
        <v>7604</v>
      </c>
      <c r="C192" s="124" t="s">
        <v>7604</v>
      </c>
      <c r="E192" s="124" t="s">
        <v>7806</v>
      </c>
    </row>
    <row r="193" spans="1:5">
      <c r="A193" s="135" t="s">
        <v>259</v>
      </c>
      <c r="B193" s="124" t="s">
        <v>7605</v>
      </c>
      <c r="C193" s="124" t="s">
        <v>7605</v>
      </c>
      <c r="E193" s="124" t="s">
        <v>7807</v>
      </c>
    </row>
    <row r="194" spans="1:5">
      <c r="A194" s="135" t="s">
        <v>259</v>
      </c>
      <c r="B194" s="124" t="s">
        <v>7606</v>
      </c>
      <c r="C194" s="124" t="s">
        <v>7606</v>
      </c>
      <c r="E194" s="124" t="s">
        <v>7808</v>
      </c>
    </row>
    <row r="195" spans="1:5">
      <c r="A195" s="135" t="s">
        <v>259</v>
      </c>
      <c r="B195" s="124" t="s">
        <v>7607</v>
      </c>
      <c r="C195" s="124" t="s">
        <v>7607</v>
      </c>
      <c r="E195" s="124" t="s">
        <v>7809</v>
      </c>
    </row>
    <row r="196" spans="1:5">
      <c r="A196" s="135" t="s">
        <v>259</v>
      </c>
      <c r="B196" s="124" t="s">
        <v>7608</v>
      </c>
      <c r="C196" s="124" t="s">
        <v>7608</v>
      </c>
      <c r="E196" s="124" t="s">
        <v>7810</v>
      </c>
    </row>
    <row r="197" spans="1:5">
      <c r="A197" s="135" t="s">
        <v>259</v>
      </c>
      <c r="B197" s="124" t="s">
        <v>7609</v>
      </c>
      <c r="C197" s="124" t="s">
        <v>7609</v>
      </c>
      <c r="E197" s="124" t="s">
        <v>7811</v>
      </c>
    </row>
    <row r="198" spans="1:5">
      <c r="A198" s="135" t="s">
        <v>259</v>
      </c>
      <c r="B198" s="124" t="s">
        <v>7610</v>
      </c>
      <c r="C198" s="124" t="s">
        <v>7610</v>
      </c>
      <c r="E198" s="124" t="s">
        <v>7812</v>
      </c>
    </row>
    <row r="199" spans="1:5">
      <c r="A199" s="135" t="s">
        <v>259</v>
      </c>
      <c r="B199" s="124" t="s">
        <v>7885</v>
      </c>
      <c r="C199" s="124" t="s">
        <v>7858</v>
      </c>
      <c r="E199" s="124" t="s">
        <v>7813</v>
      </c>
    </row>
    <row r="200" spans="1:5">
      <c r="A200" s="135" t="s">
        <v>259</v>
      </c>
      <c r="B200" s="124" t="s">
        <v>7886</v>
      </c>
      <c r="C200" s="124" t="s">
        <v>7859</v>
      </c>
      <c r="E200" s="124" t="s">
        <v>7814</v>
      </c>
    </row>
    <row r="201" spans="1:5">
      <c r="A201" s="135" t="s">
        <v>259</v>
      </c>
      <c r="B201" s="124" t="s">
        <v>7887</v>
      </c>
      <c r="C201" s="124" t="s">
        <v>7860</v>
      </c>
      <c r="E201" s="124" t="s">
        <v>7815</v>
      </c>
    </row>
    <row r="202" spans="1:5">
      <c r="A202" s="135" t="s">
        <v>259</v>
      </c>
      <c r="B202" s="124" t="s">
        <v>7888</v>
      </c>
      <c r="C202" s="124" t="s">
        <v>7861</v>
      </c>
      <c r="E202" s="124" t="s">
        <v>7816</v>
      </c>
    </row>
    <row r="203" spans="1:5">
      <c r="A203" s="135" t="s">
        <v>259</v>
      </c>
      <c r="B203" s="124" t="s">
        <v>7611</v>
      </c>
      <c r="C203" s="124" t="s">
        <v>7611</v>
      </c>
      <c r="E203" s="124" t="s">
        <v>7817</v>
      </c>
    </row>
    <row r="204" spans="1:5">
      <c r="A204" s="135" t="s">
        <v>259</v>
      </c>
      <c r="B204" s="124" t="s">
        <v>7612</v>
      </c>
      <c r="C204" s="124" t="s">
        <v>7612</v>
      </c>
      <c r="E204" s="124" t="s">
        <v>7818</v>
      </c>
    </row>
    <row r="205" spans="1:5">
      <c r="A205" s="135" t="s">
        <v>259</v>
      </c>
      <c r="B205" s="124" t="s">
        <v>7613</v>
      </c>
      <c r="C205" s="124" t="s">
        <v>7613</v>
      </c>
      <c r="E205" s="124" t="s">
        <v>7819</v>
      </c>
    </row>
    <row r="206" spans="1:5">
      <c r="A206" s="135" t="s">
        <v>259</v>
      </c>
      <c r="B206" s="124" t="s">
        <v>7614</v>
      </c>
      <c r="C206" s="124" t="s">
        <v>7614</v>
      </c>
      <c r="E206" s="124" t="s">
        <v>7820</v>
      </c>
    </row>
    <row r="207" spans="1:5">
      <c r="A207" s="135" t="s">
        <v>259</v>
      </c>
      <c r="B207" s="124" t="s">
        <v>7615</v>
      </c>
      <c r="C207" s="124" t="s">
        <v>7615</v>
      </c>
      <c r="E207" s="124" t="s">
        <v>7821</v>
      </c>
    </row>
    <row r="208" spans="1:5">
      <c r="A208" s="135" t="s">
        <v>259</v>
      </c>
      <c r="B208" s="124" t="s">
        <v>7862</v>
      </c>
      <c r="C208" s="124" t="s">
        <v>7862</v>
      </c>
      <c r="E208" s="124" t="s">
        <v>7902</v>
      </c>
    </row>
    <row r="209" spans="1:8">
      <c r="A209" s="135" t="s">
        <v>259</v>
      </c>
      <c r="B209" s="124" t="s">
        <v>7863</v>
      </c>
      <c r="C209" s="124" t="s">
        <v>7863</v>
      </c>
      <c r="E209" s="124" t="s">
        <v>7903</v>
      </c>
    </row>
    <row r="210" spans="1:8">
      <c r="A210" s="135" t="s">
        <v>259</v>
      </c>
      <c r="B210" s="124" t="s">
        <v>8130</v>
      </c>
      <c r="C210" s="124" t="s">
        <v>8130</v>
      </c>
      <c r="E210" s="124" t="s">
        <v>8129</v>
      </c>
    </row>
    <row r="211" spans="1:8">
      <c r="G211"/>
      <c r="H211"/>
    </row>
    <row r="212" spans="1:8">
      <c r="G212"/>
      <c r="H212"/>
    </row>
    <row r="213" spans="1:8">
      <c r="G213"/>
      <c r="H213"/>
    </row>
    <row r="214" spans="1:8">
      <c r="G214"/>
      <c r="H214"/>
    </row>
    <row r="215" spans="1:8">
      <c r="G215"/>
      <c r="H215"/>
    </row>
    <row r="216" spans="1:8">
      <c r="G216"/>
      <c r="H216"/>
    </row>
    <row r="217" spans="1:8">
      <c r="G217"/>
      <c r="H217"/>
    </row>
    <row r="218" spans="1:8">
      <c r="G218"/>
      <c r="H218"/>
    </row>
    <row r="219" spans="1:8">
      <c r="G219"/>
      <c r="H219"/>
    </row>
    <row r="220" spans="1:8">
      <c r="G220"/>
      <c r="H220"/>
    </row>
    <row r="221" spans="1:8">
      <c r="G221"/>
      <c r="H221"/>
    </row>
    <row r="222" spans="1:8">
      <c r="G222"/>
      <c r="H222"/>
    </row>
    <row r="223" spans="1:8">
      <c r="G223"/>
      <c r="H223"/>
    </row>
    <row r="224" spans="1:8">
      <c r="G224"/>
      <c r="H224"/>
    </row>
    <row r="225" spans="7:8">
      <c r="G225"/>
      <c r="H225"/>
    </row>
    <row r="226" spans="7:8">
      <c r="G226"/>
      <c r="H226"/>
    </row>
    <row r="227" spans="7:8">
      <c r="G227"/>
      <c r="H227"/>
    </row>
    <row r="228" spans="7:8">
      <c r="G228"/>
      <c r="H228"/>
    </row>
    <row r="229" spans="7:8">
      <c r="G229"/>
      <c r="H229"/>
    </row>
    <row r="230" spans="7:8">
      <c r="G230"/>
      <c r="H230"/>
    </row>
    <row r="231" spans="7:8">
      <c r="G231"/>
      <c r="H231"/>
    </row>
    <row r="232" spans="7:8">
      <c r="G232"/>
      <c r="H232"/>
    </row>
    <row r="233" spans="7:8">
      <c r="G233"/>
      <c r="H233"/>
    </row>
    <row r="234" spans="7:8">
      <c r="G234"/>
      <c r="H234"/>
    </row>
    <row r="235" spans="7:8">
      <c r="G235"/>
      <c r="H235"/>
    </row>
    <row r="236" spans="7:8">
      <c r="G236"/>
      <c r="H236"/>
    </row>
    <row r="237" spans="7:8">
      <c r="G237"/>
      <c r="H237"/>
    </row>
    <row r="238" spans="7:8">
      <c r="G238"/>
      <c r="H238"/>
    </row>
    <row r="239" spans="7:8">
      <c r="G239"/>
      <c r="H239"/>
    </row>
    <row r="240" spans="7:8">
      <c r="G240"/>
      <c r="H240"/>
    </row>
    <row r="241" spans="7:8">
      <c r="G241"/>
      <c r="H241"/>
    </row>
    <row r="242" spans="7:8">
      <c r="G242"/>
      <c r="H242"/>
    </row>
    <row r="243" spans="7:8">
      <c r="G243"/>
      <c r="H243"/>
    </row>
    <row r="244" spans="7:8">
      <c r="G244"/>
      <c r="H244"/>
    </row>
    <row r="245" spans="7:8">
      <c r="G245"/>
      <c r="H245"/>
    </row>
    <row r="246" spans="7:8">
      <c r="G246"/>
      <c r="H246"/>
    </row>
    <row r="247" spans="7:8">
      <c r="G247"/>
      <c r="H247"/>
    </row>
    <row r="248" spans="7:8">
      <c r="G248"/>
      <c r="H248"/>
    </row>
    <row r="249" spans="7:8">
      <c r="G249"/>
      <c r="H249"/>
    </row>
    <row r="250" spans="7:8">
      <c r="G250"/>
      <c r="H250"/>
    </row>
    <row r="251" spans="7:8">
      <c r="G251"/>
      <c r="H251"/>
    </row>
    <row r="252" spans="7:8">
      <c r="G252"/>
      <c r="H252"/>
    </row>
    <row r="253" spans="7:8">
      <c r="G253"/>
      <c r="H253"/>
    </row>
    <row r="254" spans="7:8">
      <c r="G254"/>
      <c r="H254"/>
    </row>
    <row r="255" spans="7:8">
      <c r="G255"/>
      <c r="H255"/>
    </row>
    <row r="256" spans="7:8">
      <c r="G256"/>
      <c r="H256"/>
    </row>
    <row r="257" spans="7:8">
      <c r="G257"/>
      <c r="H257"/>
    </row>
    <row r="258" spans="7:8">
      <c r="G258"/>
      <c r="H258"/>
    </row>
    <row r="259" spans="7:8">
      <c r="G259"/>
      <c r="H259"/>
    </row>
    <row r="260" spans="7:8">
      <c r="G260"/>
      <c r="H260"/>
    </row>
    <row r="261" spans="7:8">
      <c r="G261"/>
      <c r="H261"/>
    </row>
    <row r="262" spans="7:8">
      <c r="G262"/>
      <c r="H262"/>
    </row>
    <row r="263" spans="7:8">
      <c r="G263"/>
      <c r="H263"/>
    </row>
    <row r="264" spans="7:8">
      <c r="G264"/>
      <c r="H264"/>
    </row>
    <row r="265" spans="7:8">
      <c r="G265"/>
      <c r="H265"/>
    </row>
    <row r="266" spans="7:8">
      <c r="G266"/>
      <c r="H266"/>
    </row>
    <row r="267" spans="7:8">
      <c r="G267"/>
      <c r="H267"/>
    </row>
    <row r="268" spans="7:8">
      <c r="G268"/>
      <c r="H268"/>
    </row>
    <row r="269" spans="7:8">
      <c r="G269"/>
      <c r="H269"/>
    </row>
    <row r="270" spans="7:8">
      <c r="G270"/>
      <c r="H270"/>
    </row>
    <row r="271" spans="7:8">
      <c r="G271"/>
      <c r="H271"/>
    </row>
    <row r="272" spans="7:8">
      <c r="G272"/>
      <c r="H272"/>
    </row>
    <row r="273" spans="7:8">
      <c r="G273"/>
      <c r="H273"/>
    </row>
    <row r="274" spans="7:8">
      <c r="G274"/>
      <c r="H274"/>
    </row>
    <row r="275" spans="7:8">
      <c r="G275"/>
      <c r="H275"/>
    </row>
    <row r="276" spans="7:8">
      <c r="G276"/>
      <c r="H276"/>
    </row>
    <row r="277" spans="7:8">
      <c r="G277"/>
      <c r="H277"/>
    </row>
    <row r="278" spans="7:8">
      <c r="G278"/>
      <c r="H278"/>
    </row>
    <row r="279" spans="7:8">
      <c r="G279"/>
      <c r="H279"/>
    </row>
    <row r="280" spans="7:8">
      <c r="G280"/>
      <c r="H280"/>
    </row>
    <row r="281" spans="7:8">
      <c r="G281"/>
      <c r="H281"/>
    </row>
    <row r="282" spans="7:8">
      <c r="G282"/>
      <c r="H282"/>
    </row>
    <row r="283" spans="7:8">
      <c r="G283"/>
      <c r="H283"/>
    </row>
    <row r="284" spans="7:8">
      <c r="G284"/>
      <c r="H284"/>
    </row>
    <row r="285" spans="7:8">
      <c r="G285"/>
      <c r="H285"/>
    </row>
    <row r="286" spans="7:8">
      <c r="G286"/>
      <c r="H286"/>
    </row>
    <row r="287" spans="7:8">
      <c r="G287"/>
      <c r="H287"/>
    </row>
    <row r="288" spans="7:8">
      <c r="G288"/>
      <c r="H288"/>
    </row>
    <row r="289" spans="7:8">
      <c r="G289"/>
      <c r="H289"/>
    </row>
    <row r="290" spans="7:8">
      <c r="G290"/>
      <c r="H290"/>
    </row>
    <row r="291" spans="7:8">
      <c r="G291"/>
      <c r="H291"/>
    </row>
    <row r="292" spans="7:8">
      <c r="G292"/>
      <c r="H292"/>
    </row>
    <row r="293" spans="7:8">
      <c r="G293"/>
      <c r="H293"/>
    </row>
    <row r="294" spans="7:8">
      <c r="G294"/>
      <c r="H294"/>
    </row>
    <row r="295" spans="7:8">
      <c r="G295"/>
      <c r="H295"/>
    </row>
    <row r="296" spans="7:8">
      <c r="G296"/>
      <c r="H296"/>
    </row>
    <row r="297" spans="7:8">
      <c r="G297"/>
      <c r="H297"/>
    </row>
    <row r="298" spans="7:8">
      <c r="G298"/>
      <c r="H298"/>
    </row>
    <row r="299" spans="7:8">
      <c r="G299"/>
      <c r="H299"/>
    </row>
    <row r="300" spans="7:8">
      <c r="G300"/>
      <c r="H300"/>
    </row>
    <row r="301" spans="7:8">
      <c r="G301"/>
      <c r="H301"/>
    </row>
    <row r="302" spans="7:8">
      <c r="G302"/>
      <c r="H302"/>
    </row>
    <row r="303" spans="7:8">
      <c r="G303"/>
      <c r="H303"/>
    </row>
    <row r="304" spans="7:8">
      <c r="G304"/>
      <c r="H304"/>
    </row>
    <row r="305" spans="7:8">
      <c r="G305"/>
      <c r="H305"/>
    </row>
    <row r="306" spans="7:8">
      <c r="G306"/>
      <c r="H306"/>
    </row>
    <row r="307" spans="7:8">
      <c r="G307"/>
      <c r="H307"/>
    </row>
    <row r="308" spans="7:8">
      <c r="G308"/>
      <c r="H308"/>
    </row>
    <row r="309" spans="7:8">
      <c r="G309"/>
      <c r="H309"/>
    </row>
    <row r="310" spans="7:8">
      <c r="G310"/>
      <c r="H310"/>
    </row>
    <row r="311" spans="7:8">
      <c r="G311"/>
      <c r="H311"/>
    </row>
    <row r="312" spans="7:8">
      <c r="G312"/>
      <c r="H312"/>
    </row>
    <row r="313" spans="7:8">
      <c r="G313"/>
      <c r="H313"/>
    </row>
    <row r="314" spans="7:8">
      <c r="G314"/>
      <c r="H314"/>
    </row>
    <row r="315" spans="7:8">
      <c r="G315"/>
      <c r="H315"/>
    </row>
    <row r="316" spans="7:8">
      <c r="G316"/>
      <c r="H316"/>
    </row>
    <row r="317" spans="7:8">
      <c r="G317"/>
      <c r="H317"/>
    </row>
    <row r="318" spans="7:8">
      <c r="G318"/>
      <c r="H318"/>
    </row>
    <row r="319" spans="7:8">
      <c r="G319"/>
      <c r="H319"/>
    </row>
    <row r="320" spans="7:8">
      <c r="G320"/>
      <c r="H320"/>
    </row>
    <row r="321" spans="7:8">
      <c r="G321"/>
      <c r="H321"/>
    </row>
    <row r="322" spans="7:8">
      <c r="G322"/>
      <c r="H322"/>
    </row>
    <row r="323" spans="7:8">
      <c r="G323"/>
      <c r="H323"/>
    </row>
    <row r="324" spans="7:8">
      <c r="G324"/>
      <c r="H324"/>
    </row>
    <row r="325" spans="7:8">
      <c r="G325"/>
      <c r="H325"/>
    </row>
    <row r="326" spans="7:8">
      <c r="G326"/>
      <c r="H326"/>
    </row>
    <row r="327" spans="7:8">
      <c r="G327"/>
      <c r="H327"/>
    </row>
    <row r="328" spans="7:8">
      <c r="G328"/>
      <c r="H328"/>
    </row>
    <row r="329" spans="7:8">
      <c r="G329"/>
      <c r="H329"/>
    </row>
    <row r="330" spans="7:8">
      <c r="G330"/>
      <c r="H330"/>
    </row>
    <row r="331" spans="7:8">
      <c r="G331"/>
      <c r="H331"/>
    </row>
    <row r="332" spans="7:8">
      <c r="G332"/>
      <c r="H332"/>
    </row>
    <row r="333" spans="7:8">
      <c r="G333"/>
      <c r="H333"/>
    </row>
    <row r="334" spans="7:8">
      <c r="G334"/>
      <c r="H334"/>
    </row>
    <row r="335" spans="7:8">
      <c r="G335"/>
      <c r="H335"/>
    </row>
    <row r="336" spans="7:8">
      <c r="G336"/>
      <c r="H336"/>
    </row>
    <row r="337" spans="7:8">
      <c r="G337"/>
      <c r="H337"/>
    </row>
    <row r="338" spans="7:8">
      <c r="G338"/>
      <c r="H338"/>
    </row>
    <row r="339" spans="7:8">
      <c r="G339"/>
      <c r="H339"/>
    </row>
    <row r="340" spans="7:8">
      <c r="G340"/>
      <c r="H340"/>
    </row>
    <row r="341" spans="7:8">
      <c r="G341"/>
      <c r="H341"/>
    </row>
    <row r="342" spans="7:8">
      <c r="G342"/>
      <c r="H342"/>
    </row>
    <row r="343" spans="7:8">
      <c r="G343"/>
      <c r="H343"/>
    </row>
    <row r="344" spans="7:8">
      <c r="G344"/>
      <c r="H344"/>
    </row>
    <row r="345" spans="7:8">
      <c r="G345"/>
      <c r="H345"/>
    </row>
    <row r="346" spans="7:8">
      <c r="G346"/>
      <c r="H346"/>
    </row>
    <row r="347" spans="7:8">
      <c r="G347"/>
      <c r="H347"/>
    </row>
    <row r="348" spans="7:8">
      <c r="G348"/>
      <c r="H348"/>
    </row>
    <row r="349" spans="7:8">
      <c r="G349"/>
      <c r="H349"/>
    </row>
    <row r="350" spans="7:8">
      <c r="G350"/>
      <c r="H350"/>
    </row>
    <row r="351" spans="7:8">
      <c r="G351"/>
      <c r="H351"/>
    </row>
    <row r="352" spans="7:8">
      <c r="G352"/>
      <c r="H352"/>
    </row>
    <row r="353" spans="7:8">
      <c r="G353"/>
      <c r="H353"/>
    </row>
    <row r="354" spans="7:8">
      <c r="G354"/>
      <c r="H354"/>
    </row>
    <row r="355" spans="7:8">
      <c r="G355"/>
      <c r="H355"/>
    </row>
    <row r="356" spans="7:8">
      <c r="G356"/>
      <c r="H356"/>
    </row>
    <row r="357" spans="7:8">
      <c r="G357"/>
      <c r="H357"/>
    </row>
    <row r="358" spans="7:8">
      <c r="G358"/>
      <c r="H358"/>
    </row>
    <row r="359" spans="7:8">
      <c r="G359"/>
      <c r="H359"/>
    </row>
    <row r="360" spans="7:8">
      <c r="G360"/>
      <c r="H360"/>
    </row>
    <row r="361" spans="7:8">
      <c r="G361"/>
      <c r="H361"/>
    </row>
    <row r="362" spans="7:8">
      <c r="G362"/>
      <c r="H362"/>
    </row>
    <row r="363" spans="7:8">
      <c r="G363"/>
      <c r="H363"/>
    </row>
    <row r="364" spans="7:8">
      <c r="G364"/>
      <c r="H364"/>
    </row>
    <row r="365" spans="7:8">
      <c r="G365"/>
      <c r="H365"/>
    </row>
    <row r="366" spans="7:8">
      <c r="G366"/>
      <c r="H366"/>
    </row>
    <row r="367" spans="7:8">
      <c r="G367"/>
      <c r="H367"/>
    </row>
    <row r="368" spans="7:8">
      <c r="G368"/>
      <c r="H368"/>
    </row>
    <row r="369" spans="7:8">
      <c r="G369"/>
      <c r="H369"/>
    </row>
    <row r="370" spans="7:8">
      <c r="G370"/>
      <c r="H370"/>
    </row>
    <row r="371" spans="7:8">
      <c r="G371"/>
      <c r="H371"/>
    </row>
    <row r="372" spans="7:8">
      <c r="G372"/>
      <c r="H372"/>
    </row>
    <row r="373" spans="7:8">
      <c r="G373"/>
      <c r="H373"/>
    </row>
    <row r="374" spans="7:8">
      <c r="G374"/>
      <c r="H374"/>
    </row>
    <row r="375" spans="7:8">
      <c r="G375"/>
      <c r="H375"/>
    </row>
    <row r="376" spans="7:8">
      <c r="G376"/>
      <c r="H376"/>
    </row>
    <row r="377" spans="7:8">
      <c r="G377"/>
      <c r="H377"/>
    </row>
    <row r="378" spans="7:8">
      <c r="G378"/>
      <c r="H378"/>
    </row>
    <row r="379" spans="7:8">
      <c r="G379"/>
      <c r="H379"/>
    </row>
    <row r="380" spans="7:8">
      <c r="G380"/>
      <c r="H380"/>
    </row>
    <row r="381" spans="7:8">
      <c r="G381"/>
      <c r="H381"/>
    </row>
    <row r="382" spans="7:8">
      <c r="G382"/>
      <c r="H382"/>
    </row>
    <row r="383" spans="7:8">
      <c r="G383"/>
      <c r="H383"/>
    </row>
    <row r="384" spans="7:8">
      <c r="G384"/>
      <c r="H384"/>
    </row>
    <row r="385" spans="7:8">
      <c r="G385"/>
      <c r="H385"/>
    </row>
    <row r="386" spans="7:8">
      <c r="G386"/>
      <c r="H386"/>
    </row>
    <row r="387" spans="7:8">
      <c r="G387"/>
      <c r="H387"/>
    </row>
    <row r="388" spans="7:8">
      <c r="G388"/>
      <c r="H388"/>
    </row>
    <row r="389" spans="7:8">
      <c r="G389"/>
      <c r="H389"/>
    </row>
    <row r="390" spans="7:8">
      <c r="G390"/>
      <c r="H390"/>
    </row>
    <row r="391" spans="7:8">
      <c r="G391"/>
      <c r="H391"/>
    </row>
    <row r="392" spans="7:8">
      <c r="G392"/>
      <c r="H392"/>
    </row>
    <row r="393" spans="7:8">
      <c r="G393"/>
      <c r="H393"/>
    </row>
    <row r="394" spans="7:8">
      <c r="G394"/>
      <c r="H394"/>
    </row>
    <row r="395" spans="7:8">
      <c r="G395"/>
      <c r="H395"/>
    </row>
    <row r="396" spans="7:8">
      <c r="G396"/>
      <c r="H396"/>
    </row>
    <row r="397" spans="7:8">
      <c r="G397"/>
      <c r="H397"/>
    </row>
    <row r="398" spans="7:8">
      <c r="G398"/>
      <c r="H398"/>
    </row>
    <row r="399" spans="7:8">
      <c r="G399"/>
      <c r="H399"/>
    </row>
    <row r="400" spans="7:8">
      <c r="G400"/>
      <c r="H400"/>
    </row>
    <row r="401" spans="7:8">
      <c r="G401"/>
      <c r="H401"/>
    </row>
    <row r="402" spans="7:8">
      <c r="G402"/>
      <c r="H402"/>
    </row>
    <row r="403" spans="7:8">
      <c r="G403"/>
      <c r="H403"/>
    </row>
    <row r="404" spans="7:8">
      <c r="G404"/>
      <c r="H404"/>
    </row>
    <row r="405" spans="7:8">
      <c r="G405"/>
      <c r="H405"/>
    </row>
    <row r="406" spans="7:8">
      <c r="G406"/>
      <c r="H406"/>
    </row>
    <row r="407" spans="7:8">
      <c r="G407"/>
      <c r="H407"/>
    </row>
    <row r="408" spans="7:8">
      <c r="G408"/>
      <c r="H408"/>
    </row>
    <row r="409" spans="7:8">
      <c r="G409"/>
      <c r="H409"/>
    </row>
    <row r="410" spans="7:8">
      <c r="G410"/>
      <c r="H410"/>
    </row>
    <row r="411" spans="7:8">
      <c r="G411"/>
      <c r="H411"/>
    </row>
    <row r="412" spans="7:8">
      <c r="G412"/>
      <c r="H412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10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89" zoomScaleNormal="89" workbookViewId="0">
      <selection activeCell="H11" sqref="H11"/>
    </sheetView>
  </sheetViews>
  <sheetFormatPr baseColWidth="10" defaultColWidth="10.7109375" defaultRowHeight="12.75"/>
  <cols>
    <col min="1" max="1" width="7.42578125" style="124" customWidth="1"/>
    <col min="2" max="2" width="11.7109375" style="124" customWidth="1"/>
    <col min="3" max="3" width="12.140625" style="124" customWidth="1"/>
    <col min="4" max="4" width="19.42578125" style="112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26" t="s">
        <v>268</v>
      </c>
      <c r="B2" s="126" t="s">
        <v>269</v>
      </c>
      <c r="C2" s="126" t="s">
        <v>270</v>
      </c>
      <c r="D2" s="112" t="s">
        <v>7864</v>
      </c>
    </row>
    <row r="3" spans="1:4">
      <c r="A3" s="124" t="s">
        <v>268</v>
      </c>
      <c r="B3" s="124" t="s">
        <v>271</v>
      </c>
      <c r="C3" s="124" t="s">
        <v>272</v>
      </c>
      <c r="D3" s="112" t="s">
        <v>7865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95" zoomScaleNormal="95" workbookViewId="0">
      <selection activeCellId="1" sqref="A2:B2 A1"/>
    </sheetView>
  </sheetViews>
  <sheetFormatPr baseColWidth="10" defaultColWidth="12.85546875" defaultRowHeight="12.75"/>
  <cols>
    <col min="1" max="1" width="13.28515625" style="124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6" t="s">
        <v>273</v>
      </c>
      <c r="B2" s="112" t="s">
        <v>273</v>
      </c>
    </row>
    <row r="3" spans="1:4">
      <c r="A3" s="137" t="s">
        <v>274</v>
      </c>
      <c r="B3" s="138" t="s">
        <v>275</v>
      </c>
      <c r="D3" s="112" t="s">
        <v>273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865"/>
  <sheetViews>
    <sheetView topLeftCell="BQ1" zoomScale="95" zoomScaleNormal="95" workbookViewId="0">
      <pane ySplit="1" topLeftCell="A2" activePane="bottomLeft" state="frozen"/>
      <selection pane="bottomLeft" activeCell="W18" sqref="W18"/>
    </sheetView>
  </sheetViews>
  <sheetFormatPr baseColWidth="10" defaultColWidth="11.28515625" defaultRowHeight="12.75"/>
  <cols>
    <col min="1" max="1" width="17.28515625" style="158" customWidth="1"/>
    <col min="2" max="2" width="8" style="112" customWidth="1"/>
    <col min="3" max="3" width="5.42578125" style="112" customWidth="1"/>
    <col min="4" max="4" width="8.85546875" style="112" customWidth="1"/>
    <col min="5" max="5" width="6" style="113" customWidth="1"/>
    <col min="6" max="6" width="3.42578125" style="113" customWidth="1"/>
    <col min="7" max="7" width="5.5703125" style="113" customWidth="1"/>
    <col min="8" max="8" width="5.42578125" style="113" customWidth="1"/>
    <col min="9" max="10" width="10.85546875" style="112" customWidth="1"/>
    <col min="11" max="11" width="8" style="139" customWidth="1"/>
    <col min="12" max="14" width="8" style="157" customWidth="1"/>
    <col min="15" max="15" width="8" style="139" customWidth="1"/>
    <col min="16" max="16" width="8" style="157" customWidth="1"/>
    <col min="17" max="17" width="8" style="139" customWidth="1"/>
    <col min="18" max="18" width="8" style="157" customWidth="1"/>
    <col min="19" max="19" width="8" style="139" customWidth="1"/>
    <col min="20" max="20" width="8" style="157" customWidth="1"/>
    <col min="21" max="21" width="8" style="139" customWidth="1"/>
    <col min="22" max="22" width="8" style="157" customWidth="1"/>
    <col min="23" max="23" width="8" style="139" customWidth="1"/>
    <col min="24" max="24" width="8" style="157" customWidth="1"/>
    <col min="25" max="25" width="8" style="139" customWidth="1"/>
    <col min="26" max="26" width="8" style="157" customWidth="1"/>
    <col min="27" max="27" width="8" style="139" customWidth="1"/>
    <col min="28" max="28" width="8" style="157" customWidth="1"/>
    <col min="29" max="29" width="8" style="139" customWidth="1"/>
    <col min="30" max="30" width="8" style="157" customWidth="1"/>
    <col min="31" max="31" width="8" style="139" customWidth="1"/>
    <col min="32" max="32" width="8" style="157" customWidth="1"/>
    <col min="33" max="33" width="13" style="157" customWidth="1"/>
    <col min="34" max="34" width="8" style="157" customWidth="1"/>
    <col min="35" max="35" width="13.28515625" style="157" customWidth="1"/>
    <col min="36" max="36" width="9.85546875" style="157" bestFit="1" customWidth="1"/>
    <col min="37" max="37" width="8" style="139" customWidth="1"/>
    <col min="38" max="38" width="8" style="157" customWidth="1"/>
    <col min="39" max="39" width="8" style="139" customWidth="1"/>
    <col min="40" max="40" width="8" style="157" customWidth="1"/>
    <col min="41" max="56" width="8" style="139" customWidth="1"/>
    <col min="57" max="91" width="8" style="140" customWidth="1"/>
    <col min="92" max="16384" width="11.28515625" style="140"/>
  </cols>
  <sheetData>
    <row r="1" spans="1:91" s="182" customFormat="1" ht="69" customHeight="1">
      <c r="A1" s="175" t="s">
        <v>150</v>
      </c>
      <c r="B1" s="176" t="s">
        <v>171</v>
      </c>
      <c r="C1" s="176" t="s">
        <v>187</v>
      </c>
      <c r="D1" s="176" t="s">
        <v>276</v>
      </c>
      <c r="E1" s="177" t="s">
        <v>21</v>
      </c>
      <c r="F1" s="177" t="s">
        <v>22</v>
      </c>
      <c r="G1" s="177" t="s">
        <v>192</v>
      </c>
      <c r="H1" s="177" t="s">
        <v>193</v>
      </c>
      <c r="I1" s="178" t="s">
        <v>8060</v>
      </c>
      <c r="J1" s="176" t="s">
        <v>8061</v>
      </c>
      <c r="K1" s="178" t="s">
        <v>8062</v>
      </c>
      <c r="L1" s="179" t="s">
        <v>8063</v>
      </c>
      <c r="M1" s="178" t="s">
        <v>8064</v>
      </c>
      <c r="N1" s="179" t="s">
        <v>8065</v>
      </c>
      <c r="O1" s="178" t="s">
        <v>8066</v>
      </c>
      <c r="P1" s="179" t="s">
        <v>8067</v>
      </c>
      <c r="Q1" s="178" t="s">
        <v>8068</v>
      </c>
      <c r="R1" s="179" t="s">
        <v>8069</v>
      </c>
      <c r="S1" s="178" t="s">
        <v>286</v>
      </c>
      <c r="T1" s="179" t="s">
        <v>287</v>
      </c>
      <c r="U1" s="178" t="s">
        <v>8070</v>
      </c>
      <c r="V1" s="179" t="s">
        <v>8071</v>
      </c>
      <c r="W1" s="178" t="s">
        <v>8072</v>
      </c>
      <c r="X1" s="179" t="s">
        <v>8073</v>
      </c>
      <c r="Y1" s="178" t="s">
        <v>284</v>
      </c>
      <c r="Z1" s="179" t="s">
        <v>285</v>
      </c>
      <c r="AA1" s="178" t="s">
        <v>280</v>
      </c>
      <c r="AB1" s="179" t="s">
        <v>281</v>
      </c>
      <c r="AC1" s="178" t="s">
        <v>277</v>
      </c>
      <c r="AD1" s="179" t="s">
        <v>8074</v>
      </c>
      <c r="AE1" s="178" t="s">
        <v>8075</v>
      </c>
      <c r="AF1" s="179" t="s">
        <v>8076</v>
      </c>
      <c r="AG1" s="178" t="s">
        <v>278</v>
      </c>
      <c r="AH1" s="179" t="s">
        <v>279</v>
      </c>
      <c r="AI1" s="178" t="s">
        <v>8077</v>
      </c>
      <c r="AJ1" s="179" t="s">
        <v>8078</v>
      </c>
      <c r="AK1" s="178" t="s">
        <v>8079</v>
      </c>
      <c r="AL1" s="179" t="s">
        <v>8080</v>
      </c>
      <c r="AM1" s="178" t="s">
        <v>8081</v>
      </c>
      <c r="AN1" s="179" t="s">
        <v>8082</v>
      </c>
      <c r="AO1" s="179" t="s">
        <v>8083</v>
      </c>
      <c r="AP1" s="179" t="s">
        <v>8084</v>
      </c>
      <c r="AQ1" s="179" t="s">
        <v>8085</v>
      </c>
      <c r="AR1" s="179" t="s">
        <v>8086</v>
      </c>
      <c r="AS1" s="179" t="s">
        <v>8087</v>
      </c>
      <c r="AT1" s="179" t="s">
        <v>8088</v>
      </c>
      <c r="AU1" s="179" t="s">
        <v>8089</v>
      </c>
      <c r="AV1" s="179" t="s">
        <v>8090</v>
      </c>
      <c r="AW1" s="179" t="s">
        <v>8091</v>
      </c>
      <c r="AX1" s="179" t="s">
        <v>8092</v>
      </c>
      <c r="AY1" s="180" t="s">
        <v>8093</v>
      </c>
      <c r="AZ1" s="180" t="s">
        <v>8094</v>
      </c>
      <c r="BA1" s="180" t="s">
        <v>8095</v>
      </c>
      <c r="BB1" s="180" t="s">
        <v>8096</v>
      </c>
      <c r="BC1" s="180" t="s">
        <v>8097</v>
      </c>
      <c r="BD1" s="181" t="s">
        <v>8098</v>
      </c>
      <c r="BE1" s="182" t="s">
        <v>8099</v>
      </c>
      <c r="BF1" s="182" t="s">
        <v>8100</v>
      </c>
      <c r="BG1" s="182" t="s">
        <v>8101</v>
      </c>
      <c r="BH1" s="182" t="s">
        <v>8102</v>
      </c>
      <c r="BI1" s="182" t="s">
        <v>8103</v>
      </c>
      <c r="BJ1" s="182" t="s">
        <v>8104</v>
      </c>
      <c r="BK1" s="182" t="s">
        <v>8105</v>
      </c>
      <c r="BL1" s="182" t="s">
        <v>8106</v>
      </c>
      <c r="BM1" s="182" t="s">
        <v>8107</v>
      </c>
      <c r="BN1" s="182" t="s">
        <v>8108</v>
      </c>
      <c r="BO1" s="182" t="s">
        <v>8109</v>
      </c>
      <c r="BP1" s="182" t="s">
        <v>8110</v>
      </c>
      <c r="BQ1" s="182" t="s">
        <v>8111</v>
      </c>
      <c r="BR1" s="182" t="s">
        <v>8112</v>
      </c>
      <c r="BS1" s="182" t="s">
        <v>282</v>
      </c>
      <c r="BT1" s="182" t="s">
        <v>283</v>
      </c>
      <c r="BU1" s="182" t="s">
        <v>8113</v>
      </c>
      <c r="BV1" s="182" t="s">
        <v>8114</v>
      </c>
      <c r="BW1" s="182" t="s">
        <v>8115</v>
      </c>
      <c r="BX1" s="182" t="s">
        <v>8116</v>
      </c>
      <c r="BY1" s="182" t="s">
        <v>8117</v>
      </c>
      <c r="BZ1" s="182" t="s">
        <v>8118</v>
      </c>
      <c r="CA1" s="182" t="s">
        <v>8119</v>
      </c>
      <c r="CB1" s="182" t="s">
        <v>8120</v>
      </c>
      <c r="CC1" s="182" t="s">
        <v>8121</v>
      </c>
      <c r="CD1" s="182" t="s">
        <v>8122</v>
      </c>
      <c r="CE1" s="182" t="s">
        <v>8123</v>
      </c>
      <c r="CF1" s="182" t="s">
        <v>8124</v>
      </c>
      <c r="CG1" s="182" t="s">
        <v>8125</v>
      </c>
      <c r="CH1" s="182" t="s">
        <v>8126</v>
      </c>
      <c r="CI1" s="182" t="s">
        <v>8043</v>
      </c>
      <c r="CJ1" s="182" t="s">
        <v>7868</v>
      </c>
      <c r="CK1" s="182" t="s">
        <v>8050</v>
      </c>
      <c r="CL1" s="182" t="s">
        <v>8127</v>
      </c>
      <c r="CM1" s="182" t="s">
        <v>8128</v>
      </c>
    </row>
    <row r="2" spans="1:91">
      <c r="A2" s="158" t="s">
        <v>7804</v>
      </c>
      <c r="B2" s="112" t="s">
        <v>269</v>
      </c>
      <c r="C2" s="112">
        <v>1</v>
      </c>
      <c r="D2">
        <v>189</v>
      </c>
      <c r="E2" s="113">
        <v>5</v>
      </c>
      <c r="F2" s="113">
        <v>1</v>
      </c>
      <c r="I2" s="186">
        <v>41</v>
      </c>
      <c r="J2" s="183">
        <v>41705</v>
      </c>
      <c r="M2" s="184">
        <v>1.93</v>
      </c>
      <c r="N2" s="157">
        <v>41853</v>
      </c>
      <c r="T2" s="157">
        <v>41853</v>
      </c>
      <c r="U2" s="139">
        <v>15.3</v>
      </c>
      <c r="Y2" s="139">
        <f t="shared" ref="Y2:Y65" si="0">(AE2*BU2)/100</f>
        <v>0</v>
      </c>
      <c r="AE2" s="139">
        <v>12.42</v>
      </c>
      <c r="AG2" s="185"/>
      <c r="AI2" s="185">
        <v>135</v>
      </c>
      <c r="AJ2" s="157">
        <v>41803</v>
      </c>
      <c r="AO2" s="139">
        <v>90</v>
      </c>
      <c r="AP2" s="157">
        <v>41738</v>
      </c>
      <c r="AS2" s="139">
        <v>125</v>
      </c>
      <c r="AT2" s="157">
        <v>41766</v>
      </c>
      <c r="BY2" s="140">
        <v>10.4</v>
      </c>
      <c r="CJ2" s="140" t="s">
        <v>8140</v>
      </c>
    </row>
    <row r="3" spans="1:91">
      <c r="A3" s="158" t="s">
        <v>7618</v>
      </c>
      <c r="B3" s="112" t="s">
        <v>269</v>
      </c>
      <c r="C3" s="112">
        <v>1</v>
      </c>
      <c r="D3">
        <v>3</v>
      </c>
      <c r="E3" s="113">
        <v>5</v>
      </c>
      <c r="F3" s="113">
        <v>2</v>
      </c>
      <c r="I3" s="384">
        <v>37</v>
      </c>
      <c r="J3" s="183">
        <v>41705</v>
      </c>
      <c r="K3" s="142"/>
      <c r="M3" s="184">
        <v>0.72</v>
      </c>
      <c r="N3" s="157">
        <v>41853</v>
      </c>
      <c r="O3" s="141"/>
      <c r="Q3" s="142"/>
      <c r="S3" s="142">
        <v>2.25</v>
      </c>
      <c r="T3" s="157">
        <v>41853</v>
      </c>
      <c r="U3" s="142">
        <v>15.3</v>
      </c>
      <c r="W3" s="142"/>
      <c r="Y3" s="139">
        <f t="shared" si="0"/>
        <v>1.0324899999999999</v>
      </c>
      <c r="AA3" s="142">
        <v>9.65</v>
      </c>
      <c r="AE3" s="142">
        <v>4.63</v>
      </c>
      <c r="AG3" s="185">
        <v>4.8</v>
      </c>
      <c r="AI3" s="185">
        <v>120</v>
      </c>
      <c r="AJ3" s="157">
        <v>41803</v>
      </c>
      <c r="AK3" s="142"/>
      <c r="AM3" s="142"/>
      <c r="AO3" s="139">
        <v>93</v>
      </c>
      <c r="AP3" s="157">
        <v>41738</v>
      </c>
      <c r="AS3" s="139">
        <v>123</v>
      </c>
      <c r="AT3" s="157">
        <v>41766</v>
      </c>
      <c r="BS3" s="140">
        <v>48.5</v>
      </c>
      <c r="BU3" s="140">
        <v>22.3</v>
      </c>
      <c r="BW3" s="140">
        <v>65.5</v>
      </c>
      <c r="BY3" s="140">
        <v>10.4</v>
      </c>
      <c r="CJ3" s="140" t="s">
        <v>8140</v>
      </c>
    </row>
    <row r="4" spans="1:91">
      <c r="A4" s="158" t="s">
        <v>7779</v>
      </c>
      <c r="B4" s="112" t="s">
        <v>269</v>
      </c>
      <c r="C4" s="112">
        <v>1</v>
      </c>
      <c r="D4">
        <v>164</v>
      </c>
      <c r="E4" s="113">
        <v>5</v>
      </c>
      <c r="F4" s="113">
        <v>3</v>
      </c>
      <c r="I4" s="186">
        <v>42</v>
      </c>
      <c r="J4" s="183">
        <v>41705</v>
      </c>
      <c r="M4" s="184">
        <v>1.5</v>
      </c>
      <c r="N4" s="157">
        <v>41853</v>
      </c>
      <c r="S4" s="139">
        <v>4.76</v>
      </c>
      <c r="T4" s="157">
        <v>41853</v>
      </c>
      <c r="U4" s="139">
        <v>15.3</v>
      </c>
      <c r="Y4" s="139">
        <f t="shared" si="0"/>
        <v>2.0361500000000001</v>
      </c>
      <c r="AA4" s="139">
        <v>23.54</v>
      </c>
      <c r="AE4" s="139">
        <v>9.65</v>
      </c>
      <c r="AG4" s="185">
        <v>4.0999999999999996</v>
      </c>
      <c r="AI4" s="185">
        <v>115</v>
      </c>
      <c r="AJ4" s="157">
        <v>41803</v>
      </c>
      <c r="AO4" s="139">
        <v>94</v>
      </c>
      <c r="AP4" s="157">
        <v>41738</v>
      </c>
      <c r="AS4" s="139">
        <v>125</v>
      </c>
      <c r="AT4" s="157">
        <v>41766</v>
      </c>
      <c r="BS4" s="140">
        <v>49.3</v>
      </c>
      <c r="BU4" s="140">
        <v>21.1</v>
      </c>
      <c r="BW4" s="140">
        <v>11.3</v>
      </c>
      <c r="BY4" s="140">
        <v>10.4</v>
      </c>
      <c r="CJ4" s="140" t="s">
        <v>8140</v>
      </c>
    </row>
    <row r="5" spans="1:91">
      <c r="A5" s="158" t="s">
        <v>7709</v>
      </c>
      <c r="B5" s="112" t="s">
        <v>269</v>
      </c>
      <c r="C5" s="112">
        <v>1</v>
      </c>
      <c r="D5">
        <v>94</v>
      </c>
      <c r="E5" s="113">
        <v>5</v>
      </c>
      <c r="F5" s="113">
        <v>4</v>
      </c>
      <c r="I5" s="186">
        <v>32</v>
      </c>
      <c r="J5" s="183">
        <v>41705</v>
      </c>
      <c r="M5" s="184">
        <v>1.74</v>
      </c>
      <c r="N5" s="157">
        <v>41853</v>
      </c>
      <c r="S5" s="139">
        <v>5.71</v>
      </c>
      <c r="T5" s="157">
        <v>41853</v>
      </c>
      <c r="U5" s="139">
        <v>15.3</v>
      </c>
      <c r="Y5" s="139">
        <f t="shared" si="0"/>
        <v>2.2511999999999999</v>
      </c>
      <c r="AA5" s="139">
        <v>24.89</v>
      </c>
      <c r="AE5" s="139">
        <v>11.2</v>
      </c>
      <c r="AG5" s="185">
        <v>4.5</v>
      </c>
      <c r="AI5" s="185">
        <v>120</v>
      </c>
      <c r="AJ5" s="157">
        <v>41803</v>
      </c>
      <c r="AO5" s="139">
        <v>93</v>
      </c>
      <c r="AP5" s="157">
        <v>41738</v>
      </c>
      <c r="AS5" s="139">
        <v>127</v>
      </c>
      <c r="AT5" s="157">
        <v>41766</v>
      </c>
      <c r="BS5" s="140">
        <v>51</v>
      </c>
      <c r="BU5" s="140">
        <v>20.100000000000001</v>
      </c>
      <c r="BW5" s="140">
        <v>17.100000000000001</v>
      </c>
      <c r="BY5" s="140">
        <v>10.4</v>
      </c>
      <c r="CJ5" s="140" t="s">
        <v>8140</v>
      </c>
    </row>
    <row r="6" spans="1:91">
      <c r="A6" s="158" t="s">
        <v>7735</v>
      </c>
      <c r="B6" s="112" t="s">
        <v>269</v>
      </c>
      <c r="C6" s="112">
        <v>1</v>
      </c>
      <c r="D6">
        <v>120</v>
      </c>
      <c r="E6" s="113">
        <v>5</v>
      </c>
      <c r="F6" s="113">
        <v>5</v>
      </c>
      <c r="I6" s="186">
        <v>26</v>
      </c>
      <c r="J6" s="183">
        <v>41705</v>
      </c>
      <c r="M6" s="184">
        <v>1.58</v>
      </c>
      <c r="N6" s="157">
        <v>41853</v>
      </c>
      <c r="S6" s="139">
        <v>5.14</v>
      </c>
      <c r="T6" s="157">
        <v>41853</v>
      </c>
      <c r="U6" s="139">
        <v>15.3</v>
      </c>
      <c r="Y6" s="139">
        <f t="shared" si="0"/>
        <v>2.0441699999999998</v>
      </c>
      <c r="AA6" s="139">
        <v>20.34</v>
      </c>
      <c r="AE6" s="139">
        <v>10.17</v>
      </c>
      <c r="AG6" s="185">
        <v>5</v>
      </c>
      <c r="AI6" s="185">
        <v>115</v>
      </c>
      <c r="AJ6" s="157">
        <v>41803</v>
      </c>
      <c r="AO6" s="139">
        <v>91</v>
      </c>
      <c r="AP6" s="157">
        <v>41738</v>
      </c>
      <c r="AS6" s="139">
        <v>127</v>
      </c>
      <c r="AT6" s="157">
        <v>41766</v>
      </c>
      <c r="BS6" s="140">
        <v>50.5</v>
      </c>
      <c r="BU6" s="140">
        <v>20.100000000000001</v>
      </c>
      <c r="BW6" s="140">
        <v>16</v>
      </c>
      <c r="BY6" s="140">
        <v>10.4</v>
      </c>
      <c r="CJ6" s="140" t="s">
        <v>8140</v>
      </c>
    </row>
    <row r="7" spans="1:91">
      <c r="A7" s="158" t="s">
        <v>7780</v>
      </c>
      <c r="B7" s="112" t="s">
        <v>269</v>
      </c>
      <c r="C7" s="112">
        <v>1</v>
      </c>
      <c r="D7">
        <v>165</v>
      </c>
      <c r="E7" s="113">
        <v>5</v>
      </c>
      <c r="F7" s="113">
        <v>6</v>
      </c>
      <c r="I7" s="186">
        <v>44</v>
      </c>
      <c r="J7" s="183">
        <v>41705</v>
      </c>
      <c r="M7" s="184">
        <v>2.27</v>
      </c>
      <c r="N7" s="157">
        <v>41853</v>
      </c>
      <c r="S7" s="139">
        <v>7.52</v>
      </c>
      <c r="T7" s="157">
        <v>41853</v>
      </c>
      <c r="U7" s="139">
        <v>15.3</v>
      </c>
      <c r="Y7" s="139">
        <f t="shared" si="0"/>
        <v>2.8051200000000001</v>
      </c>
      <c r="AA7" s="139">
        <v>30.44</v>
      </c>
      <c r="AE7" s="139">
        <v>14.61</v>
      </c>
      <c r="AG7" s="185">
        <v>4.8</v>
      </c>
      <c r="AI7" s="185">
        <v>115</v>
      </c>
      <c r="AJ7" s="157">
        <v>41803</v>
      </c>
      <c r="AO7" s="139">
        <v>93</v>
      </c>
      <c r="AP7" s="157">
        <v>41738</v>
      </c>
      <c r="AS7" s="139">
        <v>128</v>
      </c>
      <c r="AT7" s="157">
        <v>41766</v>
      </c>
      <c r="BS7" s="140">
        <v>51.5</v>
      </c>
      <c r="BU7" s="140">
        <v>19.2</v>
      </c>
      <c r="BW7" s="140">
        <v>16.2</v>
      </c>
      <c r="BY7" s="140">
        <v>10.4</v>
      </c>
      <c r="CJ7" s="140" t="s">
        <v>8140</v>
      </c>
    </row>
    <row r="8" spans="1:91">
      <c r="A8" s="158" t="s">
        <v>7713</v>
      </c>
      <c r="B8" s="112" t="s">
        <v>271</v>
      </c>
      <c r="C8" s="112">
        <v>2</v>
      </c>
      <c r="D8">
        <v>98</v>
      </c>
      <c r="E8" s="113">
        <v>5</v>
      </c>
      <c r="F8" s="113">
        <v>7</v>
      </c>
      <c r="I8" s="186">
        <v>27</v>
      </c>
      <c r="J8" s="183">
        <v>41705</v>
      </c>
      <c r="M8" s="184">
        <v>2.76</v>
      </c>
      <c r="N8" s="157">
        <v>41853</v>
      </c>
      <c r="S8" s="139">
        <v>8.58</v>
      </c>
      <c r="T8" s="157">
        <v>41853</v>
      </c>
      <c r="U8" s="139">
        <v>15.3</v>
      </c>
      <c r="Y8" s="139">
        <f t="shared" si="0"/>
        <v>3.88944</v>
      </c>
      <c r="AA8" s="139">
        <v>34.82</v>
      </c>
      <c r="AE8" s="139">
        <v>17.760000000000002</v>
      </c>
      <c r="AG8" s="185">
        <v>5.0999999999999996</v>
      </c>
      <c r="AI8" s="185">
        <v>115</v>
      </c>
      <c r="AJ8" s="157">
        <v>41803</v>
      </c>
      <c r="AO8" s="139">
        <v>96</v>
      </c>
      <c r="AP8" s="157">
        <v>41738</v>
      </c>
      <c r="AS8" s="139">
        <v>128</v>
      </c>
      <c r="AT8" s="157">
        <v>41766</v>
      </c>
      <c r="BS8" s="140">
        <v>48.3</v>
      </c>
      <c r="BU8" s="140">
        <v>21.9</v>
      </c>
      <c r="BW8" s="140">
        <v>15.6</v>
      </c>
      <c r="BY8" s="140">
        <v>10.4</v>
      </c>
      <c r="CJ8" s="140" t="s">
        <v>8131</v>
      </c>
    </row>
    <row r="9" spans="1:91">
      <c r="A9" s="158" t="s">
        <v>7666</v>
      </c>
      <c r="B9" s="112" t="s">
        <v>271</v>
      </c>
      <c r="C9" s="112">
        <v>2</v>
      </c>
      <c r="D9">
        <v>51</v>
      </c>
      <c r="E9" s="113">
        <v>5</v>
      </c>
      <c r="F9" s="113">
        <v>8</v>
      </c>
      <c r="I9" s="186">
        <v>33</v>
      </c>
      <c r="J9" s="183">
        <v>41705</v>
      </c>
      <c r="M9" s="184">
        <v>2.79</v>
      </c>
      <c r="N9" s="157">
        <v>41853</v>
      </c>
      <c r="S9" s="139">
        <v>8.61</v>
      </c>
      <c r="T9" s="157">
        <v>41853</v>
      </c>
      <c r="U9" s="139">
        <v>15.3</v>
      </c>
      <c r="Y9" s="139">
        <f t="shared" si="0"/>
        <v>3.9087400000000003</v>
      </c>
      <c r="AA9" s="139">
        <v>32.6</v>
      </c>
      <c r="AE9" s="139">
        <v>17.93</v>
      </c>
      <c r="AG9" s="185">
        <v>5.5</v>
      </c>
      <c r="AI9" s="185">
        <v>100</v>
      </c>
      <c r="AJ9" s="157">
        <v>41803</v>
      </c>
      <c r="AO9" s="139">
        <v>95</v>
      </c>
      <c r="AP9" s="157">
        <v>41738</v>
      </c>
      <c r="AS9" s="139">
        <v>128</v>
      </c>
      <c r="AT9" s="157">
        <v>41766</v>
      </c>
      <c r="BS9" s="140">
        <v>48</v>
      </c>
      <c r="BU9" s="140">
        <v>21.8</v>
      </c>
      <c r="BW9" s="140">
        <v>60</v>
      </c>
      <c r="BY9" s="140">
        <v>10.5</v>
      </c>
      <c r="CJ9" s="140" t="s">
        <v>8140</v>
      </c>
    </row>
    <row r="10" spans="1:91">
      <c r="A10" s="158" t="s">
        <v>7636</v>
      </c>
      <c r="B10" s="112" t="s">
        <v>271</v>
      </c>
      <c r="C10" s="112">
        <v>2</v>
      </c>
      <c r="D10">
        <v>21</v>
      </c>
      <c r="E10" s="113">
        <v>5</v>
      </c>
      <c r="F10" s="113">
        <v>9</v>
      </c>
      <c r="I10" s="384">
        <v>45</v>
      </c>
      <c r="J10" s="183">
        <v>41705</v>
      </c>
      <c r="K10" s="142"/>
      <c r="M10" s="184">
        <v>2.42</v>
      </c>
      <c r="N10" s="157">
        <v>41853</v>
      </c>
      <c r="O10" s="141"/>
      <c r="Q10" s="142"/>
      <c r="S10" s="142">
        <v>7.26</v>
      </c>
      <c r="T10" s="157">
        <v>41853</v>
      </c>
      <c r="U10" s="142">
        <v>15.3</v>
      </c>
      <c r="W10" s="142"/>
      <c r="Y10" s="139">
        <f t="shared" si="0"/>
        <v>3.6900900000000001</v>
      </c>
      <c r="AA10" s="142">
        <v>30.53</v>
      </c>
      <c r="AE10" s="142">
        <v>15.57</v>
      </c>
      <c r="AG10" s="185">
        <v>5.0999999999999996</v>
      </c>
      <c r="AI10" s="185">
        <v>110</v>
      </c>
      <c r="AJ10" s="157">
        <v>41803</v>
      </c>
      <c r="AK10" s="142"/>
      <c r="AM10" s="142"/>
      <c r="AO10" s="139">
        <v>91</v>
      </c>
      <c r="AP10" s="157">
        <v>41738</v>
      </c>
      <c r="AS10" s="139">
        <v>128</v>
      </c>
      <c r="AT10" s="157">
        <v>41766</v>
      </c>
      <c r="BS10" s="140">
        <v>46.6</v>
      </c>
      <c r="BU10" s="140">
        <v>23.7</v>
      </c>
      <c r="BW10" s="140">
        <v>67.099999999999994</v>
      </c>
      <c r="BY10" s="140">
        <v>10.4</v>
      </c>
      <c r="CJ10" s="140" t="s">
        <v>8140</v>
      </c>
    </row>
    <row r="11" spans="1:91">
      <c r="A11" s="158" t="s">
        <v>7722</v>
      </c>
      <c r="B11" s="112" t="s">
        <v>271</v>
      </c>
      <c r="C11" s="112">
        <v>2</v>
      </c>
      <c r="D11">
        <v>107</v>
      </c>
      <c r="E11" s="113">
        <v>5</v>
      </c>
      <c r="F11" s="113">
        <v>10</v>
      </c>
      <c r="I11" s="186">
        <v>56</v>
      </c>
      <c r="J11" s="183">
        <v>41705</v>
      </c>
      <c r="M11" s="184">
        <v>3.24</v>
      </c>
      <c r="N11" s="157">
        <v>41853</v>
      </c>
      <c r="S11" s="139">
        <v>10.71</v>
      </c>
      <c r="T11" s="157">
        <v>41853</v>
      </c>
      <c r="U11" s="139">
        <v>15.3</v>
      </c>
      <c r="Y11" s="139">
        <f t="shared" si="0"/>
        <v>4.1005800000000008</v>
      </c>
      <c r="AA11" s="139">
        <v>44.06</v>
      </c>
      <c r="AE11" s="139">
        <v>20.71</v>
      </c>
      <c r="AG11" s="185">
        <v>4.7</v>
      </c>
      <c r="AI11" s="185">
        <v>115</v>
      </c>
      <c r="AJ11" s="157">
        <v>41803</v>
      </c>
      <c r="AO11" s="139">
        <v>92</v>
      </c>
      <c r="AP11" s="157">
        <v>41738</v>
      </c>
      <c r="AS11" s="139">
        <v>127</v>
      </c>
      <c r="AT11" s="157">
        <v>41766</v>
      </c>
      <c r="BS11" s="140">
        <v>51.7</v>
      </c>
      <c r="BU11" s="140">
        <v>19.8</v>
      </c>
      <c r="BW11" s="140">
        <v>14.3</v>
      </c>
      <c r="BY11" s="140">
        <v>11</v>
      </c>
      <c r="CJ11" s="140" t="s">
        <v>8140</v>
      </c>
    </row>
    <row r="12" spans="1:91">
      <c r="A12" s="158" t="s">
        <v>7782</v>
      </c>
      <c r="B12" s="112" t="s">
        <v>271</v>
      </c>
      <c r="C12" s="112">
        <v>2</v>
      </c>
      <c r="D12">
        <v>167</v>
      </c>
      <c r="E12" s="113">
        <v>5</v>
      </c>
      <c r="F12" s="113">
        <v>11</v>
      </c>
      <c r="I12" s="186">
        <v>41</v>
      </c>
      <c r="J12" s="183">
        <v>41705</v>
      </c>
      <c r="M12" s="184">
        <v>3.57</v>
      </c>
      <c r="N12" s="157">
        <v>41853</v>
      </c>
      <c r="S12" s="139">
        <v>12.12</v>
      </c>
      <c r="T12" s="157">
        <v>41853</v>
      </c>
      <c r="U12" s="139">
        <v>15.3</v>
      </c>
      <c r="Y12" s="139">
        <f t="shared" si="0"/>
        <v>4.2860400000000007</v>
      </c>
      <c r="AA12" s="139">
        <v>44.94</v>
      </c>
      <c r="AE12" s="139">
        <v>22.92</v>
      </c>
      <c r="AG12" s="185">
        <v>5.0999999999999996</v>
      </c>
      <c r="AI12" s="185">
        <v>120</v>
      </c>
      <c r="AJ12" s="157">
        <v>41803</v>
      </c>
      <c r="AO12" s="139">
        <v>95</v>
      </c>
      <c r="AP12" s="157">
        <v>41738</v>
      </c>
      <c r="AS12" s="139">
        <v>128</v>
      </c>
      <c r="AT12" s="157">
        <v>41766</v>
      </c>
      <c r="BS12" s="140">
        <v>52.9</v>
      </c>
      <c r="BU12" s="140">
        <v>18.7</v>
      </c>
      <c r="BW12" s="140">
        <v>14.5</v>
      </c>
      <c r="BY12" s="140">
        <v>10.6</v>
      </c>
      <c r="CJ12" s="140" t="s">
        <v>8140</v>
      </c>
    </row>
    <row r="13" spans="1:91">
      <c r="A13" s="158" t="s">
        <v>7630</v>
      </c>
      <c r="B13" s="112" t="s">
        <v>271</v>
      </c>
      <c r="C13" s="112">
        <v>2</v>
      </c>
      <c r="D13">
        <v>15</v>
      </c>
      <c r="E13" s="113">
        <v>5</v>
      </c>
      <c r="F13" s="113">
        <v>12</v>
      </c>
      <c r="I13" s="384">
        <v>52</v>
      </c>
      <c r="J13" s="183">
        <v>41705</v>
      </c>
      <c r="K13" s="142"/>
      <c r="M13" s="184">
        <v>3.71</v>
      </c>
      <c r="N13" s="157">
        <v>41853</v>
      </c>
      <c r="O13" s="141"/>
      <c r="Q13" s="142"/>
      <c r="S13" s="142">
        <v>11.53</v>
      </c>
      <c r="T13" s="157">
        <v>41853</v>
      </c>
      <c r="U13" s="142">
        <v>15.3</v>
      </c>
      <c r="W13" s="142"/>
      <c r="Y13" s="139">
        <f t="shared" si="0"/>
        <v>5.7406199999999998</v>
      </c>
      <c r="AA13" s="142">
        <v>62.68</v>
      </c>
      <c r="AE13" s="142">
        <v>23.82</v>
      </c>
      <c r="AG13" s="185">
        <v>3.8</v>
      </c>
      <c r="AI13" s="185">
        <v>100</v>
      </c>
      <c r="AJ13" s="157">
        <v>41803</v>
      </c>
      <c r="AK13" s="142"/>
      <c r="AM13" s="142"/>
      <c r="AO13" s="139">
        <v>93</v>
      </c>
      <c r="AP13" s="157">
        <v>41738</v>
      </c>
      <c r="AS13" s="139">
        <v>126</v>
      </c>
      <c r="AT13" s="157">
        <v>41766</v>
      </c>
      <c r="BS13" s="140">
        <v>48.4</v>
      </c>
      <c r="BU13" s="140">
        <v>24.1</v>
      </c>
      <c r="BW13" s="140">
        <v>55.3</v>
      </c>
      <c r="BY13" s="140">
        <v>10.6</v>
      </c>
      <c r="CJ13" s="140" t="s">
        <v>8140</v>
      </c>
    </row>
    <row r="14" spans="1:91">
      <c r="A14" s="158" t="s">
        <v>7776</v>
      </c>
      <c r="B14" s="112" t="s">
        <v>269</v>
      </c>
      <c r="C14" s="112">
        <v>1</v>
      </c>
      <c r="D14">
        <v>161</v>
      </c>
      <c r="E14" s="113">
        <v>6</v>
      </c>
      <c r="F14" s="113">
        <v>1</v>
      </c>
      <c r="I14" s="186">
        <v>47</v>
      </c>
      <c r="J14" s="183">
        <v>41705</v>
      </c>
      <c r="M14" s="184">
        <v>1.91</v>
      </c>
      <c r="N14" s="157">
        <v>41853</v>
      </c>
      <c r="S14" s="139">
        <v>6.17</v>
      </c>
      <c r="T14" s="157">
        <v>41853</v>
      </c>
      <c r="U14" s="139">
        <v>15.3</v>
      </c>
      <c r="Y14" s="139">
        <f t="shared" si="0"/>
        <v>2.5357499999999997</v>
      </c>
      <c r="AA14" s="139">
        <v>25</v>
      </c>
      <c r="AE14" s="139">
        <v>12.25</v>
      </c>
      <c r="AG14" s="185">
        <v>4.9000000000000004</v>
      </c>
      <c r="AI14" s="185">
        <v>120</v>
      </c>
      <c r="AJ14" s="157">
        <v>41803</v>
      </c>
      <c r="AO14" s="139">
        <v>92</v>
      </c>
      <c r="AP14" s="157">
        <v>41738</v>
      </c>
      <c r="AS14" s="139">
        <v>125</v>
      </c>
      <c r="AT14" s="157">
        <v>41766</v>
      </c>
      <c r="BS14" s="140">
        <v>50.4</v>
      </c>
      <c r="BU14" s="140">
        <v>20.7</v>
      </c>
      <c r="BW14" s="140">
        <v>11.6</v>
      </c>
      <c r="BY14" s="140">
        <v>10.7</v>
      </c>
      <c r="CJ14" s="140" t="s">
        <v>8140</v>
      </c>
    </row>
    <row r="15" spans="1:91">
      <c r="A15" s="158" t="s">
        <v>7767</v>
      </c>
      <c r="B15" s="112" t="s">
        <v>269</v>
      </c>
      <c r="C15" s="112">
        <v>1</v>
      </c>
      <c r="D15">
        <v>152</v>
      </c>
      <c r="E15" s="113">
        <v>6</v>
      </c>
      <c r="F15" s="113">
        <v>2</v>
      </c>
      <c r="I15" s="186">
        <v>36</v>
      </c>
      <c r="J15" s="183">
        <v>41705</v>
      </c>
      <c r="M15" s="184">
        <v>2.0099999999999998</v>
      </c>
      <c r="N15" s="157">
        <v>41853</v>
      </c>
      <c r="S15" s="139">
        <v>6.42</v>
      </c>
      <c r="T15" s="157">
        <v>41853</v>
      </c>
      <c r="U15" s="139">
        <v>15.3</v>
      </c>
      <c r="Y15" s="139">
        <f t="shared" si="0"/>
        <v>2.5780000000000003</v>
      </c>
      <c r="AA15" s="139">
        <v>25.78</v>
      </c>
      <c r="AE15" s="139">
        <v>12.89</v>
      </c>
      <c r="AG15" s="185">
        <v>5</v>
      </c>
      <c r="AI15" s="185">
        <v>120</v>
      </c>
      <c r="AJ15" s="157">
        <v>41803</v>
      </c>
      <c r="AO15" s="139">
        <v>91</v>
      </c>
      <c r="AP15" s="157">
        <v>41738</v>
      </c>
      <c r="AS15" s="139">
        <v>126</v>
      </c>
      <c r="AT15" s="157">
        <v>41766</v>
      </c>
      <c r="BS15" s="140">
        <v>49.8</v>
      </c>
      <c r="BU15" s="140">
        <v>20</v>
      </c>
      <c r="BW15" s="140">
        <v>65</v>
      </c>
      <c r="BY15" s="140">
        <v>10.7</v>
      </c>
      <c r="CJ15" s="140" t="s">
        <v>8140</v>
      </c>
    </row>
    <row r="16" spans="1:91">
      <c r="A16" s="158" t="s">
        <v>7751</v>
      </c>
      <c r="B16" s="112" t="s">
        <v>269</v>
      </c>
      <c r="C16" s="112">
        <v>1</v>
      </c>
      <c r="D16">
        <v>136</v>
      </c>
      <c r="E16" s="113">
        <v>6</v>
      </c>
      <c r="F16" s="113">
        <v>3</v>
      </c>
      <c r="I16" s="186">
        <v>33</v>
      </c>
      <c r="J16" s="183">
        <v>41705</v>
      </c>
      <c r="M16" s="184">
        <v>0.88</v>
      </c>
      <c r="N16" s="157">
        <v>41853</v>
      </c>
      <c r="S16" s="139">
        <v>2.76</v>
      </c>
      <c r="T16" s="157">
        <v>41853</v>
      </c>
      <c r="U16" s="139">
        <v>15.3</v>
      </c>
      <c r="Y16" s="139">
        <f t="shared" si="0"/>
        <v>1.2915599999999998</v>
      </c>
      <c r="AA16" s="139">
        <v>12.26</v>
      </c>
      <c r="AE16" s="139">
        <v>5.64</v>
      </c>
      <c r="AG16" s="185">
        <v>4.5999999999999996</v>
      </c>
      <c r="AI16" s="185">
        <v>125</v>
      </c>
      <c r="AJ16" s="157">
        <v>41803</v>
      </c>
      <c r="AO16" s="139">
        <v>94</v>
      </c>
      <c r="AP16" s="157">
        <v>41738</v>
      </c>
      <c r="AS16" s="139">
        <v>127</v>
      </c>
      <c r="AT16" s="157">
        <v>41766</v>
      </c>
      <c r="BS16" s="140">
        <v>48.9</v>
      </c>
      <c r="BU16" s="140">
        <v>22.9</v>
      </c>
      <c r="BW16" s="140">
        <v>65.599999999999994</v>
      </c>
      <c r="BY16" s="140">
        <v>10.7</v>
      </c>
      <c r="CJ16" s="140" t="s">
        <v>8140</v>
      </c>
    </row>
    <row r="17" spans="1:91">
      <c r="A17" s="158" t="s">
        <v>7736</v>
      </c>
      <c r="B17" s="112" t="s">
        <v>269</v>
      </c>
      <c r="C17" s="112">
        <v>1</v>
      </c>
      <c r="D17">
        <v>121</v>
      </c>
      <c r="E17" s="113">
        <v>6</v>
      </c>
      <c r="F17" s="113">
        <v>4</v>
      </c>
      <c r="I17" s="186">
        <v>35</v>
      </c>
      <c r="J17" s="183">
        <v>41705</v>
      </c>
      <c r="M17" s="184">
        <v>2.41</v>
      </c>
      <c r="N17" s="157">
        <v>41853</v>
      </c>
      <c r="S17" s="139">
        <v>7.99</v>
      </c>
      <c r="T17" s="157">
        <v>41853</v>
      </c>
      <c r="U17" s="139">
        <v>15.3</v>
      </c>
      <c r="Y17" s="139">
        <f t="shared" si="0"/>
        <v>2.8601000000000001</v>
      </c>
      <c r="AA17" s="139">
        <v>35.14</v>
      </c>
      <c r="AE17" s="139">
        <v>15.46</v>
      </c>
      <c r="AG17" s="185">
        <v>4.4000000000000004</v>
      </c>
      <c r="AI17" s="185">
        <v>110</v>
      </c>
      <c r="AJ17" s="157">
        <v>41803</v>
      </c>
      <c r="AO17" s="139">
        <v>93</v>
      </c>
      <c r="AP17" s="157">
        <v>41738</v>
      </c>
      <c r="AS17" s="139">
        <v>126</v>
      </c>
      <c r="AT17" s="157">
        <v>41766</v>
      </c>
      <c r="BS17" s="140">
        <v>51.7</v>
      </c>
      <c r="BU17" s="140">
        <v>18.5</v>
      </c>
      <c r="BW17" s="140">
        <v>18.100000000000001</v>
      </c>
      <c r="BY17" s="140">
        <v>10.7</v>
      </c>
      <c r="CJ17" s="140" t="s">
        <v>8140</v>
      </c>
    </row>
    <row r="18" spans="1:91">
      <c r="A18" s="158" t="s">
        <v>7692</v>
      </c>
      <c r="B18" s="112" t="s">
        <v>269</v>
      </c>
      <c r="C18" s="112">
        <v>1</v>
      </c>
      <c r="D18">
        <v>77</v>
      </c>
      <c r="E18" s="113">
        <v>6</v>
      </c>
      <c r="F18" s="113">
        <v>5</v>
      </c>
      <c r="I18" s="186">
        <v>31</v>
      </c>
      <c r="J18" s="183">
        <v>41705</v>
      </c>
      <c r="M18" s="184">
        <v>1.57</v>
      </c>
      <c r="N18" s="157">
        <v>41853</v>
      </c>
      <c r="S18" s="139">
        <v>4.9800000000000004</v>
      </c>
      <c r="T18" s="157">
        <v>41853</v>
      </c>
      <c r="U18" s="139">
        <v>15.3</v>
      </c>
      <c r="Y18" s="139">
        <f t="shared" si="0"/>
        <v>2.1147</v>
      </c>
      <c r="AA18" s="139">
        <v>20.55</v>
      </c>
      <c r="AE18" s="139">
        <v>10.07</v>
      </c>
      <c r="AG18" s="185">
        <v>4.9000000000000004</v>
      </c>
      <c r="AI18" s="185">
        <v>115</v>
      </c>
      <c r="AJ18" s="157">
        <v>41803</v>
      </c>
      <c r="AO18" s="139">
        <v>96</v>
      </c>
      <c r="AP18" s="157">
        <v>41738</v>
      </c>
      <c r="AS18" s="139">
        <v>128</v>
      </c>
      <c r="AT18" s="157">
        <v>41766</v>
      </c>
      <c r="BS18" s="140">
        <v>49.5</v>
      </c>
      <c r="BU18" s="140">
        <v>21</v>
      </c>
      <c r="BW18" s="140">
        <v>29.1</v>
      </c>
      <c r="BY18" s="140">
        <v>10.7</v>
      </c>
      <c r="CJ18" s="140" t="s">
        <v>8131</v>
      </c>
    </row>
    <row r="19" spans="1:91">
      <c r="A19" s="158" t="s">
        <v>7813</v>
      </c>
      <c r="B19" s="112" t="s">
        <v>269</v>
      </c>
      <c r="C19" s="112">
        <v>1</v>
      </c>
      <c r="D19">
        <v>198</v>
      </c>
      <c r="E19" s="113">
        <v>6</v>
      </c>
      <c r="F19" s="113">
        <v>6</v>
      </c>
      <c r="I19" s="186">
        <v>39</v>
      </c>
      <c r="J19" s="183">
        <v>41705</v>
      </c>
      <c r="M19" s="184">
        <v>2.42</v>
      </c>
      <c r="N19" s="157">
        <v>41853</v>
      </c>
      <c r="S19" s="139">
        <v>7.82</v>
      </c>
      <c r="T19" s="157">
        <v>41853</v>
      </c>
      <c r="U19" s="139">
        <v>15.3</v>
      </c>
      <c r="Y19" s="139">
        <f t="shared" si="0"/>
        <v>3.1815999999999995</v>
      </c>
      <c r="AA19" s="139">
        <v>29.85</v>
      </c>
      <c r="AE19" s="139">
        <v>15.52</v>
      </c>
      <c r="AG19" s="185">
        <v>5.2</v>
      </c>
      <c r="AI19" s="185">
        <v>125</v>
      </c>
      <c r="AJ19" s="157">
        <v>41803</v>
      </c>
      <c r="AO19" s="139">
        <v>91</v>
      </c>
      <c r="AP19" s="157">
        <v>41738</v>
      </c>
      <c r="AS19" s="139">
        <v>127</v>
      </c>
      <c r="AT19" s="157">
        <v>41766</v>
      </c>
      <c r="BS19" s="140">
        <v>50.4</v>
      </c>
      <c r="BU19" s="140">
        <v>20.5</v>
      </c>
      <c r="BW19" s="140">
        <v>17.899999999999999</v>
      </c>
      <c r="BY19" s="140">
        <v>10.7</v>
      </c>
      <c r="CJ19" s="140" t="s">
        <v>8140</v>
      </c>
    </row>
    <row r="20" spans="1:91">
      <c r="A20" s="158" t="s">
        <v>7689</v>
      </c>
      <c r="B20" s="112" t="s">
        <v>271</v>
      </c>
      <c r="C20" s="112">
        <v>2</v>
      </c>
      <c r="D20">
        <v>74</v>
      </c>
      <c r="E20" s="113">
        <v>6</v>
      </c>
      <c r="F20" s="113">
        <v>7</v>
      </c>
      <c r="I20" s="186">
        <v>30</v>
      </c>
      <c r="J20" s="183">
        <v>41705</v>
      </c>
      <c r="M20" s="184">
        <v>3.7</v>
      </c>
      <c r="N20" s="157">
        <v>41853</v>
      </c>
      <c r="S20" s="139">
        <v>11.56</v>
      </c>
      <c r="T20" s="157">
        <v>41853</v>
      </c>
      <c r="U20" s="139">
        <v>15.3</v>
      </c>
      <c r="Y20" s="139">
        <f t="shared" si="0"/>
        <v>5.2443299999999997</v>
      </c>
      <c r="AA20" s="139">
        <v>46.53</v>
      </c>
      <c r="AE20" s="139">
        <v>23.73</v>
      </c>
      <c r="AG20" s="185">
        <v>5.0999999999999996</v>
      </c>
      <c r="AI20" s="185">
        <v>115</v>
      </c>
      <c r="AJ20" s="157">
        <v>41803</v>
      </c>
      <c r="AO20" s="139">
        <v>92</v>
      </c>
      <c r="AP20" s="157">
        <v>41738</v>
      </c>
      <c r="AS20" s="139">
        <v>128</v>
      </c>
      <c r="AT20" s="157">
        <v>41766</v>
      </c>
      <c r="BS20" s="140">
        <v>48.7</v>
      </c>
      <c r="BU20" s="140">
        <v>22.1</v>
      </c>
      <c r="BW20" s="140">
        <v>14.1</v>
      </c>
      <c r="BY20" s="140">
        <v>10.7</v>
      </c>
      <c r="CJ20" s="140" t="s">
        <v>8140</v>
      </c>
    </row>
    <row r="21" spans="1:91">
      <c r="A21" s="158" t="s">
        <v>7617</v>
      </c>
      <c r="B21" s="112" t="s">
        <v>271</v>
      </c>
      <c r="C21" s="112">
        <v>2</v>
      </c>
      <c r="D21">
        <v>2</v>
      </c>
      <c r="E21" s="113">
        <v>6</v>
      </c>
      <c r="F21" s="113">
        <v>8</v>
      </c>
      <c r="I21" s="384">
        <v>49</v>
      </c>
      <c r="J21" s="183">
        <v>41705</v>
      </c>
      <c r="K21" s="142"/>
      <c r="M21" s="184">
        <v>2.16</v>
      </c>
      <c r="N21" s="157">
        <v>41853</v>
      </c>
      <c r="O21" s="141"/>
      <c r="Q21" s="142"/>
      <c r="S21" s="142">
        <v>6.65</v>
      </c>
      <c r="T21" s="157">
        <v>41853</v>
      </c>
      <c r="U21" s="142">
        <v>15.3</v>
      </c>
      <c r="W21" s="142"/>
      <c r="Y21" s="139">
        <f t="shared" si="0"/>
        <v>3.11625</v>
      </c>
      <c r="AA21" s="142">
        <v>26.63</v>
      </c>
      <c r="AE21" s="142">
        <v>13.85</v>
      </c>
      <c r="AG21" s="185">
        <v>5.2</v>
      </c>
      <c r="AI21" s="185">
        <v>105</v>
      </c>
      <c r="AJ21" s="157">
        <v>41803</v>
      </c>
      <c r="AK21" s="142"/>
      <c r="AM21" s="142"/>
      <c r="AO21" s="139">
        <v>94</v>
      </c>
      <c r="AP21" s="157">
        <v>41738</v>
      </c>
      <c r="AS21" s="139">
        <v>128</v>
      </c>
      <c r="AT21" s="157">
        <v>41766</v>
      </c>
      <c r="BS21" s="140">
        <v>48</v>
      </c>
      <c r="BU21" s="140">
        <v>22.5</v>
      </c>
      <c r="BW21" s="140">
        <v>56.6</v>
      </c>
      <c r="BY21" s="140">
        <v>10.7</v>
      </c>
      <c r="CJ21" s="140" t="s">
        <v>8141</v>
      </c>
    </row>
    <row r="22" spans="1:91" s="198" customFormat="1">
      <c r="A22" s="158" t="s">
        <v>7816</v>
      </c>
      <c r="B22" s="112" t="s">
        <v>271</v>
      </c>
      <c r="C22" s="112">
        <v>2</v>
      </c>
      <c r="D22">
        <v>201</v>
      </c>
      <c r="E22" s="113">
        <v>6</v>
      </c>
      <c r="F22" s="113">
        <v>9</v>
      </c>
      <c r="G22" s="113"/>
      <c r="H22" s="113"/>
      <c r="I22" s="186">
        <v>27</v>
      </c>
      <c r="J22" s="183">
        <v>41705</v>
      </c>
      <c r="K22" s="139"/>
      <c r="L22" s="157"/>
      <c r="M22" s="184">
        <v>3.92</v>
      </c>
      <c r="N22" s="157">
        <v>41853</v>
      </c>
      <c r="O22" s="139"/>
      <c r="P22" s="157"/>
      <c r="Q22" s="139"/>
      <c r="R22" s="157"/>
      <c r="S22" s="139"/>
      <c r="T22" s="157">
        <v>41853</v>
      </c>
      <c r="U22" s="139">
        <v>15.3</v>
      </c>
      <c r="V22" s="157"/>
      <c r="W22" s="139"/>
      <c r="X22" s="157"/>
      <c r="Y22" s="139">
        <f t="shared" si="0"/>
        <v>0</v>
      </c>
      <c r="Z22" s="157"/>
      <c r="AA22" s="139"/>
      <c r="AB22" s="157"/>
      <c r="AC22" s="139"/>
      <c r="AD22" s="157"/>
      <c r="AE22" s="139">
        <v>25.11</v>
      </c>
      <c r="AF22" s="157"/>
      <c r="AG22" s="185"/>
      <c r="AH22" s="157"/>
      <c r="AI22" s="185">
        <v>125</v>
      </c>
      <c r="AJ22" s="157">
        <v>41803</v>
      </c>
      <c r="AK22" s="139"/>
      <c r="AL22" s="157"/>
      <c r="AM22" s="139"/>
      <c r="AN22" s="157"/>
      <c r="AO22" s="139">
        <v>95</v>
      </c>
      <c r="AP22" s="157">
        <v>41738</v>
      </c>
      <c r="AQ22" s="139"/>
      <c r="AR22" s="139"/>
      <c r="AS22" s="139">
        <v>128</v>
      </c>
      <c r="AT22" s="157">
        <v>41766</v>
      </c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40"/>
      <c r="BF22" s="14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0"/>
      <c r="BU22" s="140"/>
      <c r="BV22" s="140"/>
      <c r="BW22" s="140"/>
      <c r="BX22" s="140"/>
      <c r="BY22" s="140">
        <v>10.8</v>
      </c>
      <c r="BZ22" s="140"/>
      <c r="CA22" s="140"/>
      <c r="CB22" s="140"/>
      <c r="CC22" s="140"/>
      <c r="CD22" s="140"/>
      <c r="CE22" s="140"/>
      <c r="CF22" s="140"/>
      <c r="CG22" s="140"/>
      <c r="CH22" s="140"/>
      <c r="CI22" s="140"/>
      <c r="CJ22" s="140" t="s">
        <v>8140</v>
      </c>
      <c r="CK22" s="140"/>
      <c r="CL22" s="140"/>
      <c r="CM22" s="140"/>
    </row>
    <row r="23" spans="1:91" s="198" customFormat="1">
      <c r="A23" s="158" t="s">
        <v>7745</v>
      </c>
      <c r="B23" s="112" t="s">
        <v>271</v>
      </c>
      <c r="C23" s="112">
        <v>2</v>
      </c>
      <c r="D23">
        <v>130</v>
      </c>
      <c r="E23" s="113">
        <v>6</v>
      </c>
      <c r="F23" s="113">
        <v>10</v>
      </c>
      <c r="G23" s="113"/>
      <c r="H23" s="113"/>
      <c r="I23" s="186">
        <v>49</v>
      </c>
      <c r="J23" s="183">
        <v>41705</v>
      </c>
      <c r="K23" s="139"/>
      <c r="L23" s="157"/>
      <c r="M23" s="184">
        <v>4.32</v>
      </c>
      <c r="N23" s="157">
        <v>41853</v>
      </c>
      <c r="O23" s="139"/>
      <c r="P23" s="157"/>
      <c r="Q23" s="139"/>
      <c r="R23" s="157"/>
      <c r="S23" s="139">
        <v>13.85</v>
      </c>
      <c r="T23" s="157">
        <v>41853</v>
      </c>
      <c r="U23" s="139">
        <v>15.3</v>
      </c>
      <c r="V23" s="157"/>
      <c r="W23" s="139"/>
      <c r="X23" s="157"/>
      <c r="Y23" s="139">
        <f t="shared" si="0"/>
        <v>5.6682499999999996</v>
      </c>
      <c r="Z23" s="157"/>
      <c r="AA23" s="139">
        <v>56.43</v>
      </c>
      <c r="AB23" s="157"/>
      <c r="AC23" s="139"/>
      <c r="AD23" s="157"/>
      <c r="AE23" s="139">
        <v>27.65</v>
      </c>
      <c r="AF23" s="157"/>
      <c r="AG23" s="185">
        <v>4.9000000000000004</v>
      </c>
      <c r="AH23" s="157"/>
      <c r="AI23" s="185">
        <v>115</v>
      </c>
      <c r="AJ23" s="157">
        <v>41803</v>
      </c>
      <c r="AK23" s="139"/>
      <c r="AL23" s="157"/>
      <c r="AM23" s="139"/>
      <c r="AN23" s="157"/>
      <c r="AO23" s="139">
        <v>90</v>
      </c>
      <c r="AP23" s="157">
        <v>41738</v>
      </c>
      <c r="AQ23" s="139"/>
      <c r="AR23" s="139"/>
      <c r="AS23" s="139">
        <v>127</v>
      </c>
      <c r="AT23" s="157">
        <v>41766</v>
      </c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>
        <v>50.1</v>
      </c>
      <c r="BT23" s="140"/>
      <c r="BU23" s="140">
        <v>20.5</v>
      </c>
      <c r="BV23" s="140"/>
      <c r="BW23" s="140">
        <v>18.5</v>
      </c>
      <c r="BX23" s="140"/>
      <c r="BY23" s="140">
        <v>10.9</v>
      </c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 t="s">
        <v>8140</v>
      </c>
      <c r="CK23" s="140"/>
      <c r="CL23" s="140"/>
      <c r="CM23" s="140"/>
    </row>
    <row r="24" spans="1:91" s="198" customFormat="1">
      <c r="A24" s="158" t="s">
        <v>7643</v>
      </c>
      <c r="B24" s="112" t="s">
        <v>271</v>
      </c>
      <c r="C24" s="112">
        <v>2</v>
      </c>
      <c r="D24">
        <v>28</v>
      </c>
      <c r="E24" s="113">
        <v>6</v>
      </c>
      <c r="F24" s="113">
        <v>11</v>
      </c>
      <c r="G24" s="113"/>
      <c r="H24" s="113"/>
      <c r="I24" s="186">
        <v>31</v>
      </c>
      <c r="J24" s="183">
        <v>41705</v>
      </c>
      <c r="K24" s="139"/>
      <c r="L24" s="157"/>
      <c r="M24" s="184">
        <v>2.27</v>
      </c>
      <c r="N24" s="157">
        <v>41853</v>
      </c>
      <c r="O24" s="139"/>
      <c r="P24" s="157"/>
      <c r="Q24" s="139"/>
      <c r="R24" s="157"/>
      <c r="S24" s="139">
        <v>7.11</v>
      </c>
      <c r="T24" s="157">
        <v>41853</v>
      </c>
      <c r="U24" s="139">
        <v>15.3</v>
      </c>
      <c r="V24" s="157"/>
      <c r="W24" s="139"/>
      <c r="X24" s="157"/>
      <c r="Y24" s="139">
        <f t="shared" si="0"/>
        <v>3.2177600000000002</v>
      </c>
      <c r="Z24" s="157"/>
      <c r="AA24" s="139">
        <v>26.96</v>
      </c>
      <c r="AB24" s="157"/>
      <c r="AC24" s="139"/>
      <c r="AD24" s="157"/>
      <c r="AE24" s="139">
        <v>14.56</v>
      </c>
      <c r="AF24" s="157"/>
      <c r="AG24" s="185">
        <v>5.4</v>
      </c>
      <c r="AH24" s="157"/>
      <c r="AI24" s="185">
        <v>120</v>
      </c>
      <c r="AJ24" s="157">
        <v>41803</v>
      </c>
      <c r="AK24" s="139"/>
      <c r="AL24" s="157"/>
      <c r="AM24" s="139"/>
      <c r="AN24" s="157"/>
      <c r="AO24" s="139">
        <v>95</v>
      </c>
      <c r="AP24" s="157">
        <v>41738</v>
      </c>
      <c r="AQ24" s="139"/>
      <c r="AR24" s="139"/>
      <c r="AS24" s="139">
        <v>128</v>
      </c>
      <c r="AT24" s="157">
        <v>41766</v>
      </c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40"/>
      <c r="BF24" s="140"/>
      <c r="BG24" s="140"/>
      <c r="BH24" s="140"/>
      <c r="BI24" s="140"/>
      <c r="BJ24" s="140"/>
      <c r="BK24" s="140"/>
      <c r="BL24" s="140"/>
      <c r="BM24" s="140"/>
      <c r="BN24" s="140"/>
      <c r="BO24" s="140"/>
      <c r="BP24" s="140"/>
      <c r="BQ24" s="140"/>
      <c r="BR24" s="140"/>
      <c r="BS24" s="140">
        <v>48.8</v>
      </c>
      <c r="BT24" s="140"/>
      <c r="BU24" s="140">
        <v>22.1</v>
      </c>
      <c r="BV24" s="140"/>
      <c r="BW24" s="140">
        <v>69.099999999999994</v>
      </c>
      <c r="BX24" s="140"/>
      <c r="BY24" s="140">
        <v>10.7</v>
      </c>
      <c r="BZ24" s="140"/>
      <c r="CA24" s="140"/>
      <c r="CB24" s="140"/>
      <c r="CC24" s="140"/>
      <c r="CD24" s="140"/>
      <c r="CE24" s="140"/>
      <c r="CF24" s="140"/>
      <c r="CG24" s="140"/>
      <c r="CH24" s="140"/>
      <c r="CI24" s="140"/>
      <c r="CJ24" s="140" t="s">
        <v>8143</v>
      </c>
      <c r="CK24" s="140"/>
      <c r="CL24" s="140"/>
      <c r="CM24" s="140"/>
    </row>
    <row r="25" spans="1:91" s="198" customFormat="1">
      <c r="A25" s="158" t="s">
        <v>7783</v>
      </c>
      <c r="B25" s="112" t="s">
        <v>271</v>
      </c>
      <c r="C25" s="112">
        <v>2</v>
      </c>
      <c r="D25">
        <v>168</v>
      </c>
      <c r="E25" s="113">
        <v>6</v>
      </c>
      <c r="F25" s="113">
        <v>12</v>
      </c>
      <c r="G25" s="113"/>
      <c r="H25" s="113"/>
      <c r="I25" s="186">
        <v>44</v>
      </c>
      <c r="J25" s="183">
        <v>41705</v>
      </c>
      <c r="K25" s="139"/>
      <c r="L25" s="157"/>
      <c r="M25" s="184">
        <v>4.3499999999999996</v>
      </c>
      <c r="N25" s="157">
        <v>41853</v>
      </c>
      <c r="O25" s="139"/>
      <c r="P25" s="157"/>
      <c r="Q25" s="139"/>
      <c r="R25" s="157"/>
      <c r="S25" s="139">
        <v>14.66</v>
      </c>
      <c r="T25" s="157">
        <v>41853</v>
      </c>
      <c r="U25" s="139">
        <v>15.3</v>
      </c>
      <c r="V25" s="157"/>
      <c r="W25" s="139"/>
      <c r="X25" s="157"/>
      <c r="Y25" s="139">
        <f t="shared" si="0"/>
        <v>5.2839</v>
      </c>
      <c r="Z25" s="157"/>
      <c r="AA25" s="139">
        <v>69.53</v>
      </c>
      <c r="AB25" s="157"/>
      <c r="AC25" s="139"/>
      <c r="AD25" s="157"/>
      <c r="AE25" s="139">
        <v>27.81</v>
      </c>
      <c r="AF25" s="157"/>
      <c r="AG25" s="185">
        <v>4</v>
      </c>
      <c r="AH25" s="157"/>
      <c r="AI25" s="185">
        <v>120</v>
      </c>
      <c r="AJ25" s="157">
        <v>41803</v>
      </c>
      <c r="AK25" s="139"/>
      <c r="AL25" s="157"/>
      <c r="AM25" s="139"/>
      <c r="AN25" s="157"/>
      <c r="AO25" s="139">
        <v>92</v>
      </c>
      <c r="AP25" s="157">
        <v>41738</v>
      </c>
      <c r="AQ25" s="139"/>
      <c r="AR25" s="139"/>
      <c r="AS25" s="139">
        <v>127</v>
      </c>
      <c r="AT25" s="157">
        <v>41766</v>
      </c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>
        <v>52.7</v>
      </c>
      <c r="BT25" s="140"/>
      <c r="BU25" s="140">
        <v>19</v>
      </c>
      <c r="BV25" s="140"/>
      <c r="BW25" s="140">
        <v>14.3</v>
      </c>
      <c r="BX25" s="140"/>
      <c r="BY25" s="140">
        <v>11</v>
      </c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 t="s">
        <v>8140</v>
      </c>
      <c r="CK25" s="140"/>
      <c r="CL25" s="140"/>
      <c r="CM25" s="140"/>
    </row>
    <row r="26" spans="1:91">
      <c r="A26" s="158" t="s">
        <v>7762</v>
      </c>
      <c r="B26" s="112" t="s">
        <v>269</v>
      </c>
      <c r="C26" s="112">
        <v>1</v>
      </c>
      <c r="D26">
        <v>147</v>
      </c>
      <c r="E26" s="113">
        <v>7</v>
      </c>
      <c r="F26" s="113">
        <v>1</v>
      </c>
      <c r="I26" s="186">
        <v>26</v>
      </c>
      <c r="J26" s="183">
        <v>41705</v>
      </c>
      <c r="M26" s="184">
        <v>0.92</v>
      </c>
      <c r="N26" s="157">
        <v>41853</v>
      </c>
      <c r="S26" s="139">
        <v>2.77</v>
      </c>
      <c r="T26" s="157">
        <v>41853</v>
      </c>
      <c r="U26" s="139">
        <v>15.3</v>
      </c>
      <c r="Y26" s="139">
        <f t="shared" si="0"/>
        <v>1.3559700000000001</v>
      </c>
      <c r="AA26" s="139">
        <v>12.49</v>
      </c>
      <c r="AE26" s="139">
        <v>5.87</v>
      </c>
      <c r="AG26" s="185">
        <v>4.7</v>
      </c>
      <c r="AI26" s="185">
        <v>105</v>
      </c>
      <c r="AJ26" s="157">
        <v>41803</v>
      </c>
      <c r="AO26" s="139">
        <v>91</v>
      </c>
      <c r="AP26" s="157">
        <v>41738</v>
      </c>
      <c r="AS26" s="139">
        <v>127</v>
      </c>
      <c r="AT26" s="157">
        <v>41766</v>
      </c>
      <c r="BS26" s="140">
        <v>47.2</v>
      </c>
      <c r="BU26" s="140">
        <v>23.1</v>
      </c>
      <c r="BW26" s="140">
        <v>65.900000000000006</v>
      </c>
      <c r="BY26" s="140">
        <v>11.1</v>
      </c>
      <c r="CJ26" s="140" t="s">
        <v>8140</v>
      </c>
    </row>
    <row r="27" spans="1:91">
      <c r="A27" s="158" t="s">
        <v>7808</v>
      </c>
      <c r="B27" s="112" t="s">
        <v>269</v>
      </c>
      <c r="C27" s="112">
        <v>1</v>
      </c>
      <c r="D27">
        <v>193</v>
      </c>
      <c r="E27" s="113">
        <v>7</v>
      </c>
      <c r="F27" s="113">
        <v>2</v>
      </c>
      <c r="I27" s="186">
        <v>38</v>
      </c>
      <c r="J27" s="183">
        <v>41705</v>
      </c>
      <c r="M27" s="184">
        <v>2.1800000000000002</v>
      </c>
      <c r="N27" s="157">
        <v>41853</v>
      </c>
      <c r="S27" s="139">
        <v>7.29</v>
      </c>
      <c r="T27" s="157">
        <v>41853</v>
      </c>
      <c r="U27" s="139">
        <v>15.3</v>
      </c>
      <c r="Y27" s="139">
        <f t="shared" si="0"/>
        <v>2.6726399999999999</v>
      </c>
      <c r="AA27" s="139">
        <v>26.26</v>
      </c>
      <c r="AE27" s="139">
        <v>13.92</v>
      </c>
      <c r="AG27" s="185">
        <v>5.3</v>
      </c>
      <c r="AI27" s="185">
        <v>125</v>
      </c>
      <c r="AJ27" s="157">
        <v>41803</v>
      </c>
      <c r="AO27" s="139">
        <v>91</v>
      </c>
      <c r="AP27" s="157">
        <v>41738</v>
      </c>
      <c r="AS27" s="139">
        <v>126</v>
      </c>
      <c r="AT27" s="157">
        <v>41766</v>
      </c>
      <c r="BS27" s="140">
        <v>52.4</v>
      </c>
      <c r="BU27" s="140">
        <v>19.2</v>
      </c>
      <c r="BW27" s="140">
        <v>15.2</v>
      </c>
      <c r="BY27" s="140">
        <v>11.1</v>
      </c>
      <c r="CJ27" s="140" t="s">
        <v>8140</v>
      </c>
    </row>
    <row r="28" spans="1:91">
      <c r="A28" s="158" t="s">
        <v>7795</v>
      </c>
      <c r="B28" s="112" t="s">
        <v>269</v>
      </c>
      <c r="C28" s="112">
        <v>1</v>
      </c>
      <c r="D28">
        <v>180</v>
      </c>
      <c r="E28" s="113">
        <v>7</v>
      </c>
      <c r="F28" s="113">
        <v>3</v>
      </c>
      <c r="I28" s="186">
        <v>42</v>
      </c>
      <c r="J28" s="183">
        <v>41705</v>
      </c>
      <c r="M28" s="184">
        <v>2.0499999999999998</v>
      </c>
      <c r="N28" s="157">
        <v>41853</v>
      </c>
      <c r="S28" s="139">
        <v>6.74</v>
      </c>
      <c r="T28" s="157">
        <v>41853</v>
      </c>
      <c r="U28" s="139">
        <v>15.3</v>
      </c>
      <c r="Y28" s="139">
        <f t="shared" si="0"/>
        <v>2.5001899999999999</v>
      </c>
      <c r="AA28" s="139">
        <v>24.7</v>
      </c>
      <c r="AE28" s="139">
        <v>13.09</v>
      </c>
      <c r="AG28" s="185">
        <v>5.3</v>
      </c>
      <c r="AI28" s="185">
        <v>125</v>
      </c>
      <c r="AJ28" s="157">
        <v>41803</v>
      </c>
      <c r="AO28" s="139">
        <v>92</v>
      </c>
      <c r="AP28" s="157">
        <v>41738</v>
      </c>
      <c r="AS28" s="139">
        <v>124</v>
      </c>
      <c r="AT28" s="157">
        <v>41766</v>
      </c>
      <c r="BS28" s="140">
        <v>51.5</v>
      </c>
      <c r="BU28" s="140">
        <v>19.100000000000001</v>
      </c>
      <c r="BW28" s="140">
        <v>14.2</v>
      </c>
      <c r="BY28" s="140">
        <v>11.1</v>
      </c>
      <c r="CJ28" s="140" t="s">
        <v>8140</v>
      </c>
    </row>
    <row r="29" spans="1:91">
      <c r="A29" s="158" t="s">
        <v>7680</v>
      </c>
      <c r="B29" s="112" t="s">
        <v>269</v>
      </c>
      <c r="C29" s="112">
        <v>1</v>
      </c>
      <c r="D29">
        <v>65</v>
      </c>
      <c r="E29" s="113">
        <v>7</v>
      </c>
      <c r="F29" s="113">
        <v>4</v>
      </c>
      <c r="I29" s="186">
        <v>28</v>
      </c>
      <c r="J29" s="183">
        <v>41705</v>
      </c>
      <c r="M29" s="184">
        <v>2.2000000000000002</v>
      </c>
      <c r="N29" s="157">
        <v>41853</v>
      </c>
      <c r="S29" s="139">
        <v>7.28</v>
      </c>
      <c r="T29" s="157">
        <v>41853</v>
      </c>
      <c r="U29" s="139">
        <v>15.3</v>
      </c>
      <c r="Y29" s="139">
        <f t="shared" si="0"/>
        <v>2.7116500000000001</v>
      </c>
      <c r="AA29" s="139">
        <v>29.89</v>
      </c>
      <c r="AE29" s="139">
        <v>14.05</v>
      </c>
      <c r="AG29" s="185">
        <v>4.7</v>
      </c>
      <c r="AI29" s="185">
        <v>115</v>
      </c>
      <c r="AJ29" s="157">
        <v>41803</v>
      </c>
      <c r="AO29" s="139">
        <v>93</v>
      </c>
      <c r="AP29" s="157">
        <v>41738</v>
      </c>
      <c r="AS29" s="139">
        <v>127</v>
      </c>
      <c r="AT29" s="157">
        <v>41766</v>
      </c>
      <c r="BS29" s="140">
        <v>51.8</v>
      </c>
      <c r="BU29" s="140">
        <v>19.3</v>
      </c>
      <c r="BW29" s="140">
        <v>13</v>
      </c>
      <c r="BY29" s="140">
        <v>11.1</v>
      </c>
      <c r="CJ29" s="140" t="s">
        <v>8140</v>
      </c>
    </row>
    <row r="30" spans="1:91">
      <c r="A30" s="158" t="s">
        <v>7770</v>
      </c>
      <c r="B30" s="112" t="s">
        <v>269</v>
      </c>
      <c r="C30" s="112">
        <v>1</v>
      </c>
      <c r="D30">
        <v>155</v>
      </c>
      <c r="E30" s="113">
        <v>7</v>
      </c>
      <c r="F30" s="113">
        <v>5</v>
      </c>
      <c r="I30" s="186">
        <v>34</v>
      </c>
      <c r="J30" s="183">
        <v>41705</v>
      </c>
      <c r="M30" s="184">
        <v>2.46</v>
      </c>
      <c r="N30" s="157">
        <v>41853</v>
      </c>
      <c r="S30" s="139">
        <v>7.78</v>
      </c>
      <c r="T30" s="157">
        <v>41853</v>
      </c>
      <c r="U30" s="139">
        <v>15.3</v>
      </c>
      <c r="Y30" s="139">
        <f t="shared" si="0"/>
        <v>3.18913</v>
      </c>
      <c r="AA30" s="139">
        <v>30.8</v>
      </c>
      <c r="AE30" s="139">
        <v>15.71</v>
      </c>
      <c r="AG30" s="185">
        <v>5.0999999999999996</v>
      </c>
      <c r="AI30" s="185">
        <v>110</v>
      </c>
      <c r="AJ30" s="157">
        <v>41803</v>
      </c>
      <c r="AO30" s="139">
        <v>95</v>
      </c>
      <c r="AP30" s="157">
        <v>41738</v>
      </c>
      <c r="AS30" s="139">
        <v>127</v>
      </c>
      <c r="AT30" s="157">
        <v>41766</v>
      </c>
      <c r="BS30" s="140">
        <v>49.5</v>
      </c>
      <c r="BU30" s="140">
        <v>20.3</v>
      </c>
      <c r="BW30" s="140">
        <v>19.8</v>
      </c>
      <c r="BY30" s="140">
        <v>11.1</v>
      </c>
      <c r="CJ30" s="140" t="s">
        <v>8131</v>
      </c>
    </row>
    <row r="31" spans="1:91">
      <c r="A31" s="158" t="s">
        <v>7691</v>
      </c>
      <c r="B31" s="112" t="s">
        <v>269</v>
      </c>
      <c r="C31" s="112">
        <v>1</v>
      </c>
      <c r="D31">
        <v>76</v>
      </c>
      <c r="E31" s="113">
        <v>7</v>
      </c>
      <c r="F31" s="113">
        <v>6</v>
      </c>
      <c r="I31" s="186">
        <v>34</v>
      </c>
      <c r="J31" s="183">
        <v>41705</v>
      </c>
      <c r="M31" s="184">
        <v>2.5</v>
      </c>
      <c r="N31" s="157">
        <v>41853</v>
      </c>
      <c r="S31" s="139">
        <v>8.35</v>
      </c>
      <c r="T31" s="157">
        <v>41853</v>
      </c>
      <c r="U31" s="139">
        <v>15.3</v>
      </c>
      <c r="Y31" s="139">
        <f t="shared" si="0"/>
        <v>2.9685600000000005</v>
      </c>
      <c r="AA31" s="139">
        <v>36.270000000000003</v>
      </c>
      <c r="AE31" s="139">
        <v>15.96</v>
      </c>
      <c r="AG31" s="185">
        <v>4.4000000000000004</v>
      </c>
      <c r="AI31" s="185">
        <v>120</v>
      </c>
      <c r="AJ31" s="157">
        <v>41803</v>
      </c>
      <c r="AO31" s="139">
        <v>91</v>
      </c>
      <c r="AP31" s="157">
        <v>41738</v>
      </c>
      <c r="AS31" s="139">
        <v>126</v>
      </c>
      <c r="AT31" s="157">
        <v>41766</v>
      </c>
      <c r="BS31" s="140">
        <v>52.3</v>
      </c>
      <c r="BU31" s="140">
        <v>18.600000000000001</v>
      </c>
      <c r="BW31" s="140">
        <v>14.6</v>
      </c>
      <c r="BY31" s="140">
        <v>11.1</v>
      </c>
      <c r="CJ31" s="140" t="s">
        <v>8140</v>
      </c>
    </row>
    <row r="32" spans="1:91">
      <c r="A32" s="158" t="s">
        <v>7731</v>
      </c>
      <c r="B32" s="112" t="s">
        <v>271</v>
      </c>
      <c r="C32" s="112">
        <v>2</v>
      </c>
      <c r="D32">
        <v>116</v>
      </c>
      <c r="E32" s="113">
        <v>7</v>
      </c>
      <c r="F32" s="113">
        <v>7</v>
      </c>
      <c r="I32" s="186">
        <v>30</v>
      </c>
      <c r="J32" s="183">
        <v>41705</v>
      </c>
      <c r="M32" s="184">
        <v>3.89</v>
      </c>
      <c r="N32" s="157">
        <v>41853</v>
      </c>
      <c r="S32" s="139">
        <v>12.22</v>
      </c>
      <c r="T32" s="157">
        <v>41853</v>
      </c>
      <c r="U32" s="139">
        <v>15.3</v>
      </c>
      <c r="Y32" s="139">
        <f t="shared" si="0"/>
        <v>5.2976000000000001</v>
      </c>
      <c r="AA32" s="139">
        <v>49.28</v>
      </c>
      <c r="AE32" s="139">
        <v>24.64</v>
      </c>
      <c r="AG32" s="185">
        <v>5</v>
      </c>
      <c r="AI32" s="185">
        <v>120</v>
      </c>
      <c r="AJ32" s="157">
        <v>41803</v>
      </c>
      <c r="AO32" s="139">
        <v>91</v>
      </c>
      <c r="AP32" s="157">
        <v>41738</v>
      </c>
      <c r="AS32" s="139">
        <v>128</v>
      </c>
      <c r="AT32" s="157">
        <v>41766</v>
      </c>
      <c r="BS32" s="140">
        <v>49.6</v>
      </c>
      <c r="BU32" s="140">
        <v>21.5</v>
      </c>
      <c r="BW32" s="140">
        <v>14.3</v>
      </c>
      <c r="BY32" s="140">
        <v>11.8</v>
      </c>
      <c r="CJ32" s="140" t="s">
        <v>8140</v>
      </c>
    </row>
    <row r="33" spans="1:91">
      <c r="A33" s="158" t="s">
        <v>7786</v>
      </c>
      <c r="B33" s="112" t="s">
        <v>271</v>
      </c>
      <c r="C33" s="112">
        <v>2</v>
      </c>
      <c r="D33">
        <v>171</v>
      </c>
      <c r="E33" s="113">
        <v>7</v>
      </c>
      <c r="F33" s="113">
        <v>8</v>
      </c>
      <c r="I33" s="186">
        <v>20</v>
      </c>
      <c r="J33" s="183">
        <v>41705</v>
      </c>
      <c r="M33" s="184">
        <v>3.67</v>
      </c>
      <c r="N33" s="157">
        <v>41853</v>
      </c>
      <c r="S33" s="139">
        <v>11.72</v>
      </c>
      <c r="T33" s="157">
        <v>41853</v>
      </c>
      <c r="U33" s="139">
        <v>15.3</v>
      </c>
      <c r="Y33" s="139">
        <f t="shared" si="0"/>
        <v>4.6863999999999999</v>
      </c>
      <c r="AA33" s="139">
        <v>43.77</v>
      </c>
      <c r="AE33" s="139">
        <v>23.2</v>
      </c>
      <c r="AG33" s="185">
        <v>5.3</v>
      </c>
      <c r="AI33" s="185">
        <v>115</v>
      </c>
      <c r="AJ33" s="157">
        <v>41803</v>
      </c>
      <c r="AO33" s="139">
        <v>92</v>
      </c>
      <c r="AP33" s="157">
        <v>41738</v>
      </c>
      <c r="AS33" s="139">
        <v>126</v>
      </c>
      <c r="AT33" s="157">
        <v>41766</v>
      </c>
      <c r="BS33" s="140">
        <v>50.5</v>
      </c>
      <c r="BU33" s="140">
        <v>20.2</v>
      </c>
      <c r="BW33" s="140">
        <v>16.100000000000001</v>
      </c>
      <c r="BY33" s="140">
        <v>12</v>
      </c>
      <c r="CJ33" s="140" t="s">
        <v>8140</v>
      </c>
    </row>
    <row r="34" spans="1:91">
      <c r="A34" s="158" t="s">
        <v>7710</v>
      </c>
      <c r="B34" s="112" t="s">
        <v>271</v>
      </c>
      <c r="C34" s="112">
        <v>2</v>
      </c>
      <c r="D34">
        <v>95</v>
      </c>
      <c r="E34" s="113">
        <v>7</v>
      </c>
      <c r="F34" s="113">
        <v>9</v>
      </c>
      <c r="I34" s="186">
        <v>25</v>
      </c>
      <c r="J34" s="183">
        <v>41705</v>
      </c>
      <c r="M34" s="184">
        <v>3.5</v>
      </c>
      <c r="N34" s="157">
        <v>41853</v>
      </c>
      <c r="S34" s="139">
        <v>11.1</v>
      </c>
      <c r="T34" s="157">
        <v>41853</v>
      </c>
      <c r="U34" s="139">
        <v>15.3</v>
      </c>
      <c r="Y34" s="139">
        <f t="shared" si="0"/>
        <v>4.7286000000000001</v>
      </c>
      <c r="AA34" s="139">
        <v>52.86</v>
      </c>
      <c r="AE34" s="139">
        <v>22.2</v>
      </c>
      <c r="AG34" s="185">
        <v>4.2</v>
      </c>
      <c r="AI34" s="185">
        <v>125</v>
      </c>
      <c r="AJ34" s="157">
        <v>41803</v>
      </c>
      <c r="AO34" s="139">
        <v>96</v>
      </c>
      <c r="AP34" s="157">
        <v>41738</v>
      </c>
      <c r="AS34" s="139">
        <v>129</v>
      </c>
      <c r="AT34" s="157">
        <v>41766</v>
      </c>
      <c r="BS34" s="140">
        <v>50</v>
      </c>
      <c r="BU34" s="140">
        <v>21.3</v>
      </c>
      <c r="BW34" s="140">
        <v>18.7</v>
      </c>
      <c r="BY34" s="140">
        <v>11.7</v>
      </c>
      <c r="CJ34" s="140" t="s">
        <v>8131</v>
      </c>
    </row>
    <row r="35" spans="1:91">
      <c r="A35" s="158" t="s">
        <v>7627</v>
      </c>
      <c r="B35" s="112" t="s">
        <v>271</v>
      </c>
      <c r="C35" s="112">
        <v>2</v>
      </c>
      <c r="D35">
        <v>12</v>
      </c>
      <c r="E35" s="113">
        <v>7</v>
      </c>
      <c r="F35" s="113">
        <v>10</v>
      </c>
      <c r="I35" s="384">
        <v>38</v>
      </c>
      <c r="J35" s="183">
        <v>41705</v>
      </c>
      <c r="K35" s="142"/>
      <c r="M35" s="184">
        <v>3.59</v>
      </c>
      <c r="N35" s="157">
        <v>41853</v>
      </c>
      <c r="O35" s="141"/>
      <c r="Q35" s="142"/>
      <c r="S35" s="142">
        <v>11.65</v>
      </c>
      <c r="T35" s="157">
        <v>41853</v>
      </c>
      <c r="U35" s="142">
        <v>15.3</v>
      </c>
      <c r="W35" s="142"/>
      <c r="Y35" s="139">
        <f t="shared" si="0"/>
        <v>4.8898999999999999</v>
      </c>
      <c r="AA35" s="142">
        <v>47.6</v>
      </c>
      <c r="AE35" s="142">
        <v>22.85</v>
      </c>
      <c r="AG35" s="185">
        <v>4.8</v>
      </c>
      <c r="AI35" s="185">
        <v>125</v>
      </c>
      <c r="AJ35" s="157">
        <v>41803</v>
      </c>
      <c r="AK35" s="142"/>
      <c r="AM35" s="142"/>
      <c r="AO35" s="139">
        <v>99</v>
      </c>
      <c r="AP35" s="157">
        <v>41738</v>
      </c>
      <c r="AS35" s="139">
        <v>128</v>
      </c>
      <c r="AT35" s="157">
        <v>41766</v>
      </c>
      <c r="BS35" s="140">
        <v>51</v>
      </c>
      <c r="BU35" s="140">
        <v>21.4</v>
      </c>
      <c r="BW35" s="140">
        <v>54.6</v>
      </c>
      <c r="BY35" s="140">
        <v>11.4</v>
      </c>
      <c r="CJ35" s="140" t="s">
        <v>8131</v>
      </c>
    </row>
    <row r="36" spans="1:91">
      <c r="A36" s="158" t="s">
        <v>7765</v>
      </c>
      <c r="B36" s="112" t="s">
        <v>271</v>
      </c>
      <c r="C36" s="112">
        <v>2</v>
      </c>
      <c r="D36">
        <v>150</v>
      </c>
      <c r="E36" s="113">
        <v>7</v>
      </c>
      <c r="F36" s="113">
        <v>11</v>
      </c>
      <c r="I36" s="186">
        <v>52</v>
      </c>
      <c r="J36" s="183">
        <v>41705</v>
      </c>
      <c r="M36" s="184">
        <v>2.77</v>
      </c>
      <c r="N36" s="157">
        <v>41853</v>
      </c>
      <c r="S36" s="139">
        <v>8.5299999999999994</v>
      </c>
      <c r="T36" s="157">
        <v>41853</v>
      </c>
      <c r="U36" s="139">
        <v>15.3</v>
      </c>
      <c r="Y36" s="139">
        <f t="shared" si="0"/>
        <v>3.6121499999999997</v>
      </c>
      <c r="AA36" s="139">
        <v>41.55</v>
      </c>
      <c r="AE36" s="139">
        <v>17.45</v>
      </c>
      <c r="AG36" s="185">
        <v>4.2</v>
      </c>
      <c r="AI36" s="185">
        <v>115</v>
      </c>
      <c r="AJ36" s="157">
        <v>41803</v>
      </c>
      <c r="AO36" s="139">
        <v>95</v>
      </c>
      <c r="AP36" s="157">
        <v>41738</v>
      </c>
      <c r="AS36" s="139">
        <v>128</v>
      </c>
      <c r="AT36" s="157">
        <v>41766</v>
      </c>
      <c r="BS36" s="140">
        <v>48.9</v>
      </c>
      <c r="BU36" s="140">
        <v>20.7</v>
      </c>
      <c r="BW36" s="140">
        <v>12.9</v>
      </c>
      <c r="BY36" s="140">
        <v>12.3</v>
      </c>
      <c r="CJ36" s="140" t="s">
        <v>8140</v>
      </c>
    </row>
    <row r="37" spans="1:91">
      <c r="A37" s="158" t="s">
        <v>7738</v>
      </c>
      <c r="B37" s="112" t="s">
        <v>271</v>
      </c>
      <c r="C37" s="112">
        <v>2</v>
      </c>
      <c r="D37">
        <v>123</v>
      </c>
      <c r="E37" s="113">
        <v>7</v>
      </c>
      <c r="F37" s="113">
        <v>12</v>
      </c>
      <c r="I37" s="186">
        <v>50</v>
      </c>
      <c r="J37" s="183">
        <v>41705</v>
      </c>
      <c r="M37" s="184">
        <v>4.0999999999999996</v>
      </c>
      <c r="N37" s="157">
        <v>41853</v>
      </c>
      <c r="S37" s="139">
        <v>13.37</v>
      </c>
      <c r="T37" s="157">
        <v>41853</v>
      </c>
      <c r="U37" s="139">
        <v>15.3</v>
      </c>
      <c r="Y37" s="139">
        <f t="shared" si="0"/>
        <v>5.5768399999999998</v>
      </c>
      <c r="AA37" s="139">
        <v>53.18</v>
      </c>
      <c r="AE37" s="139">
        <v>26.06</v>
      </c>
      <c r="AG37" s="185">
        <v>4.9000000000000004</v>
      </c>
      <c r="AI37" s="185">
        <v>125</v>
      </c>
      <c r="AJ37" s="157">
        <v>41803</v>
      </c>
      <c r="AO37" s="139">
        <v>93</v>
      </c>
      <c r="AP37" s="157">
        <v>41738</v>
      </c>
      <c r="AS37" s="139">
        <v>126</v>
      </c>
      <c r="AT37" s="157">
        <v>41766</v>
      </c>
      <c r="BS37" s="140">
        <v>51.3</v>
      </c>
      <c r="BU37" s="140">
        <v>21.4</v>
      </c>
      <c r="BW37" s="140">
        <v>18.100000000000001</v>
      </c>
      <c r="BY37" s="140">
        <v>11.5</v>
      </c>
      <c r="CJ37" s="140" t="s">
        <v>8140</v>
      </c>
    </row>
    <row r="38" spans="1:91">
      <c r="A38" s="158" t="s">
        <v>7787</v>
      </c>
      <c r="B38" s="112" t="s">
        <v>269</v>
      </c>
      <c r="C38" s="112">
        <v>1</v>
      </c>
      <c r="D38">
        <v>172</v>
      </c>
      <c r="E38" s="113">
        <v>8</v>
      </c>
      <c r="F38" s="113">
        <v>1</v>
      </c>
      <c r="I38" s="186">
        <v>34</v>
      </c>
      <c r="J38" s="183">
        <v>41705</v>
      </c>
      <c r="M38" s="184">
        <v>2.1800000000000002</v>
      </c>
      <c r="N38" s="157">
        <v>41853</v>
      </c>
      <c r="S38" s="139">
        <v>6.87</v>
      </c>
      <c r="T38" s="157">
        <v>41853</v>
      </c>
      <c r="U38" s="139">
        <v>15.3</v>
      </c>
      <c r="Y38" s="139">
        <f t="shared" si="0"/>
        <v>2.7878699999999998</v>
      </c>
      <c r="AA38" s="139">
        <v>26.67</v>
      </c>
      <c r="AE38" s="139">
        <v>13.87</v>
      </c>
      <c r="AG38" s="185">
        <v>5.2</v>
      </c>
      <c r="AI38" s="185">
        <v>125</v>
      </c>
      <c r="AJ38" s="157">
        <v>41803</v>
      </c>
      <c r="AO38" s="139">
        <v>96</v>
      </c>
      <c r="AP38" s="157">
        <v>41738</v>
      </c>
      <c r="AS38" s="139">
        <v>127</v>
      </c>
      <c r="AT38" s="157">
        <v>41766</v>
      </c>
      <c r="BS38" s="140">
        <v>49.5</v>
      </c>
      <c r="BU38" s="140">
        <v>20.100000000000001</v>
      </c>
      <c r="BW38" s="140">
        <v>16</v>
      </c>
      <c r="BY38" s="140">
        <v>11.4</v>
      </c>
      <c r="CJ38" s="140" t="s">
        <v>8131</v>
      </c>
    </row>
    <row r="39" spans="1:91">
      <c r="A39" s="158" t="s">
        <v>7902</v>
      </c>
      <c r="B39" s="112" t="s">
        <v>269</v>
      </c>
      <c r="C39" s="112">
        <v>1</v>
      </c>
      <c r="D39">
        <v>207</v>
      </c>
      <c r="E39" s="113">
        <v>8</v>
      </c>
      <c r="F39" s="113">
        <v>2</v>
      </c>
      <c r="I39" s="186">
        <v>47</v>
      </c>
      <c r="J39" s="183">
        <v>41705</v>
      </c>
      <c r="M39" s="184"/>
      <c r="N39" s="157">
        <v>41853</v>
      </c>
      <c r="T39" s="157">
        <v>41853</v>
      </c>
      <c r="U39" s="139">
        <v>15.3</v>
      </c>
      <c r="Y39" s="139">
        <f t="shared" si="0"/>
        <v>0</v>
      </c>
      <c r="AG39" s="185"/>
      <c r="AI39" s="185">
        <v>120</v>
      </c>
      <c r="AJ39" s="157">
        <v>41803</v>
      </c>
      <c r="AO39" s="139">
        <v>90</v>
      </c>
      <c r="AP39" s="157">
        <v>41738</v>
      </c>
      <c r="AS39" s="139">
        <v>124</v>
      </c>
      <c r="AT39" s="157">
        <v>41766</v>
      </c>
      <c r="CJ39" s="140" t="s">
        <v>8156</v>
      </c>
    </row>
    <row r="40" spans="1:91">
      <c r="A40" s="158" t="s">
        <v>7681</v>
      </c>
      <c r="B40" s="112" t="s">
        <v>269</v>
      </c>
      <c r="C40" s="112">
        <v>1</v>
      </c>
      <c r="D40">
        <v>66</v>
      </c>
      <c r="E40" s="113">
        <v>8</v>
      </c>
      <c r="F40" s="113">
        <v>3</v>
      </c>
      <c r="I40" s="186">
        <v>34</v>
      </c>
      <c r="J40" s="183">
        <v>41705</v>
      </c>
      <c r="M40" s="184">
        <v>2</v>
      </c>
      <c r="N40" s="157">
        <v>41853</v>
      </c>
      <c r="S40" s="139">
        <v>6.52</v>
      </c>
      <c r="T40" s="157">
        <v>41853</v>
      </c>
      <c r="U40" s="139">
        <v>15.3</v>
      </c>
      <c r="Y40" s="139">
        <f t="shared" si="0"/>
        <v>2.6732999999999998</v>
      </c>
      <c r="AA40" s="139">
        <v>26.52</v>
      </c>
      <c r="AE40" s="139">
        <v>12.73</v>
      </c>
      <c r="AG40" s="185">
        <v>4.8</v>
      </c>
      <c r="AI40" s="185">
        <v>110</v>
      </c>
      <c r="AJ40" s="157">
        <v>41803</v>
      </c>
      <c r="AO40" s="139">
        <v>90</v>
      </c>
      <c r="AP40" s="157">
        <v>41738</v>
      </c>
      <c r="AS40" s="139">
        <v>124</v>
      </c>
      <c r="AT40" s="157">
        <v>41766</v>
      </c>
      <c r="BS40" s="140">
        <v>51.2</v>
      </c>
      <c r="BU40" s="140">
        <v>21</v>
      </c>
      <c r="BW40" s="140">
        <v>14.7</v>
      </c>
      <c r="BY40" s="140">
        <v>11.4</v>
      </c>
      <c r="CJ40" s="140" t="s">
        <v>8140</v>
      </c>
    </row>
    <row r="41" spans="1:91">
      <c r="A41" s="158" t="s">
        <v>7629</v>
      </c>
      <c r="B41" s="112" t="s">
        <v>269</v>
      </c>
      <c r="C41" s="112">
        <v>1</v>
      </c>
      <c r="D41">
        <v>14</v>
      </c>
      <c r="E41" s="113">
        <v>8</v>
      </c>
      <c r="F41" s="113">
        <v>4</v>
      </c>
      <c r="I41" s="384">
        <v>37</v>
      </c>
      <c r="J41" s="183">
        <v>41705</v>
      </c>
      <c r="K41" s="142"/>
      <c r="M41" s="184">
        <v>1.76</v>
      </c>
      <c r="N41" s="157">
        <v>41853</v>
      </c>
      <c r="O41" s="141"/>
      <c r="Q41" s="142"/>
      <c r="S41" s="142">
        <v>5.59</v>
      </c>
      <c r="T41" s="157">
        <v>41853</v>
      </c>
      <c r="U41" s="142">
        <v>15.3</v>
      </c>
      <c r="W41" s="142"/>
      <c r="Y41" s="139">
        <f t="shared" si="0"/>
        <v>2.4192</v>
      </c>
      <c r="AA41" s="142">
        <v>28</v>
      </c>
      <c r="AE41" s="142">
        <v>11.2</v>
      </c>
      <c r="AG41" s="185">
        <v>4</v>
      </c>
      <c r="AI41" s="185">
        <v>105</v>
      </c>
      <c r="AJ41" s="157">
        <v>41803</v>
      </c>
      <c r="AK41" s="142"/>
      <c r="AM41" s="142"/>
      <c r="AO41" s="139">
        <v>91</v>
      </c>
      <c r="AP41" s="157">
        <v>41738</v>
      </c>
      <c r="AS41" s="139">
        <v>124</v>
      </c>
      <c r="AT41" s="157">
        <v>41766</v>
      </c>
      <c r="BS41" s="140">
        <v>49.9</v>
      </c>
      <c r="BU41" s="140">
        <v>21.6</v>
      </c>
      <c r="BW41" s="140">
        <v>59.6</v>
      </c>
      <c r="BY41" s="140">
        <v>11.4</v>
      </c>
      <c r="CJ41" s="140" t="s">
        <v>8140</v>
      </c>
    </row>
    <row r="42" spans="1:91">
      <c r="A42" s="158" t="s">
        <v>7624</v>
      </c>
      <c r="B42" s="112" t="s">
        <v>269</v>
      </c>
      <c r="C42" s="112">
        <v>1</v>
      </c>
      <c r="D42">
        <v>9</v>
      </c>
      <c r="E42" s="113">
        <v>8</v>
      </c>
      <c r="F42" s="113">
        <v>5</v>
      </c>
      <c r="I42" s="384">
        <v>33</v>
      </c>
      <c r="J42" s="183">
        <v>41705</v>
      </c>
      <c r="K42" s="142"/>
      <c r="M42" s="184">
        <v>0.52</v>
      </c>
      <c r="N42" s="157">
        <v>41853</v>
      </c>
      <c r="O42" s="141"/>
      <c r="Q42" s="142"/>
      <c r="S42" s="142">
        <v>1.64</v>
      </c>
      <c r="T42" s="157">
        <v>41853</v>
      </c>
      <c r="U42" s="142">
        <v>15.3</v>
      </c>
      <c r="W42" s="142"/>
      <c r="Y42" s="139">
        <f t="shared" si="0"/>
        <v>0.72820000000000007</v>
      </c>
      <c r="AA42" s="142">
        <v>7.04</v>
      </c>
      <c r="AE42" s="142">
        <v>3.31</v>
      </c>
      <c r="AG42" s="185">
        <v>4.7</v>
      </c>
      <c r="AI42" s="185">
        <v>135</v>
      </c>
      <c r="AJ42" s="157">
        <v>41803</v>
      </c>
      <c r="AK42" s="142"/>
      <c r="AM42" s="142"/>
      <c r="AO42" s="139">
        <v>87</v>
      </c>
      <c r="AP42" s="157">
        <v>41738</v>
      </c>
      <c r="AS42" s="139">
        <v>124</v>
      </c>
      <c r="AT42" s="157">
        <v>41766</v>
      </c>
      <c r="BS42" s="140">
        <v>49.4</v>
      </c>
      <c r="BU42" s="140">
        <v>22</v>
      </c>
      <c r="BW42" s="140">
        <v>59.3</v>
      </c>
      <c r="BY42" s="140">
        <v>11.4</v>
      </c>
      <c r="CJ42" s="140" t="s">
        <v>8142</v>
      </c>
    </row>
    <row r="43" spans="1:91">
      <c r="A43" s="158" t="s">
        <v>7690</v>
      </c>
      <c r="B43" s="112" t="s">
        <v>269</v>
      </c>
      <c r="C43" s="112">
        <v>1</v>
      </c>
      <c r="D43">
        <v>75</v>
      </c>
      <c r="E43" s="113">
        <v>8</v>
      </c>
      <c r="F43" s="113">
        <v>6</v>
      </c>
      <c r="I43" s="186">
        <v>38</v>
      </c>
      <c r="J43" s="183">
        <v>41705</v>
      </c>
      <c r="M43" s="184">
        <v>2.54</v>
      </c>
      <c r="N43" s="157">
        <v>41853</v>
      </c>
      <c r="S43" s="139">
        <v>7.98</v>
      </c>
      <c r="T43" s="157">
        <v>41853</v>
      </c>
      <c r="U43" s="139">
        <v>15.3</v>
      </c>
      <c r="Y43" s="139">
        <f t="shared" si="0"/>
        <v>3.5228800000000002</v>
      </c>
      <c r="AA43" s="139">
        <v>31.69</v>
      </c>
      <c r="AE43" s="139">
        <v>16.16</v>
      </c>
      <c r="AG43" s="185">
        <v>5.0999999999999996</v>
      </c>
      <c r="AI43" s="185">
        <v>120</v>
      </c>
      <c r="AJ43" s="157">
        <v>41803</v>
      </c>
      <c r="AO43" s="139">
        <v>91</v>
      </c>
      <c r="AP43" s="157">
        <v>41738</v>
      </c>
      <c r="AS43" s="139">
        <v>127</v>
      </c>
      <c r="AT43" s="157">
        <v>41766</v>
      </c>
      <c r="BS43" s="140">
        <v>49.4</v>
      </c>
      <c r="BU43" s="140">
        <v>21.8</v>
      </c>
      <c r="BW43" s="140">
        <v>20.7</v>
      </c>
      <c r="BY43" s="140">
        <v>11.4</v>
      </c>
      <c r="CJ43" s="140" t="s">
        <v>8140</v>
      </c>
    </row>
    <row r="44" spans="1:91">
      <c r="A44" s="188" t="s">
        <v>7743</v>
      </c>
      <c r="B44" s="189" t="s">
        <v>271</v>
      </c>
      <c r="C44" s="189">
        <v>2</v>
      </c>
      <c r="D44" s="190">
        <v>128</v>
      </c>
      <c r="E44" s="191">
        <v>8</v>
      </c>
      <c r="F44" s="191">
        <v>7</v>
      </c>
      <c r="G44" s="191"/>
      <c r="H44" s="191"/>
      <c r="I44" s="192">
        <v>37</v>
      </c>
      <c r="J44" s="193">
        <v>41705</v>
      </c>
      <c r="K44" s="194"/>
      <c r="L44" s="195"/>
      <c r="M44" s="196">
        <v>1.66</v>
      </c>
      <c r="N44" s="195">
        <v>41853</v>
      </c>
      <c r="O44" s="194"/>
      <c r="P44" s="195"/>
      <c r="Q44" s="194"/>
      <c r="R44" s="195"/>
      <c r="S44" s="194">
        <v>4.93</v>
      </c>
      <c r="T44" s="195">
        <v>41853</v>
      </c>
      <c r="U44" s="194">
        <v>15.3</v>
      </c>
      <c r="V44" s="195"/>
      <c r="W44" s="194"/>
      <c r="X44" s="195"/>
      <c r="Y44" s="139">
        <f t="shared" si="0"/>
        <v>2.5449600000000006</v>
      </c>
      <c r="Z44" s="195"/>
      <c r="AA44" s="194">
        <v>27.08</v>
      </c>
      <c r="AB44" s="195"/>
      <c r="AC44" s="194"/>
      <c r="AD44" s="195"/>
      <c r="AE44" s="194">
        <v>10.56</v>
      </c>
      <c r="AF44" s="195"/>
      <c r="AG44" s="197">
        <v>3.9</v>
      </c>
      <c r="AH44" s="195"/>
      <c r="AI44" s="197">
        <v>105</v>
      </c>
      <c r="AJ44" s="195">
        <v>41803</v>
      </c>
      <c r="AK44" s="194"/>
      <c r="AL44" s="195"/>
      <c r="AM44" s="194"/>
      <c r="AN44" s="195"/>
      <c r="AO44" s="194">
        <v>90</v>
      </c>
      <c r="AP44" s="195">
        <v>41738</v>
      </c>
      <c r="AQ44" s="194"/>
      <c r="AR44" s="194"/>
      <c r="AS44" s="194">
        <v>126</v>
      </c>
      <c r="AT44" s="195">
        <v>41766</v>
      </c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>
        <v>46.7</v>
      </c>
      <c r="BT44" s="198"/>
      <c r="BU44" s="198">
        <v>24.1</v>
      </c>
      <c r="BV44" s="198"/>
      <c r="BW44" s="198">
        <v>56</v>
      </c>
      <c r="BX44" s="198"/>
      <c r="BY44" s="198">
        <v>11.4</v>
      </c>
      <c r="BZ44" s="198"/>
      <c r="CA44" s="198"/>
      <c r="CB44" s="198"/>
      <c r="CC44" s="198"/>
      <c r="CD44" s="198"/>
      <c r="CE44" s="198"/>
      <c r="CF44" s="198"/>
      <c r="CG44" s="198"/>
      <c r="CH44" s="198"/>
      <c r="CI44" s="198"/>
      <c r="CJ44" s="198" t="s">
        <v>8139</v>
      </c>
      <c r="CK44" s="198"/>
      <c r="CL44" s="198"/>
      <c r="CM44" s="198"/>
    </row>
    <row r="45" spans="1:91">
      <c r="A45" s="158" t="s">
        <v>7631</v>
      </c>
      <c r="B45" s="112" t="s">
        <v>271</v>
      </c>
      <c r="C45" s="112">
        <v>2</v>
      </c>
      <c r="D45">
        <v>16</v>
      </c>
      <c r="E45" s="113">
        <v>8</v>
      </c>
      <c r="F45" s="113">
        <v>8</v>
      </c>
      <c r="I45" s="384">
        <v>34</v>
      </c>
      <c r="J45" s="183">
        <v>41705</v>
      </c>
      <c r="K45" s="142"/>
      <c r="M45" s="184">
        <v>2.88</v>
      </c>
      <c r="N45" s="157">
        <v>41853</v>
      </c>
      <c r="O45" s="141"/>
      <c r="Q45" s="142"/>
      <c r="S45" s="142">
        <v>8.49</v>
      </c>
      <c r="T45" s="157">
        <v>41853</v>
      </c>
      <c r="U45" s="142">
        <v>15.3</v>
      </c>
      <c r="W45" s="142"/>
      <c r="Y45" s="139">
        <f t="shared" si="0"/>
        <v>4.2270399999999997</v>
      </c>
      <c r="AA45" s="142">
        <v>35.729999999999997</v>
      </c>
      <c r="AE45" s="142">
        <v>18.22</v>
      </c>
      <c r="AG45" s="185">
        <v>5.0999999999999996</v>
      </c>
      <c r="AI45" s="185">
        <v>110</v>
      </c>
      <c r="AJ45" s="157">
        <v>41803</v>
      </c>
      <c r="AK45" s="142"/>
      <c r="AM45" s="142"/>
      <c r="AO45" s="139">
        <v>92</v>
      </c>
      <c r="AP45" s="157">
        <v>41738</v>
      </c>
      <c r="AS45" s="139">
        <v>127</v>
      </c>
      <c r="AT45" s="157">
        <v>41766</v>
      </c>
      <c r="BS45" s="140">
        <v>46.6</v>
      </c>
      <c r="BU45" s="140">
        <v>23.2</v>
      </c>
      <c r="BW45" s="140">
        <v>62.4</v>
      </c>
      <c r="BY45" s="140">
        <v>11.9</v>
      </c>
      <c r="CJ45" s="140" t="s">
        <v>8140</v>
      </c>
    </row>
    <row r="46" spans="1:91">
      <c r="A46" s="158" t="s">
        <v>7640</v>
      </c>
      <c r="B46" s="112" t="s">
        <v>271</v>
      </c>
      <c r="C46" s="112">
        <v>2</v>
      </c>
      <c r="D46">
        <v>25</v>
      </c>
      <c r="E46" s="113">
        <v>8</v>
      </c>
      <c r="F46" s="113">
        <v>9</v>
      </c>
      <c r="I46" s="186">
        <v>53</v>
      </c>
      <c r="J46" s="183">
        <v>41705</v>
      </c>
      <c r="M46" s="184">
        <v>2.14</v>
      </c>
      <c r="N46" s="157">
        <v>41853</v>
      </c>
      <c r="S46" s="139">
        <v>6.43</v>
      </c>
      <c r="T46" s="157">
        <v>41853</v>
      </c>
      <c r="U46" s="139">
        <v>15.3</v>
      </c>
      <c r="Y46" s="139">
        <f t="shared" si="0"/>
        <v>3.30966</v>
      </c>
      <c r="AA46" s="139">
        <v>32.43</v>
      </c>
      <c r="AE46" s="139">
        <v>13.62</v>
      </c>
      <c r="AG46" s="185">
        <v>4.2</v>
      </c>
      <c r="AI46" s="185">
        <v>110</v>
      </c>
      <c r="AJ46" s="157">
        <v>41803</v>
      </c>
      <c r="AO46" s="139">
        <v>87</v>
      </c>
      <c r="AP46" s="157">
        <v>41738</v>
      </c>
      <c r="AS46" s="139">
        <v>125</v>
      </c>
      <c r="AT46" s="157">
        <v>41766</v>
      </c>
      <c r="BS46" s="140">
        <v>47.2</v>
      </c>
      <c r="BU46" s="140">
        <v>24.3</v>
      </c>
      <c r="BW46" s="140">
        <v>58.4</v>
      </c>
      <c r="BY46" s="140">
        <v>11.4</v>
      </c>
      <c r="CJ46" s="140" t="s">
        <v>8144</v>
      </c>
    </row>
    <row r="47" spans="1:91">
      <c r="A47" s="158" t="s">
        <v>7626</v>
      </c>
      <c r="B47" s="112" t="s">
        <v>271</v>
      </c>
      <c r="C47" s="112">
        <v>2</v>
      </c>
      <c r="D47">
        <v>11</v>
      </c>
      <c r="E47" s="113">
        <v>8</v>
      </c>
      <c r="F47" s="113">
        <v>10</v>
      </c>
      <c r="I47" s="384">
        <v>42</v>
      </c>
      <c r="J47" s="183">
        <v>41705</v>
      </c>
      <c r="K47" s="142"/>
      <c r="M47" s="184">
        <v>3.06</v>
      </c>
      <c r="N47" s="157">
        <v>41853</v>
      </c>
      <c r="O47" s="141"/>
      <c r="Q47" s="142"/>
      <c r="S47" s="142">
        <v>9.6199999999999992</v>
      </c>
      <c r="T47" s="157">
        <v>41853</v>
      </c>
      <c r="U47" s="142">
        <v>15.3</v>
      </c>
      <c r="W47" s="142"/>
      <c r="Y47" s="139">
        <f t="shared" si="0"/>
        <v>4.4115200000000003</v>
      </c>
      <c r="AA47" s="142">
        <v>39.840000000000003</v>
      </c>
      <c r="AE47" s="142">
        <v>19.52</v>
      </c>
      <c r="AG47" s="185">
        <v>4.9000000000000004</v>
      </c>
      <c r="AI47" s="185">
        <v>105</v>
      </c>
      <c r="AJ47" s="157">
        <v>41803</v>
      </c>
      <c r="AK47" s="142"/>
      <c r="AM47" s="142"/>
      <c r="AO47" s="139">
        <v>93</v>
      </c>
      <c r="AP47" s="157">
        <v>41738</v>
      </c>
      <c r="AS47" s="139">
        <v>127</v>
      </c>
      <c r="AT47" s="157">
        <v>41766</v>
      </c>
      <c r="BS47" s="140">
        <v>49.3</v>
      </c>
      <c r="BU47" s="140">
        <v>22.6</v>
      </c>
      <c r="BW47" s="140">
        <v>67.7</v>
      </c>
      <c r="BY47" s="140">
        <v>11.2</v>
      </c>
      <c r="CJ47" s="140" t="s">
        <v>8140</v>
      </c>
    </row>
    <row r="48" spans="1:91">
      <c r="A48" s="158" t="s">
        <v>7773</v>
      </c>
      <c r="B48" s="112" t="s">
        <v>271</v>
      </c>
      <c r="C48" s="112">
        <v>2</v>
      </c>
      <c r="D48">
        <v>158</v>
      </c>
      <c r="E48" s="113">
        <v>8</v>
      </c>
      <c r="F48" s="113">
        <v>11</v>
      </c>
      <c r="I48" s="186">
        <v>33</v>
      </c>
      <c r="J48" s="183">
        <v>41705</v>
      </c>
      <c r="M48" s="184">
        <v>4.22</v>
      </c>
      <c r="N48" s="157">
        <v>41853</v>
      </c>
      <c r="S48" s="139">
        <v>13.55</v>
      </c>
      <c r="T48" s="157">
        <v>41853</v>
      </c>
      <c r="U48" s="139">
        <v>15.3</v>
      </c>
      <c r="Y48" s="139">
        <f t="shared" si="0"/>
        <v>5.5910400000000005</v>
      </c>
      <c r="AA48" s="139">
        <v>61.09</v>
      </c>
      <c r="AE48" s="139">
        <v>26.88</v>
      </c>
      <c r="AG48" s="185">
        <v>4.4000000000000004</v>
      </c>
      <c r="AI48" s="185">
        <v>115</v>
      </c>
      <c r="AJ48" s="157">
        <v>41803</v>
      </c>
      <c r="AO48" s="139">
        <v>89</v>
      </c>
      <c r="AP48" s="157">
        <v>41738</v>
      </c>
      <c r="AS48" s="139">
        <v>127</v>
      </c>
      <c r="AT48" s="157">
        <v>41766</v>
      </c>
      <c r="BS48" s="140">
        <v>50.4</v>
      </c>
      <c r="BU48" s="140">
        <v>20.8</v>
      </c>
      <c r="BW48" s="140">
        <v>12.4</v>
      </c>
      <c r="BY48" s="140">
        <v>11.3</v>
      </c>
      <c r="CJ48" s="140" t="s">
        <v>8140</v>
      </c>
    </row>
    <row r="49" spans="1:91">
      <c r="A49" s="158" t="s">
        <v>8129</v>
      </c>
      <c r="B49" s="112" t="s">
        <v>271</v>
      </c>
      <c r="C49" s="112">
        <v>2</v>
      </c>
      <c r="D49">
        <v>216</v>
      </c>
      <c r="E49" s="113">
        <v>8</v>
      </c>
      <c r="F49" s="113">
        <v>12</v>
      </c>
      <c r="I49" s="186">
        <v>34</v>
      </c>
      <c r="J49" s="183">
        <v>41705</v>
      </c>
      <c r="M49" s="184">
        <v>5.74</v>
      </c>
      <c r="N49" s="157">
        <v>41853</v>
      </c>
      <c r="S49" s="139">
        <v>18.739999999999998</v>
      </c>
      <c r="T49" s="157">
        <v>41853</v>
      </c>
      <c r="U49" s="139">
        <v>15.3</v>
      </c>
      <c r="Y49" s="139">
        <f t="shared" si="0"/>
        <v>7.1755600000000008</v>
      </c>
      <c r="AA49" s="139">
        <v>87.17</v>
      </c>
      <c r="AE49" s="139">
        <v>36.61</v>
      </c>
      <c r="AG49" s="185">
        <v>4.2</v>
      </c>
      <c r="AI49" s="185">
        <v>135</v>
      </c>
      <c r="AJ49" s="157">
        <v>41803</v>
      </c>
      <c r="AO49" s="139">
        <v>92</v>
      </c>
      <c r="AP49" s="157">
        <v>41738</v>
      </c>
      <c r="AS49" s="139">
        <v>126</v>
      </c>
      <c r="AT49" s="157">
        <v>41766</v>
      </c>
      <c r="BS49" s="140">
        <v>51.2</v>
      </c>
      <c r="BU49" s="140">
        <v>19.600000000000001</v>
      </c>
      <c r="BW49" s="140">
        <v>15.4</v>
      </c>
      <c r="BY49" s="140">
        <v>11.2</v>
      </c>
      <c r="CJ49" s="140" t="s">
        <v>8140</v>
      </c>
    </row>
    <row r="50" spans="1:91" s="198" customFormat="1">
      <c r="A50" s="158" t="s">
        <v>7644</v>
      </c>
      <c r="B50" s="112" t="s">
        <v>269</v>
      </c>
      <c r="C50" s="112">
        <v>1</v>
      </c>
      <c r="D50">
        <v>29</v>
      </c>
      <c r="E50" s="113">
        <v>9</v>
      </c>
      <c r="F50" s="113">
        <v>1</v>
      </c>
      <c r="G50" s="113"/>
      <c r="H50" s="113"/>
      <c r="I50" s="186">
        <v>34</v>
      </c>
      <c r="J50" s="183">
        <v>41705</v>
      </c>
      <c r="K50" s="139"/>
      <c r="L50" s="157"/>
      <c r="M50" s="184">
        <v>1.27</v>
      </c>
      <c r="N50" s="157">
        <v>41853</v>
      </c>
      <c r="O50" s="139"/>
      <c r="P50" s="157"/>
      <c r="Q50" s="139"/>
      <c r="R50" s="157"/>
      <c r="S50" s="139">
        <v>3.93</v>
      </c>
      <c r="T50" s="157">
        <v>41853</v>
      </c>
      <c r="U50" s="139">
        <v>15.3</v>
      </c>
      <c r="V50" s="157"/>
      <c r="W50" s="139"/>
      <c r="X50" s="157"/>
      <c r="Y50" s="139">
        <f t="shared" si="0"/>
        <v>1.89072</v>
      </c>
      <c r="Z50" s="157"/>
      <c r="AA50" s="139">
        <v>14.96</v>
      </c>
      <c r="AB50" s="157"/>
      <c r="AC50" s="139"/>
      <c r="AD50" s="157"/>
      <c r="AE50" s="139">
        <v>8.08</v>
      </c>
      <c r="AF50" s="157"/>
      <c r="AG50" s="185">
        <v>5.4</v>
      </c>
      <c r="AH50" s="157"/>
      <c r="AI50" s="185">
        <v>115</v>
      </c>
      <c r="AJ50" s="157">
        <v>41803</v>
      </c>
      <c r="AK50" s="139"/>
      <c r="AL50" s="157"/>
      <c r="AM50" s="139"/>
      <c r="AN50" s="157"/>
      <c r="AO50" s="139">
        <v>91</v>
      </c>
      <c r="AP50" s="157">
        <v>41738</v>
      </c>
      <c r="AQ50" s="139"/>
      <c r="AR50" s="139"/>
      <c r="AS50" s="139">
        <v>127</v>
      </c>
      <c r="AT50" s="157">
        <v>41766</v>
      </c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>
        <v>48.7</v>
      </c>
      <c r="BT50" s="140"/>
      <c r="BU50" s="140">
        <v>23.4</v>
      </c>
      <c r="BV50" s="140"/>
      <c r="BW50" s="140">
        <v>85.2</v>
      </c>
      <c r="BX50" s="140"/>
      <c r="BY50" s="140">
        <v>11.4</v>
      </c>
      <c r="BZ50" s="140"/>
      <c r="CA50" s="140"/>
      <c r="CB50" s="140"/>
      <c r="CC50" s="140"/>
      <c r="CD50" s="140"/>
      <c r="CE50" s="140"/>
      <c r="CF50" s="140"/>
      <c r="CG50" s="140"/>
      <c r="CH50" s="140"/>
      <c r="CI50" s="140"/>
      <c r="CJ50" s="140" t="s">
        <v>8140</v>
      </c>
      <c r="CK50" s="140"/>
      <c r="CL50" s="140"/>
      <c r="CM50" s="140"/>
    </row>
    <row r="51" spans="1:91" s="198" customFormat="1">
      <c r="A51" s="158" t="s">
        <v>7633</v>
      </c>
      <c r="B51" s="112" t="s">
        <v>269</v>
      </c>
      <c r="C51" s="112">
        <v>1</v>
      </c>
      <c r="D51">
        <v>18</v>
      </c>
      <c r="E51" s="113">
        <v>9</v>
      </c>
      <c r="F51" s="113">
        <v>2</v>
      </c>
      <c r="G51" s="113"/>
      <c r="H51" s="113"/>
      <c r="I51" s="384">
        <v>35</v>
      </c>
      <c r="J51" s="183">
        <v>41705</v>
      </c>
      <c r="K51" s="142"/>
      <c r="L51" s="157"/>
      <c r="M51" s="184">
        <v>1.5</v>
      </c>
      <c r="N51" s="157">
        <v>41853</v>
      </c>
      <c r="O51" s="141"/>
      <c r="P51" s="157"/>
      <c r="Q51" s="142"/>
      <c r="R51" s="157"/>
      <c r="S51" s="142">
        <v>4.9400000000000004</v>
      </c>
      <c r="T51" s="157">
        <v>41853</v>
      </c>
      <c r="U51" s="142">
        <v>15.3</v>
      </c>
      <c r="V51" s="157"/>
      <c r="W51" s="142"/>
      <c r="X51" s="157"/>
      <c r="Y51" s="139">
        <f t="shared" si="0"/>
        <v>2.0723500000000001</v>
      </c>
      <c r="Z51" s="157"/>
      <c r="AA51" s="142">
        <v>18.73</v>
      </c>
      <c r="AB51" s="157"/>
      <c r="AC51" s="139"/>
      <c r="AD51" s="157"/>
      <c r="AE51" s="142">
        <v>9.5500000000000007</v>
      </c>
      <c r="AF51" s="157"/>
      <c r="AG51" s="185">
        <v>5.0999999999999996</v>
      </c>
      <c r="AH51" s="157"/>
      <c r="AI51" s="185">
        <v>115</v>
      </c>
      <c r="AJ51" s="157">
        <v>41803</v>
      </c>
      <c r="AK51" s="142"/>
      <c r="AL51" s="157"/>
      <c r="AM51" s="142"/>
      <c r="AN51" s="157"/>
      <c r="AO51" s="139">
        <v>92</v>
      </c>
      <c r="AP51" s="157">
        <v>41738</v>
      </c>
      <c r="AQ51" s="139"/>
      <c r="AR51" s="139"/>
      <c r="AS51" s="139">
        <v>127</v>
      </c>
      <c r="AT51" s="157">
        <v>41766</v>
      </c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>
        <v>51.7</v>
      </c>
      <c r="BT51" s="140"/>
      <c r="BU51" s="140">
        <v>21.7</v>
      </c>
      <c r="BV51" s="140"/>
      <c r="BW51" s="140">
        <v>56.7</v>
      </c>
      <c r="BX51" s="140"/>
      <c r="BY51" s="140">
        <v>11.4</v>
      </c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 t="s">
        <v>8140</v>
      </c>
      <c r="CK51" s="140"/>
      <c r="CL51" s="140"/>
      <c r="CM51" s="140"/>
    </row>
    <row r="52" spans="1:91" s="198" customFormat="1">
      <c r="A52" s="158" t="s">
        <v>7714</v>
      </c>
      <c r="B52" s="112" t="s">
        <v>269</v>
      </c>
      <c r="C52" s="112">
        <v>1</v>
      </c>
      <c r="D52">
        <v>99</v>
      </c>
      <c r="E52" s="113">
        <v>9</v>
      </c>
      <c r="F52" s="113">
        <v>3</v>
      </c>
      <c r="G52" s="113"/>
      <c r="H52" s="113"/>
      <c r="I52" s="186">
        <v>36</v>
      </c>
      <c r="J52" s="183">
        <v>41705</v>
      </c>
      <c r="K52" s="139"/>
      <c r="L52" s="157"/>
      <c r="M52" s="184">
        <v>1.61</v>
      </c>
      <c r="N52" s="157">
        <v>41853</v>
      </c>
      <c r="O52" s="139"/>
      <c r="P52" s="157"/>
      <c r="Q52" s="139"/>
      <c r="R52" s="157"/>
      <c r="S52" s="139">
        <v>5.07</v>
      </c>
      <c r="T52" s="157">
        <v>41853</v>
      </c>
      <c r="U52" s="139">
        <v>15.3</v>
      </c>
      <c r="V52" s="157"/>
      <c r="W52" s="139"/>
      <c r="X52" s="157"/>
      <c r="Y52" s="139">
        <f t="shared" si="0"/>
        <v>1.9577500000000001</v>
      </c>
      <c r="Z52" s="157"/>
      <c r="AA52" s="139">
        <v>24.4</v>
      </c>
      <c r="AB52" s="157"/>
      <c r="AC52" s="139"/>
      <c r="AD52" s="157"/>
      <c r="AE52" s="139">
        <v>10.25</v>
      </c>
      <c r="AF52" s="157"/>
      <c r="AG52" s="185">
        <v>4.2</v>
      </c>
      <c r="AH52" s="157"/>
      <c r="AI52" s="185">
        <v>115</v>
      </c>
      <c r="AJ52" s="157">
        <v>41803</v>
      </c>
      <c r="AK52" s="139"/>
      <c r="AL52" s="157"/>
      <c r="AM52" s="139"/>
      <c r="AN52" s="157"/>
      <c r="AO52" s="139">
        <v>93</v>
      </c>
      <c r="AP52" s="157">
        <v>41738</v>
      </c>
      <c r="AQ52" s="139"/>
      <c r="AR52" s="139"/>
      <c r="AS52" s="139">
        <v>127</v>
      </c>
      <c r="AT52" s="157">
        <v>41766</v>
      </c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>
        <v>49.5</v>
      </c>
      <c r="BT52" s="140"/>
      <c r="BU52" s="140">
        <v>19.100000000000001</v>
      </c>
      <c r="BV52" s="140"/>
      <c r="BW52" s="140">
        <v>16.8</v>
      </c>
      <c r="BX52" s="140"/>
      <c r="BY52" s="140">
        <v>11.4</v>
      </c>
      <c r="BZ52" s="140"/>
      <c r="CA52" s="140"/>
      <c r="CB52" s="140"/>
      <c r="CC52" s="140"/>
      <c r="CD52" s="140"/>
      <c r="CE52" s="140"/>
      <c r="CF52" s="140"/>
      <c r="CG52" s="140"/>
      <c r="CH52" s="140"/>
      <c r="CI52" s="140"/>
      <c r="CJ52" s="140" t="s">
        <v>8140</v>
      </c>
      <c r="CK52" s="140"/>
      <c r="CL52" s="140"/>
      <c r="CM52" s="140"/>
    </row>
    <row r="53" spans="1:91" s="198" customFormat="1">
      <c r="A53" s="158" t="s">
        <v>7817</v>
      </c>
      <c r="B53" s="112" t="s">
        <v>269</v>
      </c>
      <c r="C53" s="112">
        <v>1</v>
      </c>
      <c r="D53">
        <v>202</v>
      </c>
      <c r="E53" s="113">
        <v>9</v>
      </c>
      <c r="F53" s="113">
        <v>4</v>
      </c>
      <c r="G53" s="113"/>
      <c r="H53" s="113"/>
      <c r="I53" s="186">
        <v>24</v>
      </c>
      <c r="J53" s="183">
        <v>41705</v>
      </c>
      <c r="K53" s="139"/>
      <c r="L53" s="157"/>
      <c r="M53" s="184">
        <v>2.7</v>
      </c>
      <c r="N53" s="157">
        <v>41853</v>
      </c>
      <c r="O53" s="139"/>
      <c r="P53" s="157"/>
      <c r="Q53" s="139"/>
      <c r="R53" s="157"/>
      <c r="S53" s="139">
        <v>8.7899999999999991</v>
      </c>
      <c r="T53" s="157">
        <v>41853</v>
      </c>
      <c r="U53" s="139">
        <v>15.3</v>
      </c>
      <c r="V53" s="157"/>
      <c r="W53" s="139"/>
      <c r="X53" s="157"/>
      <c r="Y53" s="139">
        <f t="shared" si="0"/>
        <v>3.1303999999999998</v>
      </c>
      <c r="Z53" s="157"/>
      <c r="AA53" s="139">
        <v>40.950000000000003</v>
      </c>
      <c r="AB53" s="157"/>
      <c r="AC53" s="139"/>
      <c r="AD53" s="157"/>
      <c r="AE53" s="139">
        <v>17.2</v>
      </c>
      <c r="AF53" s="157"/>
      <c r="AG53" s="185">
        <v>4.2</v>
      </c>
      <c r="AH53" s="157"/>
      <c r="AI53" s="185">
        <v>115</v>
      </c>
      <c r="AJ53" s="157">
        <v>41803</v>
      </c>
      <c r="AK53" s="139"/>
      <c r="AL53" s="157"/>
      <c r="AM53" s="139"/>
      <c r="AN53" s="157"/>
      <c r="AO53" s="139">
        <v>92</v>
      </c>
      <c r="AP53" s="157">
        <v>41738</v>
      </c>
      <c r="AQ53" s="139"/>
      <c r="AR53" s="139"/>
      <c r="AS53" s="139">
        <v>126</v>
      </c>
      <c r="AT53" s="157">
        <v>41766</v>
      </c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>
        <v>51.1</v>
      </c>
      <c r="BT53" s="140"/>
      <c r="BU53" s="140">
        <v>18.2</v>
      </c>
      <c r="BV53" s="140"/>
      <c r="BW53" s="140">
        <v>14.7</v>
      </c>
      <c r="BX53" s="140"/>
      <c r="BY53" s="140">
        <v>11.3</v>
      </c>
      <c r="BZ53" s="140"/>
      <c r="CA53" s="140"/>
      <c r="CB53" s="140"/>
      <c r="CC53" s="140"/>
      <c r="CD53" s="140"/>
      <c r="CE53" s="140"/>
      <c r="CF53" s="140"/>
      <c r="CG53" s="140"/>
      <c r="CH53" s="140"/>
      <c r="CI53" s="140"/>
      <c r="CJ53" s="140" t="s">
        <v>8140</v>
      </c>
      <c r="CK53" s="140"/>
      <c r="CL53" s="140"/>
      <c r="CM53" s="140"/>
    </row>
    <row r="54" spans="1:91">
      <c r="A54" s="158" t="s">
        <v>7902</v>
      </c>
      <c r="B54" s="112" t="s">
        <v>269</v>
      </c>
      <c r="C54" s="112">
        <v>1</v>
      </c>
      <c r="D54">
        <v>210</v>
      </c>
      <c r="E54" s="113">
        <v>9</v>
      </c>
      <c r="F54" s="113">
        <v>5</v>
      </c>
      <c r="I54" s="186">
        <v>34</v>
      </c>
      <c r="J54" s="183">
        <v>41705</v>
      </c>
      <c r="M54" s="184">
        <v>2.27</v>
      </c>
      <c r="N54" s="157">
        <v>41853</v>
      </c>
      <c r="S54" s="139">
        <v>7.38</v>
      </c>
      <c r="T54" s="157">
        <v>41853</v>
      </c>
      <c r="U54" s="139">
        <v>15.3</v>
      </c>
      <c r="Y54" s="139">
        <f t="shared" si="0"/>
        <v>2.8322000000000003</v>
      </c>
      <c r="AA54" s="139">
        <v>32.840000000000003</v>
      </c>
      <c r="AE54" s="139">
        <v>14.45</v>
      </c>
      <c r="AG54" s="185">
        <v>4.4000000000000004</v>
      </c>
      <c r="AI54" s="185">
        <v>120</v>
      </c>
      <c r="AJ54" s="157">
        <v>41803</v>
      </c>
      <c r="AO54" s="139">
        <v>89</v>
      </c>
      <c r="AP54" s="157">
        <v>41738</v>
      </c>
      <c r="AS54" s="139">
        <v>125</v>
      </c>
      <c r="AT54" s="157">
        <v>41766</v>
      </c>
      <c r="BS54" s="140">
        <v>51.1</v>
      </c>
      <c r="BU54" s="140">
        <v>19.600000000000001</v>
      </c>
      <c r="BW54" s="140">
        <v>20.7</v>
      </c>
      <c r="BY54" s="140">
        <v>11.4</v>
      </c>
      <c r="CJ54" s="140" t="s">
        <v>8140</v>
      </c>
    </row>
    <row r="55" spans="1:91">
      <c r="A55" s="158" t="s">
        <v>7777</v>
      </c>
      <c r="B55" s="112" t="s">
        <v>269</v>
      </c>
      <c r="C55" s="112">
        <v>1</v>
      </c>
      <c r="D55">
        <v>162</v>
      </c>
      <c r="E55" s="113">
        <v>9</v>
      </c>
      <c r="F55" s="113">
        <v>6</v>
      </c>
      <c r="I55" s="186">
        <v>30</v>
      </c>
      <c r="J55" s="183">
        <v>41705</v>
      </c>
      <c r="M55" s="184">
        <v>2.98</v>
      </c>
      <c r="N55" s="157">
        <v>41853</v>
      </c>
      <c r="S55" s="139">
        <v>10.1</v>
      </c>
      <c r="T55" s="157">
        <v>41853</v>
      </c>
      <c r="U55" s="139">
        <v>15.3</v>
      </c>
      <c r="Y55" s="139">
        <f t="shared" si="0"/>
        <v>3.3530000000000002</v>
      </c>
      <c r="AA55" s="139">
        <v>43.55</v>
      </c>
      <c r="AE55" s="139">
        <v>19.16</v>
      </c>
      <c r="AG55" s="185">
        <v>4.4000000000000004</v>
      </c>
      <c r="AI55" s="185">
        <v>115</v>
      </c>
      <c r="AJ55" s="157">
        <v>41803</v>
      </c>
      <c r="AO55" s="139">
        <v>95</v>
      </c>
      <c r="AP55" s="157">
        <v>41738</v>
      </c>
      <c r="AS55" s="139">
        <v>126</v>
      </c>
      <c r="AT55" s="157">
        <v>41766</v>
      </c>
      <c r="BS55" s="140">
        <v>52.7</v>
      </c>
      <c r="BU55" s="140">
        <v>17.5</v>
      </c>
      <c r="BW55" s="140">
        <v>14.7</v>
      </c>
      <c r="BY55" s="140">
        <v>10.5</v>
      </c>
      <c r="CJ55" s="140" t="s">
        <v>8131</v>
      </c>
    </row>
    <row r="56" spans="1:91">
      <c r="A56" s="158" t="s">
        <v>7903</v>
      </c>
      <c r="B56" s="112" t="s">
        <v>271</v>
      </c>
      <c r="C56" s="112">
        <v>2</v>
      </c>
      <c r="D56">
        <v>212</v>
      </c>
      <c r="E56" s="113">
        <v>9</v>
      </c>
      <c r="F56" s="113">
        <v>7</v>
      </c>
      <c r="I56" s="186">
        <v>25</v>
      </c>
      <c r="J56" s="183">
        <v>41705</v>
      </c>
      <c r="M56" s="184">
        <v>4.8600000000000003</v>
      </c>
      <c r="N56" s="157">
        <v>41853</v>
      </c>
      <c r="S56" s="139">
        <v>15.97</v>
      </c>
      <c r="T56" s="157">
        <v>41853</v>
      </c>
      <c r="U56" s="139">
        <v>15.3</v>
      </c>
      <c r="Y56" s="139">
        <f t="shared" si="0"/>
        <v>6.0760000000000005</v>
      </c>
      <c r="AA56" s="139">
        <v>64.58</v>
      </c>
      <c r="AE56" s="139">
        <v>31</v>
      </c>
      <c r="AG56" s="185">
        <v>4.8</v>
      </c>
      <c r="AI56" s="185">
        <v>125</v>
      </c>
      <c r="AJ56" s="157">
        <v>41803</v>
      </c>
      <c r="AO56" s="139">
        <v>93</v>
      </c>
      <c r="AP56" s="157">
        <v>41738</v>
      </c>
      <c r="AS56" s="139">
        <v>126</v>
      </c>
      <c r="AT56" s="157">
        <v>41766</v>
      </c>
      <c r="BS56" s="140">
        <v>51.5</v>
      </c>
      <c r="BU56" s="140">
        <v>19.600000000000001</v>
      </c>
      <c r="BW56" s="140">
        <v>13.7</v>
      </c>
      <c r="BY56" s="140">
        <v>11.2</v>
      </c>
      <c r="CJ56" s="140" t="s">
        <v>8140</v>
      </c>
    </row>
    <row r="57" spans="1:91">
      <c r="A57" s="158" t="s">
        <v>7785</v>
      </c>
      <c r="B57" s="112" t="s">
        <v>271</v>
      </c>
      <c r="C57" s="112">
        <v>2</v>
      </c>
      <c r="D57">
        <v>170</v>
      </c>
      <c r="E57" s="113">
        <v>9</v>
      </c>
      <c r="F57" s="113">
        <v>8</v>
      </c>
      <c r="I57" s="186">
        <v>33</v>
      </c>
      <c r="J57" s="183">
        <v>41705</v>
      </c>
      <c r="M57" s="184">
        <v>4.18</v>
      </c>
      <c r="N57" s="157">
        <v>41853</v>
      </c>
      <c r="S57" s="139">
        <v>13.33</v>
      </c>
      <c r="T57" s="157">
        <v>41853</v>
      </c>
      <c r="U57" s="139">
        <v>15.3</v>
      </c>
      <c r="Y57" s="139">
        <f t="shared" si="0"/>
        <v>5.5310399999999991</v>
      </c>
      <c r="AA57" s="139">
        <v>56.85</v>
      </c>
      <c r="AE57" s="139">
        <v>26.72</v>
      </c>
      <c r="AG57" s="185">
        <v>4.7</v>
      </c>
      <c r="AI57" s="185">
        <v>120</v>
      </c>
      <c r="AJ57" s="157">
        <v>41803</v>
      </c>
      <c r="AO57" s="139">
        <v>91</v>
      </c>
      <c r="AP57" s="157">
        <v>41738</v>
      </c>
      <c r="AS57" s="139">
        <v>126</v>
      </c>
      <c r="AT57" s="157">
        <v>41766</v>
      </c>
      <c r="BS57" s="140">
        <v>49.9</v>
      </c>
      <c r="BU57" s="140">
        <v>20.7</v>
      </c>
      <c r="BW57" s="140">
        <v>12.4</v>
      </c>
      <c r="BY57" s="140">
        <v>11</v>
      </c>
      <c r="CJ57" s="140" t="s">
        <v>8140</v>
      </c>
    </row>
    <row r="58" spans="1:91">
      <c r="A58" s="158" t="s">
        <v>7737</v>
      </c>
      <c r="B58" s="112" t="s">
        <v>271</v>
      </c>
      <c r="C58" s="112">
        <v>2</v>
      </c>
      <c r="D58">
        <v>122</v>
      </c>
      <c r="E58" s="113">
        <v>9</v>
      </c>
      <c r="F58" s="113">
        <v>9</v>
      </c>
      <c r="I58" s="186">
        <v>34</v>
      </c>
      <c r="J58" s="183">
        <v>41705</v>
      </c>
      <c r="M58" s="184">
        <v>3.32</v>
      </c>
      <c r="N58" s="157">
        <v>41853</v>
      </c>
      <c r="S58" s="139">
        <v>10.4</v>
      </c>
      <c r="T58" s="157">
        <v>41853</v>
      </c>
      <c r="U58" s="139">
        <v>15.3</v>
      </c>
      <c r="Y58" s="139">
        <f t="shared" si="0"/>
        <v>4.5640800000000006</v>
      </c>
      <c r="AA58" s="139">
        <v>44.02</v>
      </c>
      <c r="AE58" s="139">
        <v>21.13</v>
      </c>
      <c r="AG58" s="185">
        <v>4.8</v>
      </c>
      <c r="AI58" s="185">
        <v>125</v>
      </c>
      <c r="AJ58" s="157">
        <v>41803</v>
      </c>
      <c r="AO58" s="139">
        <v>94</v>
      </c>
      <c r="AP58" s="157">
        <v>41738</v>
      </c>
      <c r="AS58" s="139">
        <v>127</v>
      </c>
      <c r="AT58" s="157">
        <v>41766</v>
      </c>
      <c r="BS58" s="140">
        <v>49.2</v>
      </c>
      <c r="BU58" s="140">
        <v>21.6</v>
      </c>
      <c r="BW58" s="140">
        <v>12.8</v>
      </c>
      <c r="BY58" s="140">
        <v>11.4</v>
      </c>
      <c r="CJ58" s="140" t="s">
        <v>8144</v>
      </c>
    </row>
    <row r="59" spans="1:91">
      <c r="A59" s="158" t="s">
        <v>7715</v>
      </c>
      <c r="B59" s="112" t="s">
        <v>271</v>
      </c>
      <c r="C59" s="112">
        <v>2</v>
      </c>
      <c r="D59">
        <v>100</v>
      </c>
      <c r="E59" s="113">
        <v>9</v>
      </c>
      <c r="F59" s="113">
        <v>10</v>
      </c>
      <c r="I59" s="186">
        <v>34</v>
      </c>
      <c r="J59" s="183">
        <v>41705</v>
      </c>
      <c r="M59" s="184">
        <v>4.09</v>
      </c>
      <c r="N59" s="157">
        <v>41853</v>
      </c>
      <c r="S59" s="139">
        <v>12.74</v>
      </c>
      <c r="T59" s="157">
        <v>41853</v>
      </c>
      <c r="U59" s="139">
        <v>15.3</v>
      </c>
      <c r="Y59" s="139">
        <f t="shared" si="0"/>
        <v>5.6738</v>
      </c>
      <c r="AA59" s="139">
        <v>50.57</v>
      </c>
      <c r="AE59" s="139">
        <v>25.79</v>
      </c>
      <c r="AG59" s="185">
        <v>5.0999999999999996</v>
      </c>
      <c r="AI59" s="185">
        <v>115</v>
      </c>
      <c r="AJ59" s="157">
        <v>41803</v>
      </c>
      <c r="AO59" s="139">
        <v>94</v>
      </c>
      <c r="AP59" s="157">
        <v>41738</v>
      </c>
      <c r="AS59" s="139">
        <v>126</v>
      </c>
      <c r="AT59" s="157">
        <v>41766</v>
      </c>
      <c r="BS59" s="140">
        <v>49.4</v>
      </c>
      <c r="BU59" s="140">
        <v>22</v>
      </c>
      <c r="BW59" s="140">
        <v>16.5</v>
      </c>
      <c r="BY59" s="140">
        <v>12.2</v>
      </c>
      <c r="CJ59" s="140" t="s">
        <v>8140</v>
      </c>
    </row>
    <row r="60" spans="1:91">
      <c r="A60" s="158" t="s">
        <v>7705</v>
      </c>
      <c r="B60" s="112" t="s">
        <v>271</v>
      </c>
      <c r="C60" s="112">
        <v>2</v>
      </c>
      <c r="D60">
        <v>90</v>
      </c>
      <c r="E60" s="113">
        <v>9</v>
      </c>
      <c r="F60" s="113">
        <v>11</v>
      </c>
      <c r="I60" s="186">
        <v>37</v>
      </c>
      <c r="J60" s="183">
        <v>41705</v>
      </c>
      <c r="M60" s="184">
        <v>3.3</v>
      </c>
      <c r="N60" s="157">
        <v>41853</v>
      </c>
      <c r="S60" s="139">
        <v>10.41</v>
      </c>
      <c r="T60" s="157">
        <v>41853</v>
      </c>
      <c r="U60" s="139">
        <v>15.3</v>
      </c>
      <c r="Y60" s="139">
        <f t="shared" si="0"/>
        <v>4.5526600000000004</v>
      </c>
      <c r="AA60" s="139">
        <v>44.64</v>
      </c>
      <c r="AE60" s="139">
        <v>20.98</v>
      </c>
      <c r="AG60" s="185">
        <v>4.7</v>
      </c>
      <c r="AI60" s="185">
        <v>110</v>
      </c>
      <c r="AJ60" s="157">
        <v>41803</v>
      </c>
      <c r="AO60" s="139">
        <v>92</v>
      </c>
      <c r="AP60" s="157">
        <v>41738</v>
      </c>
      <c r="AS60" s="139">
        <v>128</v>
      </c>
      <c r="AT60" s="157">
        <v>41766</v>
      </c>
      <c r="BS60" s="140">
        <v>49.6</v>
      </c>
      <c r="BU60" s="140">
        <v>21.7</v>
      </c>
      <c r="BW60" s="140">
        <v>14.2</v>
      </c>
      <c r="BY60" s="140">
        <v>11.5</v>
      </c>
      <c r="CJ60" s="140" t="s">
        <v>8140</v>
      </c>
    </row>
    <row r="61" spans="1:91">
      <c r="A61" s="158" t="s">
        <v>7700</v>
      </c>
      <c r="B61" s="112" t="s">
        <v>271</v>
      </c>
      <c r="C61" s="112">
        <v>2</v>
      </c>
      <c r="D61">
        <v>85</v>
      </c>
      <c r="E61" s="113">
        <v>9</v>
      </c>
      <c r="F61" s="113">
        <v>12</v>
      </c>
      <c r="I61" s="186">
        <v>34</v>
      </c>
      <c r="J61" s="183">
        <v>41705</v>
      </c>
      <c r="M61" s="184">
        <v>3.48</v>
      </c>
      <c r="N61" s="157">
        <v>41853</v>
      </c>
      <c r="S61" s="139">
        <v>11.27</v>
      </c>
      <c r="T61" s="157">
        <v>41853</v>
      </c>
      <c r="U61" s="139">
        <v>15.3</v>
      </c>
      <c r="Y61" s="139">
        <f t="shared" si="0"/>
        <v>4.4317299999999991</v>
      </c>
      <c r="AA61" s="139">
        <v>50.61</v>
      </c>
      <c r="AE61" s="139">
        <v>22.27</v>
      </c>
      <c r="AG61" s="185">
        <v>4.4000000000000004</v>
      </c>
      <c r="AI61" s="185">
        <v>130</v>
      </c>
      <c r="AJ61" s="157">
        <v>41803</v>
      </c>
      <c r="AO61" s="139">
        <v>94</v>
      </c>
      <c r="AP61" s="157">
        <v>41738</v>
      </c>
      <c r="AS61" s="139">
        <v>128</v>
      </c>
      <c r="AT61" s="157">
        <v>41766</v>
      </c>
      <c r="BS61" s="140">
        <v>50.6</v>
      </c>
      <c r="BU61" s="140">
        <v>19.899999999999999</v>
      </c>
      <c r="BW61" s="140">
        <v>19.2</v>
      </c>
      <c r="BY61" s="140">
        <v>10.9</v>
      </c>
      <c r="CJ61" s="140" t="s">
        <v>8140</v>
      </c>
    </row>
    <row r="62" spans="1:91">
      <c r="A62" s="158" t="s">
        <v>7670</v>
      </c>
      <c r="B62" s="112" t="s">
        <v>269</v>
      </c>
      <c r="C62" s="112">
        <v>1</v>
      </c>
      <c r="D62">
        <v>55</v>
      </c>
      <c r="E62" s="113">
        <v>10</v>
      </c>
      <c r="F62" s="113">
        <v>1</v>
      </c>
      <c r="I62" s="186">
        <v>34</v>
      </c>
      <c r="J62" s="183">
        <v>41705</v>
      </c>
      <c r="M62" s="184">
        <v>2.0499999999999998</v>
      </c>
      <c r="N62" s="157">
        <v>41853</v>
      </c>
      <c r="S62" s="139">
        <v>6.45</v>
      </c>
      <c r="T62" s="157">
        <v>41853</v>
      </c>
      <c r="U62" s="139">
        <v>15.3</v>
      </c>
      <c r="Y62" s="139">
        <f t="shared" si="0"/>
        <v>2.6846399999999999</v>
      </c>
      <c r="AA62" s="139">
        <v>28.61</v>
      </c>
      <c r="AE62" s="139">
        <v>13.16</v>
      </c>
      <c r="AG62" s="185">
        <v>4.5999999999999996</v>
      </c>
      <c r="AI62" s="185">
        <v>130</v>
      </c>
      <c r="AJ62" s="157">
        <v>41803</v>
      </c>
      <c r="AO62" s="139">
        <v>92</v>
      </c>
      <c r="AP62" s="157">
        <v>41738</v>
      </c>
      <c r="AS62" s="139">
        <v>128</v>
      </c>
      <c r="AT62" s="157">
        <v>41766</v>
      </c>
      <c r="BS62" s="140">
        <v>49</v>
      </c>
      <c r="BU62" s="140">
        <v>20.399999999999999</v>
      </c>
      <c r="BW62" s="140">
        <v>15.5</v>
      </c>
      <c r="BY62" s="140">
        <v>10.6</v>
      </c>
      <c r="CJ62" s="140" t="s">
        <v>8140</v>
      </c>
    </row>
    <row r="63" spans="1:91">
      <c r="A63" s="158" t="s">
        <v>7623</v>
      </c>
      <c r="B63" s="112" t="s">
        <v>269</v>
      </c>
      <c r="C63" s="112">
        <v>1</v>
      </c>
      <c r="D63">
        <v>8</v>
      </c>
      <c r="E63" s="113">
        <v>10</v>
      </c>
      <c r="F63" s="113">
        <v>2</v>
      </c>
      <c r="I63" s="384">
        <v>44</v>
      </c>
      <c r="J63" s="183">
        <v>41705</v>
      </c>
      <c r="K63" s="142"/>
      <c r="M63" s="184">
        <v>1.56</v>
      </c>
      <c r="N63" s="157">
        <v>41853</v>
      </c>
      <c r="O63" s="141"/>
      <c r="Q63" s="142"/>
      <c r="S63" s="142">
        <v>4.93</v>
      </c>
      <c r="T63" s="157">
        <v>41853</v>
      </c>
      <c r="U63" s="142">
        <v>15.3</v>
      </c>
      <c r="W63" s="142"/>
      <c r="Y63" s="139">
        <f t="shared" si="0"/>
        <v>2.22444</v>
      </c>
      <c r="AA63" s="142">
        <v>18.91</v>
      </c>
      <c r="AE63" s="142">
        <v>10.02</v>
      </c>
      <c r="AG63" s="185">
        <v>5.3</v>
      </c>
      <c r="AI63" s="185">
        <v>115</v>
      </c>
      <c r="AJ63" s="157">
        <v>41803</v>
      </c>
      <c r="AK63" s="142"/>
      <c r="AM63" s="142"/>
      <c r="AO63" s="139">
        <v>89</v>
      </c>
      <c r="AP63" s="157">
        <v>41738</v>
      </c>
      <c r="AS63" s="139">
        <v>124</v>
      </c>
      <c r="AT63" s="157">
        <v>41766</v>
      </c>
      <c r="BS63" s="140">
        <v>49.2</v>
      </c>
      <c r="BU63" s="140">
        <v>22.2</v>
      </c>
      <c r="BW63" s="140">
        <v>68.2</v>
      </c>
      <c r="BY63" s="140">
        <v>10.6</v>
      </c>
      <c r="CJ63" s="140" t="s">
        <v>8140</v>
      </c>
    </row>
    <row r="64" spans="1:91">
      <c r="A64" s="158" t="s">
        <v>7794</v>
      </c>
      <c r="B64" s="112" t="s">
        <v>269</v>
      </c>
      <c r="C64" s="112">
        <v>1</v>
      </c>
      <c r="D64">
        <v>179</v>
      </c>
      <c r="E64" s="113">
        <v>10</v>
      </c>
      <c r="F64" s="113">
        <v>3</v>
      </c>
      <c r="I64" s="186">
        <v>32</v>
      </c>
      <c r="J64" s="183">
        <v>41705</v>
      </c>
      <c r="M64" s="184">
        <v>2.29</v>
      </c>
      <c r="N64" s="157">
        <v>41853</v>
      </c>
      <c r="S64" s="139">
        <v>7.6</v>
      </c>
      <c r="T64" s="157">
        <v>41853</v>
      </c>
      <c r="U64" s="139">
        <v>15.3</v>
      </c>
      <c r="Y64" s="139">
        <f t="shared" si="0"/>
        <v>2.7636000000000003</v>
      </c>
      <c r="AA64" s="139">
        <v>33.409999999999997</v>
      </c>
      <c r="AE64" s="139">
        <v>14.7</v>
      </c>
      <c r="AG64" s="185">
        <v>4.4000000000000004</v>
      </c>
      <c r="AI64" s="185">
        <v>110</v>
      </c>
      <c r="AJ64" s="157">
        <v>41803</v>
      </c>
      <c r="AO64" s="139">
        <v>90</v>
      </c>
      <c r="AP64" s="157">
        <v>41738</v>
      </c>
      <c r="AS64" s="139">
        <v>126</v>
      </c>
      <c r="AT64" s="157">
        <v>41766</v>
      </c>
      <c r="BS64" s="140">
        <v>51.7</v>
      </c>
      <c r="BU64" s="140">
        <v>18.8</v>
      </c>
      <c r="BW64" s="140">
        <v>20.2</v>
      </c>
      <c r="BY64" s="140">
        <v>10.6</v>
      </c>
      <c r="CJ64" s="140" t="s">
        <v>8140</v>
      </c>
    </row>
    <row r="65" spans="1:91">
      <c r="A65" s="158" t="s">
        <v>7821</v>
      </c>
      <c r="B65" s="112" t="s">
        <v>269</v>
      </c>
      <c r="C65" s="112">
        <v>1</v>
      </c>
      <c r="D65">
        <v>206</v>
      </c>
      <c r="E65" s="113">
        <v>10</v>
      </c>
      <c r="F65" s="113">
        <v>4</v>
      </c>
      <c r="I65" s="186">
        <v>30</v>
      </c>
      <c r="J65" s="183">
        <v>41705</v>
      </c>
      <c r="M65" s="184">
        <v>2.7</v>
      </c>
      <c r="N65" s="157">
        <v>41853</v>
      </c>
      <c r="S65" s="139">
        <v>8.93</v>
      </c>
      <c r="T65" s="157">
        <v>41853</v>
      </c>
      <c r="U65" s="139">
        <v>15.3</v>
      </c>
      <c r="Y65" s="139">
        <f t="shared" si="0"/>
        <v>3.0967000000000002</v>
      </c>
      <c r="AA65" s="139">
        <v>36.04</v>
      </c>
      <c r="AE65" s="139">
        <v>17.3</v>
      </c>
      <c r="AG65" s="185">
        <v>4.8</v>
      </c>
      <c r="AI65" s="185">
        <v>125</v>
      </c>
      <c r="AJ65" s="157">
        <v>41803</v>
      </c>
      <c r="AO65" s="139">
        <v>91</v>
      </c>
      <c r="AP65" s="157">
        <v>41738</v>
      </c>
      <c r="AS65" s="139">
        <v>126</v>
      </c>
      <c r="AT65" s="157">
        <v>41766</v>
      </c>
      <c r="BS65" s="140">
        <v>51.6</v>
      </c>
      <c r="BU65" s="140">
        <v>17.899999999999999</v>
      </c>
      <c r="BW65" s="140">
        <v>15.8</v>
      </c>
      <c r="BY65" s="140">
        <v>10.8</v>
      </c>
      <c r="CJ65" s="140" t="s">
        <v>8140</v>
      </c>
    </row>
    <row r="66" spans="1:91">
      <c r="A66" s="158" t="s">
        <v>7665</v>
      </c>
      <c r="B66" s="112" t="s">
        <v>269</v>
      </c>
      <c r="C66" s="112">
        <v>1</v>
      </c>
      <c r="D66">
        <v>50</v>
      </c>
      <c r="E66" s="113">
        <v>10</v>
      </c>
      <c r="F66" s="113">
        <v>5</v>
      </c>
      <c r="I66" s="186">
        <v>36</v>
      </c>
      <c r="J66" s="183">
        <v>41705</v>
      </c>
      <c r="M66" s="184">
        <v>1.32</v>
      </c>
      <c r="N66" s="157">
        <v>41853</v>
      </c>
      <c r="S66" s="139">
        <v>4.07</v>
      </c>
      <c r="T66" s="157">
        <v>41853</v>
      </c>
      <c r="U66" s="139">
        <v>15.3</v>
      </c>
      <c r="Y66" s="139">
        <f t="shared" ref="Y66:Y129" si="1">(AE66*BU66)/100</f>
        <v>1.9572000000000003</v>
      </c>
      <c r="AA66" s="139">
        <v>14</v>
      </c>
      <c r="AE66" s="139">
        <v>8.4</v>
      </c>
      <c r="AG66" s="185">
        <v>6</v>
      </c>
      <c r="AI66" s="185">
        <v>125</v>
      </c>
      <c r="AJ66" s="157">
        <v>41803</v>
      </c>
      <c r="AO66" s="139">
        <v>90</v>
      </c>
      <c r="AP66" s="157">
        <v>41738</v>
      </c>
      <c r="AS66" s="139">
        <v>126</v>
      </c>
      <c r="AT66" s="157">
        <v>41766</v>
      </c>
      <c r="BS66" s="140">
        <v>48.4</v>
      </c>
      <c r="BU66" s="140">
        <v>23.3</v>
      </c>
      <c r="BW66" s="140">
        <v>26.2</v>
      </c>
      <c r="BY66" s="140">
        <v>11.4</v>
      </c>
      <c r="CJ66" s="140" t="s">
        <v>8140</v>
      </c>
    </row>
    <row r="67" spans="1:91">
      <c r="A67" s="158" t="s">
        <v>7742</v>
      </c>
      <c r="B67" s="112" t="s">
        <v>269</v>
      </c>
      <c r="C67" s="112">
        <v>1</v>
      </c>
      <c r="D67">
        <v>127</v>
      </c>
      <c r="E67" s="113">
        <v>10</v>
      </c>
      <c r="F67" s="113">
        <v>6</v>
      </c>
      <c r="I67" s="186">
        <v>30</v>
      </c>
      <c r="J67" s="183">
        <v>41705</v>
      </c>
      <c r="M67" s="184">
        <v>2.5299999999999998</v>
      </c>
      <c r="N67" s="157">
        <v>41853</v>
      </c>
      <c r="S67" s="139">
        <v>8.23</v>
      </c>
      <c r="T67" s="157">
        <v>41853</v>
      </c>
      <c r="U67" s="139">
        <v>15.3</v>
      </c>
      <c r="Y67" s="139">
        <f t="shared" si="1"/>
        <v>3.0884700000000005</v>
      </c>
      <c r="AA67" s="139">
        <v>38.5</v>
      </c>
      <c r="AE67" s="139">
        <v>16.170000000000002</v>
      </c>
      <c r="AG67" s="185">
        <v>4.2</v>
      </c>
      <c r="AI67" s="185">
        <v>115</v>
      </c>
      <c r="AJ67" s="157">
        <v>41803</v>
      </c>
      <c r="AO67" s="139">
        <v>90</v>
      </c>
      <c r="AP67" s="157">
        <v>41738</v>
      </c>
      <c r="AS67" s="139">
        <v>126</v>
      </c>
      <c r="AT67" s="157">
        <v>41766</v>
      </c>
      <c r="BS67" s="140">
        <v>50.9</v>
      </c>
      <c r="BU67" s="140">
        <v>19.100000000000001</v>
      </c>
      <c r="BW67" s="140">
        <v>15.5</v>
      </c>
      <c r="BY67" s="140">
        <v>11</v>
      </c>
      <c r="CJ67" s="140" t="s">
        <v>8140</v>
      </c>
    </row>
    <row r="68" spans="1:91">
      <c r="A68" s="188" t="s">
        <v>7661</v>
      </c>
      <c r="B68" s="189" t="s">
        <v>271</v>
      </c>
      <c r="C68" s="189">
        <v>2</v>
      </c>
      <c r="D68" s="190">
        <v>46</v>
      </c>
      <c r="E68" s="191">
        <v>10</v>
      </c>
      <c r="F68" s="191">
        <v>7</v>
      </c>
      <c r="G68" s="191"/>
      <c r="H68" s="191"/>
      <c r="I68" s="192">
        <v>40</v>
      </c>
      <c r="J68" s="193">
        <v>41705</v>
      </c>
      <c r="K68" s="194"/>
      <c r="L68" s="195"/>
      <c r="M68" s="196">
        <v>1.1000000000000001</v>
      </c>
      <c r="N68" s="195">
        <v>41853</v>
      </c>
      <c r="O68" s="194"/>
      <c r="P68" s="195"/>
      <c r="Q68" s="194"/>
      <c r="R68" s="195"/>
      <c r="S68" s="194">
        <v>3.18</v>
      </c>
      <c r="T68" s="195">
        <v>41853</v>
      </c>
      <c r="U68" s="194">
        <v>15.3</v>
      </c>
      <c r="V68" s="195"/>
      <c r="W68" s="194"/>
      <c r="X68" s="195"/>
      <c r="Y68" s="139">
        <f t="shared" si="1"/>
        <v>1.7570000000000001</v>
      </c>
      <c r="Z68" s="195"/>
      <c r="AA68" s="194">
        <v>15.22</v>
      </c>
      <c r="AB68" s="195"/>
      <c r="AC68" s="194"/>
      <c r="AD68" s="195"/>
      <c r="AE68" s="194">
        <v>7</v>
      </c>
      <c r="AF68" s="195"/>
      <c r="AG68" s="197">
        <v>4.5999999999999996</v>
      </c>
      <c r="AH68" s="195"/>
      <c r="AI68" s="197">
        <v>115</v>
      </c>
      <c r="AJ68" s="195">
        <v>41803</v>
      </c>
      <c r="AK68" s="194"/>
      <c r="AL68" s="195"/>
      <c r="AM68" s="194"/>
      <c r="AN68" s="195"/>
      <c r="AO68" s="194">
        <v>94</v>
      </c>
      <c r="AP68" s="195">
        <v>41738</v>
      </c>
      <c r="AQ68" s="194"/>
      <c r="AR68" s="194"/>
      <c r="AS68" s="194">
        <v>127</v>
      </c>
      <c r="AT68" s="195">
        <v>41766</v>
      </c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>
        <v>45.4</v>
      </c>
      <c r="BT68" s="198"/>
      <c r="BU68" s="198">
        <v>25.1</v>
      </c>
      <c r="BV68" s="198"/>
      <c r="BW68" s="198">
        <v>66</v>
      </c>
      <c r="BX68" s="198"/>
      <c r="BY68" s="198">
        <v>11.4</v>
      </c>
      <c r="BZ68" s="198"/>
      <c r="CA68" s="198"/>
      <c r="CB68" s="198"/>
      <c r="CC68" s="198"/>
      <c r="CD68" s="198"/>
      <c r="CE68" s="198"/>
      <c r="CF68" s="198"/>
      <c r="CG68" s="198"/>
      <c r="CH68" s="198"/>
      <c r="CI68" s="198"/>
      <c r="CJ68" s="198" t="s">
        <v>8139</v>
      </c>
      <c r="CK68" s="198"/>
      <c r="CL68" s="198"/>
      <c r="CM68" s="198"/>
    </row>
    <row r="69" spans="1:91">
      <c r="A69" s="158" t="s">
        <v>7659</v>
      </c>
      <c r="B69" s="112" t="s">
        <v>271</v>
      </c>
      <c r="C69" s="112">
        <v>2</v>
      </c>
      <c r="D69">
        <v>44</v>
      </c>
      <c r="E69" s="113">
        <v>10</v>
      </c>
      <c r="F69" s="113">
        <v>8</v>
      </c>
      <c r="I69" s="186">
        <v>50</v>
      </c>
      <c r="J69" s="183">
        <v>41705</v>
      </c>
      <c r="M69" s="184">
        <v>2.8</v>
      </c>
      <c r="N69" s="157">
        <v>41853</v>
      </c>
      <c r="S69" s="139">
        <v>8.24</v>
      </c>
      <c r="T69" s="157">
        <v>41853</v>
      </c>
      <c r="U69" s="139">
        <v>15.3</v>
      </c>
      <c r="Y69" s="139">
        <f t="shared" si="1"/>
        <v>4.0945199999999993</v>
      </c>
      <c r="AA69" s="139">
        <v>40.64</v>
      </c>
      <c r="AE69" s="139">
        <v>17.88</v>
      </c>
      <c r="AG69" s="185">
        <v>4.4000000000000004</v>
      </c>
      <c r="AI69" s="185">
        <v>120</v>
      </c>
      <c r="AJ69" s="157">
        <v>41803</v>
      </c>
      <c r="AO69" s="139">
        <v>93</v>
      </c>
      <c r="AP69" s="157">
        <v>41738</v>
      </c>
      <c r="AS69" s="139">
        <v>128</v>
      </c>
      <c r="AT69" s="157">
        <v>41766</v>
      </c>
      <c r="BS69" s="140">
        <v>46.1</v>
      </c>
      <c r="BU69" s="140">
        <v>22.9</v>
      </c>
      <c r="BW69" s="140">
        <v>59.2</v>
      </c>
      <c r="BY69" s="140">
        <v>11.1</v>
      </c>
      <c r="CJ69" s="140" t="s">
        <v>8141</v>
      </c>
    </row>
    <row r="70" spans="1:91">
      <c r="A70" s="158" t="s">
        <v>7717</v>
      </c>
      <c r="B70" s="112" t="s">
        <v>271</v>
      </c>
      <c r="C70" s="112">
        <v>2</v>
      </c>
      <c r="D70">
        <v>102</v>
      </c>
      <c r="E70" s="113">
        <v>10</v>
      </c>
      <c r="F70" s="113">
        <v>9</v>
      </c>
      <c r="I70" s="186">
        <v>46</v>
      </c>
      <c r="J70" s="183">
        <v>41705</v>
      </c>
      <c r="M70" s="184">
        <v>2.57</v>
      </c>
      <c r="N70" s="157">
        <v>41853</v>
      </c>
      <c r="S70" s="139">
        <v>7.83</v>
      </c>
      <c r="T70" s="157">
        <v>41853</v>
      </c>
      <c r="U70" s="139">
        <v>15.3</v>
      </c>
      <c r="Y70" s="139">
        <f t="shared" si="1"/>
        <v>3.7907100000000002</v>
      </c>
      <c r="AA70" s="139">
        <v>37.299999999999997</v>
      </c>
      <c r="AE70" s="139">
        <v>16.41</v>
      </c>
      <c r="AG70" s="185">
        <v>4.4000000000000004</v>
      </c>
      <c r="AI70" s="185">
        <v>105</v>
      </c>
      <c r="AJ70" s="157">
        <v>41803</v>
      </c>
      <c r="AO70" s="139">
        <v>92</v>
      </c>
      <c r="AP70" s="157">
        <v>41738</v>
      </c>
      <c r="AS70" s="139">
        <v>128</v>
      </c>
      <c r="AT70" s="157">
        <v>41766</v>
      </c>
      <c r="BS70" s="140">
        <v>47.7</v>
      </c>
      <c r="BU70" s="140">
        <v>23.1</v>
      </c>
      <c r="BW70" s="140">
        <v>10.5</v>
      </c>
      <c r="BY70" s="140">
        <v>11.1</v>
      </c>
      <c r="CJ70" s="140" t="s">
        <v>8144</v>
      </c>
    </row>
    <row r="71" spans="1:91">
      <c r="A71" s="158" t="s">
        <v>7620</v>
      </c>
      <c r="B71" s="112" t="s">
        <v>271</v>
      </c>
      <c r="C71" s="112">
        <v>2</v>
      </c>
      <c r="D71">
        <v>5</v>
      </c>
      <c r="E71" s="113">
        <v>10</v>
      </c>
      <c r="F71" s="113">
        <v>10</v>
      </c>
      <c r="I71" s="384">
        <v>36</v>
      </c>
      <c r="J71" s="183">
        <v>41705</v>
      </c>
      <c r="K71" s="142"/>
      <c r="M71" s="184">
        <v>3.34</v>
      </c>
      <c r="N71" s="157">
        <v>41853</v>
      </c>
      <c r="O71" s="141"/>
      <c r="Q71" s="142"/>
      <c r="S71" s="142">
        <v>10.11</v>
      </c>
      <c r="T71" s="157">
        <v>41853</v>
      </c>
      <c r="U71" s="142">
        <v>15.3</v>
      </c>
      <c r="W71" s="142"/>
      <c r="Y71" s="139">
        <f t="shared" si="1"/>
        <v>5.0008000000000008</v>
      </c>
      <c r="AA71" s="142">
        <v>39.409999999999997</v>
      </c>
      <c r="AE71" s="142">
        <v>21.28</v>
      </c>
      <c r="AG71" s="185">
        <v>5.4</v>
      </c>
      <c r="AI71" s="185">
        <v>120</v>
      </c>
      <c r="AJ71" s="157">
        <v>41803</v>
      </c>
      <c r="AK71" s="142"/>
      <c r="AM71" s="142"/>
      <c r="AO71" s="139">
        <v>94</v>
      </c>
      <c r="AP71" s="157">
        <v>41738</v>
      </c>
      <c r="AS71" s="139">
        <v>127</v>
      </c>
      <c r="AT71" s="157">
        <v>41766</v>
      </c>
      <c r="BS71" s="140">
        <v>47.5</v>
      </c>
      <c r="BU71" s="140">
        <v>23.5</v>
      </c>
      <c r="BW71" s="140">
        <v>76.5</v>
      </c>
      <c r="BY71" s="140">
        <v>11.3</v>
      </c>
      <c r="CJ71" s="140" t="s">
        <v>8140</v>
      </c>
    </row>
    <row r="72" spans="1:91">
      <c r="A72" s="158" t="s">
        <v>7712</v>
      </c>
      <c r="B72" s="112" t="s">
        <v>271</v>
      </c>
      <c r="C72" s="112">
        <v>2</v>
      </c>
      <c r="D72">
        <v>97</v>
      </c>
      <c r="E72" s="113">
        <v>10</v>
      </c>
      <c r="F72" s="113">
        <v>11</v>
      </c>
      <c r="I72" s="186">
        <v>32</v>
      </c>
      <c r="J72" s="183">
        <v>41705</v>
      </c>
      <c r="M72" s="184">
        <v>4.1500000000000004</v>
      </c>
      <c r="N72" s="157">
        <v>41853</v>
      </c>
      <c r="S72" s="139">
        <v>13.41</v>
      </c>
      <c r="T72" s="157">
        <v>41853</v>
      </c>
      <c r="U72" s="139">
        <v>15.3</v>
      </c>
      <c r="Y72" s="139">
        <f t="shared" si="1"/>
        <v>5.6358100000000002</v>
      </c>
      <c r="AA72" s="139">
        <v>56.83</v>
      </c>
      <c r="AE72" s="139">
        <v>26.71</v>
      </c>
      <c r="AG72" s="185">
        <v>4.7</v>
      </c>
      <c r="AI72" s="185">
        <v>120</v>
      </c>
      <c r="AJ72" s="157">
        <v>41803</v>
      </c>
      <c r="AO72" s="139">
        <v>92</v>
      </c>
      <c r="AP72" s="157">
        <v>41738</v>
      </c>
      <c r="AS72" s="139">
        <v>127</v>
      </c>
      <c r="AT72" s="157">
        <v>41766</v>
      </c>
      <c r="BS72" s="140">
        <v>50.2</v>
      </c>
      <c r="BU72" s="140">
        <v>21.1</v>
      </c>
      <c r="BW72" s="140">
        <v>15.6</v>
      </c>
      <c r="BY72" s="140">
        <v>10.4</v>
      </c>
      <c r="CJ72" s="140" t="s">
        <v>8140</v>
      </c>
    </row>
    <row r="73" spans="1:91">
      <c r="A73" s="158" t="s">
        <v>7807</v>
      </c>
      <c r="B73" s="112" t="s">
        <v>271</v>
      </c>
      <c r="C73" s="112">
        <v>2</v>
      </c>
      <c r="D73">
        <v>192</v>
      </c>
      <c r="E73" s="113">
        <v>10</v>
      </c>
      <c r="F73" s="113">
        <v>12</v>
      </c>
      <c r="I73" s="186">
        <v>53</v>
      </c>
      <c r="J73" s="183">
        <v>41705</v>
      </c>
      <c r="M73" s="184">
        <v>4.68</v>
      </c>
      <c r="N73" s="157">
        <v>41853</v>
      </c>
      <c r="S73" s="139">
        <v>14.91</v>
      </c>
      <c r="T73" s="157">
        <v>41853</v>
      </c>
      <c r="U73" s="139">
        <v>15.3</v>
      </c>
      <c r="Y73" s="139">
        <f t="shared" si="1"/>
        <v>5.9122899999999996</v>
      </c>
      <c r="AA73" s="139">
        <v>63.21</v>
      </c>
      <c r="AE73" s="139">
        <v>29.71</v>
      </c>
      <c r="AG73" s="185">
        <v>4.7</v>
      </c>
      <c r="AI73" s="185">
        <v>115</v>
      </c>
      <c r="AJ73" s="157">
        <v>41803</v>
      </c>
      <c r="AO73" s="139">
        <v>93</v>
      </c>
      <c r="AP73" s="157">
        <v>41738</v>
      </c>
      <c r="AS73" s="139">
        <v>126</v>
      </c>
      <c r="AT73" s="157">
        <v>41766</v>
      </c>
      <c r="BS73" s="140">
        <v>50.2</v>
      </c>
      <c r="BU73" s="140">
        <v>19.899999999999999</v>
      </c>
      <c r="BW73" s="140">
        <v>10.8</v>
      </c>
      <c r="BY73" s="140">
        <v>11.6</v>
      </c>
      <c r="CJ73" s="140" t="s">
        <v>8140</v>
      </c>
    </row>
    <row r="74" spans="1:91">
      <c r="A74" s="188" t="s">
        <v>7768</v>
      </c>
      <c r="B74" s="189" t="s">
        <v>269</v>
      </c>
      <c r="C74" s="189">
        <v>1</v>
      </c>
      <c r="D74" s="190">
        <v>153</v>
      </c>
      <c r="E74" s="191">
        <v>11</v>
      </c>
      <c r="F74" s="191">
        <v>1</v>
      </c>
      <c r="G74" s="191"/>
      <c r="H74" s="191"/>
      <c r="I74" s="192">
        <v>27</v>
      </c>
      <c r="J74" s="193">
        <v>41705</v>
      </c>
      <c r="K74" s="194"/>
      <c r="L74" s="195"/>
      <c r="M74" s="196">
        <v>0.8</v>
      </c>
      <c r="N74" s="195">
        <v>41853</v>
      </c>
      <c r="O74" s="194"/>
      <c r="P74" s="195"/>
      <c r="Q74" s="194"/>
      <c r="R74" s="195"/>
      <c r="S74" s="194">
        <v>2.35</v>
      </c>
      <c r="T74" s="195">
        <v>41853</v>
      </c>
      <c r="U74" s="194">
        <v>15.3</v>
      </c>
      <c r="V74" s="195"/>
      <c r="W74" s="194"/>
      <c r="X74" s="195"/>
      <c r="Y74" s="139">
        <f t="shared" si="1"/>
        <v>1.19615</v>
      </c>
      <c r="Z74" s="195"/>
      <c r="AA74" s="194">
        <v>10.18</v>
      </c>
      <c r="AB74" s="195"/>
      <c r="AC74" s="194"/>
      <c r="AD74" s="195"/>
      <c r="AE74" s="194">
        <v>5.09</v>
      </c>
      <c r="AF74" s="195"/>
      <c r="AG74" s="197">
        <v>5</v>
      </c>
      <c r="AH74" s="195"/>
      <c r="AI74" s="197">
        <v>120</v>
      </c>
      <c r="AJ74" s="195">
        <v>41803</v>
      </c>
      <c r="AK74" s="194"/>
      <c r="AL74" s="195"/>
      <c r="AM74" s="194"/>
      <c r="AN74" s="195"/>
      <c r="AO74" s="194">
        <v>96</v>
      </c>
      <c r="AP74" s="195">
        <v>41738</v>
      </c>
      <c r="AQ74" s="194"/>
      <c r="AR74" s="194"/>
      <c r="AS74" s="194">
        <v>128</v>
      </c>
      <c r="AT74" s="195">
        <v>41766</v>
      </c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>
        <v>46.1</v>
      </c>
      <c r="BT74" s="198"/>
      <c r="BU74" s="198">
        <v>23.5</v>
      </c>
      <c r="BV74" s="198"/>
      <c r="BW74" s="198">
        <v>65.099999999999994</v>
      </c>
      <c r="BX74" s="198"/>
      <c r="BY74" s="198">
        <v>11.4</v>
      </c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 t="s">
        <v>8131</v>
      </c>
      <c r="CK74" s="198"/>
      <c r="CL74" s="198"/>
      <c r="CM74" s="198"/>
    </row>
    <row r="75" spans="1:91">
      <c r="A75" s="158" t="s">
        <v>7771</v>
      </c>
      <c r="B75" s="112" t="s">
        <v>269</v>
      </c>
      <c r="C75" s="112">
        <v>1</v>
      </c>
      <c r="D75">
        <v>156</v>
      </c>
      <c r="E75" s="113">
        <v>11</v>
      </c>
      <c r="F75" s="113">
        <v>2</v>
      </c>
      <c r="I75" s="186">
        <v>44</v>
      </c>
      <c r="J75" s="183">
        <v>41705</v>
      </c>
      <c r="M75" s="184">
        <v>1.71</v>
      </c>
      <c r="N75" s="157">
        <v>41853</v>
      </c>
      <c r="S75" s="139">
        <v>5.56</v>
      </c>
      <c r="T75" s="157">
        <v>41853</v>
      </c>
      <c r="U75" s="139">
        <v>15.3</v>
      </c>
      <c r="Y75" s="139">
        <f t="shared" si="1"/>
        <v>2.1542400000000002</v>
      </c>
      <c r="AA75" s="139">
        <v>23.65</v>
      </c>
      <c r="AE75" s="139">
        <v>10.88</v>
      </c>
      <c r="AG75" s="185">
        <v>4.5999999999999996</v>
      </c>
      <c r="AI75" s="185">
        <v>120</v>
      </c>
      <c r="AJ75" s="157">
        <v>41803</v>
      </c>
      <c r="AO75" s="139">
        <v>92</v>
      </c>
      <c r="AP75" s="157">
        <v>41738</v>
      </c>
      <c r="AS75" s="139">
        <v>127</v>
      </c>
      <c r="AT75" s="157">
        <v>41766</v>
      </c>
      <c r="BS75" s="140">
        <v>51.1</v>
      </c>
      <c r="BU75" s="140">
        <v>19.8</v>
      </c>
      <c r="BW75" s="140">
        <v>13.9</v>
      </c>
      <c r="BY75" s="140">
        <v>11.4</v>
      </c>
      <c r="CJ75" s="140" t="s">
        <v>8140</v>
      </c>
    </row>
    <row r="76" spans="1:91">
      <c r="A76" s="158" t="s">
        <v>7793</v>
      </c>
      <c r="B76" s="112" t="s">
        <v>269</v>
      </c>
      <c r="C76" s="112">
        <v>1</v>
      </c>
      <c r="D76">
        <v>178</v>
      </c>
      <c r="E76" s="113">
        <v>11</v>
      </c>
      <c r="F76" s="113">
        <v>3</v>
      </c>
      <c r="I76" s="186">
        <v>38</v>
      </c>
      <c r="J76" s="183">
        <v>41705</v>
      </c>
      <c r="M76" s="184">
        <v>2.5499999999999998</v>
      </c>
      <c r="N76" s="157">
        <v>41853</v>
      </c>
      <c r="S76" s="139">
        <v>8.2799999999999994</v>
      </c>
      <c r="T76" s="157">
        <v>41853</v>
      </c>
      <c r="U76" s="139">
        <v>15.3</v>
      </c>
      <c r="Y76" s="139">
        <f t="shared" si="1"/>
        <v>3.3109199999999999</v>
      </c>
      <c r="AA76" s="139">
        <v>29.51</v>
      </c>
      <c r="AE76" s="139">
        <v>16.23</v>
      </c>
      <c r="AG76" s="185">
        <v>5.5</v>
      </c>
      <c r="AI76" s="185">
        <v>115</v>
      </c>
      <c r="AJ76" s="157">
        <v>41803</v>
      </c>
      <c r="AO76" s="139">
        <v>90</v>
      </c>
      <c r="AP76" s="157">
        <v>41738</v>
      </c>
      <c r="AS76" s="139">
        <v>127</v>
      </c>
      <c r="AT76" s="157">
        <v>41766</v>
      </c>
      <c r="BS76" s="140">
        <v>51</v>
      </c>
      <c r="BU76" s="140">
        <v>20.399999999999999</v>
      </c>
      <c r="BW76" s="140">
        <v>10.7</v>
      </c>
      <c r="BY76" s="140">
        <v>11.4</v>
      </c>
      <c r="CJ76" s="140" t="s">
        <v>8140</v>
      </c>
    </row>
    <row r="77" spans="1:91">
      <c r="A77" s="158" t="s">
        <v>7739</v>
      </c>
      <c r="B77" s="112" t="s">
        <v>269</v>
      </c>
      <c r="C77" s="112">
        <v>1</v>
      </c>
      <c r="D77">
        <v>124</v>
      </c>
      <c r="E77" s="113">
        <v>11</v>
      </c>
      <c r="F77" s="113">
        <v>4</v>
      </c>
      <c r="I77" s="186">
        <v>28</v>
      </c>
      <c r="J77" s="183">
        <v>41705</v>
      </c>
      <c r="M77" s="184">
        <v>1.54</v>
      </c>
      <c r="N77" s="157">
        <v>41853</v>
      </c>
      <c r="S77" s="139">
        <v>4.84</v>
      </c>
      <c r="T77" s="157">
        <v>41853</v>
      </c>
      <c r="U77" s="139">
        <v>15.3</v>
      </c>
      <c r="Y77" s="139">
        <f t="shared" si="1"/>
        <v>1.9991999999999999</v>
      </c>
      <c r="AA77" s="139">
        <v>22.79</v>
      </c>
      <c r="AE77" s="139">
        <v>9.8000000000000007</v>
      </c>
      <c r="AG77" s="185">
        <v>4.3</v>
      </c>
      <c r="AI77" s="185">
        <v>110</v>
      </c>
      <c r="AJ77" s="157">
        <v>41803</v>
      </c>
      <c r="AO77" s="139">
        <v>94</v>
      </c>
      <c r="AP77" s="157">
        <v>41738</v>
      </c>
      <c r="AS77" s="139">
        <v>126</v>
      </c>
      <c r="AT77" s="157">
        <v>41766</v>
      </c>
      <c r="BS77" s="140">
        <v>49.4</v>
      </c>
      <c r="BU77" s="140">
        <v>20.399999999999999</v>
      </c>
      <c r="BW77" s="140">
        <v>8.6</v>
      </c>
      <c r="BY77" s="140">
        <v>11.4</v>
      </c>
      <c r="CJ77" s="140" t="s">
        <v>8140</v>
      </c>
    </row>
    <row r="78" spans="1:91">
      <c r="A78" s="158" t="s">
        <v>7671</v>
      </c>
      <c r="B78" s="112" t="s">
        <v>269</v>
      </c>
      <c r="C78" s="112">
        <v>1</v>
      </c>
      <c r="D78">
        <v>56</v>
      </c>
      <c r="E78" s="113">
        <v>11</v>
      </c>
      <c r="F78" s="113">
        <v>5</v>
      </c>
      <c r="I78" s="186">
        <v>45</v>
      </c>
      <c r="J78" s="183">
        <v>41705</v>
      </c>
      <c r="M78" s="184">
        <v>1.85</v>
      </c>
      <c r="N78" s="157">
        <v>41853</v>
      </c>
      <c r="S78" s="139">
        <v>5.98</v>
      </c>
      <c r="T78" s="157">
        <v>41853</v>
      </c>
      <c r="U78" s="139">
        <v>15.3</v>
      </c>
      <c r="Y78" s="139">
        <f t="shared" si="1"/>
        <v>2.33046</v>
      </c>
      <c r="AA78" s="139">
        <v>25.04</v>
      </c>
      <c r="AE78" s="139">
        <v>11.77</v>
      </c>
      <c r="AG78" s="185">
        <v>4.7</v>
      </c>
      <c r="AI78" s="185">
        <v>125</v>
      </c>
      <c r="AJ78" s="157">
        <v>41803</v>
      </c>
      <c r="AO78" s="139">
        <v>96</v>
      </c>
      <c r="AP78" s="157">
        <v>41738</v>
      </c>
      <c r="AS78" s="139">
        <v>127</v>
      </c>
      <c r="AT78" s="157">
        <v>41766</v>
      </c>
      <c r="BS78" s="140">
        <v>50.8</v>
      </c>
      <c r="BU78" s="140">
        <v>19.8</v>
      </c>
      <c r="BW78" s="140">
        <v>10.9</v>
      </c>
      <c r="BY78" s="140">
        <v>11.4</v>
      </c>
      <c r="CJ78" s="140" t="s">
        <v>8131</v>
      </c>
    </row>
    <row r="79" spans="1:91">
      <c r="A79" s="158" t="s">
        <v>7702</v>
      </c>
      <c r="B79" s="112" t="s">
        <v>269</v>
      </c>
      <c r="C79" s="112">
        <v>1</v>
      </c>
      <c r="D79">
        <v>87</v>
      </c>
      <c r="E79" s="113">
        <v>11</v>
      </c>
      <c r="F79" s="113">
        <v>6</v>
      </c>
      <c r="I79" s="186">
        <v>52</v>
      </c>
      <c r="J79" s="183">
        <v>41705</v>
      </c>
      <c r="M79" s="184">
        <v>2.7</v>
      </c>
      <c r="N79" s="157">
        <v>41853</v>
      </c>
      <c r="S79" s="139">
        <v>8.8000000000000007</v>
      </c>
      <c r="T79" s="157">
        <v>41853</v>
      </c>
      <c r="U79" s="139">
        <v>15.3</v>
      </c>
      <c r="Y79" s="139">
        <f t="shared" si="1"/>
        <v>3.4905599999999999</v>
      </c>
      <c r="AA79" s="139">
        <v>43.2</v>
      </c>
      <c r="AE79" s="139">
        <v>17.28</v>
      </c>
      <c r="AG79" s="185">
        <v>4</v>
      </c>
      <c r="AI79" s="185">
        <v>110</v>
      </c>
      <c r="AJ79" s="157">
        <v>41803</v>
      </c>
      <c r="AO79" s="139">
        <v>92</v>
      </c>
      <c r="AP79" s="157">
        <v>41738</v>
      </c>
      <c r="AS79" s="139">
        <v>126</v>
      </c>
      <c r="AT79" s="157">
        <v>41766</v>
      </c>
      <c r="BS79" s="140">
        <v>50.9</v>
      </c>
      <c r="BU79" s="140">
        <v>20.2</v>
      </c>
      <c r="BW79" s="140">
        <v>13.6</v>
      </c>
      <c r="BY79" s="140">
        <v>10.9</v>
      </c>
      <c r="CJ79" s="140" t="s">
        <v>8140</v>
      </c>
    </row>
    <row r="80" spans="1:91">
      <c r="A80" s="158" t="s">
        <v>7775</v>
      </c>
      <c r="B80" s="112" t="s">
        <v>271</v>
      </c>
      <c r="C80" s="112">
        <v>2</v>
      </c>
      <c r="D80">
        <v>160</v>
      </c>
      <c r="E80" s="113">
        <v>11</v>
      </c>
      <c r="F80" s="113">
        <v>7</v>
      </c>
      <c r="I80" s="186">
        <v>38</v>
      </c>
      <c r="J80" s="183">
        <v>41705</v>
      </c>
      <c r="M80" s="184">
        <v>4.3600000000000003</v>
      </c>
      <c r="N80" s="157">
        <v>41853</v>
      </c>
      <c r="S80" s="139">
        <v>14.1</v>
      </c>
      <c r="T80" s="157">
        <v>41853</v>
      </c>
      <c r="U80" s="139">
        <v>15.3</v>
      </c>
      <c r="Y80" s="139">
        <f t="shared" si="1"/>
        <v>5.7969600000000003</v>
      </c>
      <c r="AA80" s="139">
        <v>55.74</v>
      </c>
      <c r="AE80" s="139">
        <v>27.87</v>
      </c>
      <c r="AG80" s="185">
        <v>5</v>
      </c>
      <c r="AI80" s="185">
        <v>120</v>
      </c>
      <c r="AJ80" s="157">
        <v>41803</v>
      </c>
      <c r="AO80" s="139">
        <v>93</v>
      </c>
      <c r="AP80" s="157">
        <v>41738</v>
      </c>
      <c r="AS80" s="139">
        <v>127</v>
      </c>
      <c r="AT80" s="157">
        <v>41766</v>
      </c>
      <c r="BS80" s="140">
        <v>50.6</v>
      </c>
      <c r="BU80" s="140">
        <v>20.8</v>
      </c>
      <c r="BW80" s="140">
        <v>17.100000000000001</v>
      </c>
      <c r="BY80" s="140">
        <v>11</v>
      </c>
      <c r="CJ80" s="140" t="s">
        <v>8140</v>
      </c>
    </row>
    <row r="81" spans="1:91">
      <c r="A81" s="158" t="s">
        <v>7635</v>
      </c>
      <c r="B81" s="112" t="s">
        <v>271</v>
      </c>
      <c r="C81" s="112">
        <v>2</v>
      </c>
      <c r="D81">
        <v>20</v>
      </c>
      <c r="E81" s="113">
        <v>11</v>
      </c>
      <c r="F81" s="113">
        <v>8</v>
      </c>
      <c r="I81" s="384">
        <v>74</v>
      </c>
      <c r="J81" s="183">
        <v>41705</v>
      </c>
      <c r="K81" s="142"/>
      <c r="M81" s="184">
        <v>2.11</v>
      </c>
      <c r="N81" s="157">
        <v>41853</v>
      </c>
      <c r="O81" s="141"/>
      <c r="Q81" s="142"/>
      <c r="S81" s="142">
        <v>6.45</v>
      </c>
      <c r="T81" s="157">
        <v>41853</v>
      </c>
      <c r="U81" s="142">
        <v>15.3</v>
      </c>
      <c r="W81" s="142"/>
      <c r="Y81" s="139">
        <f t="shared" si="1"/>
        <v>3.15605</v>
      </c>
      <c r="AA81" s="142">
        <v>35.340000000000003</v>
      </c>
      <c r="AE81" s="142">
        <v>13.43</v>
      </c>
      <c r="AG81" s="185">
        <v>3.8</v>
      </c>
      <c r="AI81" s="185">
        <v>100</v>
      </c>
      <c r="AJ81" s="157">
        <v>41803</v>
      </c>
      <c r="AK81" s="142"/>
      <c r="AM81" s="142"/>
      <c r="AO81" s="139">
        <v>85</v>
      </c>
      <c r="AP81" s="157">
        <v>41738</v>
      </c>
      <c r="AS81" s="139">
        <v>126</v>
      </c>
      <c r="AT81" s="157">
        <v>41766</v>
      </c>
      <c r="BS81" s="140">
        <v>48</v>
      </c>
      <c r="BU81" s="140">
        <v>23.5</v>
      </c>
      <c r="BW81" s="140">
        <v>58.8</v>
      </c>
      <c r="BY81" s="140">
        <v>11.4</v>
      </c>
      <c r="CJ81" s="140" t="s">
        <v>8141</v>
      </c>
    </row>
    <row r="82" spans="1:91">
      <c r="A82" s="158" t="s">
        <v>7658</v>
      </c>
      <c r="B82" s="112" t="s">
        <v>271</v>
      </c>
      <c r="C82" s="112">
        <v>2</v>
      </c>
      <c r="D82">
        <v>43</v>
      </c>
      <c r="E82" s="113">
        <v>11</v>
      </c>
      <c r="F82" s="113">
        <v>9</v>
      </c>
      <c r="I82" s="186">
        <v>56</v>
      </c>
      <c r="J82" s="183">
        <v>41705</v>
      </c>
      <c r="M82" s="184">
        <v>2.21</v>
      </c>
      <c r="N82" s="157">
        <v>41853</v>
      </c>
      <c r="S82" s="139">
        <v>6.92</v>
      </c>
      <c r="T82" s="157">
        <v>41853</v>
      </c>
      <c r="U82" s="139">
        <v>15.3</v>
      </c>
      <c r="Y82" s="139">
        <f t="shared" si="1"/>
        <v>3.1494400000000002</v>
      </c>
      <c r="AA82" s="139">
        <v>28.12</v>
      </c>
      <c r="AE82" s="139">
        <v>14.06</v>
      </c>
      <c r="AG82" s="185">
        <v>5</v>
      </c>
      <c r="AI82" s="185">
        <v>125</v>
      </c>
      <c r="AJ82" s="157">
        <v>41803</v>
      </c>
      <c r="AO82" s="139">
        <v>92</v>
      </c>
      <c r="AP82" s="157">
        <v>41738</v>
      </c>
      <c r="AS82" s="139">
        <v>126</v>
      </c>
      <c r="AT82" s="157">
        <v>41766</v>
      </c>
      <c r="BS82" s="140">
        <v>49.2</v>
      </c>
      <c r="BU82" s="140">
        <v>22.4</v>
      </c>
      <c r="BW82" s="140">
        <v>56.8</v>
      </c>
      <c r="BY82" s="140">
        <v>11.4</v>
      </c>
      <c r="CJ82" s="140" t="s">
        <v>8141</v>
      </c>
    </row>
    <row r="83" spans="1:91">
      <c r="A83" s="158" t="s">
        <v>7711</v>
      </c>
      <c r="B83" s="112" t="s">
        <v>271</v>
      </c>
      <c r="C83" s="112">
        <v>2</v>
      </c>
      <c r="D83">
        <v>96</v>
      </c>
      <c r="E83" s="113">
        <v>11</v>
      </c>
      <c r="F83" s="113">
        <v>10</v>
      </c>
      <c r="I83" s="186">
        <v>42</v>
      </c>
      <c r="J83" s="183">
        <v>41705</v>
      </c>
      <c r="M83" s="184">
        <v>4.59</v>
      </c>
      <c r="N83" s="157">
        <v>41853</v>
      </c>
      <c r="S83" s="139">
        <v>15.37</v>
      </c>
      <c r="T83" s="157">
        <v>41853</v>
      </c>
      <c r="U83" s="139">
        <v>15.3</v>
      </c>
      <c r="Y83" s="139">
        <f t="shared" si="1"/>
        <v>5.9905299999999997</v>
      </c>
      <c r="AA83" s="139">
        <v>73.78</v>
      </c>
      <c r="AE83" s="139">
        <v>29.51</v>
      </c>
      <c r="AG83" s="185">
        <v>4</v>
      </c>
      <c r="AI83" s="185">
        <v>120</v>
      </c>
      <c r="AJ83" s="157">
        <v>41803</v>
      </c>
      <c r="AO83" s="139">
        <v>93</v>
      </c>
      <c r="AP83" s="157">
        <v>41738</v>
      </c>
      <c r="AS83" s="139">
        <v>127</v>
      </c>
      <c r="AT83" s="157">
        <v>41766</v>
      </c>
      <c r="BS83" s="140">
        <v>52.1</v>
      </c>
      <c r="BU83" s="140">
        <v>20.3</v>
      </c>
      <c r="BW83" s="140">
        <v>8.9</v>
      </c>
      <c r="BY83" s="140">
        <v>10.5</v>
      </c>
      <c r="CJ83" s="140" t="s">
        <v>8140</v>
      </c>
    </row>
    <row r="84" spans="1:91">
      <c r="A84" s="158" t="s">
        <v>7652</v>
      </c>
      <c r="B84" s="112" t="s">
        <v>271</v>
      </c>
      <c r="C84" s="112">
        <v>2</v>
      </c>
      <c r="D84">
        <v>37</v>
      </c>
      <c r="E84" s="113">
        <v>11</v>
      </c>
      <c r="F84" s="113">
        <v>11</v>
      </c>
      <c r="I84" s="186">
        <v>38</v>
      </c>
      <c r="J84" s="183">
        <v>41705</v>
      </c>
      <c r="M84" s="184">
        <v>2.86</v>
      </c>
      <c r="N84" s="157">
        <v>41853</v>
      </c>
      <c r="S84" s="139">
        <v>8.94</v>
      </c>
      <c r="T84" s="157">
        <v>41853</v>
      </c>
      <c r="U84" s="139">
        <v>15.3</v>
      </c>
      <c r="Y84" s="139">
        <f t="shared" si="1"/>
        <v>3.8655200000000001</v>
      </c>
      <c r="AA84" s="139">
        <v>40.71</v>
      </c>
      <c r="AE84" s="139">
        <v>18.32</v>
      </c>
      <c r="AG84" s="185">
        <v>4.5</v>
      </c>
      <c r="AI84" s="185">
        <v>105</v>
      </c>
      <c r="AJ84" s="157">
        <v>41803</v>
      </c>
      <c r="AO84" s="139">
        <v>89</v>
      </c>
      <c r="AP84" s="157">
        <v>41738</v>
      </c>
      <c r="AS84" s="139">
        <v>126</v>
      </c>
      <c r="AT84" s="157">
        <v>41766</v>
      </c>
      <c r="BS84" s="140">
        <v>48.8</v>
      </c>
      <c r="BU84" s="140">
        <v>21.1</v>
      </c>
      <c r="BW84" s="140">
        <v>59.9</v>
      </c>
      <c r="BY84" s="140">
        <v>10.8</v>
      </c>
      <c r="CJ84" s="140" t="s">
        <v>8139</v>
      </c>
    </row>
    <row r="85" spans="1:91">
      <c r="A85" s="158" t="s">
        <v>8129</v>
      </c>
      <c r="B85" s="112" t="s">
        <v>271</v>
      </c>
      <c r="C85" s="112">
        <v>2</v>
      </c>
      <c r="D85">
        <v>215</v>
      </c>
      <c r="E85" s="113">
        <v>11</v>
      </c>
      <c r="F85" s="113">
        <v>12</v>
      </c>
      <c r="I85" s="186">
        <v>31</v>
      </c>
      <c r="J85" s="183">
        <v>41705</v>
      </c>
      <c r="M85" s="184"/>
      <c r="N85" s="157">
        <v>41853</v>
      </c>
      <c r="T85" s="157">
        <v>41853</v>
      </c>
      <c r="U85" s="139">
        <v>15.3</v>
      </c>
      <c r="Y85" s="139">
        <f t="shared" si="1"/>
        <v>0</v>
      </c>
      <c r="AG85" s="185"/>
      <c r="AI85" s="185">
        <v>130</v>
      </c>
      <c r="AJ85" s="157">
        <v>41803</v>
      </c>
      <c r="AO85" s="139">
        <v>90</v>
      </c>
      <c r="AP85" s="157">
        <v>41738</v>
      </c>
      <c r="AS85" s="139">
        <v>127</v>
      </c>
      <c r="AT85" s="157">
        <v>41766</v>
      </c>
      <c r="CJ85" s="140" t="s">
        <v>8156</v>
      </c>
    </row>
    <row r="86" spans="1:91">
      <c r="A86" s="158" t="s">
        <v>7638</v>
      </c>
      <c r="B86" s="112" t="s">
        <v>269</v>
      </c>
      <c r="C86" s="112">
        <v>1</v>
      </c>
      <c r="D86">
        <v>23</v>
      </c>
      <c r="E86" s="113">
        <v>12</v>
      </c>
      <c r="F86" s="113">
        <v>1</v>
      </c>
      <c r="I86" s="186">
        <v>37</v>
      </c>
      <c r="J86" s="183">
        <v>41705</v>
      </c>
      <c r="M86" s="184">
        <v>1.29</v>
      </c>
      <c r="N86" s="157">
        <v>41853</v>
      </c>
      <c r="S86" s="139">
        <v>3.88</v>
      </c>
      <c r="T86" s="157">
        <v>41853</v>
      </c>
      <c r="U86" s="139">
        <v>15.3</v>
      </c>
      <c r="Y86" s="139">
        <f t="shared" si="1"/>
        <v>1.9129300000000002</v>
      </c>
      <c r="AA86" s="139">
        <v>16.100000000000001</v>
      </c>
      <c r="AE86" s="139">
        <v>8.2100000000000009</v>
      </c>
      <c r="AG86" s="185">
        <v>5.0999999999999996</v>
      </c>
      <c r="AI86" s="185">
        <v>110</v>
      </c>
      <c r="AJ86" s="157">
        <v>41803</v>
      </c>
      <c r="AO86" s="139">
        <v>97</v>
      </c>
      <c r="AP86" s="157">
        <v>41738</v>
      </c>
      <c r="AS86" s="139">
        <v>127</v>
      </c>
      <c r="AT86" s="157">
        <v>41766</v>
      </c>
      <c r="BS86" s="140">
        <v>47.3</v>
      </c>
      <c r="BU86" s="140">
        <v>23.3</v>
      </c>
      <c r="BW86" s="140">
        <v>45</v>
      </c>
      <c r="BY86" s="140">
        <v>11.4</v>
      </c>
      <c r="CJ86" s="140" t="s">
        <v>8131</v>
      </c>
    </row>
    <row r="87" spans="1:91">
      <c r="A87" s="188" t="s">
        <v>7752</v>
      </c>
      <c r="B87" s="189" t="s">
        <v>269</v>
      </c>
      <c r="C87" s="189">
        <v>1</v>
      </c>
      <c r="D87" s="190">
        <v>137</v>
      </c>
      <c r="E87" s="191">
        <v>12</v>
      </c>
      <c r="F87" s="191">
        <v>2</v>
      </c>
      <c r="G87" s="191"/>
      <c r="H87" s="191"/>
      <c r="I87" s="192">
        <v>36</v>
      </c>
      <c r="J87" s="193">
        <v>41705</v>
      </c>
      <c r="K87" s="194"/>
      <c r="L87" s="195"/>
      <c r="M87" s="196">
        <v>0.98</v>
      </c>
      <c r="N87" s="195">
        <v>41853</v>
      </c>
      <c r="O87" s="194"/>
      <c r="P87" s="195"/>
      <c r="Q87" s="194"/>
      <c r="R87" s="195"/>
      <c r="S87" s="194">
        <v>2.93</v>
      </c>
      <c r="T87" s="195">
        <v>41853</v>
      </c>
      <c r="U87" s="194">
        <v>15.3</v>
      </c>
      <c r="V87" s="195"/>
      <c r="W87" s="194"/>
      <c r="X87" s="195"/>
      <c r="Y87" s="139">
        <f t="shared" si="1"/>
        <v>1.5724799999999999</v>
      </c>
      <c r="Z87" s="195"/>
      <c r="AA87" s="194">
        <v>8.7899999999999991</v>
      </c>
      <c r="AB87" s="195"/>
      <c r="AC87" s="194"/>
      <c r="AD87" s="195"/>
      <c r="AE87" s="194">
        <v>6.24</v>
      </c>
      <c r="AF87" s="195"/>
      <c r="AG87" s="197">
        <v>7.1</v>
      </c>
      <c r="AH87" s="195"/>
      <c r="AI87" s="197">
        <v>105</v>
      </c>
      <c r="AJ87" s="195">
        <v>41803</v>
      </c>
      <c r="AK87" s="194"/>
      <c r="AL87" s="195"/>
      <c r="AM87" s="194"/>
      <c r="AN87" s="195"/>
      <c r="AO87" s="194">
        <v>92</v>
      </c>
      <c r="AP87" s="195">
        <v>41738</v>
      </c>
      <c r="AQ87" s="194"/>
      <c r="AR87" s="194"/>
      <c r="AS87" s="194">
        <v>127</v>
      </c>
      <c r="AT87" s="195">
        <v>41766</v>
      </c>
      <c r="AU87" s="194"/>
      <c r="AV87" s="194"/>
      <c r="AW87" s="194"/>
      <c r="AX87" s="194"/>
      <c r="AY87" s="194"/>
      <c r="AZ87" s="194"/>
      <c r="BA87" s="194"/>
      <c r="BB87" s="194"/>
      <c r="BC87" s="194"/>
      <c r="BD87" s="194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>
        <v>46.9</v>
      </c>
      <c r="BT87" s="198"/>
      <c r="BU87" s="198">
        <v>25.2</v>
      </c>
      <c r="BV87" s="198"/>
      <c r="BW87" s="198">
        <v>82.6</v>
      </c>
      <c r="BX87" s="198"/>
      <c r="BY87" s="198">
        <v>11.4</v>
      </c>
      <c r="BZ87" s="198"/>
      <c r="CA87" s="198"/>
      <c r="CB87" s="198"/>
      <c r="CC87" s="198"/>
      <c r="CD87" s="198"/>
      <c r="CE87" s="198"/>
      <c r="CF87" s="198"/>
      <c r="CG87" s="198"/>
      <c r="CH87" s="198"/>
      <c r="CI87" s="198"/>
      <c r="CJ87" s="198" t="s">
        <v>8140</v>
      </c>
      <c r="CK87" s="198"/>
      <c r="CL87" s="198"/>
      <c r="CM87" s="198"/>
    </row>
    <row r="88" spans="1:91">
      <c r="A88" s="158" t="s">
        <v>7801</v>
      </c>
      <c r="B88" s="112" t="s">
        <v>269</v>
      </c>
      <c r="C88" s="112">
        <v>1</v>
      </c>
      <c r="D88">
        <v>186</v>
      </c>
      <c r="E88" s="113">
        <v>12</v>
      </c>
      <c r="F88" s="113">
        <v>3</v>
      </c>
      <c r="I88" s="112">
        <v>44</v>
      </c>
      <c r="J88" s="183">
        <v>41705</v>
      </c>
      <c r="M88" s="184">
        <v>1.84</v>
      </c>
      <c r="N88" s="157">
        <v>41853</v>
      </c>
      <c r="S88" s="139">
        <v>5.96</v>
      </c>
      <c r="T88" s="157">
        <v>41853</v>
      </c>
      <c r="U88" s="139">
        <v>15.3</v>
      </c>
      <c r="Y88" s="139">
        <f t="shared" si="1"/>
        <v>2.2834500000000002</v>
      </c>
      <c r="AA88" s="139">
        <v>21.29</v>
      </c>
      <c r="AE88" s="139">
        <v>11.71</v>
      </c>
      <c r="AG88" s="185">
        <v>5.5</v>
      </c>
      <c r="AI88" s="185">
        <v>115</v>
      </c>
      <c r="AJ88" s="157">
        <v>41803</v>
      </c>
      <c r="AO88" s="139">
        <v>93</v>
      </c>
      <c r="AP88" s="157">
        <v>41738</v>
      </c>
      <c r="AS88" s="139">
        <v>126</v>
      </c>
      <c r="AT88" s="157">
        <v>41766</v>
      </c>
      <c r="BS88" s="140">
        <v>50.9</v>
      </c>
      <c r="BU88" s="140">
        <v>19.5</v>
      </c>
      <c r="BW88" s="140">
        <v>11.1</v>
      </c>
      <c r="BY88" s="140">
        <v>11.4</v>
      </c>
      <c r="CJ88" s="140" t="s">
        <v>8140</v>
      </c>
    </row>
    <row r="89" spans="1:91">
      <c r="A89" s="158" t="s">
        <v>7721</v>
      </c>
      <c r="B89" s="112" t="s">
        <v>269</v>
      </c>
      <c r="C89" s="112">
        <v>1</v>
      </c>
      <c r="D89">
        <v>106</v>
      </c>
      <c r="E89" s="113">
        <v>12</v>
      </c>
      <c r="F89" s="113">
        <v>4</v>
      </c>
      <c r="I89" s="112">
        <v>16</v>
      </c>
      <c r="J89" s="183">
        <v>41705</v>
      </c>
      <c r="M89" s="184">
        <v>2.02</v>
      </c>
      <c r="N89" s="157">
        <v>41853</v>
      </c>
      <c r="S89" s="139">
        <v>6.32</v>
      </c>
      <c r="T89" s="157">
        <v>41853</v>
      </c>
      <c r="U89" s="139">
        <v>15.3</v>
      </c>
      <c r="Y89" s="139">
        <f t="shared" si="1"/>
        <v>2.4800499999999999</v>
      </c>
      <c r="AA89" s="139">
        <v>31.34</v>
      </c>
      <c r="AE89" s="139">
        <v>12.85</v>
      </c>
      <c r="AG89" s="185">
        <v>4.0999999999999996</v>
      </c>
      <c r="AI89" s="185">
        <v>120</v>
      </c>
      <c r="AJ89" s="157">
        <v>41803</v>
      </c>
      <c r="AO89" s="139">
        <v>94</v>
      </c>
      <c r="AP89" s="157">
        <v>41738</v>
      </c>
      <c r="AS89" s="139">
        <v>126</v>
      </c>
      <c r="AT89" s="157">
        <v>41766</v>
      </c>
      <c r="BS89" s="140">
        <v>49.2</v>
      </c>
      <c r="BU89" s="140">
        <v>19.3</v>
      </c>
      <c r="BW89" s="140">
        <v>18.100000000000001</v>
      </c>
      <c r="BY89" s="140">
        <v>11.4</v>
      </c>
      <c r="CJ89" s="140" t="s">
        <v>8140</v>
      </c>
    </row>
    <row r="90" spans="1:91">
      <c r="A90" s="158" t="s">
        <v>7902</v>
      </c>
      <c r="B90" s="112" t="s">
        <v>269</v>
      </c>
      <c r="C90" s="112">
        <v>1</v>
      </c>
      <c r="D90">
        <v>211</v>
      </c>
      <c r="E90" s="113">
        <v>12</v>
      </c>
      <c r="F90" s="113">
        <v>5</v>
      </c>
      <c r="I90" s="112">
        <v>39</v>
      </c>
      <c r="J90" s="183">
        <v>41705</v>
      </c>
      <c r="M90" s="184">
        <v>2.1</v>
      </c>
      <c r="N90" s="157">
        <v>41853</v>
      </c>
      <c r="S90" s="139">
        <v>6.87</v>
      </c>
      <c r="T90" s="157">
        <v>41853</v>
      </c>
      <c r="U90" s="139">
        <v>15.3</v>
      </c>
      <c r="Y90" s="139">
        <f t="shared" si="1"/>
        <v>2.5116800000000001</v>
      </c>
      <c r="AA90" s="139">
        <v>30.36</v>
      </c>
      <c r="AE90" s="139">
        <v>13.36</v>
      </c>
      <c r="AG90" s="185">
        <v>4.4000000000000004</v>
      </c>
      <c r="AI90" s="185">
        <v>120</v>
      </c>
      <c r="AJ90" s="157">
        <v>41803</v>
      </c>
      <c r="AO90" s="139">
        <v>89</v>
      </c>
      <c r="AP90" s="157">
        <v>41738</v>
      </c>
      <c r="AS90" s="139">
        <v>127</v>
      </c>
      <c r="AT90" s="157">
        <v>41766</v>
      </c>
      <c r="BS90" s="140">
        <v>51.4</v>
      </c>
      <c r="BU90" s="140">
        <v>18.8</v>
      </c>
      <c r="BW90" s="140">
        <v>19.100000000000001</v>
      </c>
      <c r="BY90" s="140">
        <v>11.4</v>
      </c>
      <c r="CJ90" s="140" t="s">
        <v>8140</v>
      </c>
    </row>
    <row r="91" spans="1:91">
      <c r="A91" s="158" t="s">
        <v>7774</v>
      </c>
      <c r="B91" s="112" t="s">
        <v>269</v>
      </c>
      <c r="C91" s="112">
        <v>1</v>
      </c>
      <c r="D91">
        <v>159</v>
      </c>
      <c r="E91" s="113">
        <v>12</v>
      </c>
      <c r="F91" s="113">
        <v>6</v>
      </c>
      <c r="I91" s="112">
        <v>34</v>
      </c>
      <c r="J91" s="183">
        <v>41705</v>
      </c>
      <c r="M91" s="184">
        <v>2.98</v>
      </c>
      <c r="N91" s="157">
        <v>41853</v>
      </c>
      <c r="S91" s="139">
        <v>9.77</v>
      </c>
      <c r="T91" s="157">
        <v>41853</v>
      </c>
      <c r="U91" s="139">
        <v>15.3</v>
      </c>
      <c r="Y91" s="139">
        <f t="shared" si="1"/>
        <v>3.5112999999999999</v>
      </c>
      <c r="AA91" s="139">
        <v>37.96</v>
      </c>
      <c r="AE91" s="139">
        <v>18.98</v>
      </c>
      <c r="AG91" s="185">
        <v>5</v>
      </c>
      <c r="AI91" s="185">
        <v>115</v>
      </c>
      <c r="AJ91" s="157">
        <v>41803</v>
      </c>
      <c r="AO91" s="139">
        <v>88</v>
      </c>
      <c r="AP91" s="157">
        <v>41738</v>
      </c>
      <c r="AS91" s="139">
        <v>126</v>
      </c>
      <c r="AT91" s="157">
        <v>41766</v>
      </c>
      <c r="BS91" s="140">
        <v>51.5</v>
      </c>
      <c r="BU91" s="140">
        <v>18.5</v>
      </c>
      <c r="BW91" s="140">
        <v>14.9</v>
      </c>
      <c r="BY91" s="140">
        <v>11.3</v>
      </c>
      <c r="CJ91" s="140" t="s">
        <v>8140</v>
      </c>
    </row>
    <row r="92" spans="1:91">
      <c r="A92" s="158" t="s">
        <v>7814</v>
      </c>
      <c r="B92" s="112" t="s">
        <v>271</v>
      </c>
      <c r="C92" s="112">
        <v>2</v>
      </c>
      <c r="D92">
        <v>199</v>
      </c>
      <c r="E92" s="113">
        <v>12</v>
      </c>
      <c r="F92" s="113">
        <v>7</v>
      </c>
      <c r="I92" s="112">
        <v>73</v>
      </c>
      <c r="J92" s="183">
        <v>41705</v>
      </c>
      <c r="M92" s="184">
        <v>3.94</v>
      </c>
      <c r="N92" s="157">
        <v>41853</v>
      </c>
      <c r="S92" s="139">
        <v>12.54</v>
      </c>
      <c r="T92" s="157">
        <v>41853</v>
      </c>
      <c r="U92" s="139">
        <v>15.3</v>
      </c>
      <c r="Y92" s="139">
        <f t="shared" si="1"/>
        <v>5.1644199999999998</v>
      </c>
      <c r="AA92" s="139">
        <v>49.16</v>
      </c>
      <c r="AE92" s="139">
        <v>25.07</v>
      </c>
      <c r="AG92" s="185">
        <v>5.0999999999999996</v>
      </c>
      <c r="AI92" s="185">
        <v>105</v>
      </c>
      <c r="AJ92" s="157">
        <v>41803</v>
      </c>
      <c r="AO92" s="139">
        <v>94</v>
      </c>
      <c r="AP92" s="157">
        <v>41738</v>
      </c>
      <c r="AS92" s="139">
        <v>127</v>
      </c>
      <c r="AT92" s="157">
        <v>41766</v>
      </c>
      <c r="BS92" s="140">
        <v>50</v>
      </c>
      <c r="BU92" s="140">
        <v>20.6</v>
      </c>
      <c r="BW92" s="140">
        <v>16.899999999999999</v>
      </c>
      <c r="BY92" s="140">
        <v>11.4</v>
      </c>
      <c r="CJ92" s="140" t="s">
        <v>8140</v>
      </c>
    </row>
    <row r="93" spans="1:91">
      <c r="A93" s="158" t="s">
        <v>7650</v>
      </c>
      <c r="B93" s="112" t="s">
        <v>271</v>
      </c>
      <c r="C93" s="112">
        <v>2</v>
      </c>
      <c r="D93">
        <v>35</v>
      </c>
      <c r="E93" s="113">
        <v>12</v>
      </c>
      <c r="F93" s="113">
        <v>8</v>
      </c>
      <c r="I93" s="112">
        <v>36</v>
      </c>
      <c r="J93" s="183">
        <v>41705</v>
      </c>
      <c r="M93" s="184">
        <v>2.17</v>
      </c>
      <c r="N93" s="157">
        <v>41853</v>
      </c>
      <c r="S93" s="139">
        <v>6.47</v>
      </c>
      <c r="T93" s="157">
        <v>41853</v>
      </c>
      <c r="U93" s="139">
        <v>15.3</v>
      </c>
      <c r="Y93" s="139">
        <f t="shared" si="1"/>
        <v>3.35412</v>
      </c>
      <c r="AA93" s="139">
        <v>22.72</v>
      </c>
      <c r="AE93" s="139">
        <v>13.86</v>
      </c>
      <c r="AG93" s="185">
        <v>6.1</v>
      </c>
      <c r="AI93" s="185">
        <v>110</v>
      </c>
      <c r="AJ93" s="157">
        <v>41803</v>
      </c>
      <c r="AO93" s="139">
        <v>95</v>
      </c>
      <c r="AP93" s="157">
        <v>41738</v>
      </c>
      <c r="AS93" s="139">
        <v>128</v>
      </c>
      <c r="AT93" s="157">
        <v>41766</v>
      </c>
      <c r="BS93" s="140">
        <v>46.7</v>
      </c>
      <c r="BU93" s="140">
        <v>24.2</v>
      </c>
      <c r="BW93" s="140">
        <v>67.8</v>
      </c>
      <c r="BY93" s="140">
        <v>11.1</v>
      </c>
      <c r="CJ93" s="140" t="s">
        <v>8144</v>
      </c>
    </row>
    <row r="94" spans="1:91">
      <c r="A94" s="158" t="s">
        <v>7616</v>
      </c>
      <c r="B94" s="112" t="s">
        <v>271</v>
      </c>
      <c r="C94" s="112">
        <v>2</v>
      </c>
      <c r="D94">
        <v>1</v>
      </c>
      <c r="E94" s="113">
        <v>12</v>
      </c>
      <c r="F94" s="113">
        <v>9</v>
      </c>
      <c r="I94" s="187">
        <v>48</v>
      </c>
      <c r="J94" s="183">
        <v>41705</v>
      </c>
      <c r="K94" s="142"/>
      <c r="M94" s="184">
        <v>2.64</v>
      </c>
      <c r="N94" s="157">
        <v>41853</v>
      </c>
      <c r="O94" s="141"/>
      <c r="Q94" s="142"/>
      <c r="S94" s="142">
        <v>8.23</v>
      </c>
      <c r="T94" s="157">
        <v>41853</v>
      </c>
      <c r="U94" s="142">
        <v>15.3</v>
      </c>
      <c r="W94" s="142"/>
      <c r="Y94" s="139">
        <f t="shared" si="1"/>
        <v>3.86781</v>
      </c>
      <c r="AA94" s="142">
        <v>38.39</v>
      </c>
      <c r="AE94" s="142">
        <v>16.89</v>
      </c>
      <c r="AG94" s="185">
        <v>4.4000000000000004</v>
      </c>
      <c r="AI94" s="185">
        <v>125</v>
      </c>
      <c r="AJ94" s="157">
        <v>41803</v>
      </c>
      <c r="AK94" s="142"/>
      <c r="AM94" s="142"/>
      <c r="AO94" s="139">
        <v>95</v>
      </c>
      <c r="AP94" s="157">
        <v>41738</v>
      </c>
      <c r="AS94" s="139">
        <v>127</v>
      </c>
      <c r="AT94" s="157">
        <v>41766</v>
      </c>
      <c r="BS94" s="140">
        <v>48.7</v>
      </c>
      <c r="BU94" s="140">
        <v>22.9</v>
      </c>
      <c r="BW94" s="140">
        <v>54.1</v>
      </c>
      <c r="BY94" s="140">
        <v>10.9</v>
      </c>
      <c r="CJ94" s="140" t="s">
        <v>8139</v>
      </c>
    </row>
    <row r="95" spans="1:91">
      <c r="A95" s="158" t="s">
        <v>7697</v>
      </c>
      <c r="B95" s="112" t="s">
        <v>271</v>
      </c>
      <c r="C95" s="112">
        <v>2</v>
      </c>
      <c r="D95">
        <v>82</v>
      </c>
      <c r="E95" s="113">
        <v>12</v>
      </c>
      <c r="F95" s="113">
        <v>10</v>
      </c>
      <c r="I95" s="112">
        <v>48</v>
      </c>
      <c r="J95" s="183">
        <v>41705</v>
      </c>
      <c r="M95" s="184">
        <v>4.1399999999999997</v>
      </c>
      <c r="N95" s="157">
        <v>41853</v>
      </c>
      <c r="S95" s="139">
        <v>12.83</v>
      </c>
      <c r="T95" s="157">
        <v>41853</v>
      </c>
      <c r="U95" s="139">
        <v>15.3</v>
      </c>
      <c r="Y95" s="139">
        <f t="shared" si="1"/>
        <v>5.6916000000000011</v>
      </c>
      <c r="AA95" s="139">
        <v>58.56</v>
      </c>
      <c r="AE95" s="139">
        <v>26.35</v>
      </c>
      <c r="AG95" s="185">
        <v>4.5</v>
      </c>
      <c r="AI95" s="185">
        <v>120</v>
      </c>
      <c r="AJ95" s="157">
        <v>41803</v>
      </c>
      <c r="AO95" s="139">
        <v>93</v>
      </c>
      <c r="AP95" s="157">
        <v>41738</v>
      </c>
      <c r="AS95" s="139">
        <v>127</v>
      </c>
      <c r="AT95" s="157">
        <v>41766</v>
      </c>
      <c r="BS95" s="140">
        <v>48.7</v>
      </c>
      <c r="BU95" s="140">
        <v>21.6</v>
      </c>
      <c r="BW95" s="140">
        <v>16.399999999999999</v>
      </c>
      <c r="BY95" s="140">
        <v>11.4</v>
      </c>
      <c r="CJ95" s="140" t="s">
        <v>8140</v>
      </c>
    </row>
    <row r="96" spans="1:91">
      <c r="A96" s="158" t="s">
        <v>7656</v>
      </c>
      <c r="B96" s="112" t="s">
        <v>271</v>
      </c>
      <c r="C96" s="112">
        <v>2</v>
      </c>
      <c r="D96">
        <v>41</v>
      </c>
      <c r="E96" s="113">
        <v>12</v>
      </c>
      <c r="F96" s="113">
        <v>11</v>
      </c>
      <c r="I96" s="112">
        <v>34</v>
      </c>
      <c r="J96" s="183">
        <v>41705</v>
      </c>
      <c r="M96" s="184">
        <v>2.83</v>
      </c>
      <c r="N96" s="157">
        <v>41853</v>
      </c>
      <c r="S96" s="139">
        <v>8.41</v>
      </c>
      <c r="T96" s="157">
        <v>41853</v>
      </c>
      <c r="U96" s="139">
        <v>15.3</v>
      </c>
      <c r="Y96" s="139">
        <f t="shared" si="1"/>
        <v>4.1603100000000008</v>
      </c>
      <c r="AA96" s="139">
        <v>33.35</v>
      </c>
      <c r="AE96" s="139">
        <v>18.010000000000002</v>
      </c>
      <c r="AG96" s="185">
        <v>5.4</v>
      </c>
      <c r="AI96" s="185">
        <v>120</v>
      </c>
      <c r="AJ96" s="157">
        <v>41803</v>
      </c>
      <c r="AO96" s="139">
        <v>90</v>
      </c>
      <c r="AP96" s="157">
        <v>41738</v>
      </c>
      <c r="AS96" s="139">
        <v>127</v>
      </c>
      <c r="AT96" s="157">
        <v>41766</v>
      </c>
      <c r="BS96" s="140">
        <v>46.7</v>
      </c>
      <c r="BU96" s="140">
        <v>23.1</v>
      </c>
      <c r="BW96" s="140">
        <v>21.9</v>
      </c>
      <c r="BY96" s="140">
        <v>11.4</v>
      </c>
      <c r="CJ96" s="140" t="s">
        <v>8144</v>
      </c>
    </row>
    <row r="97" spans="1:91">
      <c r="A97" s="158" t="s">
        <v>7718</v>
      </c>
      <c r="B97" s="112" t="s">
        <v>271</v>
      </c>
      <c r="C97" s="112">
        <v>2</v>
      </c>
      <c r="D97">
        <v>103</v>
      </c>
      <c r="E97" s="113">
        <v>12</v>
      </c>
      <c r="F97" s="113">
        <v>12</v>
      </c>
      <c r="I97" s="112">
        <v>31</v>
      </c>
      <c r="J97" s="183">
        <v>41705</v>
      </c>
      <c r="M97" s="184">
        <v>4.67</v>
      </c>
      <c r="N97" s="157">
        <v>41853</v>
      </c>
      <c r="S97" s="139">
        <v>14.94</v>
      </c>
      <c r="T97" s="157">
        <v>41853</v>
      </c>
      <c r="U97" s="139">
        <v>15.3</v>
      </c>
      <c r="Y97" s="139">
        <f t="shared" si="1"/>
        <v>6.1968499999999995</v>
      </c>
      <c r="AA97" s="139">
        <v>55.94</v>
      </c>
      <c r="AE97" s="139">
        <v>29.65</v>
      </c>
      <c r="AG97" s="185">
        <v>5.3</v>
      </c>
      <c r="AI97" s="185">
        <v>130</v>
      </c>
      <c r="AJ97" s="157">
        <v>41803</v>
      </c>
      <c r="AO97" s="139">
        <v>93</v>
      </c>
      <c r="AP97" s="157">
        <v>41738</v>
      </c>
      <c r="AS97" s="139">
        <v>127</v>
      </c>
      <c r="AT97" s="157">
        <v>41766</v>
      </c>
      <c r="BS97" s="140">
        <v>50.4</v>
      </c>
      <c r="BU97" s="140">
        <v>20.9</v>
      </c>
      <c r="BW97" s="140">
        <v>15.6</v>
      </c>
      <c r="BY97" s="140">
        <v>11.6</v>
      </c>
      <c r="CJ97" s="140" t="s">
        <v>8140</v>
      </c>
    </row>
    <row r="98" spans="1:91">
      <c r="A98" s="158" t="s">
        <v>7725</v>
      </c>
      <c r="B98" s="112" t="s">
        <v>269</v>
      </c>
      <c r="C98" s="112">
        <v>1</v>
      </c>
      <c r="D98">
        <v>110</v>
      </c>
      <c r="E98" s="113">
        <v>13</v>
      </c>
      <c r="F98" s="113">
        <v>1</v>
      </c>
      <c r="I98" s="112">
        <v>26</v>
      </c>
      <c r="J98" s="183">
        <v>41705</v>
      </c>
      <c r="M98" s="184">
        <v>1.22</v>
      </c>
      <c r="N98" s="157">
        <v>41853</v>
      </c>
      <c r="S98" s="139">
        <v>4.1100000000000003</v>
      </c>
      <c r="T98" s="157">
        <v>41853</v>
      </c>
      <c r="U98" s="139">
        <v>15.3</v>
      </c>
      <c r="Y98" s="139">
        <f t="shared" si="1"/>
        <v>1.4255700000000002</v>
      </c>
      <c r="AA98" s="139">
        <v>15.58</v>
      </c>
      <c r="AE98" s="139">
        <v>7.79</v>
      </c>
      <c r="AG98" s="185">
        <v>5</v>
      </c>
      <c r="AI98" s="185">
        <v>110</v>
      </c>
      <c r="AJ98" s="157">
        <v>41803</v>
      </c>
      <c r="AO98" s="139">
        <v>91</v>
      </c>
      <c r="AP98" s="157">
        <v>41738</v>
      </c>
      <c r="AS98" s="139">
        <v>127</v>
      </c>
      <c r="AT98" s="157">
        <v>41766</v>
      </c>
      <c r="BS98" s="140">
        <v>52.7</v>
      </c>
      <c r="BU98" s="140">
        <v>18.3</v>
      </c>
      <c r="BW98" s="140">
        <v>12.8</v>
      </c>
      <c r="BY98" s="140">
        <v>11.1</v>
      </c>
      <c r="CJ98" s="140" t="s">
        <v>8140</v>
      </c>
    </row>
    <row r="99" spans="1:91">
      <c r="A99" s="158" t="s">
        <v>7654</v>
      </c>
      <c r="B99" s="112" t="s">
        <v>269</v>
      </c>
      <c r="C99" s="112">
        <v>1</v>
      </c>
      <c r="D99">
        <v>39</v>
      </c>
      <c r="E99" s="113">
        <v>13</v>
      </c>
      <c r="F99" s="113">
        <v>2</v>
      </c>
      <c r="I99" s="112">
        <v>35</v>
      </c>
      <c r="J99" s="183">
        <v>41705</v>
      </c>
      <c r="M99" s="184">
        <v>1.42</v>
      </c>
      <c r="N99" s="157">
        <v>41853</v>
      </c>
      <c r="S99" s="139">
        <v>4.51</v>
      </c>
      <c r="T99" s="157">
        <v>41853</v>
      </c>
      <c r="U99" s="139">
        <v>15.3</v>
      </c>
      <c r="Y99" s="139">
        <f t="shared" si="1"/>
        <v>1.9681899999999999</v>
      </c>
      <c r="AA99" s="139">
        <v>17.440000000000001</v>
      </c>
      <c r="AE99" s="139">
        <v>9.07</v>
      </c>
      <c r="AG99" s="185">
        <v>5.2</v>
      </c>
      <c r="AI99" s="185">
        <v>135</v>
      </c>
      <c r="AJ99" s="157">
        <v>41803</v>
      </c>
      <c r="AO99" s="139">
        <v>92</v>
      </c>
      <c r="AP99" s="157">
        <v>41738</v>
      </c>
      <c r="AS99" s="139">
        <v>127</v>
      </c>
      <c r="AT99" s="157">
        <v>41766</v>
      </c>
      <c r="BS99" s="140">
        <v>49.7</v>
      </c>
      <c r="BU99" s="140">
        <v>21.7</v>
      </c>
      <c r="BW99" s="140">
        <v>24.4</v>
      </c>
      <c r="BY99" s="140">
        <v>11.1</v>
      </c>
      <c r="CJ99" s="140" t="s">
        <v>8140</v>
      </c>
    </row>
    <row r="100" spans="1:91">
      <c r="A100" s="188" t="s">
        <v>7645</v>
      </c>
      <c r="B100" s="189" t="s">
        <v>269</v>
      </c>
      <c r="C100" s="189">
        <v>1</v>
      </c>
      <c r="D100" s="190">
        <v>30</v>
      </c>
      <c r="E100" s="191">
        <v>13</v>
      </c>
      <c r="F100" s="191">
        <v>3</v>
      </c>
      <c r="G100" s="191"/>
      <c r="H100" s="191"/>
      <c r="I100" s="189">
        <v>49</v>
      </c>
      <c r="J100" s="193">
        <v>41705</v>
      </c>
      <c r="K100" s="194"/>
      <c r="L100" s="195"/>
      <c r="M100" s="196">
        <v>1.24</v>
      </c>
      <c r="N100" s="195">
        <v>41853</v>
      </c>
      <c r="O100" s="194"/>
      <c r="P100" s="195"/>
      <c r="Q100" s="194"/>
      <c r="R100" s="195"/>
      <c r="S100" s="194">
        <v>3.75</v>
      </c>
      <c r="T100" s="195">
        <v>41853</v>
      </c>
      <c r="U100" s="194">
        <v>15.3</v>
      </c>
      <c r="V100" s="195"/>
      <c r="W100" s="194"/>
      <c r="X100" s="195"/>
      <c r="Y100" s="139">
        <f t="shared" si="1"/>
        <v>1.7740799999999999</v>
      </c>
      <c r="Z100" s="195"/>
      <c r="AA100" s="194">
        <v>14.67</v>
      </c>
      <c r="AB100" s="195"/>
      <c r="AC100" s="194"/>
      <c r="AD100" s="195"/>
      <c r="AE100" s="194">
        <v>7.92</v>
      </c>
      <c r="AF100" s="195"/>
      <c r="AG100" s="197">
        <v>5.4</v>
      </c>
      <c r="AH100" s="195"/>
      <c r="AI100" s="197">
        <v>90</v>
      </c>
      <c r="AJ100" s="195">
        <v>41803</v>
      </c>
      <c r="AK100" s="194"/>
      <c r="AL100" s="195"/>
      <c r="AM100" s="194"/>
      <c r="AN100" s="195"/>
      <c r="AO100" s="194">
        <v>88</v>
      </c>
      <c r="AP100" s="195">
        <v>41738</v>
      </c>
      <c r="AQ100" s="194"/>
      <c r="AR100" s="194"/>
      <c r="AS100" s="194">
        <v>127</v>
      </c>
      <c r="AT100" s="195">
        <v>41766</v>
      </c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  <c r="BR100" s="198"/>
      <c r="BS100" s="198">
        <v>47.3</v>
      </c>
      <c r="BT100" s="198"/>
      <c r="BU100" s="198">
        <v>22.4</v>
      </c>
      <c r="BV100" s="198"/>
      <c r="BW100" s="198">
        <v>61.5</v>
      </c>
      <c r="BX100" s="198"/>
      <c r="BY100" s="198">
        <v>11.1</v>
      </c>
      <c r="BZ100" s="198"/>
      <c r="CA100" s="198"/>
      <c r="CB100" s="198"/>
      <c r="CC100" s="198"/>
      <c r="CD100" s="198"/>
      <c r="CE100" s="198"/>
      <c r="CF100" s="198"/>
      <c r="CG100" s="198"/>
      <c r="CH100" s="198"/>
      <c r="CI100" s="198"/>
      <c r="CJ100" s="198" t="s">
        <v>8140</v>
      </c>
      <c r="CK100" s="198"/>
      <c r="CL100" s="198"/>
      <c r="CM100" s="198"/>
    </row>
    <row r="101" spans="1:91">
      <c r="A101" s="158" t="s">
        <v>7811</v>
      </c>
      <c r="B101" s="112" t="s">
        <v>269</v>
      </c>
      <c r="C101" s="112">
        <v>1</v>
      </c>
      <c r="D101">
        <v>196</v>
      </c>
      <c r="E101" s="113">
        <v>13</v>
      </c>
      <c r="F101" s="113">
        <v>4</v>
      </c>
      <c r="I101" s="112">
        <v>27</v>
      </c>
      <c r="J101" s="183">
        <v>41705</v>
      </c>
      <c r="M101" s="184">
        <v>2.5099999999999998</v>
      </c>
      <c r="N101" s="157">
        <v>41853</v>
      </c>
      <c r="S101" s="139">
        <v>7.93</v>
      </c>
      <c r="T101" s="157">
        <v>41853</v>
      </c>
      <c r="U101" s="139">
        <v>15.3</v>
      </c>
      <c r="Y101" s="139">
        <f t="shared" si="1"/>
        <v>3.4304199999999998</v>
      </c>
      <c r="AA101" s="139">
        <v>38.17</v>
      </c>
      <c r="AE101" s="139">
        <v>16.03</v>
      </c>
      <c r="AG101" s="185">
        <v>4.2</v>
      </c>
      <c r="AI101" s="185">
        <v>125</v>
      </c>
      <c r="AJ101" s="157">
        <v>41803</v>
      </c>
      <c r="AO101" s="139">
        <v>88</v>
      </c>
      <c r="AP101" s="157">
        <v>41738</v>
      </c>
      <c r="AS101" s="139">
        <v>123</v>
      </c>
      <c r="AT101" s="157">
        <v>41766</v>
      </c>
      <c r="BS101" s="140">
        <v>49.5</v>
      </c>
      <c r="BU101" s="140">
        <v>21.4</v>
      </c>
      <c r="BW101" s="140">
        <v>64.2</v>
      </c>
      <c r="BY101" s="140">
        <v>11.1</v>
      </c>
      <c r="CJ101" s="140" t="s">
        <v>8140</v>
      </c>
    </row>
    <row r="102" spans="1:91">
      <c r="A102" s="158" t="s">
        <v>7790</v>
      </c>
      <c r="B102" s="112" t="s">
        <v>269</v>
      </c>
      <c r="C102" s="112">
        <v>1</v>
      </c>
      <c r="D102">
        <v>175</v>
      </c>
      <c r="E102" s="113">
        <v>13</v>
      </c>
      <c r="F102" s="113">
        <v>5</v>
      </c>
      <c r="I102" s="112">
        <v>36</v>
      </c>
      <c r="J102" s="183">
        <v>41705</v>
      </c>
      <c r="M102" s="184">
        <v>2.78</v>
      </c>
      <c r="N102" s="157">
        <v>41853</v>
      </c>
      <c r="S102" s="139">
        <v>8.9600000000000009</v>
      </c>
      <c r="T102" s="157">
        <v>41853</v>
      </c>
      <c r="U102" s="139">
        <v>15.3</v>
      </c>
      <c r="Y102" s="139">
        <f t="shared" si="1"/>
        <v>3.49675</v>
      </c>
      <c r="AA102" s="139">
        <v>32.270000000000003</v>
      </c>
      <c r="AE102" s="139">
        <v>17.75</v>
      </c>
      <c r="AG102" s="185">
        <v>5.5</v>
      </c>
      <c r="AI102" s="185">
        <v>120</v>
      </c>
      <c r="AJ102" s="157">
        <v>41803</v>
      </c>
      <c r="AO102" s="139">
        <v>93</v>
      </c>
      <c r="AP102" s="157">
        <v>41738</v>
      </c>
      <c r="AS102" s="139">
        <v>126</v>
      </c>
      <c r="AT102" s="157">
        <v>41766</v>
      </c>
      <c r="BS102" s="140">
        <v>50.5</v>
      </c>
      <c r="BU102" s="140">
        <v>19.7</v>
      </c>
      <c r="BW102" s="140">
        <v>9.9</v>
      </c>
      <c r="BY102" s="140">
        <v>11.1</v>
      </c>
      <c r="CJ102" s="140" t="s">
        <v>8140</v>
      </c>
    </row>
    <row r="103" spans="1:91">
      <c r="A103" s="158" t="s">
        <v>7727</v>
      </c>
      <c r="B103" s="112" t="s">
        <v>269</v>
      </c>
      <c r="C103" s="112">
        <v>1</v>
      </c>
      <c r="D103">
        <v>112</v>
      </c>
      <c r="E103" s="113">
        <v>13</v>
      </c>
      <c r="F103" s="113">
        <v>6</v>
      </c>
      <c r="I103" s="112">
        <v>31</v>
      </c>
      <c r="J103" s="183">
        <v>41705</v>
      </c>
      <c r="M103" s="184">
        <v>2.4</v>
      </c>
      <c r="N103" s="157">
        <v>41853</v>
      </c>
      <c r="S103" s="139">
        <v>7.83</v>
      </c>
      <c r="T103" s="157">
        <v>41853</v>
      </c>
      <c r="U103" s="139">
        <v>15.3</v>
      </c>
      <c r="Y103" s="139">
        <f t="shared" si="1"/>
        <v>2.9567600000000005</v>
      </c>
      <c r="AA103" s="139">
        <v>30.04</v>
      </c>
      <c r="AE103" s="139">
        <v>15.32</v>
      </c>
      <c r="AG103" s="185">
        <v>5.0999999999999996</v>
      </c>
      <c r="AI103" s="185">
        <v>120</v>
      </c>
      <c r="AJ103" s="157">
        <v>41803</v>
      </c>
      <c r="AO103" s="139">
        <v>91</v>
      </c>
      <c r="AP103" s="157">
        <v>41738</v>
      </c>
      <c r="AS103" s="139">
        <v>125</v>
      </c>
      <c r="AT103" s="157">
        <v>41766</v>
      </c>
      <c r="BS103" s="140">
        <v>51.1</v>
      </c>
      <c r="BU103" s="140">
        <v>19.3</v>
      </c>
      <c r="BW103" s="140">
        <v>15.8</v>
      </c>
      <c r="BY103" s="140">
        <v>11.1</v>
      </c>
      <c r="CJ103" s="140" t="s">
        <v>8140</v>
      </c>
    </row>
    <row r="104" spans="1:91">
      <c r="A104" s="158" t="s">
        <v>7669</v>
      </c>
      <c r="B104" s="112" t="s">
        <v>271</v>
      </c>
      <c r="C104" s="112">
        <v>2</v>
      </c>
      <c r="D104">
        <v>54</v>
      </c>
      <c r="E104" s="113">
        <v>13</v>
      </c>
      <c r="F104" s="113">
        <v>7</v>
      </c>
      <c r="I104" s="112">
        <v>29</v>
      </c>
      <c r="J104" s="183">
        <v>41705</v>
      </c>
      <c r="M104" s="184">
        <v>3.29</v>
      </c>
      <c r="N104" s="157">
        <v>41853</v>
      </c>
      <c r="S104" s="139">
        <v>10.71</v>
      </c>
      <c r="T104" s="157">
        <v>41853</v>
      </c>
      <c r="U104" s="139">
        <v>15.3</v>
      </c>
      <c r="Y104" s="139">
        <f t="shared" si="1"/>
        <v>3.79834</v>
      </c>
      <c r="AA104" s="139">
        <v>43.48</v>
      </c>
      <c r="AE104" s="139">
        <v>20.87</v>
      </c>
      <c r="AG104" s="185">
        <v>4.8</v>
      </c>
      <c r="AI104" s="185">
        <v>115</v>
      </c>
      <c r="AJ104" s="157">
        <v>41803</v>
      </c>
      <c r="AO104" s="139">
        <v>93</v>
      </c>
      <c r="AP104" s="157">
        <v>41738</v>
      </c>
      <c r="AS104" s="139">
        <v>128</v>
      </c>
      <c r="AT104" s="157">
        <v>41766</v>
      </c>
      <c r="BS104" s="140">
        <v>51.3</v>
      </c>
      <c r="BU104" s="140">
        <v>18.2</v>
      </c>
      <c r="BW104" s="140">
        <v>11</v>
      </c>
      <c r="BY104" s="140">
        <v>11.7</v>
      </c>
      <c r="CJ104" s="140" t="s">
        <v>8140</v>
      </c>
    </row>
    <row r="105" spans="1:91">
      <c r="A105" s="158" t="s">
        <v>7676</v>
      </c>
      <c r="B105" s="112" t="s">
        <v>271</v>
      </c>
      <c r="C105" s="112">
        <v>2</v>
      </c>
      <c r="D105">
        <v>61</v>
      </c>
      <c r="E105" s="113">
        <v>13</v>
      </c>
      <c r="F105" s="113">
        <v>8</v>
      </c>
      <c r="I105" s="112">
        <v>38</v>
      </c>
      <c r="J105" s="183">
        <v>41705</v>
      </c>
      <c r="M105" s="184">
        <v>3.53</v>
      </c>
      <c r="N105" s="157">
        <v>41853</v>
      </c>
      <c r="S105" s="139">
        <v>11.3</v>
      </c>
      <c r="T105" s="157">
        <v>41853</v>
      </c>
      <c r="U105" s="139">
        <v>15.3</v>
      </c>
      <c r="Y105" s="139">
        <f t="shared" si="1"/>
        <v>4.5144600000000006</v>
      </c>
      <c r="AA105" s="139">
        <v>52.23</v>
      </c>
      <c r="AE105" s="139">
        <v>22.46</v>
      </c>
      <c r="AG105" s="185">
        <v>4.3</v>
      </c>
      <c r="AI105" s="185">
        <v>115</v>
      </c>
      <c r="AJ105" s="157">
        <v>41803</v>
      </c>
      <c r="AO105" s="139">
        <v>92</v>
      </c>
      <c r="AP105" s="157">
        <v>41738</v>
      </c>
      <c r="AS105" s="139">
        <v>127</v>
      </c>
      <c r="AT105" s="157">
        <v>41766</v>
      </c>
      <c r="BS105" s="140">
        <v>50.3</v>
      </c>
      <c r="BU105" s="140">
        <v>20.100000000000001</v>
      </c>
      <c r="BW105" s="140">
        <v>38.4</v>
      </c>
      <c r="BY105" s="140">
        <v>11.4</v>
      </c>
      <c r="CJ105" s="140" t="s">
        <v>8140</v>
      </c>
    </row>
    <row r="106" spans="1:91">
      <c r="A106" s="158" t="s">
        <v>7809</v>
      </c>
      <c r="B106" s="112" t="s">
        <v>271</v>
      </c>
      <c r="C106" s="112">
        <v>2</v>
      </c>
      <c r="D106">
        <v>194</v>
      </c>
      <c r="E106" s="113">
        <v>13</v>
      </c>
      <c r="F106" s="113">
        <v>9</v>
      </c>
      <c r="I106" s="112">
        <v>34</v>
      </c>
      <c r="J106" s="183">
        <v>41705</v>
      </c>
      <c r="M106" s="184">
        <v>4.54</v>
      </c>
      <c r="N106" s="157">
        <v>41853</v>
      </c>
      <c r="S106" s="139">
        <v>15.03</v>
      </c>
      <c r="T106" s="157">
        <v>41853</v>
      </c>
      <c r="U106" s="139">
        <v>15.3</v>
      </c>
      <c r="Y106" s="139">
        <f t="shared" si="1"/>
        <v>5.7459600000000002</v>
      </c>
      <c r="AA106" s="139">
        <v>60.46</v>
      </c>
      <c r="AE106" s="139">
        <v>29.02</v>
      </c>
      <c r="AG106" s="185">
        <v>4.8</v>
      </c>
      <c r="AI106" s="185">
        <v>120</v>
      </c>
      <c r="AJ106" s="157">
        <v>41803</v>
      </c>
      <c r="AO106" s="139">
        <v>91</v>
      </c>
      <c r="AP106" s="157">
        <v>41738</v>
      </c>
      <c r="AS106" s="139">
        <v>127</v>
      </c>
      <c r="AT106" s="157">
        <v>41766</v>
      </c>
      <c r="BS106" s="140">
        <v>51.8</v>
      </c>
      <c r="BU106" s="140">
        <v>19.8</v>
      </c>
      <c r="BW106" s="140">
        <v>21.6</v>
      </c>
      <c r="BY106" s="140">
        <v>11</v>
      </c>
      <c r="CJ106" s="140" t="s">
        <v>8140</v>
      </c>
    </row>
    <row r="107" spans="1:91">
      <c r="A107" s="158" t="s">
        <v>7903</v>
      </c>
      <c r="B107" s="112" t="s">
        <v>271</v>
      </c>
      <c r="C107" s="112">
        <v>2</v>
      </c>
      <c r="D107">
        <v>214</v>
      </c>
      <c r="E107" s="113">
        <v>13</v>
      </c>
      <c r="F107" s="113">
        <v>10</v>
      </c>
      <c r="I107" s="112">
        <v>34</v>
      </c>
      <c r="J107" s="183">
        <v>41705</v>
      </c>
      <c r="M107" s="184">
        <v>4.7699999999999996</v>
      </c>
      <c r="N107" s="157">
        <v>41853</v>
      </c>
      <c r="S107" s="139">
        <v>15.42</v>
      </c>
      <c r="T107" s="157">
        <v>41853</v>
      </c>
      <c r="U107" s="139">
        <v>15.3</v>
      </c>
      <c r="Y107" s="139">
        <f t="shared" si="1"/>
        <v>6.0754700000000001</v>
      </c>
      <c r="AA107" s="139">
        <v>61.06</v>
      </c>
      <c r="AE107" s="139">
        <v>30.53</v>
      </c>
      <c r="AG107" s="185">
        <v>5</v>
      </c>
      <c r="AI107" s="185">
        <v>130</v>
      </c>
      <c r="AJ107" s="157">
        <v>41803</v>
      </c>
      <c r="AO107" s="139">
        <v>93</v>
      </c>
      <c r="AP107" s="157">
        <v>41738</v>
      </c>
      <c r="AS107" s="139">
        <v>127</v>
      </c>
      <c r="AT107" s="157">
        <v>41766</v>
      </c>
      <c r="BS107" s="140">
        <v>50.5</v>
      </c>
      <c r="BU107" s="140">
        <v>19.899999999999999</v>
      </c>
      <c r="BW107" s="140">
        <v>14.2</v>
      </c>
      <c r="BY107" s="140">
        <v>10.9</v>
      </c>
      <c r="CJ107" s="140" t="s">
        <v>8140</v>
      </c>
    </row>
    <row r="108" spans="1:91">
      <c r="A108" s="158" t="s">
        <v>7651</v>
      </c>
      <c r="B108" s="112" t="s">
        <v>271</v>
      </c>
      <c r="C108" s="112">
        <v>2</v>
      </c>
      <c r="D108">
        <v>36</v>
      </c>
      <c r="E108" s="113">
        <v>13</v>
      </c>
      <c r="F108" s="113">
        <v>11</v>
      </c>
      <c r="I108" s="112">
        <v>14</v>
      </c>
      <c r="J108" s="183">
        <v>41705</v>
      </c>
      <c r="M108" s="184">
        <v>3.1</v>
      </c>
      <c r="N108" s="157">
        <v>41853</v>
      </c>
      <c r="S108" s="139">
        <v>10.33</v>
      </c>
      <c r="T108" s="157">
        <v>41853</v>
      </c>
      <c r="U108" s="139">
        <v>15.3</v>
      </c>
      <c r="Y108" s="139">
        <f t="shared" si="1"/>
        <v>3.6537500000000001</v>
      </c>
      <c r="AA108" s="139">
        <v>39.5</v>
      </c>
      <c r="AE108" s="139">
        <v>19.75</v>
      </c>
      <c r="AG108" s="185">
        <v>5</v>
      </c>
      <c r="AI108" s="185">
        <v>115</v>
      </c>
      <c r="AJ108" s="157">
        <v>41803</v>
      </c>
      <c r="AO108" s="139">
        <v>90</v>
      </c>
      <c r="AP108" s="157">
        <v>41738</v>
      </c>
      <c r="AS108" s="139">
        <v>127</v>
      </c>
      <c r="AT108" s="157">
        <v>41766</v>
      </c>
      <c r="BS108" s="140">
        <v>52.3</v>
      </c>
      <c r="BU108" s="140">
        <v>18.5</v>
      </c>
      <c r="BW108" s="140">
        <v>11.8</v>
      </c>
      <c r="BY108" s="140">
        <v>11.3</v>
      </c>
      <c r="CJ108" s="140" t="s">
        <v>8140</v>
      </c>
    </row>
    <row r="109" spans="1:91">
      <c r="A109" s="158" t="s">
        <v>7632</v>
      </c>
      <c r="B109" s="112" t="s">
        <v>271</v>
      </c>
      <c r="C109" s="112">
        <v>2</v>
      </c>
      <c r="D109">
        <v>17</v>
      </c>
      <c r="E109" s="113">
        <v>13</v>
      </c>
      <c r="F109" s="113">
        <v>12</v>
      </c>
      <c r="I109" s="187">
        <v>36</v>
      </c>
      <c r="J109" s="183">
        <v>41705</v>
      </c>
      <c r="K109" s="142"/>
      <c r="M109" s="184">
        <v>3.69</v>
      </c>
      <c r="N109" s="157">
        <v>41853</v>
      </c>
      <c r="O109" s="141"/>
      <c r="Q109" s="142"/>
      <c r="S109" s="142"/>
      <c r="T109" s="157">
        <v>41853</v>
      </c>
      <c r="U109" s="142">
        <v>15.3</v>
      </c>
      <c r="W109" s="142"/>
      <c r="Y109" s="139">
        <f t="shared" si="1"/>
        <v>0</v>
      </c>
      <c r="AA109" s="142"/>
      <c r="AE109" s="142">
        <v>23.67</v>
      </c>
      <c r="AG109" s="185"/>
      <c r="AI109" s="185">
        <v>120</v>
      </c>
      <c r="AJ109" s="157">
        <v>41803</v>
      </c>
      <c r="AK109" s="142"/>
      <c r="AM109" s="142"/>
      <c r="AO109" s="139">
        <v>93</v>
      </c>
      <c r="AP109" s="157">
        <v>41738</v>
      </c>
      <c r="AS109" s="139">
        <v>127</v>
      </c>
      <c r="AT109" s="157">
        <v>41766</v>
      </c>
      <c r="BY109" s="140">
        <v>10.7</v>
      </c>
      <c r="CJ109" s="140" t="s">
        <v>8139</v>
      </c>
    </row>
    <row r="110" spans="1:91">
      <c r="A110" s="158" t="s">
        <v>7730</v>
      </c>
      <c r="B110" s="112" t="s">
        <v>269</v>
      </c>
      <c r="C110" s="112">
        <v>1</v>
      </c>
      <c r="D110">
        <v>115</v>
      </c>
      <c r="E110" s="113">
        <v>14</v>
      </c>
      <c r="F110" s="113">
        <v>1</v>
      </c>
      <c r="I110" s="112">
        <v>33</v>
      </c>
      <c r="J110" s="183">
        <v>41705</v>
      </c>
      <c r="M110" s="184">
        <v>1.92</v>
      </c>
      <c r="N110" s="157">
        <v>41853</v>
      </c>
      <c r="T110" s="157">
        <v>41853</v>
      </c>
      <c r="U110" s="139">
        <v>15.3</v>
      </c>
      <c r="Y110" s="139">
        <f t="shared" si="1"/>
        <v>0</v>
      </c>
      <c r="AE110" s="139">
        <v>12.31</v>
      </c>
      <c r="AG110" s="185"/>
      <c r="AI110" s="185">
        <v>130</v>
      </c>
      <c r="AJ110" s="157">
        <v>41803</v>
      </c>
      <c r="AO110" s="139">
        <v>91</v>
      </c>
      <c r="AP110" s="157">
        <v>41738</v>
      </c>
      <c r="AS110" s="139">
        <v>126</v>
      </c>
      <c r="AT110" s="157">
        <v>41766</v>
      </c>
      <c r="BY110" s="140">
        <v>10.7</v>
      </c>
      <c r="CJ110" s="140" t="s">
        <v>8140</v>
      </c>
    </row>
    <row r="111" spans="1:91">
      <c r="A111" s="158" t="s">
        <v>7626</v>
      </c>
      <c r="B111" s="112" t="s">
        <v>269</v>
      </c>
      <c r="C111" s="112">
        <v>1</v>
      </c>
      <c r="D111">
        <v>11</v>
      </c>
      <c r="E111" s="113">
        <v>14</v>
      </c>
      <c r="F111" s="113">
        <v>2</v>
      </c>
      <c r="I111" s="187">
        <v>28</v>
      </c>
      <c r="J111" s="183">
        <v>41705</v>
      </c>
      <c r="K111" s="142"/>
      <c r="M111" s="184">
        <v>1.5</v>
      </c>
      <c r="N111" s="157">
        <v>41853</v>
      </c>
      <c r="O111" s="141"/>
      <c r="Q111" s="142"/>
      <c r="S111" s="142"/>
      <c r="T111" s="157">
        <v>41853</v>
      </c>
      <c r="U111" s="142">
        <v>15.3</v>
      </c>
      <c r="W111" s="142"/>
      <c r="Y111" s="139">
        <f t="shared" si="1"/>
        <v>0</v>
      </c>
      <c r="AA111" s="142"/>
      <c r="AE111" s="142">
        <v>9.6199999999999992</v>
      </c>
      <c r="AG111" s="185"/>
      <c r="AI111" s="185">
        <v>125</v>
      </c>
      <c r="AJ111" s="157">
        <v>41803</v>
      </c>
      <c r="AK111" s="142"/>
      <c r="AM111" s="142"/>
      <c r="AO111" s="139">
        <v>93</v>
      </c>
      <c r="AP111" s="157">
        <v>41738</v>
      </c>
      <c r="AS111" s="139">
        <v>127</v>
      </c>
      <c r="AT111" s="157">
        <v>41766</v>
      </c>
      <c r="BY111" s="140">
        <v>10.7</v>
      </c>
      <c r="CJ111" s="140" t="s">
        <v>8140</v>
      </c>
    </row>
    <row r="112" spans="1:91">
      <c r="A112" s="188" t="s">
        <v>7760</v>
      </c>
      <c r="B112" s="189" t="s">
        <v>269</v>
      </c>
      <c r="C112" s="189">
        <v>1</v>
      </c>
      <c r="D112" s="190">
        <v>145</v>
      </c>
      <c r="E112" s="191">
        <v>14</v>
      </c>
      <c r="F112" s="191">
        <v>3</v>
      </c>
      <c r="G112" s="191"/>
      <c r="H112" s="191"/>
      <c r="I112" s="189">
        <v>38</v>
      </c>
      <c r="J112" s="193">
        <v>41705</v>
      </c>
      <c r="K112" s="194"/>
      <c r="L112" s="195"/>
      <c r="M112" s="196">
        <v>0.99</v>
      </c>
      <c r="N112" s="195">
        <v>41853</v>
      </c>
      <c r="O112" s="194"/>
      <c r="P112" s="195"/>
      <c r="Q112" s="194"/>
      <c r="R112" s="195"/>
      <c r="S112" s="194"/>
      <c r="T112" s="195">
        <v>41853</v>
      </c>
      <c r="U112" s="194">
        <v>15.3</v>
      </c>
      <c r="V112" s="195"/>
      <c r="W112" s="194"/>
      <c r="X112" s="195"/>
      <c r="Y112" s="139">
        <f t="shared" si="1"/>
        <v>0</v>
      </c>
      <c r="Z112" s="195"/>
      <c r="AA112" s="194"/>
      <c r="AB112" s="195"/>
      <c r="AC112" s="194"/>
      <c r="AD112" s="195"/>
      <c r="AE112" s="194">
        <v>6.35</v>
      </c>
      <c r="AF112" s="195"/>
      <c r="AG112" s="197"/>
      <c r="AH112" s="195"/>
      <c r="AI112" s="197">
        <v>125</v>
      </c>
      <c r="AJ112" s="195">
        <v>41803</v>
      </c>
      <c r="AK112" s="194"/>
      <c r="AL112" s="195"/>
      <c r="AM112" s="194"/>
      <c r="AN112" s="195"/>
      <c r="AO112" s="194">
        <v>99</v>
      </c>
      <c r="AP112" s="195">
        <v>41738</v>
      </c>
      <c r="AQ112" s="194"/>
      <c r="AR112" s="194"/>
      <c r="AS112" s="194">
        <v>128</v>
      </c>
      <c r="AT112" s="195">
        <v>41766</v>
      </c>
      <c r="AU112" s="194"/>
      <c r="AV112" s="194"/>
      <c r="AW112" s="194"/>
      <c r="AX112" s="194"/>
      <c r="AY112" s="194"/>
      <c r="AZ112" s="194"/>
      <c r="BA112" s="194"/>
      <c r="BB112" s="194"/>
      <c r="BC112" s="194"/>
      <c r="BD112" s="194"/>
      <c r="BE112" s="198"/>
      <c r="BF112" s="198"/>
      <c r="BG112" s="198"/>
      <c r="BH112" s="198"/>
      <c r="BI112" s="198"/>
      <c r="BJ112" s="198"/>
      <c r="BK112" s="198"/>
      <c r="BL112" s="198"/>
      <c r="BM112" s="198"/>
      <c r="BN112" s="198"/>
      <c r="BO112" s="198"/>
      <c r="BP112" s="198"/>
      <c r="BQ112" s="198"/>
      <c r="BR112" s="198"/>
      <c r="BS112" s="198"/>
      <c r="BT112" s="198"/>
      <c r="BU112" s="198"/>
      <c r="BV112" s="198"/>
      <c r="BW112" s="198"/>
      <c r="BX112" s="198"/>
      <c r="BY112" s="198">
        <v>10.7</v>
      </c>
      <c r="BZ112" s="198"/>
      <c r="CA112" s="198"/>
      <c r="CB112" s="198"/>
      <c r="CC112" s="198"/>
      <c r="CD112" s="198"/>
      <c r="CE112" s="198"/>
      <c r="CF112" s="198"/>
      <c r="CG112" s="198"/>
      <c r="CH112" s="198"/>
      <c r="CI112" s="198"/>
      <c r="CJ112" s="198" t="s">
        <v>8131</v>
      </c>
      <c r="CK112" s="198"/>
      <c r="CL112" s="198"/>
      <c r="CM112" s="198"/>
    </row>
    <row r="113" spans="1:88">
      <c r="A113" s="158" t="s">
        <v>7647</v>
      </c>
      <c r="B113" s="112" t="s">
        <v>269</v>
      </c>
      <c r="C113" s="112">
        <v>1</v>
      </c>
      <c r="D113">
        <v>32</v>
      </c>
      <c r="E113" s="113">
        <v>14</v>
      </c>
      <c r="F113" s="113">
        <v>4</v>
      </c>
      <c r="I113" s="112">
        <v>44</v>
      </c>
      <c r="J113" s="183">
        <v>41705</v>
      </c>
      <c r="M113" s="184">
        <v>2.2599999999999998</v>
      </c>
      <c r="N113" s="157">
        <v>41853</v>
      </c>
      <c r="T113" s="157">
        <v>41853</v>
      </c>
      <c r="U113" s="139">
        <v>15.3</v>
      </c>
      <c r="Y113" s="139">
        <f t="shared" si="1"/>
        <v>0</v>
      </c>
      <c r="AE113" s="139">
        <v>14.5</v>
      </c>
      <c r="AG113" s="185"/>
      <c r="AI113" s="185">
        <v>120</v>
      </c>
      <c r="AJ113" s="157">
        <v>41803</v>
      </c>
      <c r="AO113" s="139">
        <v>96</v>
      </c>
      <c r="AP113" s="157">
        <v>41738</v>
      </c>
      <c r="AS113" s="139">
        <v>127</v>
      </c>
      <c r="AT113" s="157">
        <v>41766</v>
      </c>
      <c r="BY113" s="140">
        <v>10.7</v>
      </c>
      <c r="CJ113" s="140" t="s">
        <v>8131</v>
      </c>
    </row>
    <row r="114" spans="1:88">
      <c r="A114" s="158" t="s">
        <v>7706</v>
      </c>
      <c r="B114" s="112" t="s">
        <v>269</v>
      </c>
      <c r="C114" s="112">
        <v>1</v>
      </c>
      <c r="D114">
        <v>91</v>
      </c>
      <c r="E114" s="113">
        <v>14</v>
      </c>
      <c r="F114" s="113">
        <v>5</v>
      </c>
      <c r="I114" s="112">
        <v>41</v>
      </c>
      <c r="J114" s="183">
        <v>41705</v>
      </c>
      <c r="M114" s="184">
        <v>2.31</v>
      </c>
      <c r="N114" s="157">
        <v>41853</v>
      </c>
      <c r="S114" s="139">
        <v>7.45</v>
      </c>
      <c r="T114" s="157">
        <v>41853</v>
      </c>
      <c r="U114" s="139">
        <v>15.3</v>
      </c>
      <c r="Y114" s="139">
        <f t="shared" si="1"/>
        <v>2.9788200000000002</v>
      </c>
      <c r="AA114" s="139">
        <v>29.64</v>
      </c>
      <c r="AE114" s="139">
        <v>14.82</v>
      </c>
      <c r="AG114" s="185">
        <v>5</v>
      </c>
      <c r="AI114" s="185">
        <v>125</v>
      </c>
      <c r="AJ114" s="157">
        <v>41803</v>
      </c>
      <c r="AO114" s="139">
        <v>94</v>
      </c>
      <c r="AP114" s="157">
        <v>41738</v>
      </c>
      <c r="AS114" s="139">
        <v>128</v>
      </c>
      <c r="AT114" s="157">
        <v>41766</v>
      </c>
      <c r="BS114" s="140">
        <v>50.3</v>
      </c>
      <c r="BU114" s="140">
        <v>20.100000000000001</v>
      </c>
      <c r="BW114" s="140">
        <v>16.7</v>
      </c>
      <c r="BY114" s="140">
        <v>10.7</v>
      </c>
      <c r="CJ114" s="140" t="s">
        <v>8140</v>
      </c>
    </row>
    <row r="115" spans="1:88">
      <c r="A115" s="158" t="s">
        <v>7749</v>
      </c>
      <c r="B115" s="112" t="s">
        <v>269</v>
      </c>
      <c r="C115" s="112">
        <v>1</v>
      </c>
      <c r="D115">
        <v>134</v>
      </c>
      <c r="E115" s="113">
        <v>14</v>
      </c>
      <c r="F115" s="113">
        <v>6</v>
      </c>
      <c r="I115" s="112">
        <v>32</v>
      </c>
      <c r="J115" s="183">
        <v>41705</v>
      </c>
      <c r="M115" s="184">
        <v>1.32</v>
      </c>
      <c r="N115" s="157">
        <v>41853</v>
      </c>
      <c r="S115" s="139">
        <v>4.12</v>
      </c>
      <c r="T115" s="157">
        <v>41853</v>
      </c>
      <c r="U115" s="139">
        <v>15.3</v>
      </c>
      <c r="Y115" s="139">
        <f t="shared" si="1"/>
        <v>2.00739</v>
      </c>
      <c r="AA115" s="139">
        <v>15.4</v>
      </c>
      <c r="AE115" s="139">
        <v>8.4700000000000006</v>
      </c>
      <c r="AG115" s="185">
        <v>5.5</v>
      </c>
      <c r="AI115" s="185">
        <v>115</v>
      </c>
      <c r="AJ115" s="157">
        <v>41803</v>
      </c>
      <c r="AO115" s="139">
        <v>100</v>
      </c>
      <c r="AP115" s="157">
        <v>41738</v>
      </c>
      <c r="AS115" s="139">
        <v>128</v>
      </c>
      <c r="AT115" s="157">
        <v>41766</v>
      </c>
      <c r="BS115" s="140">
        <v>48.7</v>
      </c>
      <c r="BU115" s="140">
        <v>23.7</v>
      </c>
      <c r="BW115" s="140">
        <v>65.599999999999994</v>
      </c>
      <c r="BY115" s="140">
        <v>10.7</v>
      </c>
      <c r="CJ115" s="140" t="s">
        <v>8131</v>
      </c>
    </row>
    <row r="116" spans="1:88">
      <c r="A116" s="158" t="s">
        <v>7813</v>
      </c>
      <c r="B116" s="112" t="s">
        <v>271</v>
      </c>
      <c r="C116" s="112">
        <v>2</v>
      </c>
      <c r="D116">
        <v>198</v>
      </c>
      <c r="E116" s="113">
        <v>14</v>
      </c>
      <c r="F116" s="113">
        <v>7</v>
      </c>
      <c r="I116" s="112">
        <v>63</v>
      </c>
      <c r="J116" s="183">
        <v>41705</v>
      </c>
      <c r="M116" s="184">
        <v>3.94</v>
      </c>
      <c r="N116" s="157">
        <v>41853</v>
      </c>
      <c r="S116" s="139">
        <v>13.12</v>
      </c>
      <c r="T116" s="157">
        <v>41853</v>
      </c>
      <c r="U116" s="139">
        <v>15.3</v>
      </c>
      <c r="Y116" s="139">
        <f t="shared" si="1"/>
        <v>5.01281</v>
      </c>
      <c r="AA116" s="139">
        <v>43.43</v>
      </c>
      <c r="AE116" s="139">
        <v>25.19</v>
      </c>
      <c r="AG116" s="185">
        <v>5.8</v>
      </c>
      <c r="AI116" s="185">
        <v>115</v>
      </c>
      <c r="AJ116" s="157">
        <v>41803</v>
      </c>
      <c r="AO116" s="139">
        <v>94</v>
      </c>
      <c r="AP116" s="157">
        <v>41738</v>
      </c>
      <c r="AS116" s="139">
        <v>128</v>
      </c>
      <c r="AT116" s="157">
        <v>41766</v>
      </c>
      <c r="BS116" s="140">
        <v>52.1</v>
      </c>
      <c r="BU116" s="140">
        <v>19.899999999999999</v>
      </c>
      <c r="BW116" s="140">
        <v>15.6</v>
      </c>
      <c r="BY116" s="140">
        <v>11</v>
      </c>
      <c r="CJ116" s="140" t="s">
        <v>8140</v>
      </c>
    </row>
    <row r="117" spans="1:88">
      <c r="A117" s="158" t="s">
        <v>7628</v>
      </c>
      <c r="B117" s="112" t="s">
        <v>271</v>
      </c>
      <c r="C117" s="112">
        <v>2</v>
      </c>
      <c r="D117">
        <v>13</v>
      </c>
      <c r="E117" s="113">
        <v>14</v>
      </c>
      <c r="F117" s="113">
        <v>8</v>
      </c>
      <c r="I117" s="187">
        <v>60</v>
      </c>
      <c r="J117" s="183">
        <v>41705</v>
      </c>
      <c r="K117" s="142"/>
      <c r="M117" s="184">
        <v>2.0699999999999998</v>
      </c>
      <c r="N117" s="157">
        <v>41853</v>
      </c>
      <c r="O117" s="141"/>
      <c r="Q117" s="142"/>
      <c r="S117" s="142">
        <v>6.33</v>
      </c>
      <c r="T117" s="157">
        <v>41853</v>
      </c>
      <c r="U117" s="142">
        <v>15.3</v>
      </c>
      <c r="W117" s="142"/>
      <c r="Y117" s="139">
        <f t="shared" si="1"/>
        <v>3.1208</v>
      </c>
      <c r="AA117" s="142">
        <v>30.88</v>
      </c>
      <c r="AE117" s="142">
        <v>13.28</v>
      </c>
      <c r="AG117" s="185">
        <v>4.3</v>
      </c>
      <c r="AI117" s="185">
        <v>95</v>
      </c>
      <c r="AJ117" s="157">
        <v>41803</v>
      </c>
      <c r="AK117" s="142"/>
      <c r="AM117" s="142"/>
      <c r="AO117" s="139">
        <v>90</v>
      </c>
      <c r="AP117" s="157">
        <v>41738</v>
      </c>
      <c r="AS117" s="139">
        <v>126</v>
      </c>
      <c r="AT117" s="157">
        <v>41766</v>
      </c>
      <c r="BS117" s="140">
        <v>47.7</v>
      </c>
      <c r="BU117" s="140">
        <v>23.5</v>
      </c>
      <c r="BW117" s="140">
        <v>61.1</v>
      </c>
      <c r="BY117" s="140">
        <v>10.7</v>
      </c>
      <c r="CJ117" s="140" t="s">
        <v>8139</v>
      </c>
    </row>
    <row r="118" spans="1:88">
      <c r="A118" s="158" t="s">
        <v>7714</v>
      </c>
      <c r="B118" s="112" t="s">
        <v>271</v>
      </c>
      <c r="C118" s="112">
        <v>2</v>
      </c>
      <c r="D118">
        <v>99</v>
      </c>
      <c r="E118" s="113">
        <v>14</v>
      </c>
      <c r="F118" s="113">
        <v>9</v>
      </c>
      <c r="I118" s="112">
        <v>56</v>
      </c>
      <c r="J118" s="183">
        <v>41705</v>
      </c>
      <c r="M118" s="184">
        <v>3.2</v>
      </c>
      <c r="N118" s="157">
        <v>41853</v>
      </c>
      <c r="S118" s="139">
        <v>9.8800000000000008</v>
      </c>
      <c r="T118" s="157">
        <v>41853</v>
      </c>
      <c r="U118" s="139">
        <v>15.3</v>
      </c>
      <c r="Y118" s="139">
        <f t="shared" si="1"/>
        <v>4.141</v>
      </c>
      <c r="AA118" s="139">
        <v>47.67</v>
      </c>
      <c r="AE118" s="139">
        <v>20.5</v>
      </c>
      <c r="AG118" s="185">
        <v>4.3</v>
      </c>
      <c r="AI118" s="185">
        <v>115</v>
      </c>
      <c r="AJ118" s="157">
        <v>41803</v>
      </c>
      <c r="AO118" s="139">
        <v>93</v>
      </c>
      <c r="AP118" s="157">
        <v>41738</v>
      </c>
      <c r="AS118" s="139">
        <v>128</v>
      </c>
      <c r="AT118" s="157">
        <v>41766</v>
      </c>
      <c r="BS118" s="140">
        <v>48.2</v>
      </c>
      <c r="BU118" s="140">
        <v>20.2</v>
      </c>
      <c r="BW118" s="140">
        <v>17.7</v>
      </c>
      <c r="BY118" s="140">
        <v>10.8</v>
      </c>
      <c r="CJ118" s="140" t="s">
        <v>8140</v>
      </c>
    </row>
    <row r="119" spans="1:88">
      <c r="A119" s="158" t="s">
        <v>7655</v>
      </c>
      <c r="B119" s="112" t="s">
        <v>271</v>
      </c>
      <c r="C119" s="112">
        <v>2</v>
      </c>
      <c r="D119">
        <v>40</v>
      </c>
      <c r="E119" s="113">
        <v>14</v>
      </c>
      <c r="F119" s="113">
        <v>10</v>
      </c>
      <c r="I119" s="112">
        <v>41</v>
      </c>
      <c r="J119" s="183">
        <v>41705</v>
      </c>
      <c r="M119" s="184">
        <v>3.58</v>
      </c>
      <c r="N119" s="157">
        <v>41853</v>
      </c>
      <c r="S119" s="139">
        <v>10.93</v>
      </c>
      <c r="T119" s="157">
        <v>41853</v>
      </c>
      <c r="U119" s="139">
        <v>15.3</v>
      </c>
      <c r="Y119" s="139">
        <f t="shared" si="1"/>
        <v>4.9943800000000005</v>
      </c>
      <c r="AA119" s="139">
        <v>44.92</v>
      </c>
      <c r="AE119" s="139">
        <v>22.91</v>
      </c>
      <c r="AG119" s="185">
        <v>5.0999999999999996</v>
      </c>
      <c r="AI119" s="185">
        <v>100</v>
      </c>
      <c r="AJ119" s="157">
        <v>41803</v>
      </c>
      <c r="AO119" s="139">
        <v>90</v>
      </c>
      <c r="AP119" s="157">
        <v>41738</v>
      </c>
      <c r="AS119" s="139">
        <v>126</v>
      </c>
      <c r="AT119" s="157">
        <v>41766</v>
      </c>
      <c r="BS119" s="140">
        <v>47.7</v>
      </c>
      <c r="BU119" s="140">
        <v>21.8</v>
      </c>
      <c r="BW119" s="140">
        <v>51.3</v>
      </c>
      <c r="BY119" s="140">
        <v>10.9</v>
      </c>
      <c r="CJ119" s="140" t="s">
        <v>8140</v>
      </c>
    </row>
    <row r="120" spans="1:88">
      <c r="A120" s="158" t="s">
        <v>7821</v>
      </c>
      <c r="B120" s="112" t="s">
        <v>271</v>
      </c>
      <c r="C120" s="112">
        <v>2</v>
      </c>
      <c r="D120">
        <v>206</v>
      </c>
      <c r="E120" s="113">
        <v>14</v>
      </c>
      <c r="F120" s="113">
        <v>11</v>
      </c>
      <c r="I120" s="112">
        <v>38</v>
      </c>
      <c r="J120" s="183">
        <v>41705</v>
      </c>
      <c r="M120" s="184">
        <v>4.33</v>
      </c>
      <c r="N120" s="157">
        <v>41853</v>
      </c>
      <c r="S120" s="139">
        <v>14.34</v>
      </c>
      <c r="T120" s="157">
        <v>41853</v>
      </c>
      <c r="U120" s="139">
        <v>15.3</v>
      </c>
      <c r="Y120" s="139">
        <f t="shared" si="1"/>
        <v>5.1430000000000007</v>
      </c>
      <c r="AA120" s="139">
        <v>55.6</v>
      </c>
      <c r="AE120" s="139">
        <v>27.8</v>
      </c>
      <c r="AG120" s="185">
        <v>5</v>
      </c>
      <c r="AI120" s="185">
        <v>115</v>
      </c>
      <c r="AJ120" s="157">
        <v>41803</v>
      </c>
      <c r="AO120" s="139">
        <v>93</v>
      </c>
      <c r="AP120" s="157">
        <v>41738</v>
      </c>
      <c r="AS120" s="139">
        <v>128</v>
      </c>
      <c r="AT120" s="157">
        <v>41766</v>
      </c>
      <c r="BS120" s="140">
        <v>51.6</v>
      </c>
      <c r="BU120" s="140">
        <v>18.5</v>
      </c>
      <c r="BW120" s="140">
        <v>15.7</v>
      </c>
      <c r="BY120" s="140">
        <v>10.6</v>
      </c>
      <c r="CJ120" s="140" t="s">
        <v>8140</v>
      </c>
    </row>
    <row r="121" spans="1:88">
      <c r="A121" s="158" t="s">
        <v>7792</v>
      </c>
      <c r="B121" s="112" t="s">
        <v>271</v>
      </c>
      <c r="C121" s="112">
        <v>2</v>
      </c>
      <c r="D121">
        <v>177</v>
      </c>
      <c r="E121" s="113">
        <v>14</v>
      </c>
      <c r="F121" s="113">
        <v>12</v>
      </c>
      <c r="I121" s="112">
        <v>34</v>
      </c>
      <c r="J121" s="183">
        <v>41705</v>
      </c>
      <c r="M121" s="184">
        <v>4.2699999999999996</v>
      </c>
      <c r="N121" s="157">
        <v>41853</v>
      </c>
      <c r="S121" s="139">
        <v>13.66</v>
      </c>
      <c r="T121" s="157">
        <v>41853</v>
      </c>
      <c r="U121" s="139">
        <v>15.3</v>
      </c>
      <c r="Y121" s="139">
        <f t="shared" si="1"/>
        <v>5.7856200000000015</v>
      </c>
      <c r="AA121" s="139">
        <v>54.84</v>
      </c>
      <c r="AE121" s="139">
        <v>27.42</v>
      </c>
      <c r="AG121" s="185">
        <v>5</v>
      </c>
      <c r="AI121" s="185">
        <v>120</v>
      </c>
      <c r="AJ121" s="157">
        <v>41803</v>
      </c>
      <c r="AO121" s="139">
        <v>91</v>
      </c>
      <c r="AP121" s="157">
        <v>41738</v>
      </c>
      <c r="AS121" s="139">
        <v>127</v>
      </c>
      <c r="AT121" s="157">
        <v>41766</v>
      </c>
      <c r="BS121" s="140">
        <v>49.8</v>
      </c>
      <c r="BU121" s="140">
        <v>21.1</v>
      </c>
      <c r="BW121" s="140">
        <v>12.6</v>
      </c>
      <c r="BY121" s="140">
        <v>10.6</v>
      </c>
      <c r="CJ121" s="140" t="s">
        <v>8140</v>
      </c>
    </row>
    <row r="122" spans="1:88">
      <c r="A122" s="158" t="s">
        <v>7759</v>
      </c>
      <c r="B122" s="112" t="s">
        <v>269</v>
      </c>
      <c r="C122" s="112">
        <v>1</v>
      </c>
      <c r="D122">
        <v>144</v>
      </c>
      <c r="E122" s="113">
        <v>15</v>
      </c>
      <c r="F122" s="113">
        <v>1</v>
      </c>
      <c r="I122" s="112">
        <v>14</v>
      </c>
      <c r="J122" s="183">
        <v>41705</v>
      </c>
      <c r="M122" s="184">
        <v>0.99</v>
      </c>
      <c r="N122" s="157">
        <v>41853</v>
      </c>
      <c r="S122" s="139">
        <v>2.92</v>
      </c>
      <c r="T122" s="157">
        <v>41853</v>
      </c>
      <c r="U122" s="139">
        <v>15.3</v>
      </c>
      <c r="Y122" s="139">
        <f t="shared" si="1"/>
        <v>1.5963600000000002</v>
      </c>
      <c r="AA122" s="139">
        <v>12.23</v>
      </c>
      <c r="AE122" s="139">
        <v>6.36</v>
      </c>
      <c r="AG122" s="185">
        <v>5.2</v>
      </c>
      <c r="AI122" s="185">
        <v>120</v>
      </c>
      <c r="AJ122" s="157">
        <v>41803</v>
      </c>
      <c r="AO122" s="139">
        <v>96</v>
      </c>
      <c r="AP122" s="157">
        <v>41738</v>
      </c>
      <c r="AS122" s="139">
        <v>127</v>
      </c>
      <c r="AT122" s="157">
        <v>41766</v>
      </c>
      <c r="BS122" s="140">
        <v>45.9</v>
      </c>
      <c r="BU122" s="140">
        <v>25.1</v>
      </c>
      <c r="BW122" s="140">
        <v>72.2</v>
      </c>
      <c r="BY122" s="140">
        <v>10.6</v>
      </c>
      <c r="CJ122" s="140" t="s">
        <v>8131</v>
      </c>
    </row>
    <row r="123" spans="1:88">
      <c r="A123" s="158" t="s">
        <v>7902</v>
      </c>
      <c r="B123" s="112" t="s">
        <v>269</v>
      </c>
      <c r="C123" s="112">
        <v>1</v>
      </c>
      <c r="D123">
        <v>208</v>
      </c>
      <c r="E123" s="113">
        <v>15</v>
      </c>
      <c r="F123" s="113">
        <v>2</v>
      </c>
      <c r="I123" s="112">
        <v>33</v>
      </c>
      <c r="J123" s="183">
        <v>41705</v>
      </c>
      <c r="M123" s="184">
        <v>2.46</v>
      </c>
      <c r="N123" s="157">
        <v>41853</v>
      </c>
      <c r="S123" s="139">
        <v>8.1199999999999992</v>
      </c>
      <c r="T123" s="157">
        <v>41853</v>
      </c>
      <c r="U123" s="139">
        <v>15.3</v>
      </c>
      <c r="Y123" s="139">
        <f t="shared" si="1"/>
        <v>3.0651999999999999</v>
      </c>
      <c r="AA123" s="139">
        <v>32.92</v>
      </c>
      <c r="AE123" s="139">
        <v>15.8</v>
      </c>
      <c r="AG123" s="185">
        <v>4.8</v>
      </c>
      <c r="AI123" s="185">
        <v>125</v>
      </c>
      <c r="AJ123" s="157">
        <v>41803</v>
      </c>
      <c r="AO123" s="139">
        <v>90</v>
      </c>
      <c r="AP123" s="157">
        <v>41738</v>
      </c>
      <c r="AS123" s="139">
        <v>125</v>
      </c>
      <c r="AT123" s="157">
        <v>41766</v>
      </c>
      <c r="BS123" s="140">
        <v>51.4</v>
      </c>
      <c r="BU123" s="140">
        <v>19.399999999999999</v>
      </c>
      <c r="BW123" s="140">
        <v>20.100000000000001</v>
      </c>
      <c r="BY123" s="140">
        <v>10.6</v>
      </c>
      <c r="CJ123" s="140" t="s">
        <v>8140</v>
      </c>
    </row>
    <row r="124" spans="1:88">
      <c r="A124" s="158" t="s">
        <v>7816</v>
      </c>
      <c r="B124" s="112" t="s">
        <v>269</v>
      </c>
      <c r="C124" s="112">
        <v>1</v>
      </c>
      <c r="D124">
        <v>201</v>
      </c>
      <c r="E124" s="113">
        <v>15</v>
      </c>
      <c r="F124" s="113">
        <v>3</v>
      </c>
      <c r="I124" s="112">
        <v>22</v>
      </c>
      <c r="J124" s="183">
        <v>41705</v>
      </c>
      <c r="M124" s="184">
        <v>1.48</v>
      </c>
      <c r="N124" s="157">
        <v>41853</v>
      </c>
      <c r="S124" s="139">
        <v>4.87</v>
      </c>
      <c r="T124" s="157">
        <v>41853</v>
      </c>
      <c r="U124" s="139">
        <v>15.3</v>
      </c>
      <c r="Y124" s="139">
        <f t="shared" si="1"/>
        <v>1.7954999999999999</v>
      </c>
      <c r="AA124" s="139">
        <v>21.11</v>
      </c>
      <c r="AE124" s="139">
        <v>9.5</v>
      </c>
      <c r="AG124" s="185">
        <v>4.5</v>
      </c>
      <c r="AI124" s="185">
        <v>125</v>
      </c>
      <c r="AJ124" s="157">
        <v>41803</v>
      </c>
      <c r="AO124" s="139">
        <v>97</v>
      </c>
      <c r="AP124" s="157">
        <v>41738</v>
      </c>
      <c r="AS124" s="139">
        <v>126</v>
      </c>
      <c r="AT124" s="157">
        <v>41766</v>
      </c>
      <c r="BS124" s="140">
        <v>51.3</v>
      </c>
      <c r="BU124" s="140">
        <v>18.899999999999999</v>
      </c>
      <c r="BW124" s="140">
        <v>14.8</v>
      </c>
      <c r="BY124" s="140">
        <v>10.6</v>
      </c>
      <c r="CJ124" s="140" t="s">
        <v>8131</v>
      </c>
    </row>
    <row r="125" spans="1:88">
      <c r="A125" s="158" t="s">
        <v>7653</v>
      </c>
      <c r="B125" s="112" t="s">
        <v>269</v>
      </c>
      <c r="C125" s="112">
        <v>1</v>
      </c>
      <c r="D125">
        <v>38</v>
      </c>
      <c r="E125" s="113">
        <v>15</v>
      </c>
      <c r="F125" s="113">
        <v>4</v>
      </c>
      <c r="I125" s="112">
        <v>52</v>
      </c>
      <c r="J125" s="183">
        <v>41705</v>
      </c>
      <c r="M125" s="184">
        <v>1.41</v>
      </c>
      <c r="N125" s="157">
        <v>41853</v>
      </c>
      <c r="S125" s="139">
        <v>4.28</v>
      </c>
      <c r="T125" s="157">
        <v>41853</v>
      </c>
      <c r="U125" s="139">
        <v>15.3</v>
      </c>
      <c r="Y125" s="139">
        <f t="shared" si="1"/>
        <v>2.1539000000000001</v>
      </c>
      <c r="AA125" s="139">
        <v>13.31</v>
      </c>
      <c r="AE125" s="139">
        <v>9.0500000000000007</v>
      </c>
      <c r="AG125" s="185">
        <v>6.8</v>
      </c>
      <c r="AI125" s="185">
        <v>120</v>
      </c>
      <c r="AJ125" s="157">
        <v>41803</v>
      </c>
      <c r="AO125" s="139">
        <v>91</v>
      </c>
      <c r="AP125" s="157">
        <v>41738</v>
      </c>
      <c r="AS125" s="139">
        <v>126</v>
      </c>
      <c r="AT125" s="157">
        <v>41766</v>
      </c>
      <c r="BS125" s="140">
        <v>47.3</v>
      </c>
      <c r="BU125" s="140">
        <v>23.8</v>
      </c>
      <c r="BW125" s="140">
        <v>72.7</v>
      </c>
      <c r="BY125" s="140">
        <v>10.6</v>
      </c>
      <c r="CJ125" s="140" t="s">
        <v>8140</v>
      </c>
    </row>
    <row r="126" spans="1:88">
      <c r="A126" s="158" t="s">
        <v>7728</v>
      </c>
      <c r="B126" s="112" t="s">
        <v>269</v>
      </c>
      <c r="C126" s="112">
        <v>1</v>
      </c>
      <c r="D126">
        <v>113</v>
      </c>
      <c r="E126" s="113">
        <v>15</v>
      </c>
      <c r="F126" s="113">
        <v>5</v>
      </c>
      <c r="I126" s="112">
        <v>37</v>
      </c>
      <c r="J126" s="183">
        <v>41705</v>
      </c>
      <c r="M126" s="184">
        <v>2.02</v>
      </c>
      <c r="N126" s="157">
        <v>41853</v>
      </c>
      <c r="S126" s="139">
        <v>6.77</v>
      </c>
      <c r="T126" s="157">
        <v>41853</v>
      </c>
      <c r="U126" s="139">
        <v>15.3</v>
      </c>
      <c r="Y126" s="139">
        <f t="shared" si="1"/>
        <v>2.3735100000000005</v>
      </c>
      <c r="AA126" s="139">
        <v>30.88</v>
      </c>
      <c r="AE126" s="139">
        <v>12.97</v>
      </c>
      <c r="AG126" s="185">
        <v>4.2</v>
      </c>
      <c r="AI126" s="185">
        <v>120</v>
      </c>
      <c r="AJ126" s="157">
        <v>41803</v>
      </c>
      <c r="AO126" s="139">
        <v>89</v>
      </c>
      <c r="AP126" s="157">
        <v>41738</v>
      </c>
      <c r="AS126" s="139">
        <v>126</v>
      </c>
      <c r="AT126" s="157">
        <v>41766</v>
      </c>
      <c r="BS126" s="140">
        <v>52.2</v>
      </c>
      <c r="BU126" s="140">
        <v>18.3</v>
      </c>
      <c r="BW126" s="140">
        <v>14.6</v>
      </c>
      <c r="BY126" s="140">
        <v>10.6</v>
      </c>
      <c r="CJ126" s="140" t="s">
        <v>8140</v>
      </c>
    </row>
    <row r="127" spans="1:88">
      <c r="A127" s="158" t="s">
        <v>7788</v>
      </c>
      <c r="B127" s="112" t="s">
        <v>269</v>
      </c>
      <c r="C127" s="112">
        <v>1</v>
      </c>
      <c r="D127">
        <v>173</v>
      </c>
      <c r="E127" s="113">
        <v>15</v>
      </c>
      <c r="F127" s="113">
        <v>6</v>
      </c>
      <c r="I127" s="112">
        <v>38</v>
      </c>
      <c r="J127" s="183">
        <v>41705</v>
      </c>
      <c r="M127" s="184">
        <v>2.2999999999999998</v>
      </c>
      <c r="N127" s="157">
        <v>41853</v>
      </c>
      <c r="S127" s="139">
        <v>7.65</v>
      </c>
      <c r="T127" s="157">
        <v>41853</v>
      </c>
      <c r="U127" s="139">
        <v>15.3</v>
      </c>
      <c r="Y127" s="139">
        <f t="shared" si="1"/>
        <v>2.73245</v>
      </c>
      <c r="AA127" s="139">
        <v>32.82</v>
      </c>
      <c r="AE127" s="139">
        <v>14.77</v>
      </c>
      <c r="AG127" s="185">
        <v>4.5</v>
      </c>
      <c r="AI127" s="185">
        <v>120</v>
      </c>
      <c r="AJ127" s="157">
        <v>41803</v>
      </c>
      <c r="AO127" s="139">
        <v>93</v>
      </c>
      <c r="AP127" s="157">
        <v>41738</v>
      </c>
      <c r="AS127" s="139">
        <v>126</v>
      </c>
      <c r="AT127" s="157">
        <v>41766</v>
      </c>
      <c r="BS127" s="140">
        <v>51.8</v>
      </c>
      <c r="BU127" s="140">
        <v>18.5</v>
      </c>
      <c r="BW127" s="140">
        <v>14.5</v>
      </c>
      <c r="BY127" s="140">
        <v>10.6</v>
      </c>
      <c r="CJ127" s="140" t="s">
        <v>8140</v>
      </c>
    </row>
    <row r="128" spans="1:88">
      <c r="A128" s="158" t="s">
        <v>7742</v>
      </c>
      <c r="B128" s="112" t="s">
        <v>271</v>
      </c>
      <c r="C128" s="112">
        <v>2</v>
      </c>
      <c r="D128">
        <v>127</v>
      </c>
      <c r="E128" s="113">
        <v>15</v>
      </c>
      <c r="F128" s="113">
        <v>7</v>
      </c>
      <c r="I128" s="112">
        <v>39</v>
      </c>
      <c r="J128" s="183">
        <v>41705</v>
      </c>
      <c r="M128" s="184">
        <v>3.52</v>
      </c>
      <c r="N128" s="157">
        <v>41853</v>
      </c>
      <c r="S128" s="139">
        <v>11.45</v>
      </c>
      <c r="T128" s="157">
        <v>41853</v>
      </c>
      <c r="U128" s="139">
        <v>15.3</v>
      </c>
      <c r="Y128" s="139">
        <f t="shared" si="1"/>
        <v>4.3708200000000001</v>
      </c>
      <c r="AA128" s="139">
        <v>53.64</v>
      </c>
      <c r="AE128" s="139">
        <v>22.53</v>
      </c>
      <c r="AG128" s="185">
        <v>4.2</v>
      </c>
      <c r="AI128" s="185">
        <v>120</v>
      </c>
      <c r="AJ128" s="157">
        <v>41803</v>
      </c>
      <c r="AO128" s="139">
        <v>93</v>
      </c>
      <c r="AP128" s="157">
        <v>41738</v>
      </c>
      <c r="AS128" s="139">
        <v>128</v>
      </c>
      <c r="AT128" s="157">
        <v>41766</v>
      </c>
      <c r="BS128" s="140">
        <v>50.8</v>
      </c>
      <c r="BU128" s="140">
        <v>19.399999999999999</v>
      </c>
      <c r="BW128" s="140">
        <v>15.1</v>
      </c>
      <c r="BY128" s="140">
        <v>10.9</v>
      </c>
      <c r="CJ128" s="140" t="s">
        <v>8140</v>
      </c>
    </row>
    <row r="129" spans="1:88">
      <c r="A129" s="158" t="s">
        <v>7686</v>
      </c>
      <c r="B129" s="112" t="s">
        <v>271</v>
      </c>
      <c r="C129" s="112">
        <v>2</v>
      </c>
      <c r="D129">
        <v>71</v>
      </c>
      <c r="E129" s="113">
        <v>15</v>
      </c>
      <c r="F129" s="113">
        <v>8</v>
      </c>
      <c r="I129" s="112">
        <v>41</v>
      </c>
      <c r="J129" s="183">
        <v>41705</v>
      </c>
      <c r="M129" s="184">
        <v>3.44</v>
      </c>
      <c r="N129" s="157">
        <v>41853</v>
      </c>
      <c r="S129" s="139">
        <v>11.21</v>
      </c>
      <c r="T129" s="157">
        <v>41853</v>
      </c>
      <c r="U129" s="139">
        <v>15.3</v>
      </c>
      <c r="Y129" s="139">
        <f t="shared" si="1"/>
        <v>4.1913999999999998</v>
      </c>
      <c r="AA129" s="139">
        <v>50.14</v>
      </c>
      <c r="AE129" s="139">
        <v>22.06</v>
      </c>
      <c r="AG129" s="185">
        <v>4.4000000000000004</v>
      </c>
      <c r="AI129" s="185">
        <v>115</v>
      </c>
      <c r="AJ129" s="157">
        <v>41803</v>
      </c>
      <c r="AO129" s="139">
        <v>93</v>
      </c>
      <c r="AP129" s="157">
        <v>41738</v>
      </c>
      <c r="AS129" s="139">
        <v>128</v>
      </c>
      <c r="AT129" s="157">
        <v>41766</v>
      </c>
      <c r="BS129" s="140">
        <v>50.8</v>
      </c>
      <c r="BU129" s="140">
        <v>19</v>
      </c>
      <c r="BW129" s="140">
        <v>12.1</v>
      </c>
      <c r="BY129" s="140">
        <v>10.7</v>
      </c>
      <c r="CJ129" s="140" t="s">
        <v>8140</v>
      </c>
    </row>
    <row r="130" spans="1:88">
      <c r="A130" s="158" t="s">
        <v>7771</v>
      </c>
      <c r="B130" s="112" t="s">
        <v>271</v>
      </c>
      <c r="C130" s="112">
        <v>2</v>
      </c>
      <c r="D130">
        <v>156</v>
      </c>
      <c r="E130" s="113">
        <v>15</v>
      </c>
      <c r="F130" s="113">
        <v>9</v>
      </c>
      <c r="I130" s="112">
        <v>37</v>
      </c>
      <c r="J130" s="183">
        <v>41705</v>
      </c>
      <c r="M130" s="184">
        <v>4.3099999999999996</v>
      </c>
      <c r="N130" s="157">
        <v>41853</v>
      </c>
      <c r="S130" s="139">
        <v>14.15</v>
      </c>
      <c r="T130" s="157">
        <v>41853</v>
      </c>
      <c r="U130" s="139">
        <v>15.3</v>
      </c>
      <c r="Y130" s="139">
        <f t="shared" ref="Y130:Y193" si="2">(AE130*BU130)/100</f>
        <v>5.6155999999999997</v>
      </c>
      <c r="AA130" s="139">
        <v>55.6</v>
      </c>
      <c r="AE130" s="139">
        <v>27.8</v>
      </c>
      <c r="AG130" s="185">
        <v>5</v>
      </c>
      <c r="AI130" s="185">
        <v>115</v>
      </c>
      <c r="AJ130" s="157">
        <v>41803</v>
      </c>
      <c r="AO130" s="139">
        <v>91</v>
      </c>
      <c r="AP130" s="157">
        <v>41738</v>
      </c>
      <c r="AS130" s="139">
        <v>127</v>
      </c>
      <c r="AT130" s="157">
        <v>41766</v>
      </c>
      <c r="BS130" s="140">
        <v>50.9</v>
      </c>
      <c r="BU130" s="140">
        <v>20.2</v>
      </c>
      <c r="BW130" s="140">
        <v>13.4</v>
      </c>
      <c r="BY130" s="140">
        <v>10.199999999999999</v>
      </c>
      <c r="CJ130" s="140" t="s">
        <v>8140</v>
      </c>
    </row>
    <row r="131" spans="1:88">
      <c r="A131" s="158" t="s">
        <v>7719</v>
      </c>
      <c r="B131" s="112" t="s">
        <v>271</v>
      </c>
      <c r="C131" s="112">
        <v>2</v>
      </c>
      <c r="D131">
        <v>104</v>
      </c>
      <c r="E131" s="113">
        <v>15</v>
      </c>
      <c r="F131" s="113">
        <v>10</v>
      </c>
      <c r="I131" s="112">
        <v>37</v>
      </c>
      <c r="J131" s="183">
        <v>41705</v>
      </c>
      <c r="M131" s="184">
        <v>4.8600000000000003</v>
      </c>
      <c r="N131" s="157">
        <v>41853</v>
      </c>
      <c r="T131" s="157">
        <v>41853</v>
      </c>
      <c r="U131" s="139">
        <v>15.3</v>
      </c>
      <c r="Y131" s="139">
        <f t="shared" si="2"/>
        <v>0</v>
      </c>
      <c r="AE131" s="139">
        <v>31.17</v>
      </c>
      <c r="AG131" s="185"/>
      <c r="AI131" s="185">
        <v>110</v>
      </c>
      <c r="AJ131" s="157">
        <v>41803</v>
      </c>
      <c r="AO131" s="139">
        <v>90</v>
      </c>
      <c r="AP131" s="157">
        <v>41738</v>
      </c>
      <c r="AS131" s="139">
        <v>127</v>
      </c>
      <c r="AT131" s="157">
        <v>41766</v>
      </c>
      <c r="BY131" s="140">
        <v>10.7</v>
      </c>
      <c r="CJ131" s="140" t="s">
        <v>8140</v>
      </c>
    </row>
    <row r="132" spans="1:88">
      <c r="A132" s="158" t="s">
        <v>7795</v>
      </c>
      <c r="B132" s="112" t="s">
        <v>271</v>
      </c>
      <c r="C132" s="112">
        <v>2</v>
      </c>
      <c r="D132">
        <v>180</v>
      </c>
      <c r="E132" s="113">
        <v>15</v>
      </c>
      <c r="F132" s="113">
        <v>11</v>
      </c>
      <c r="I132" s="112">
        <v>28</v>
      </c>
      <c r="J132" s="183">
        <v>41705</v>
      </c>
      <c r="M132" s="184">
        <v>4.78</v>
      </c>
      <c r="N132" s="157">
        <v>41853</v>
      </c>
      <c r="S132" s="139">
        <v>15.58</v>
      </c>
      <c r="T132" s="157">
        <v>41853</v>
      </c>
      <c r="U132" s="139">
        <v>15.3</v>
      </c>
      <c r="Y132" s="139">
        <f t="shared" si="2"/>
        <v>5.9480399999999998</v>
      </c>
      <c r="AA132" s="139">
        <v>55.75</v>
      </c>
      <c r="AE132" s="139">
        <v>30.66</v>
      </c>
      <c r="AG132" s="185">
        <v>5.5</v>
      </c>
      <c r="AI132" s="185">
        <v>115</v>
      </c>
      <c r="AJ132" s="157">
        <v>41803</v>
      </c>
      <c r="AO132" s="139">
        <v>92</v>
      </c>
      <c r="AP132" s="157">
        <v>41738</v>
      </c>
      <c r="AS132" s="139">
        <v>125</v>
      </c>
      <c r="AT132" s="157">
        <v>41766</v>
      </c>
      <c r="BS132" s="140">
        <v>50.8</v>
      </c>
      <c r="BU132" s="140">
        <v>19.399999999999999</v>
      </c>
      <c r="BW132" s="140">
        <v>14.6</v>
      </c>
      <c r="BY132" s="140">
        <v>10.7</v>
      </c>
      <c r="CJ132" s="140" t="s">
        <v>8140</v>
      </c>
    </row>
    <row r="133" spans="1:88">
      <c r="A133" s="158" t="s">
        <v>7701</v>
      </c>
      <c r="B133" s="112" t="s">
        <v>271</v>
      </c>
      <c r="C133" s="112">
        <v>2</v>
      </c>
      <c r="D133">
        <v>86</v>
      </c>
      <c r="E133" s="113">
        <v>15</v>
      </c>
      <c r="F133" s="113">
        <v>12</v>
      </c>
      <c r="I133" s="112">
        <v>42</v>
      </c>
      <c r="J133" s="183">
        <v>41705</v>
      </c>
      <c r="M133" s="184">
        <v>4.09</v>
      </c>
      <c r="N133" s="157">
        <v>41853</v>
      </c>
      <c r="S133" s="139">
        <v>12.93</v>
      </c>
      <c r="T133" s="157">
        <v>41853</v>
      </c>
      <c r="U133" s="139">
        <v>15.3</v>
      </c>
      <c r="Y133" s="139">
        <f t="shared" si="2"/>
        <v>5.4433600000000002</v>
      </c>
      <c r="AA133" s="139">
        <v>54.52</v>
      </c>
      <c r="AE133" s="139">
        <v>26.17</v>
      </c>
      <c r="AG133" s="185">
        <v>4.8</v>
      </c>
      <c r="AI133" s="185">
        <v>125</v>
      </c>
      <c r="AJ133" s="157">
        <v>41803</v>
      </c>
      <c r="AO133" s="139">
        <v>94</v>
      </c>
      <c r="AP133" s="157">
        <v>41738</v>
      </c>
      <c r="AS133" s="139">
        <v>127</v>
      </c>
      <c r="AT133" s="157">
        <v>41766</v>
      </c>
      <c r="BS133" s="140">
        <v>49.4</v>
      </c>
      <c r="BU133" s="140">
        <v>20.8</v>
      </c>
      <c r="BW133" s="140">
        <v>18.100000000000001</v>
      </c>
      <c r="BY133" s="140">
        <v>10.9</v>
      </c>
      <c r="CJ133" s="140" t="s">
        <v>8140</v>
      </c>
    </row>
    <row r="134" spans="1:88">
      <c r="A134" s="158" t="s">
        <v>7758</v>
      </c>
      <c r="B134" s="112" t="s">
        <v>269</v>
      </c>
      <c r="C134" s="112">
        <v>1</v>
      </c>
      <c r="D134">
        <v>143</v>
      </c>
      <c r="E134" s="113">
        <v>16</v>
      </c>
      <c r="F134" s="113">
        <v>1</v>
      </c>
      <c r="I134" s="112">
        <v>34</v>
      </c>
      <c r="J134" s="183">
        <v>41705</v>
      </c>
      <c r="M134" s="184">
        <v>1.33</v>
      </c>
      <c r="N134" s="157">
        <v>41853</v>
      </c>
      <c r="S134" s="139">
        <v>4.24</v>
      </c>
      <c r="T134" s="157">
        <v>41853</v>
      </c>
      <c r="U134" s="139">
        <v>15.3</v>
      </c>
      <c r="Y134" s="139">
        <f t="shared" si="2"/>
        <v>1.94712</v>
      </c>
      <c r="AA134" s="139">
        <v>17.079999999999998</v>
      </c>
      <c r="AE134" s="139">
        <v>8.5399999999999991</v>
      </c>
      <c r="AG134" s="185">
        <v>5</v>
      </c>
      <c r="AI134" s="185">
        <v>110</v>
      </c>
      <c r="AJ134" s="157">
        <v>41803</v>
      </c>
      <c r="AO134" s="139">
        <v>91</v>
      </c>
      <c r="AP134" s="157">
        <v>41738</v>
      </c>
      <c r="AS134" s="139">
        <v>127</v>
      </c>
      <c r="AT134" s="157">
        <v>41766</v>
      </c>
      <c r="BS134" s="140">
        <v>49.7</v>
      </c>
      <c r="BU134" s="140">
        <v>22.8</v>
      </c>
      <c r="BW134" s="140">
        <v>74.3</v>
      </c>
      <c r="BY134" s="140">
        <v>10.6</v>
      </c>
      <c r="CJ134" s="140" t="s">
        <v>8140</v>
      </c>
    </row>
    <row r="135" spans="1:88">
      <c r="A135" s="158" t="s">
        <v>7769</v>
      </c>
      <c r="B135" s="112" t="s">
        <v>269</v>
      </c>
      <c r="C135" s="112">
        <v>1</v>
      </c>
      <c r="D135">
        <v>154</v>
      </c>
      <c r="E135" s="113">
        <v>16</v>
      </c>
      <c r="F135" s="113">
        <v>2</v>
      </c>
      <c r="I135" s="112">
        <v>44</v>
      </c>
      <c r="J135" s="183">
        <v>41705</v>
      </c>
      <c r="M135" s="184">
        <v>0.82</v>
      </c>
      <c r="N135" s="157">
        <v>41853</v>
      </c>
      <c r="S135" s="139">
        <v>2.68</v>
      </c>
      <c r="T135" s="157">
        <v>41853</v>
      </c>
      <c r="U135" s="139">
        <v>15.3</v>
      </c>
      <c r="Y135" s="139">
        <f t="shared" si="2"/>
        <v>1.18048</v>
      </c>
      <c r="AA135" s="139">
        <v>10.76</v>
      </c>
      <c r="AE135" s="139">
        <v>5.27</v>
      </c>
      <c r="AG135" s="185">
        <v>4.9000000000000004</v>
      </c>
      <c r="AI135" s="185">
        <v>125</v>
      </c>
      <c r="AJ135" s="157">
        <v>41803</v>
      </c>
      <c r="AO135" s="139">
        <v>100</v>
      </c>
      <c r="AP135" s="157">
        <v>41738</v>
      </c>
      <c r="AS135" s="139">
        <v>129</v>
      </c>
      <c r="AT135" s="157">
        <v>41766</v>
      </c>
      <c r="BS135" s="140">
        <v>50.9</v>
      </c>
      <c r="BU135" s="140">
        <v>22.4</v>
      </c>
      <c r="BW135" s="140">
        <v>61.4</v>
      </c>
      <c r="BY135" s="140">
        <v>10.6</v>
      </c>
      <c r="CJ135" s="140" t="s">
        <v>8131</v>
      </c>
    </row>
    <row r="136" spans="1:88">
      <c r="A136" s="158" t="s">
        <v>7778</v>
      </c>
      <c r="B136" s="112" t="s">
        <v>269</v>
      </c>
      <c r="C136" s="112">
        <v>1</v>
      </c>
      <c r="D136">
        <v>163</v>
      </c>
      <c r="E136" s="113">
        <v>16</v>
      </c>
      <c r="F136" s="113">
        <v>3</v>
      </c>
      <c r="I136" s="112">
        <v>33</v>
      </c>
      <c r="J136" s="183">
        <v>41705</v>
      </c>
      <c r="M136" s="184">
        <v>2.1800000000000002</v>
      </c>
      <c r="N136" s="157">
        <v>41853</v>
      </c>
      <c r="S136" s="139">
        <v>7.43</v>
      </c>
      <c r="T136" s="157">
        <v>41853</v>
      </c>
      <c r="U136" s="139">
        <v>15.3</v>
      </c>
      <c r="Y136" s="139">
        <f t="shared" si="2"/>
        <v>2.5759999999999996</v>
      </c>
      <c r="AA136" s="139">
        <v>29.17</v>
      </c>
      <c r="AE136" s="139">
        <v>14</v>
      </c>
      <c r="AG136" s="185">
        <v>4.8</v>
      </c>
      <c r="AI136" s="185">
        <v>125</v>
      </c>
      <c r="AJ136" s="157">
        <v>41803</v>
      </c>
      <c r="AO136" s="139">
        <v>92</v>
      </c>
      <c r="AP136" s="157">
        <v>41738</v>
      </c>
      <c r="AS136" s="139">
        <v>126</v>
      </c>
      <c r="AT136" s="157">
        <v>41766</v>
      </c>
      <c r="BS136" s="140">
        <v>53.1</v>
      </c>
      <c r="BU136" s="140">
        <v>18.399999999999999</v>
      </c>
      <c r="BW136" s="140">
        <v>11.6</v>
      </c>
      <c r="BY136" s="140">
        <v>10.6</v>
      </c>
      <c r="CJ136" s="140" t="s">
        <v>8140</v>
      </c>
    </row>
    <row r="137" spans="1:88">
      <c r="A137" s="158" t="s">
        <v>7660</v>
      </c>
      <c r="B137" s="112" t="s">
        <v>269</v>
      </c>
      <c r="C137" s="112">
        <v>1</v>
      </c>
      <c r="D137">
        <v>45</v>
      </c>
      <c r="E137" s="113">
        <v>16</v>
      </c>
      <c r="F137" s="113">
        <v>4</v>
      </c>
      <c r="I137" s="112">
        <v>47</v>
      </c>
      <c r="J137" s="183">
        <v>41705</v>
      </c>
      <c r="M137" s="184">
        <v>1.76</v>
      </c>
      <c r="N137" s="157">
        <v>41853</v>
      </c>
      <c r="S137" s="139">
        <v>5.57</v>
      </c>
      <c r="T137" s="157">
        <v>41853</v>
      </c>
      <c r="U137" s="139">
        <v>15.3</v>
      </c>
      <c r="Y137" s="139">
        <f t="shared" si="2"/>
        <v>2.3165</v>
      </c>
      <c r="AA137" s="139">
        <v>28.97</v>
      </c>
      <c r="AE137" s="139">
        <v>11.3</v>
      </c>
      <c r="AG137" s="185">
        <v>3.9</v>
      </c>
      <c r="AI137" s="185">
        <v>115</v>
      </c>
      <c r="AJ137" s="157">
        <v>41803</v>
      </c>
      <c r="AO137" s="139">
        <v>93</v>
      </c>
      <c r="AP137" s="157">
        <v>41738</v>
      </c>
      <c r="AS137" s="139">
        <v>127</v>
      </c>
      <c r="AT137" s="157">
        <v>41766</v>
      </c>
      <c r="BS137" s="140">
        <v>49.3</v>
      </c>
      <c r="BU137" s="140">
        <v>20.5</v>
      </c>
      <c r="BW137" s="140">
        <v>59.8</v>
      </c>
      <c r="BY137" s="140">
        <v>10.6</v>
      </c>
      <c r="CJ137" s="140" t="s">
        <v>8140</v>
      </c>
    </row>
    <row r="138" spans="1:88">
      <c r="A138" s="158" t="s">
        <v>7764</v>
      </c>
      <c r="B138" s="112" t="s">
        <v>269</v>
      </c>
      <c r="C138" s="112">
        <v>1</v>
      </c>
      <c r="D138">
        <v>149</v>
      </c>
      <c r="E138" s="113">
        <v>16</v>
      </c>
      <c r="F138" s="113">
        <v>5</v>
      </c>
      <c r="I138" s="112">
        <v>34</v>
      </c>
      <c r="J138" s="183">
        <v>41705</v>
      </c>
      <c r="M138" s="184">
        <v>2.2999999999999998</v>
      </c>
      <c r="N138" s="157">
        <v>41853</v>
      </c>
      <c r="S138" s="139">
        <v>7.71</v>
      </c>
      <c r="T138" s="157">
        <v>41853</v>
      </c>
      <c r="U138" s="139">
        <v>15.3</v>
      </c>
      <c r="Y138" s="139">
        <f t="shared" si="2"/>
        <v>2.6733699999999998</v>
      </c>
      <c r="AA138" s="139">
        <v>32.11</v>
      </c>
      <c r="AE138" s="139">
        <v>14.77</v>
      </c>
      <c r="AG138" s="185">
        <v>4.5999999999999996</v>
      </c>
      <c r="AI138" s="185">
        <v>125</v>
      </c>
      <c r="AJ138" s="157">
        <v>41803</v>
      </c>
      <c r="AO138" s="139">
        <v>89</v>
      </c>
      <c r="AP138" s="157">
        <v>41738</v>
      </c>
      <c r="AS138" s="139">
        <v>125</v>
      </c>
      <c r="AT138" s="157">
        <v>41766</v>
      </c>
      <c r="BS138" s="140">
        <v>52.2</v>
      </c>
      <c r="BU138" s="140">
        <v>18.100000000000001</v>
      </c>
      <c r="BW138" s="140">
        <v>16.8</v>
      </c>
      <c r="BY138" s="140">
        <v>10.6</v>
      </c>
      <c r="CJ138" s="140" t="s">
        <v>8140</v>
      </c>
    </row>
    <row r="139" spans="1:88">
      <c r="A139" s="158" t="s">
        <v>7669</v>
      </c>
      <c r="B139" s="112" t="s">
        <v>269</v>
      </c>
      <c r="C139" s="112">
        <v>1</v>
      </c>
      <c r="D139">
        <v>54</v>
      </c>
      <c r="E139" s="113">
        <v>16</v>
      </c>
      <c r="F139" s="113">
        <v>6</v>
      </c>
      <c r="I139" s="112">
        <v>29</v>
      </c>
      <c r="J139" s="183">
        <v>41705</v>
      </c>
      <c r="M139" s="184">
        <v>1.92</v>
      </c>
      <c r="N139" s="157">
        <v>41853</v>
      </c>
      <c r="S139" s="139">
        <v>6.34</v>
      </c>
      <c r="T139" s="157">
        <v>41853</v>
      </c>
      <c r="U139" s="139">
        <v>15.3</v>
      </c>
      <c r="Y139" s="139">
        <f t="shared" si="2"/>
        <v>2.4413400000000003</v>
      </c>
      <c r="AA139" s="139">
        <v>28.02</v>
      </c>
      <c r="AE139" s="139">
        <v>12.33</v>
      </c>
      <c r="AG139" s="185">
        <v>4.4000000000000004</v>
      </c>
      <c r="AI139" s="185">
        <v>115</v>
      </c>
      <c r="AJ139" s="157">
        <v>41803</v>
      </c>
      <c r="AO139" s="139">
        <v>96</v>
      </c>
      <c r="AP139" s="157">
        <v>41738</v>
      </c>
      <c r="AS139" s="139">
        <v>128</v>
      </c>
      <c r="AT139" s="157">
        <v>41766</v>
      </c>
      <c r="BS139" s="140">
        <v>51.4</v>
      </c>
      <c r="BU139" s="140">
        <v>19.8</v>
      </c>
      <c r="BW139" s="140">
        <v>44.1</v>
      </c>
      <c r="BY139" s="140">
        <v>10.6</v>
      </c>
      <c r="CJ139" s="140" t="s">
        <v>8131</v>
      </c>
    </row>
    <row r="140" spans="1:88">
      <c r="A140" s="158" t="s">
        <v>7762</v>
      </c>
      <c r="B140" s="112" t="s">
        <v>271</v>
      </c>
      <c r="C140" s="112">
        <v>2</v>
      </c>
      <c r="D140">
        <v>147</v>
      </c>
      <c r="E140" s="113">
        <v>16</v>
      </c>
      <c r="F140" s="113">
        <v>7</v>
      </c>
      <c r="I140" s="112">
        <v>72</v>
      </c>
      <c r="J140" s="183">
        <v>41705</v>
      </c>
      <c r="M140" s="184">
        <v>1.73</v>
      </c>
      <c r="N140" s="157">
        <v>41853</v>
      </c>
      <c r="S140" s="139">
        <v>5.26</v>
      </c>
      <c r="T140" s="157">
        <v>41853</v>
      </c>
      <c r="U140" s="139">
        <v>15.3</v>
      </c>
      <c r="Y140" s="139">
        <f t="shared" si="2"/>
        <v>2.5886300000000002</v>
      </c>
      <c r="AA140" s="139">
        <v>24.69</v>
      </c>
      <c r="AE140" s="139">
        <v>11.11</v>
      </c>
      <c r="AG140" s="185">
        <v>4.5</v>
      </c>
      <c r="AI140" s="185">
        <v>90</v>
      </c>
      <c r="AJ140" s="157">
        <v>41803</v>
      </c>
      <c r="AO140" s="139">
        <v>93</v>
      </c>
      <c r="AP140" s="157">
        <v>41738</v>
      </c>
      <c r="AS140" s="139">
        <v>128</v>
      </c>
      <c r="AT140" s="157">
        <v>41766</v>
      </c>
      <c r="BS140" s="140">
        <v>47.3</v>
      </c>
      <c r="BU140" s="140">
        <v>23.3</v>
      </c>
      <c r="BW140" s="140">
        <v>65.900000000000006</v>
      </c>
      <c r="BY140" s="140">
        <v>10.6</v>
      </c>
      <c r="CJ140" s="140" t="s">
        <v>8141</v>
      </c>
    </row>
    <row r="141" spans="1:88">
      <c r="A141" s="158" t="s">
        <v>7791</v>
      </c>
      <c r="B141" s="112" t="s">
        <v>271</v>
      </c>
      <c r="C141" s="112">
        <v>2</v>
      </c>
      <c r="D141">
        <v>176</v>
      </c>
      <c r="E141" s="113">
        <v>16</v>
      </c>
      <c r="F141" s="113">
        <v>8</v>
      </c>
      <c r="I141" s="112">
        <v>26</v>
      </c>
      <c r="J141" s="183">
        <v>41705</v>
      </c>
      <c r="M141" s="184">
        <v>4.2</v>
      </c>
      <c r="N141" s="157">
        <v>41853</v>
      </c>
      <c r="S141" s="139">
        <v>13.89</v>
      </c>
      <c r="T141" s="157">
        <v>41853</v>
      </c>
      <c r="U141" s="139">
        <v>15.3</v>
      </c>
      <c r="Y141" s="139">
        <f t="shared" si="2"/>
        <v>5.3155200000000002</v>
      </c>
      <c r="AA141" s="139">
        <v>61.64</v>
      </c>
      <c r="AE141" s="139">
        <v>27.12</v>
      </c>
      <c r="AG141" s="185">
        <v>4.4000000000000004</v>
      </c>
      <c r="AI141" s="185">
        <v>115</v>
      </c>
      <c r="AJ141" s="157">
        <v>41803</v>
      </c>
      <c r="AO141" s="139">
        <v>93</v>
      </c>
      <c r="AP141" s="157">
        <v>41738</v>
      </c>
      <c r="AS141" s="139">
        <v>128</v>
      </c>
      <c r="AT141" s="157">
        <v>41766</v>
      </c>
      <c r="BS141" s="140">
        <v>51.2</v>
      </c>
      <c r="BU141" s="140">
        <v>19.600000000000001</v>
      </c>
      <c r="BW141" s="140">
        <v>10.3</v>
      </c>
      <c r="BY141" s="140">
        <v>10.1</v>
      </c>
      <c r="CJ141" s="140" t="s">
        <v>8144</v>
      </c>
    </row>
    <row r="142" spans="1:88">
      <c r="A142" s="158" t="s">
        <v>7723</v>
      </c>
      <c r="B142" s="112" t="s">
        <v>271</v>
      </c>
      <c r="C142" s="112">
        <v>2</v>
      </c>
      <c r="D142">
        <v>108</v>
      </c>
      <c r="E142" s="113">
        <v>16</v>
      </c>
      <c r="F142" s="113">
        <v>9</v>
      </c>
      <c r="I142" s="112">
        <v>43</v>
      </c>
      <c r="J142" s="183">
        <v>41705</v>
      </c>
      <c r="M142" s="184">
        <v>1.86</v>
      </c>
      <c r="N142" s="157">
        <v>41853</v>
      </c>
      <c r="S142" s="139">
        <v>6.03</v>
      </c>
      <c r="T142" s="157">
        <v>41853</v>
      </c>
      <c r="U142" s="139">
        <v>15.3</v>
      </c>
      <c r="Y142" s="139">
        <f t="shared" si="2"/>
        <v>2.3659699999999999</v>
      </c>
      <c r="AA142" s="139">
        <v>27.93</v>
      </c>
      <c r="AE142" s="139">
        <v>12.01</v>
      </c>
      <c r="AG142" s="185">
        <v>4.3</v>
      </c>
      <c r="AI142" s="185">
        <v>120</v>
      </c>
      <c r="AJ142" s="157">
        <v>41803</v>
      </c>
      <c r="AO142" s="139">
        <v>94</v>
      </c>
      <c r="AP142" s="157">
        <v>41738</v>
      </c>
      <c r="AS142" s="139">
        <v>128</v>
      </c>
      <c r="AT142" s="157">
        <v>41766</v>
      </c>
      <c r="BS142" s="140">
        <v>50.2</v>
      </c>
      <c r="BU142" s="140">
        <v>19.7</v>
      </c>
      <c r="BW142" s="140">
        <v>14.2</v>
      </c>
      <c r="BY142" s="140">
        <v>10.1</v>
      </c>
      <c r="CJ142" s="140" t="s">
        <v>8134</v>
      </c>
    </row>
    <row r="143" spans="1:88">
      <c r="A143" s="158" t="s">
        <v>7902</v>
      </c>
      <c r="B143" s="112" t="s">
        <v>271</v>
      </c>
      <c r="C143" s="112">
        <v>2</v>
      </c>
      <c r="D143">
        <v>207</v>
      </c>
      <c r="E143" s="113">
        <v>16</v>
      </c>
      <c r="F143" s="113">
        <v>10</v>
      </c>
      <c r="I143" s="112">
        <v>43</v>
      </c>
      <c r="J143" s="183">
        <v>41705</v>
      </c>
      <c r="M143" s="184"/>
      <c r="N143" s="157">
        <v>41853</v>
      </c>
      <c r="T143" s="157">
        <v>41853</v>
      </c>
      <c r="U143" s="139">
        <v>15.3</v>
      </c>
      <c r="Y143" s="139">
        <f t="shared" si="2"/>
        <v>0</v>
      </c>
      <c r="AG143" s="185"/>
      <c r="AI143" s="185">
        <v>120</v>
      </c>
      <c r="AJ143" s="157">
        <v>41803</v>
      </c>
      <c r="AO143" s="139">
        <v>87</v>
      </c>
      <c r="AP143" s="157">
        <v>41738</v>
      </c>
      <c r="AS143" s="139">
        <v>126</v>
      </c>
      <c r="AT143" s="157">
        <v>41766</v>
      </c>
      <c r="CJ143" s="140" t="s">
        <v>8156</v>
      </c>
    </row>
    <row r="144" spans="1:88">
      <c r="A144" s="158" t="s">
        <v>7709</v>
      </c>
      <c r="B144" s="112" t="s">
        <v>271</v>
      </c>
      <c r="C144" s="112">
        <v>2</v>
      </c>
      <c r="D144">
        <v>94</v>
      </c>
      <c r="E144" s="113">
        <v>16</v>
      </c>
      <c r="F144" s="113">
        <v>11</v>
      </c>
      <c r="I144" s="112">
        <v>40</v>
      </c>
      <c r="J144" s="183">
        <v>41705</v>
      </c>
      <c r="M144" s="184">
        <v>3.8</v>
      </c>
      <c r="N144" s="157">
        <v>41853</v>
      </c>
      <c r="S144" s="139">
        <v>12.3</v>
      </c>
      <c r="T144" s="157">
        <v>41853</v>
      </c>
      <c r="U144" s="139">
        <v>15.3</v>
      </c>
      <c r="Y144" s="139">
        <f t="shared" si="2"/>
        <v>5.2011500000000002</v>
      </c>
      <c r="AA144" s="139">
        <v>53.59</v>
      </c>
      <c r="AE144" s="139">
        <v>24.65</v>
      </c>
      <c r="AG144" s="185">
        <v>4.5999999999999996</v>
      </c>
      <c r="AI144" s="185">
        <v>110</v>
      </c>
      <c r="AJ144" s="157">
        <v>41803</v>
      </c>
      <c r="AO144" s="139">
        <v>94</v>
      </c>
      <c r="AP144" s="157">
        <v>41738</v>
      </c>
      <c r="AS144" s="139">
        <v>128</v>
      </c>
      <c r="AT144" s="157">
        <v>41766</v>
      </c>
      <c r="BS144" s="140">
        <v>49.9</v>
      </c>
      <c r="BU144" s="140">
        <v>21.1</v>
      </c>
      <c r="BW144" s="140">
        <v>17</v>
      </c>
      <c r="BY144" s="140">
        <v>9.6999999999999993</v>
      </c>
      <c r="CJ144" s="140" t="s">
        <v>8140</v>
      </c>
    </row>
    <row r="145" spans="1:91">
      <c r="A145" s="158" t="s">
        <v>7815</v>
      </c>
      <c r="B145" s="112" t="s">
        <v>271</v>
      </c>
      <c r="C145" s="112">
        <v>2</v>
      </c>
      <c r="D145">
        <v>200</v>
      </c>
      <c r="E145" s="113">
        <v>16</v>
      </c>
      <c r="F145" s="113">
        <v>12</v>
      </c>
      <c r="I145" s="112">
        <v>59</v>
      </c>
      <c r="J145" s="183">
        <v>41705</v>
      </c>
      <c r="M145" s="184">
        <v>5.0599999999999996</v>
      </c>
      <c r="N145" s="157">
        <v>41853</v>
      </c>
      <c r="S145" s="139">
        <v>17.22</v>
      </c>
      <c r="T145" s="157">
        <v>41853</v>
      </c>
      <c r="U145" s="139">
        <v>15.3</v>
      </c>
      <c r="Y145" s="139">
        <f t="shared" si="2"/>
        <v>6.3188200000000005</v>
      </c>
      <c r="AA145" s="139">
        <v>76.14</v>
      </c>
      <c r="AE145" s="139">
        <v>32.74</v>
      </c>
      <c r="AG145" s="185">
        <v>4.3</v>
      </c>
      <c r="AI145" s="185">
        <v>125</v>
      </c>
      <c r="AJ145" s="157">
        <v>41803</v>
      </c>
      <c r="AO145" s="139">
        <v>92</v>
      </c>
      <c r="AP145" s="157">
        <v>41738</v>
      </c>
      <c r="AS145" s="139">
        <v>127</v>
      </c>
      <c r="AT145" s="157">
        <v>41766</v>
      </c>
      <c r="BS145" s="140">
        <v>52.6</v>
      </c>
      <c r="BU145" s="140">
        <v>19.3</v>
      </c>
      <c r="BW145" s="140">
        <v>14.3</v>
      </c>
      <c r="BY145" s="140">
        <v>9.9</v>
      </c>
      <c r="CJ145" s="140" t="s">
        <v>8140</v>
      </c>
    </row>
    <row r="146" spans="1:91">
      <c r="A146" s="158" t="s">
        <v>7753</v>
      </c>
      <c r="B146" s="112" t="s">
        <v>269</v>
      </c>
      <c r="C146" s="112">
        <v>1</v>
      </c>
      <c r="D146">
        <v>138</v>
      </c>
      <c r="E146" s="113">
        <v>17</v>
      </c>
      <c r="F146" s="113">
        <v>1</v>
      </c>
      <c r="I146" s="112">
        <v>18</v>
      </c>
      <c r="J146" s="183">
        <v>41705</v>
      </c>
      <c r="M146" s="184">
        <v>0.96</v>
      </c>
      <c r="N146" s="157">
        <v>41853</v>
      </c>
      <c r="S146" s="139">
        <v>3</v>
      </c>
      <c r="T146" s="157">
        <v>41853</v>
      </c>
      <c r="U146" s="139">
        <v>15.3</v>
      </c>
      <c r="Y146" s="139">
        <f t="shared" si="2"/>
        <v>1.44536</v>
      </c>
      <c r="AA146" s="139">
        <v>12.22</v>
      </c>
      <c r="AE146" s="139">
        <v>6.23</v>
      </c>
      <c r="AG146" s="185">
        <v>5.0999999999999996</v>
      </c>
      <c r="AI146" s="185">
        <v>110</v>
      </c>
      <c r="AJ146" s="157">
        <v>41803</v>
      </c>
      <c r="AO146" s="139">
        <v>91</v>
      </c>
      <c r="AP146" s="157">
        <v>41738</v>
      </c>
      <c r="AS146" s="139">
        <v>127</v>
      </c>
      <c r="AT146" s="157">
        <v>41766</v>
      </c>
      <c r="BS146" s="140">
        <v>48.2</v>
      </c>
      <c r="BU146" s="140">
        <v>23.2</v>
      </c>
      <c r="BW146" s="140">
        <v>81.8</v>
      </c>
      <c r="BY146" s="140">
        <v>9.6999999999999993</v>
      </c>
      <c r="CJ146" s="140" t="s">
        <v>8140</v>
      </c>
    </row>
    <row r="147" spans="1:91">
      <c r="A147" s="158" t="s">
        <v>7799</v>
      </c>
      <c r="B147" s="112" t="s">
        <v>269</v>
      </c>
      <c r="C147" s="112">
        <v>1</v>
      </c>
      <c r="D147">
        <v>184</v>
      </c>
      <c r="E147" s="113">
        <v>17</v>
      </c>
      <c r="F147" s="113">
        <v>2</v>
      </c>
      <c r="I147" s="112">
        <v>34</v>
      </c>
      <c r="J147" s="183">
        <v>41705</v>
      </c>
      <c r="M147" s="184">
        <v>2.06</v>
      </c>
      <c r="N147" s="157">
        <v>41853</v>
      </c>
      <c r="S147" s="139">
        <v>6.71</v>
      </c>
      <c r="T147" s="157">
        <v>41853</v>
      </c>
      <c r="U147" s="139">
        <v>15.3</v>
      </c>
      <c r="Y147" s="139">
        <f t="shared" si="2"/>
        <v>2.7254399999999999</v>
      </c>
      <c r="AA147" s="139">
        <v>23.03</v>
      </c>
      <c r="AE147" s="139">
        <v>13.36</v>
      </c>
      <c r="AG147" s="185">
        <v>5.8</v>
      </c>
      <c r="AI147" s="185">
        <v>125</v>
      </c>
      <c r="AJ147" s="157">
        <v>41803</v>
      </c>
      <c r="AO147" s="139">
        <v>94</v>
      </c>
      <c r="AP147" s="157">
        <v>41738</v>
      </c>
      <c r="AS147" s="139">
        <v>126</v>
      </c>
      <c r="AT147" s="157">
        <v>41766</v>
      </c>
      <c r="BS147" s="140">
        <v>50.2</v>
      </c>
      <c r="BU147" s="140">
        <v>20.399999999999999</v>
      </c>
      <c r="BW147" s="140">
        <v>19.100000000000001</v>
      </c>
      <c r="BY147" s="140">
        <v>9.6999999999999993</v>
      </c>
      <c r="CJ147" s="140" t="s">
        <v>8140</v>
      </c>
    </row>
    <row r="148" spans="1:91">
      <c r="A148" s="158" t="s">
        <v>7785</v>
      </c>
      <c r="B148" s="112" t="s">
        <v>269</v>
      </c>
      <c r="C148" s="112">
        <v>1</v>
      </c>
      <c r="D148">
        <v>170</v>
      </c>
      <c r="E148" s="113">
        <v>17</v>
      </c>
      <c r="F148" s="113">
        <v>3</v>
      </c>
      <c r="I148" s="112">
        <v>22</v>
      </c>
      <c r="J148" s="183">
        <v>41705</v>
      </c>
      <c r="M148" s="184">
        <v>1.54</v>
      </c>
      <c r="N148" s="157">
        <v>41853</v>
      </c>
      <c r="S148" s="139">
        <v>5.05</v>
      </c>
      <c r="T148" s="157">
        <v>41853</v>
      </c>
      <c r="U148" s="139">
        <v>15.3</v>
      </c>
      <c r="Y148" s="139">
        <f t="shared" si="2"/>
        <v>2.0179800000000001</v>
      </c>
      <c r="AA148" s="139">
        <v>20.39</v>
      </c>
      <c r="AE148" s="139">
        <v>9.99</v>
      </c>
      <c r="AG148" s="185">
        <v>4.9000000000000004</v>
      </c>
      <c r="AI148" s="185">
        <v>130</v>
      </c>
      <c r="AJ148" s="157">
        <v>41803</v>
      </c>
      <c r="AO148" s="139">
        <v>91</v>
      </c>
      <c r="AP148" s="157">
        <v>41738</v>
      </c>
      <c r="AS148" s="139">
        <v>126</v>
      </c>
      <c r="AT148" s="157">
        <v>41766</v>
      </c>
      <c r="BS148" s="140">
        <v>50.6</v>
      </c>
      <c r="BU148" s="140">
        <v>20.2</v>
      </c>
      <c r="BW148" s="140">
        <v>10.4</v>
      </c>
      <c r="BY148" s="140">
        <v>9.6999999999999993</v>
      </c>
      <c r="CJ148" s="140" t="s">
        <v>8140</v>
      </c>
    </row>
    <row r="149" spans="1:91">
      <c r="A149" s="158" t="s">
        <v>7750</v>
      </c>
      <c r="B149" s="112" t="s">
        <v>269</v>
      </c>
      <c r="C149" s="112">
        <v>1</v>
      </c>
      <c r="D149">
        <v>135</v>
      </c>
      <c r="E149" s="113">
        <v>17</v>
      </c>
      <c r="F149" s="113">
        <v>4</v>
      </c>
      <c r="I149" s="112">
        <v>38</v>
      </c>
      <c r="J149" s="183">
        <v>41705</v>
      </c>
      <c r="M149" s="184">
        <v>1.37</v>
      </c>
      <c r="N149" s="157">
        <v>41853</v>
      </c>
      <c r="S149" s="139">
        <v>4.32</v>
      </c>
      <c r="T149" s="157">
        <v>41853</v>
      </c>
      <c r="U149" s="139">
        <v>15.3</v>
      </c>
      <c r="Y149" s="139">
        <f t="shared" si="2"/>
        <v>2.0002499999999999</v>
      </c>
      <c r="AA149" s="139">
        <v>22.23</v>
      </c>
      <c r="AE149" s="139">
        <v>8.89</v>
      </c>
      <c r="AG149" s="185">
        <v>4</v>
      </c>
      <c r="AI149" s="185">
        <v>110</v>
      </c>
      <c r="AJ149" s="157">
        <v>41803</v>
      </c>
      <c r="AO149" s="139">
        <v>90</v>
      </c>
      <c r="AP149" s="157">
        <v>41738</v>
      </c>
      <c r="AS149" s="139">
        <v>127</v>
      </c>
      <c r="AT149" s="157">
        <v>41766</v>
      </c>
      <c r="BS149" s="140">
        <v>48.6</v>
      </c>
      <c r="BU149" s="140">
        <v>22.5</v>
      </c>
      <c r="BW149" s="140">
        <v>62.1</v>
      </c>
      <c r="BY149" s="140">
        <v>9.6999999999999993</v>
      </c>
      <c r="CJ149" s="140" t="s">
        <v>8140</v>
      </c>
    </row>
    <row r="150" spans="1:91">
      <c r="A150" s="188" t="s">
        <v>7619</v>
      </c>
      <c r="B150" s="189" t="s">
        <v>269</v>
      </c>
      <c r="C150" s="189">
        <v>1</v>
      </c>
      <c r="D150" s="190">
        <v>4</v>
      </c>
      <c r="E150" s="191">
        <v>17</v>
      </c>
      <c r="F150" s="191">
        <v>5</v>
      </c>
      <c r="G150" s="191"/>
      <c r="H150" s="191"/>
      <c r="I150" s="385">
        <v>37</v>
      </c>
      <c r="J150" s="193">
        <v>41705</v>
      </c>
      <c r="K150" s="200"/>
      <c r="L150" s="195"/>
      <c r="M150" s="196">
        <v>0.54</v>
      </c>
      <c r="N150" s="195">
        <v>41853</v>
      </c>
      <c r="O150" s="199"/>
      <c r="P150" s="195"/>
      <c r="Q150" s="200"/>
      <c r="R150" s="195"/>
      <c r="S150" s="200">
        <v>1.67</v>
      </c>
      <c r="T150" s="195">
        <v>41853</v>
      </c>
      <c r="U150" s="200">
        <v>15.3</v>
      </c>
      <c r="V150" s="195"/>
      <c r="W150" s="200"/>
      <c r="X150" s="195"/>
      <c r="Y150" s="139">
        <f t="shared" si="2"/>
        <v>0.78399999999999992</v>
      </c>
      <c r="Z150" s="195"/>
      <c r="AA150" s="200">
        <v>7.61</v>
      </c>
      <c r="AB150" s="195"/>
      <c r="AC150" s="194"/>
      <c r="AD150" s="195"/>
      <c r="AE150" s="200">
        <v>3.5</v>
      </c>
      <c r="AF150" s="195"/>
      <c r="AG150" s="197">
        <v>4.5999999999999996</v>
      </c>
      <c r="AH150" s="195"/>
      <c r="AI150" s="197">
        <v>115</v>
      </c>
      <c r="AJ150" s="195">
        <v>41803</v>
      </c>
      <c r="AK150" s="200"/>
      <c r="AL150" s="195"/>
      <c r="AM150" s="200"/>
      <c r="AN150" s="195"/>
      <c r="AO150" s="194">
        <v>88</v>
      </c>
      <c r="AP150" s="195">
        <v>41738</v>
      </c>
      <c r="AQ150" s="194"/>
      <c r="AR150" s="194"/>
      <c r="AS150" s="194">
        <v>126</v>
      </c>
      <c r="AT150" s="195">
        <v>41766</v>
      </c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8"/>
      <c r="BF150" s="198"/>
      <c r="BG150" s="198"/>
      <c r="BH150" s="198"/>
      <c r="BI150" s="198"/>
      <c r="BJ150" s="198"/>
      <c r="BK150" s="198"/>
      <c r="BL150" s="198"/>
      <c r="BM150" s="198"/>
      <c r="BN150" s="198"/>
      <c r="BO150" s="198"/>
      <c r="BP150" s="198"/>
      <c r="BQ150" s="198"/>
      <c r="BR150" s="198"/>
      <c r="BS150" s="198">
        <v>47.7</v>
      </c>
      <c r="BT150" s="198"/>
      <c r="BU150" s="198">
        <v>22.4</v>
      </c>
      <c r="BV150" s="198"/>
      <c r="BW150" s="198">
        <v>61.3</v>
      </c>
      <c r="BX150" s="198"/>
      <c r="BY150" s="198">
        <v>9.6999999999999993</v>
      </c>
      <c r="BZ150" s="198"/>
      <c r="CA150" s="198"/>
      <c r="CB150" s="198"/>
      <c r="CC150" s="198"/>
      <c r="CD150" s="198"/>
      <c r="CE150" s="198"/>
      <c r="CF150" s="198"/>
      <c r="CG150" s="198"/>
      <c r="CH150" s="198"/>
      <c r="CI150" s="198"/>
      <c r="CJ150" s="198" t="s">
        <v>8142</v>
      </c>
      <c r="CK150" s="198"/>
      <c r="CL150" s="198"/>
      <c r="CM150" s="198"/>
    </row>
    <row r="151" spans="1:91">
      <c r="A151" s="158" t="s">
        <v>7649</v>
      </c>
      <c r="B151" s="112" t="s">
        <v>269</v>
      </c>
      <c r="C151" s="112">
        <v>1</v>
      </c>
      <c r="D151">
        <v>34</v>
      </c>
      <c r="E151" s="113">
        <v>17</v>
      </c>
      <c r="F151" s="113">
        <v>6</v>
      </c>
      <c r="I151" s="112">
        <v>35</v>
      </c>
      <c r="J151" s="183">
        <v>41705</v>
      </c>
      <c r="M151" s="184">
        <v>1.58</v>
      </c>
      <c r="N151" s="157">
        <v>41853</v>
      </c>
      <c r="S151" s="139">
        <v>4.8499999999999996</v>
      </c>
      <c r="T151" s="157">
        <v>41853</v>
      </c>
      <c r="U151" s="139">
        <v>15.3</v>
      </c>
      <c r="Y151" s="139">
        <f t="shared" si="2"/>
        <v>2.2447499999999998</v>
      </c>
      <c r="AA151" s="139">
        <v>20.92</v>
      </c>
      <c r="AE151" s="139">
        <v>10.25</v>
      </c>
      <c r="AG151" s="185">
        <v>4.9000000000000004</v>
      </c>
      <c r="AI151" s="185">
        <v>110</v>
      </c>
      <c r="AJ151" s="157">
        <v>41803</v>
      </c>
      <c r="AO151" s="139">
        <v>97</v>
      </c>
      <c r="AP151" s="157">
        <v>41738</v>
      </c>
      <c r="AS151" s="139">
        <v>126</v>
      </c>
      <c r="AT151" s="157">
        <v>41766</v>
      </c>
      <c r="BS151" s="140">
        <v>47.3</v>
      </c>
      <c r="BU151" s="140">
        <v>21.9</v>
      </c>
      <c r="BW151" s="140">
        <v>71.099999999999994</v>
      </c>
      <c r="BY151" s="140">
        <v>9.6999999999999993</v>
      </c>
      <c r="CJ151" s="140" t="s">
        <v>8131</v>
      </c>
    </row>
    <row r="152" spans="1:91">
      <c r="A152" s="158" t="s">
        <v>7678</v>
      </c>
      <c r="B152" s="112" t="s">
        <v>271</v>
      </c>
      <c r="C152" s="112">
        <v>2</v>
      </c>
      <c r="D152">
        <v>63</v>
      </c>
      <c r="E152" s="113">
        <v>17</v>
      </c>
      <c r="F152" s="113">
        <v>7</v>
      </c>
      <c r="I152" s="112">
        <v>31</v>
      </c>
      <c r="J152" s="183">
        <v>41705</v>
      </c>
      <c r="M152" s="184">
        <v>3.66</v>
      </c>
      <c r="N152" s="157">
        <v>41853</v>
      </c>
      <c r="S152" s="139">
        <v>12.17</v>
      </c>
      <c r="T152" s="157">
        <v>41853</v>
      </c>
      <c r="U152" s="139">
        <v>15.3</v>
      </c>
      <c r="Y152" s="139">
        <f t="shared" si="2"/>
        <v>4.8232800000000005</v>
      </c>
      <c r="AA152" s="139">
        <v>48.49</v>
      </c>
      <c r="AE152" s="139">
        <v>23.76</v>
      </c>
      <c r="AG152" s="185">
        <v>4.9000000000000004</v>
      </c>
      <c r="AI152" s="185">
        <v>120</v>
      </c>
      <c r="AJ152" s="157">
        <v>41803</v>
      </c>
      <c r="AO152" s="139">
        <v>93</v>
      </c>
      <c r="AP152" s="157">
        <v>41738</v>
      </c>
      <c r="AS152" s="139">
        <v>127</v>
      </c>
      <c r="AT152" s="157">
        <v>41766</v>
      </c>
      <c r="BS152" s="140">
        <v>51.2</v>
      </c>
      <c r="BU152" s="140">
        <v>20.3</v>
      </c>
      <c r="BW152" s="140">
        <v>16.600000000000001</v>
      </c>
      <c r="BY152" s="140">
        <v>9.6</v>
      </c>
      <c r="CJ152" s="140" t="s">
        <v>8140</v>
      </c>
    </row>
    <row r="153" spans="1:91">
      <c r="A153" s="158" t="s">
        <v>7725</v>
      </c>
      <c r="B153" s="112" t="s">
        <v>271</v>
      </c>
      <c r="C153" s="112">
        <v>2</v>
      </c>
      <c r="D153">
        <v>110</v>
      </c>
      <c r="E153" s="113">
        <v>17</v>
      </c>
      <c r="F153" s="113">
        <v>8</v>
      </c>
      <c r="I153" s="112">
        <v>30</v>
      </c>
      <c r="J153" s="183">
        <v>41705</v>
      </c>
      <c r="M153" s="184">
        <v>2.77</v>
      </c>
      <c r="N153" s="157">
        <v>41853</v>
      </c>
      <c r="S153" s="139">
        <v>8.9700000000000006</v>
      </c>
      <c r="T153" s="157">
        <v>41853</v>
      </c>
      <c r="U153" s="139">
        <v>15.3</v>
      </c>
      <c r="Y153" s="139">
        <f t="shared" si="2"/>
        <v>3.8742999999999999</v>
      </c>
      <c r="AA153" s="139">
        <v>38.340000000000003</v>
      </c>
      <c r="AE153" s="139">
        <v>18.02</v>
      </c>
      <c r="AG153" s="185">
        <v>4.7</v>
      </c>
      <c r="AI153" s="185">
        <v>110</v>
      </c>
      <c r="AJ153" s="157">
        <v>41803</v>
      </c>
      <c r="AO153" s="139">
        <v>93</v>
      </c>
      <c r="AP153" s="157">
        <v>41738</v>
      </c>
      <c r="AS153" s="139">
        <v>127</v>
      </c>
      <c r="AT153" s="157">
        <v>41766</v>
      </c>
      <c r="BS153" s="140">
        <v>49.8</v>
      </c>
      <c r="BU153" s="140">
        <v>21.5</v>
      </c>
      <c r="BW153" s="140">
        <v>19.8</v>
      </c>
      <c r="BY153" s="140">
        <v>9.4</v>
      </c>
      <c r="CJ153" s="140" t="s">
        <v>8140</v>
      </c>
    </row>
    <row r="154" spans="1:91" s="198" customFormat="1">
      <c r="A154" s="158" t="s">
        <v>7779</v>
      </c>
      <c r="B154" s="112" t="s">
        <v>271</v>
      </c>
      <c r="C154" s="112">
        <v>2</v>
      </c>
      <c r="D154">
        <v>164</v>
      </c>
      <c r="E154" s="113">
        <v>17</v>
      </c>
      <c r="F154" s="113">
        <v>9</v>
      </c>
      <c r="G154" s="113"/>
      <c r="H154" s="113"/>
      <c r="I154" s="112">
        <v>49</v>
      </c>
      <c r="J154" s="183">
        <v>41705</v>
      </c>
      <c r="K154" s="139"/>
      <c r="L154" s="157"/>
      <c r="M154" s="184">
        <v>4.3099999999999996</v>
      </c>
      <c r="N154" s="157">
        <v>41853</v>
      </c>
      <c r="O154" s="139"/>
      <c r="P154" s="157"/>
      <c r="Q154" s="139"/>
      <c r="R154" s="157"/>
      <c r="S154" s="139">
        <v>13.67</v>
      </c>
      <c r="T154" s="157">
        <v>41853</v>
      </c>
      <c r="U154" s="139">
        <v>15.3</v>
      </c>
      <c r="V154" s="157"/>
      <c r="W154" s="139"/>
      <c r="X154" s="157"/>
      <c r="Y154" s="139">
        <f t="shared" si="2"/>
        <v>6.0242999999999993</v>
      </c>
      <c r="Z154" s="157"/>
      <c r="AA154" s="139">
        <v>68.34</v>
      </c>
      <c r="AB154" s="157"/>
      <c r="AC154" s="139"/>
      <c r="AD154" s="157"/>
      <c r="AE154" s="139">
        <v>28.02</v>
      </c>
      <c r="AF154" s="157"/>
      <c r="AG154" s="185">
        <v>4.0999999999999996</v>
      </c>
      <c r="AH154" s="157"/>
      <c r="AI154" s="185">
        <v>115</v>
      </c>
      <c r="AJ154" s="157">
        <v>41803</v>
      </c>
      <c r="AK154" s="139"/>
      <c r="AL154" s="157"/>
      <c r="AM154" s="139"/>
      <c r="AN154" s="157"/>
      <c r="AO154" s="139">
        <v>93</v>
      </c>
      <c r="AP154" s="157">
        <v>41738</v>
      </c>
      <c r="AQ154" s="139"/>
      <c r="AR154" s="139"/>
      <c r="AS154" s="139">
        <v>127</v>
      </c>
      <c r="AT154" s="157">
        <v>41766</v>
      </c>
      <c r="AU154" s="139"/>
      <c r="AV154" s="139"/>
      <c r="AW154" s="139"/>
      <c r="AX154" s="139"/>
      <c r="AY154" s="139"/>
      <c r="AZ154" s="139"/>
      <c r="BA154" s="139"/>
      <c r="BB154" s="139"/>
      <c r="BC154" s="139"/>
      <c r="BD154" s="139"/>
      <c r="BE154" s="140"/>
      <c r="BF154" s="140"/>
      <c r="BG154" s="140"/>
      <c r="BH154" s="140"/>
      <c r="BI154" s="140"/>
      <c r="BJ154" s="140"/>
      <c r="BK154" s="140"/>
      <c r="BL154" s="140"/>
      <c r="BM154" s="140"/>
      <c r="BN154" s="140"/>
      <c r="BO154" s="140"/>
      <c r="BP154" s="140"/>
      <c r="BQ154" s="140"/>
      <c r="BR154" s="140"/>
      <c r="BS154" s="140">
        <v>48.8</v>
      </c>
      <c r="BT154" s="140"/>
      <c r="BU154" s="140">
        <v>21.5</v>
      </c>
      <c r="BV154" s="140"/>
      <c r="BW154" s="140">
        <v>11</v>
      </c>
      <c r="BX154" s="140"/>
      <c r="BY154" s="140">
        <v>9.5</v>
      </c>
      <c r="BZ154" s="140"/>
      <c r="CA154" s="140"/>
      <c r="CB154" s="140"/>
      <c r="CC154" s="140"/>
      <c r="CD154" s="140"/>
      <c r="CE154" s="140"/>
      <c r="CF154" s="140"/>
      <c r="CG154" s="140"/>
      <c r="CH154" s="140"/>
      <c r="CI154" s="140"/>
      <c r="CJ154" s="140" t="s">
        <v>8140</v>
      </c>
      <c r="CK154" s="140"/>
      <c r="CL154" s="140"/>
      <c r="CM154" s="140"/>
    </row>
    <row r="155" spans="1:91" s="198" customFormat="1">
      <c r="A155" s="158" t="s">
        <v>7623</v>
      </c>
      <c r="B155" s="112" t="s">
        <v>271</v>
      </c>
      <c r="C155" s="112">
        <v>2</v>
      </c>
      <c r="D155">
        <v>8</v>
      </c>
      <c r="E155" s="113">
        <v>17</v>
      </c>
      <c r="F155" s="113">
        <v>10</v>
      </c>
      <c r="G155" s="113"/>
      <c r="H155" s="113"/>
      <c r="I155" s="187">
        <v>40</v>
      </c>
      <c r="J155" s="183">
        <v>41705</v>
      </c>
      <c r="K155" s="142"/>
      <c r="L155" s="157"/>
      <c r="M155" s="184">
        <v>2.7</v>
      </c>
      <c r="N155" s="157">
        <v>41853</v>
      </c>
      <c r="O155" s="141"/>
      <c r="P155" s="157"/>
      <c r="Q155" s="142"/>
      <c r="R155" s="157"/>
      <c r="S155" s="142">
        <v>8.44</v>
      </c>
      <c r="T155" s="157">
        <v>41853</v>
      </c>
      <c r="U155" s="142">
        <v>15.3</v>
      </c>
      <c r="V155" s="157"/>
      <c r="W155" s="142"/>
      <c r="X155" s="157"/>
      <c r="Y155" s="139">
        <f t="shared" si="2"/>
        <v>4.09734</v>
      </c>
      <c r="Z155" s="157"/>
      <c r="AA155" s="142">
        <v>31.84</v>
      </c>
      <c r="AB155" s="157"/>
      <c r="AC155" s="139"/>
      <c r="AD155" s="157"/>
      <c r="AE155" s="142">
        <v>17.510000000000002</v>
      </c>
      <c r="AF155" s="157"/>
      <c r="AG155" s="185">
        <v>5.5</v>
      </c>
      <c r="AH155" s="157"/>
      <c r="AI155" s="185">
        <v>100</v>
      </c>
      <c r="AJ155" s="157">
        <v>41803</v>
      </c>
      <c r="AK155" s="142"/>
      <c r="AL155" s="157"/>
      <c r="AM155" s="142"/>
      <c r="AN155" s="157"/>
      <c r="AO155" s="139">
        <v>86</v>
      </c>
      <c r="AP155" s="157">
        <v>41738</v>
      </c>
      <c r="AQ155" s="139"/>
      <c r="AR155" s="139"/>
      <c r="AS155" s="139">
        <v>126</v>
      </c>
      <c r="AT155" s="157">
        <v>41766</v>
      </c>
      <c r="AU155" s="139"/>
      <c r="AV155" s="139"/>
      <c r="AW155" s="139"/>
      <c r="AX155" s="139"/>
      <c r="AY155" s="139"/>
      <c r="AZ155" s="139"/>
      <c r="BA155" s="139"/>
      <c r="BB155" s="139"/>
      <c r="BC155" s="139"/>
      <c r="BD155" s="139"/>
      <c r="BE155" s="140"/>
      <c r="BF155" s="140"/>
      <c r="BG155" s="140"/>
      <c r="BH155" s="140"/>
      <c r="BI155" s="140"/>
      <c r="BJ155" s="140"/>
      <c r="BK155" s="140"/>
      <c r="BL155" s="140"/>
      <c r="BM155" s="140"/>
      <c r="BN155" s="140"/>
      <c r="BO155" s="140"/>
      <c r="BP155" s="140"/>
      <c r="BQ155" s="140"/>
      <c r="BR155" s="140"/>
      <c r="BS155" s="140">
        <v>48.2</v>
      </c>
      <c r="BT155" s="140"/>
      <c r="BU155" s="140">
        <v>23.4</v>
      </c>
      <c r="BV155" s="140"/>
      <c r="BW155" s="140">
        <v>67.5</v>
      </c>
      <c r="BX155" s="140"/>
      <c r="BY155" s="140">
        <v>9.6999999999999993</v>
      </c>
      <c r="BZ155" s="140"/>
      <c r="CA155" s="140"/>
      <c r="CB155" s="140"/>
      <c r="CC155" s="140"/>
      <c r="CD155" s="140"/>
      <c r="CE155" s="140"/>
      <c r="CF155" s="140"/>
      <c r="CG155" s="140"/>
      <c r="CH155" s="140"/>
      <c r="CI155" s="140"/>
      <c r="CJ155" s="140" t="s">
        <v>8139</v>
      </c>
      <c r="CK155" s="140"/>
      <c r="CL155" s="140"/>
      <c r="CM155" s="140"/>
    </row>
    <row r="156" spans="1:91" s="198" customFormat="1">
      <c r="A156" s="158" t="s">
        <v>7789</v>
      </c>
      <c r="B156" s="112" t="s">
        <v>271</v>
      </c>
      <c r="C156" s="112">
        <v>2</v>
      </c>
      <c r="D156">
        <v>174</v>
      </c>
      <c r="E156" s="113">
        <v>17</v>
      </c>
      <c r="F156" s="113">
        <v>11</v>
      </c>
      <c r="G156" s="113"/>
      <c r="H156" s="113"/>
      <c r="I156" s="112">
        <v>34</v>
      </c>
      <c r="J156" s="183">
        <v>41705</v>
      </c>
      <c r="K156" s="139"/>
      <c r="L156" s="157"/>
      <c r="M156" s="184">
        <v>3.54</v>
      </c>
      <c r="N156" s="157">
        <v>41853</v>
      </c>
      <c r="O156" s="139"/>
      <c r="P156" s="157"/>
      <c r="Q156" s="139"/>
      <c r="R156" s="157"/>
      <c r="S156" s="139">
        <v>11.5</v>
      </c>
      <c r="T156" s="157">
        <v>41853</v>
      </c>
      <c r="U156" s="139">
        <v>15.3</v>
      </c>
      <c r="V156" s="157"/>
      <c r="W156" s="139"/>
      <c r="X156" s="157"/>
      <c r="Y156" s="139">
        <f t="shared" si="2"/>
        <v>4.6379199999999994</v>
      </c>
      <c r="Z156" s="157"/>
      <c r="AA156" s="139">
        <v>45.92</v>
      </c>
      <c r="AB156" s="157"/>
      <c r="AC156" s="139"/>
      <c r="AD156" s="157"/>
      <c r="AE156" s="139">
        <v>22.96</v>
      </c>
      <c r="AF156" s="157"/>
      <c r="AG156" s="185">
        <v>5</v>
      </c>
      <c r="AH156" s="157"/>
      <c r="AI156" s="185">
        <v>110</v>
      </c>
      <c r="AJ156" s="157">
        <v>41803</v>
      </c>
      <c r="AK156" s="139"/>
      <c r="AL156" s="157"/>
      <c r="AM156" s="139"/>
      <c r="AN156" s="157"/>
      <c r="AO156" s="139">
        <v>93</v>
      </c>
      <c r="AP156" s="157">
        <v>41738</v>
      </c>
      <c r="AQ156" s="139"/>
      <c r="AR156" s="139"/>
      <c r="AS156" s="139">
        <v>127</v>
      </c>
      <c r="AT156" s="157">
        <v>41766</v>
      </c>
      <c r="AU156" s="139"/>
      <c r="AV156" s="139"/>
      <c r="AW156" s="139"/>
      <c r="AX156" s="139"/>
      <c r="AY156" s="139"/>
      <c r="AZ156" s="139"/>
      <c r="BA156" s="139"/>
      <c r="BB156" s="139"/>
      <c r="BC156" s="139"/>
      <c r="BD156" s="139"/>
      <c r="BE156" s="140"/>
      <c r="BF156" s="140"/>
      <c r="BG156" s="140"/>
      <c r="BH156" s="140"/>
      <c r="BI156" s="140"/>
      <c r="BJ156" s="140"/>
      <c r="BK156" s="140"/>
      <c r="BL156" s="140"/>
      <c r="BM156" s="140"/>
      <c r="BN156" s="140"/>
      <c r="BO156" s="140"/>
      <c r="BP156" s="140"/>
      <c r="BQ156" s="140"/>
      <c r="BR156" s="140"/>
      <c r="BS156" s="140">
        <v>50.1</v>
      </c>
      <c r="BT156" s="140"/>
      <c r="BU156" s="140">
        <v>20.2</v>
      </c>
      <c r="BV156" s="140"/>
      <c r="BW156" s="140">
        <v>13.8</v>
      </c>
      <c r="BX156" s="140"/>
      <c r="BY156" s="140">
        <v>9.6999999999999993</v>
      </c>
      <c r="BZ156" s="140"/>
      <c r="CA156" s="140"/>
      <c r="CB156" s="140"/>
      <c r="CC156" s="140"/>
      <c r="CD156" s="140"/>
      <c r="CE156" s="140"/>
      <c r="CF156" s="140"/>
      <c r="CG156" s="140"/>
      <c r="CH156" s="140"/>
      <c r="CI156" s="140"/>
      <c r="CJ156" s="140" t="s">
        <v>8140</v>
      </c>
      <c r="CK156" s="140"/>
      <c r="CL156" s="140"/>
      <c r="CM156" s="140"/>
    </row>
    <row r="157" spans="1:91" s="198" customFormat="1">
      <c r="A157" s="158" t="s">
        <v>7797</v>
      </c>
      <c r="B157" s="112" t="s">
        <v>271</v>
      </c>
      <c r="C157" s="112">
        <v>2</v>
      </c>
      <c r="D157">
        <v>182</v>
      </c>
      <c r="E157" s="113">
        <v>17</v>
      </c>
      <c r="F157" s="113">
        <v>12</v>
      </c>
      <c r="G157" s="113"/>
      <c r="H157" s="113"/>
      <c r="I157" s="112">
        <v>32</v>
      </c>
      <c r="J157" s="183">
        <v>41705</v>
      </c>
      <c r="K157" s="139"/>
      <c r="L157" s="157"/>
      <c r="M157" s="184">
        <v>4.76</v>
      </c>
      <c r="N157" s="157">
        <v>41853</v>
      </c>
      <c r="O157" s="139"/>
      <c r="P157" s="157"/>
      <c r="Q157" s="139"/>
      <c r="R157" s="157"/>
      <c r="S157" s="139">
        <v>15.31</v>
      </c>
      <c r="T157" s="157">
        <v>41853</v>
      </c>
      <c r="U157" s="139">
        <v>15.3</v>
      </c>
      <c r="V157" s="157"/>
      <c r="W157" s="139"/>
      <c r="X157" s="157"/>
      <c r="Y157" s="139">
        <f t="shared" si="2"/>
        <v>6.7451999999999996</v>
      </c>
      <c r="Z157" s="157"/>
      <c r="AA157" s="139">
        <v>57.04</v>
      </c>
      <c r="AB157" s="157"/>
      <c r="AC157" s="139"/>
      <c r="AD157" s="157"/>
      <c r="AE157" s="139">
        <v>30.8</v>
      </c>
      <c r="AF157" s="157"/>
      <c r="AG157" s="185">
        <v>5.4</v>
      </c>
      <c r="AH157" s="157"/>
      <c r="AI157" s="185">
        <v>120</v>
      </c>
      <c r="AJ157" s="157">
        <v>41803</v>
      </c>
      <c r="AK157" s="139"/>
      <c r="AL157" s="157"/>
      <c r="AM157" s="139"/>
      <c r="AN157" s="157"/>
      <c r="AO157" s="139">
        <v>91</v>
      </c>
      <c r="AP157" s="157">
        <v>41738</v>
      </c>
      <c r="AQ157" s="139"/>
      <c r="AR157" s="139"/>
      <c r="AS157" s="139">
        <v>127</v>
      </c>
      <c r="AT157" s="157">
        <v>41766</v>
      </c>
      <c r="AU157" s="139"/>
      <c r="AV157" s="139"/>
      <c r="AW157" s="139"/>
      <c r="AX157" s="139"/>
      <c r="AY157" s="139"/>
      <c r="AZ157" s="139"/>
      <c r="BA157" s="139"/>
      <c r="BB157" s="139"/>
      <c r="BC157" s="139"/>
      <c r="BD157" s="139"/>
      <c r="BE157" s="140"/>
      <c r="BF157" s="140"/>
      <c r="BG157" s="140"/>
      <c r="BH157" s="140"/>
      <c r="BI157" s="140"/>
      <c r="BJ157" s="140"/>
      <c r="BK157" s="140"/>
      <c r="BL157" s="140"/>
      <c r="BM157" s="140"/>
      <c r="BN157" s="140"/>
      <c r="BO157" s="140"/>
      <c r="BP157" s="140"/>
      <c r="BQ157" s="140"/>
      <c r="BR157" s="140"/>
      <c r="BS157" s="140">
        <v>49.7</v>
      </c>
      <c r="BT157" s="140"/>
      <c r="BU157" s="140">
        <v>21.9</v>
      </c>
      <c r="BV157" s="140"/>
      <c r="BW157" s="140">
        <v>15.2</v>
      </c>
      <c r="BX157" s="140"/>
      <c r="BY157" s="140">
        <v>9.9</v>
      </c>
      <c r="BZ157" s="140"/>
      <c r="CA157" s="140"/>
      <c r="CB157" s="140"/>
      <c r="CC157" s="140"/>
      <c r="CD157" s="140"/>
      <c r="CE157" s="140"/>
      <c r="CF157" s="140"/>
      <c r="CG157" s="140"/>
      <c r="CH157" s="140"/>
      <c r="CI157" s="140"/>
      <c r="CJ157" s="140" t="s">
        <v>8140</v>
      </c>
      <c r="CK157" s="140"/>
      <c r="CL157" s="140"/>
      <c r="CM157" s="140"/>
    </row>
    <row r="158" spans="1:91">
      <c r="A158" s="158" t="s">
        <v>7765</v>
      </c>
      <c r="B158" s="112" t="s">
        <v>269</v>
      </c>
      <c r="C158" s="112">
        <v>1</v>
      </c>
      <c r="D158">
        <v>150</v>
      </c>
      <c r="E158" s="113">
        <v>18</v>
      </c>
      <c r="F158" s="113">
        <v>1</v>
      </c>
      <c r="I158" s="112">
        <v>26</v>
      </c>
      <c r="J158" s="183">
        <v>41705</v>
      </c>
      <c r="M158" s="184">
        <v>1.07</v>
      </c>
      <c r="N158" s="157">
        <v>41853</v>
      </c>
      <c r="S158" s="139">
        <v>3.42</v>
      </c>
      <c r="T158" s="157">
        <v>41853</v>
      </c>
      <c r="U158" s="139">
        <v>15.3</v>
      </c>
      <c r="Y158" s="139">
        <f t="shared" si="2"/>
        <v>1.4851599999999998</v>
      </c>
      <c r="AA158" s="139">
        <v>15.42</v>
      </c>
      <c r="AE158" s="139">
        <v>6.94</v>
      </c>
      <c r="AG158" s="185">
        <v>4.5</v>
      </c>
      <c r="AI158" s="185">
        <v>105</v>
      </c>
      <c r="AJ158" s="157">
        <v>41803</v>
      </c>
      <c r="AO158" s="139">
        <v>98</v>
      </c>
      <c r="AP158" s="157">
        <v>41738</v>
      </c>
      <c r="AS158" s="139">
        <v>127</v>
      </c>
      <c r="AT158" s="157">
        <v>41766</v>
      </c>
      <c r="BS158" s="140">
        <v>49.3</v>
      </c>
      <c r="BU158" s="140">
        <v>21.4</v>
      </c>
      <c r="BW158" s="140">
        <v>15.6</v>
      </c>
      <c r="BY158" s="140">
        <v>9.6999999999999993</v>
      </c>
      <c r="CJ158" s="140" t="s">
        <v>8131</v>
      </c>
    </row>
    <row r="159" spans="1:91">
      <c r="A159" s="158" t="s">
        <v>7761</v>
      </c>
      <c r="B159" s="112" t="s">
        <v>269</v>
      </c>
      <c r="C159" s="112">
        <v>1</v>
      </c>
      <c r="D159">
        <v>146</v>
      </c>
      <c r="E159" s="113">
        <v>18</v>
      </c>
      <c r="F159" s="113">
        <v>2</v>
      </c>
      <c r="I159" s="112">
        <v>44</v>
      </c>
      <c r="J159" s="183">
        <v>41705</v>
      </c>
      <c r="M159" s="184">
        <v>0.65</v>
      </c>
      <c r="N159" s="157">
        <v>41853</v>
      </c>
      <c r="S159" s="139">
        <v>2.0299999999999998</v>
      </c>
      <c r="T159" s="157">
        <v>41853</v>
      </c>
      <c r="U159" s="139">
        <v>15.3</v>
      </c>
      <c r="Y159" s="139">
        <f t="shared" si="2"/>
        <v>1.0043599999999999</v>
      </c>
      <c r="AA159" s="139">
        <v>8.7899999999999991</v>
      </c>
      <c r="AE159" s="139">
        <v>4.22</v>
      </c>
      <c r="AG159" s="185">
        <v>4.8</v>
      </c>
      <c r="AI159" s="185">
        <v>85</v>
      </c>
      <c r="AJ159" s="157">
        <v>41803</v>
      </c>
      <c r="AO159" s="139">
        <v>94</v>
      </c>
      <c r="AP159" s="157">
        <v>41738</v>
      </c>
      <c r="AS159" s="139">
        <v>127</v>
      </c>
      <c r="AT159" s="157">
        <v>41766</v>
      </c>
      <c r="BS159" s="140">
        <v>48</v>
      </c>
      <c r="BU159" s="140">
        <v>23.8</v>
      </c>
      <c r="BW159" s="140">
        <v>72.400000000000006</v>
      </c>
      <c r="BY159" s="140">
        <v>9.6999999999999993</v>
      </c>
      <c r="CJ159" s="140" t="s">
        <v>8140</v>
      </c>
    </row>
    <row r="160" spans="1:91">
      <c r="A160" s="158" t="s">
        <v>7812</v>
      </c>
      <c r="B160" s="112" t="s">
        <v>269</v>
      </c>
      <c r="C160" s="112">
        <v>1</v>
      </c>
      <c r="D160">
        <v>197</v>
      </c>
      <c r="E160" s="113">
        <v>18</v>
      </c>
      <c r="F160" s="113">
        <v>3</v>
      </c>
      <c r="I160" s="112">
        <v>29</v>
      </c>
      <c r="J160" s="183">
        <v>41705</v>
      </c>
      <c r="M160" s="184">
        <v>1.4</v>
      </c>
      <c r="N160" s="157">
        <v>41853</v>
      </c>
      <c r="S160" s="139">
        <v>4.6900000000000004</v>
      </c>
      <c r="T160" s="157">
        <v>41853</v>
      </c>
      <c r="U160" s="139">
        <v>15.3</v>
      </c>
      <c r="Y160" s="139">
        <f t="shared" si="2"/>
        <v>1.7706</v>
      </c>
      <c r="AA160" s="139">
        <v>18.53</v>
      </c>
      <c r="AE160" s="139">
        <v>9.08</v>
      </c>
      <c r="AG160" s="185">
        <v>4.9000000000000004</v>
      </c>
      <c r="AI160" s="185">
        <v>120</v>
      </c>
      <c r="AJ160" s="157">
        <v>41803</v>
      </c>
      <c r="AO160" s="139">
        <v>92</v>
      </c>
      <c r="AP160" s="157">
        <v>41738</v>
      </c>
      <c r="AS160" s="139">
        <v>126</v>
      </c>
      <c r="AT160" s="157">
        <v>41766</v>
      </c>
      <c r="BS160" s="140">
        <v>51.6</v>
      </c>
      <c r="BU160" s="140">
        <v>19.5</v>
      </c>
      <c r="BW160" s="140">
        <v>11.8</v>
      </c>
      <c r="BY160" s="140">
        <v>9.6999999999999993</v>
      </c>
      <c r="CJ160" s="140" t="s">
        <v>8140</v>
      </c>
    </row>
    <row r="161" spans="1:91">
      <c r="A161" s="158" t="s">
        <v>7716</v>
      </c>
      <c r="B161" s="112" t="s">
        <v>269</v>
      </c>
      <c r="C161" s="112">
        <v>1</v>
      </c>
      <c r="D161">
        <v>101</v>
      </c>
      <c r="E161" s="113">
        <v>18</v>
      </c>
      <c r="F161" s="113">
        <v>4</v>
      </c>
      <c r="I161" s="112">
        <v>66</v>
      </c>
      <c r="J161" s="183">
        <v>41705</v>
      </c>
      <c r="M161" s="184">
        <v>1.89</v>
      </c>
      <c r="N161" s="157">
        <v>41853</v>
      </c>
      <c r="S161" s="139">
        <v>6.41</v>
      </c>
      <c r="T161" s="157">
        <v>41853</v>
      </c>
      <c r="U161" s="139">
        <v>15.3</v>
      </c>
      <c r="Y161" s="139">
        <f t="shared" si="2"/>
        <v>2.18228</v>
      </c>
      <c r="AA161" s="139">
        <v>34.06</v>
      </c>
      <c r="AE161" s="139">
        <v>12.26</v>
      </c>
      <c r="AG161" s="185">
        <v>3.6</v>
      </c>
      <c r="AI161" s="185">
        <v>110</v>
      </c>
      <c r="AJ161" s="157">
        <v>41803</v>
      </c>
      <c r="AO161" s="139">
        <v>97</v>
      </c>
      <c r="AP161" s="157">
        <v>41738</v>
      </c>
      <c r="AS161" s="139">
        <v>127</v>
      </c>
      <c r="AT161" s="157">
        <v>41766</v>
      </c>
      <c r="BS161" s="140">
        <v>52.3</v>
      </c>
      <c r="BU161" s="140">
        <v>17.8</v>
      </c>
      <c r="BW161" s="140">
        <v>15.8</v>
      </c>
      <c r="BY161" s="140">
        <v>9.6999999999999993</v>
      </c>
      <c r="CJ161" s="140" t="s">
        <v>8131</v>
      </c>
    </row>
    <row r="162" spans="1:91">
      <c r="A162" s="158" t="s">
        <v>7800</v>
      </c>
      <c r="B162" s="112" t="s">
        <v>269</v>
      </c>
      <c r="C162" s="112">
        <v>1</v>
      </c>
      <c r="D162">
        <v>185</v>
      </c>
      <c r="E162" s="113">
        <v>18</v>
      </c>
      <c r="F162" s="113">
        <v>5</v>
      </c>
      <c r="I162" s="112">
        <v>30</v>
      </c>
      <c r="J162" s="183">
        <v>41705</v>
      </c>
      <c r="M162" s="184">
        <v>2.14</v>
      </c>
      <c r="N162" s="157">
        <v>41853</v>
      </c>
      <c r="S162" s="139">
        <v>7.16</v>
      </c>
      <c r="T162" s="157">
        <v>41853</v>
      </c>
      <c r="U162" s="139">
        <v>15.3</v>
      </c>
      <c r="Y162" s="139">
        <f t="shared" si="2"/>
        <v>2.58168</v>
      </c>
      <c r="AA162" s="139">
        <v>28.92</v>
      </c>
      <c r="AE162" s="139">
        <v>13.88</v>
      </c>
      <c r="AG162" s="185">
        <v>4.8</v>
      </c>
      <c r="AI162" s="185">
        <v>120</v>
      </c>
      <c r="AJ162" s="157">
        <v>41803</v>
      </c>
      <c r="AO162" s="139">
        <v>93</v>
      </c>
      <c r="AP162" s="157">
        <v>41738</v>
      </c>
      <c r="AS162" s="139">
        <v>127</v>
      </c>
      <c r="AT162" s="157">
        <v>41766</v>
      </c>
      <c r="BS162" s="140">
        <v>51.6</v>
      </c>
      <c r="BU162" s="140">
        <v>18.600000000000001</v>
      </c>
      <c r="BW162" s="140">
        <v>18.5</v>
      </c>
      <c r="BY162" s="140">
        <v>9.6999999999999993</v>
      </c>
      <c r="CJ162" s="140" t="s">
        <v>8140</v>
      </c>
    </row>
    <row r="163" spans="1:91">
      <c r="A163" s="158" t="s">
        <v>7673</v>
      </c>
      <c r="B163" s="112" t="s">
        <v>269</v>
      </c>
      <c r="C163" s="112">
        <v>1</v>
      </c>
      <c r="D163">
        <v>58</v>
      </c>
      <c r="E163" s="113">
        <v>18</v>
      </c>
      <c r="F163" s="113">
        <v>6</v>
      </c>
      <c r="I163" s="112">
        <v>52</v>
      </c>
      <c r="J163" s="183">
        <v>41705</v>
      </c>
      <c r="M163" s="184">
        <v>2.11</v>
      </c>
      <c r="N163" s="157">
        <v>41853</v>
      </c>
      <c r="S163" s="139">
        <v>6.84</v>
      </c>
      <c r="T163" s="157">
        <v>41853</v>
      </c>
      <c r="U163" s="139">
        <v>15.3</v>
      </c>
      <c r="Y163" s="139">
        <f t="shared" si="2"/>
        <v>2.7360000000000002</v>
      </c>
      <c r="AA163" s="139">
        <v>31.81</v>
      </c>
      <c r="AE163" s="139">
        <v>13.68</v>
      </c>
      <c r="AG163" s="185">
        <v>4.3</v>
      </c>
      <c r="AI163" s="185">
        <v>115</v>
      </c>
      <c r="AJ163" s="157">
        <v>41803</v>
      </c>
      <c r="AO163" s="139">
        <v>97</v>
      </c>
      <c r="AP163" s="157">
        <v>41738</v>
      </c>
      <c r="AS163" s="139">
        <v>128</v>
      </c>
      <c r="AT163" s="157">
        <v>41766</v>
      </c>
      <c r="BS163" s="140">
        <v>50</v>
      </c>
      <c r="BU163" s="140">
        <v>20</v>
      </c>
      <c r="BW163" s="140">
        <v>16.399999999999999</v>
      </c>
      <c r="BY163" s="140">
        <v>9.6999999999999993</v>
      </c>
      <c r="CJ163" s="140" t="s">
        <v>8131</v>
      </c>
    </row>
    <row r="164" spans="1:91">
      <c r="A164" s="158" t="s">
        <v>7664</v>
      </c>
      <c r="B164" s="112" t="s">
        <v>271</v>
      </c>
      <c r="C164" s="112">
        <v>2</v>
      </c>
      <c r="D164">
        <v>49</v>
      </c>
      <c r="E164" s="113">
        <v>18</v>
      </c>
      <c r="F164" s="113">
        <v>7</v>
      </c>
      <c r="I164" s="112">
        <v>42</v>
      </c>
      <c r="J164" s="183">
        <v>41705</v>
      </c>
      <c r="M164" s="184">
        <v>2.93</v>
      </c>
      <c r="N164" s="157">
        <v>41853</v>
      </c>
      <c r="S164" s="139">
        <v>9.0500000000000007</v>
      </c>
      <c r="T164" s="157">
        <v>41853</v>
      </c>
      <c r="U164" s="139">
        <v>15.3</v>
      </c>
      <c r="Y164" s="139">
        <f t="shared" si="2"/>
        <v>4.2325400000000002</v>
      </c>
      <c r="AA164" s="139">
        <v>37.22</v>
      </c>
      <c r="AE164" s="139">
        <v>18.98</v>
      </c>
      <c r="AG164" s="185">
        <v>5.0999999999999996</v>
      </c>
      <c r="AI164" s="185">
        <v>100</v>
      </c>
      <c r="AJ164" s="157">
        <v>41803</v>
      </c>
      <c r="AO164" s="139">
        <v>92</v>
      </c>
      <c r="AP164" s="157">
        <v>41738</v>
      </c>
      <c r="AS164" s="139">
        <v>126</v>
      </c>
      <c r="AT164" s="157">
        <v>41766</v>
      </c>
      <c r="BS164" s="140">
        <v>47.7</v>
      </c>
      <c r="BU164" s="140">
        <v>22.3</v>
      </c>
      <c r="BW164" s="140">
        <v>59.1</v>
      </c>
      <c r="BY164" s="140">
        <v>9.8000000000000007</v>
      </c>
      <c r="CJ164" s="140" t="s">
        <v>8144</v>
      </c>
    </row>
    <row r="165" spans="1:91">
      <c r="A165" s="158" t="s">
        <v>7693</v>
      </c>
      <c r="B165" s="112" t="s">
        <v>271</v>
      </c>
      <c r="C165" s="112">
        <v>2</v>
      </c>
      <c r="D165">
        <v>78</v>
      </c>
      <c r="E165" s="113">
        <v>18</v>
      </c>
      <c r="F165" s="113">
        <v>8</v>
      </c>
      <c r="I165" s="112">
        <v>54</v>
      </c>
      <c r="J165" s="183">
        <v>41705</v>
      </c>
      <c r="M165" s="184">
        <v>3.9</v>
      </c>
      <c r="N165" s="157">
        <v>41853</v>
      </c>
      <c r="S165" s="139">
        <v>13.17</v>
      </c>
      <c r="T165" s="157">
        <v>41853</v>
      </c>
      <c r="U165" s="139">
        <v>15.3</v>
      </c>
      <c r="Y165" s="139">
        <f t="shared" si="2"/>
        <v>5.1877199999999997</v>
      </c>
      <c r="AA165" s="139">
        <v>54.11</v>
      </c>
      <c r="AE165" s="139">
        <v>25.43</v>
      </c>
      <c r="AG165" s="185">
        <v>4.7</v>
      </c>
      <c r="AI165" s="185">
        <v>110</v>
      </c>
      <c r="AJ165" s="157">
        <v>41803</v>
      </c>
      <c r="AO165" s="139">
        <v>94</v>
      </c>
      <c r="AP165" s="157">
        <v>41738</v>
      </c>
      <c r="AS165" s="139">
        <v>126</v>
      </c>
      <c r="AT165" s="157">
        <v>41766</v>
      </c>
      <c r="BS165" s="140">
        <v>51.8</v>
      </c>
      <c r="BU165" s="140">
        <v>20.399999999999999</v>
      </c>
      <c r="BW165" s="140">
        <v>11</v>
      </c>
      <c r="BY165" s="140">
        <v>9.1999999999999993</v>
      </c>
      <c r="CJ165" s="140" t="s">
        <v>8140</v>
      </c>
    </row>
    <row r="166" spans="1:91">
      <c r="A166" s="188" t="s">
        <v>7768</v>
      </c>
      <c r="B166" s="189" t="s">
        <v>271</v>
      </c>
      <c r="C166" s="189">
        <v>2</v>
      </c>
      <c r="D166" s="190">
        <v>153</v>
      </c>
      <c r="E166" s="191">
        <v>18</v>
      </c>
      <c r="F166" s="191">
        <v>9</v>
      </c>
      <c r="G166" s="191"/>
      <c r="H166" s="191"/>
      <c r="I166" s="189">
        <v>27</v>
      </c>
      <c r="J166" s="193">
        <v>41705</v>
      </c>
      <c r="K166" s="194"/>
      <c r="L166" s="195"/>
      <c r="M166" s="196">
        <v>1.86</v>
      </c>
      <c r="N166" s="195">
        <v>41853</v>
      </c>
      <c r="O166" s="194"/>
      <c r="P166" s="195"/>
      <c r="Q166" s="194"/>
      <c r="R166" s="195"/>
      <c r="S166" s="194">
        <v>5.5</v>
      </c>
      <c r="T166" s="195">
        <v>41853</v>
      </c>
      <c r="U166" s="194">
        <v>15.3</v>
      </c>
      <c r="V166" s="195"/>
      <c r="W166" s="194"/>
      <c r="X166" s="195"/>
      <c r="Y166" s="139">
        <f t="shared" si="2"/>
        <v>2.8220399999999999</v>
      </c>
      <c r="Z166" s="195"/>
      <c r="AA166" s="194">
        <v>26.22</v>
      </c>
      <c r="AB166" s="195"/>
      <c r="AC166" s="194"/>
      <c r="AD166" s="195"/>
      <c r="AE166" s="194">
        <v>12.06</v>
      </c>
      <c r="AF166" s="195"/>
      <c r="AG166" s="197">
        <v>4.5999999999999996</v>
      </c>
      <c r="AH166" s="195"/>
      <c r="AI166" s="197">
        <v>95</v>
      </c>
      <c r="AJ166" s="195">
        <v>41803</v>
      </c>
      <c r="AK166" s="194"/>
      <c r="AL166" s="195"/>
      <c r="AM166" s="194"/>
      <c r="AN166" s="195"/>
      <c r="AO166" s="194">
        <v>94</v>
      </c>
      <c r="AP166" s="195">
        <v>41738</v>
      </c>
      <c r="AQ166" s="194"/>
      <c r="AR166" s="194"/>
      <c r="AS166" s="194">
        <v>128</v>
      </c>
      <c r="AT166" s="195">
        <v>41766</v>
      </c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8"/>
      <c r="BF166" s="198"/>
      <c r="BG166" s="198"/>
      <c r="BH166" s="198"/>
      <c r="BI166" s="198"/>
      <c r="BJ166" s="198"/>
      <c r="BK166" s="198"/>
      <c r="BL166" s="198"/>
      <c r="BM166" s="198"/>
      <c r="BN166" s="198"/>
      <c r="BO166" s="198"/>
      <c r="BP166" s="198"/>
      <c r="BQ166" s="198"/>
      <c r="BR166" s="198"/>
      <c r="BS166" s="198">
        <v>45.6</v>
      </c>
      <c r="BT166" s="198"/>
      <c r="BU166" s="198">
        <v>23.4</v>
      </c>
      <c r="BV166" s="198"/>
      <c r="BW166" s="198">
        <v>63</v>
      </c>
      <c r="BX166" s="198"/>
      <c r="BY166" s="198">
        <v>9.6999999999999993</v>
      </c>
      <c r="BZ166" s="198"/>
      <c r="CA166" s="198"/>
      <c r="CB166" s="198"/>
      <c r="CC166" s="198"/>
      <c r="CD166" s="198"/>
      <c r="CE166" s="198"/>
      <c r="CF166" s="198"/>
      <c r="CG166" s="198"/>
      <c r="CH166" s="198"/>
      <c r="CI166" s="198"/>
      <c r="CJ166" s="198" t="s">
        <v>8139</v>
      </c>
      <c r="CK166" s="198"/>
      <c r="CL166" s="198"/>
      <c r="CM166" s="198"/>
    </row>
    <row r="167" spans="1:91">
      <c r="A167" s="158" t="s">
        <v>7902</v>
      </c>
      <c r="B167" s="112" t="s">
        <v>271</v>
      </c>
      <c r="C167" s="112">
        <v>2</v>
      </c>
      <c r="D167">
        <v>210</v>
      </c>
      <c r="E167" s="113">
        <v>18</v>
      </c>
      <c r="F167" s="113">
        <v>10</v>
      </c>
      <c r="I167" s="112">
        <v>30</v>
      </c>
      <c r="J167" s="183">
        <v>41705</v>
      </c>
      <c r="M167" s="184">
        <v>4.32</v>
      </c>
      <c r="N167" s="157">
        <v>41853</v>
      </c>
      <c r="S167" s="139">
        <v>14.4</v>
      </c>
      <c r="T167" s="157">
        <v>41853</v>
      </c>
      <c r="U167" s="139">
        <v>15.3</v>
      </c>
      <c r="Y167" s="139">
        <f t="shared" si="2"/>
        <v>5.4638999999999998</v>
      </c>
      <c r="AA167" s="139">
        <v>63.68</v>
      </c>
      <c r="AE167" s="139">
        <v>28.02</v>
      </c>
      <c r="AG167" s="185">
        <v>4.4000000000000004</v>
      </c>
      <c r="AI167" s="185">
        <v>115</v>
      </c>
      <c r="AJ167" s="157">
        <v>41803</v>
      </c>
      <c r="AO167" s="139">
        <v>90</v>
      </c>
      <c r="AP167" s="157">
        <v>41738</v>
      </c>
      <c r="AS167" s="139">
        <v>126</v>
      </c>
      <c r="AT167" s="157">
        <v>41766</v>
      </c>
      <c r="BS167" s="140">
        <v>51.4</v>
      </c>
      <c r="BU167" s="140">
        <v>19.5</v>
      </c>
      <c r="BW167" s="140">
        <v>20.3</v>
      </c>
      <c r="BY167" s="140">
        <v>9.6999999999999993</v>
      </c>
      <c r="CJ167" s="140" t="s">
        <v>8144</v>
      </c>
    </row>
    <row r="168" spans="1:91">
      <c r="A168" s="158" t="s">
        <v>7802</v>
      </c>
      <c r="B168" s="112" t="s">
        <v>271</v>
      </c>
      <c r="C168" s="112">
        <v>2</v>
      </c>
      <c r="D168">
        <v>187</v>
      </c>
      <c r="E168" s="113">
        <v>18</v>
      </c>
      <c r="F168" s="113">
        <v>11</v>
      </c>
      <c r="I168" s="112">
        <v>25</v>
      </c>
      <c r="J168" s="183">
        <v>41705</v>
      </c>
      <c r="M168" s="184">
        <v>4.3</v>
      </c>
      <c r="N168" s="157">
        <v>41853</v>
      </c>
      <c r="S168" s="139">
        <v>13.86</v>
      </c>
      <c r="T168" s="157">
        <v>41853</v>
      </c>
      <c r="U168" s="139">
        <v>15.3</v>
      </c>
      <c r="Y168" s="139">
        <f t="shared" si="2"/>
        <v>6.0320600000000004</v>
      </c>
      <c r="AA168" s="139">
        <v>55.34</v>
      </c>
      <c r="AE168" s="139">
        <v>27.67</v>
      </c>
      <c r="AG168" s="185">
        <v>5</v>
      </c>
      <c r="AI168" s="185">
        <v>115</v>
      </c>
      <c r="AJ168" s="157">
        <v>41803</v>
      </c>
      <c r="AO168" s="139">
        <v>93</v>
      </c>
      <c r="AP168" s="157">
        <v>41738</v>
      </c>
      <c r="AS168" s="139">
        <v>127</v>
      </c>
      <c r="AT168" s="157">
        <v>41766</v>
      </c>
      <c r="BS168" s="140">
        <v>50.1</v>
      </c>
      <c r="BU168" s="140">
        <v>21.8</v>
      </c>
      <c r="BW168" s="140">
        <v>14.3</v>
      </c>
      <c r="BY168" s="140">
        <v>10.4</v>
      </c>
      <c r="CJ168" s="140" t="s">
        <v>8140</v>
      </c>
    </row>
    <row r="169" spans="1:91">
      <c r="A169" s="158" t="s">
        <v>7624</v>
      </c>
      <c r="B169" s="112" t="s">
        <v>271</v>
      </c>
      <c r="C169" s="112">
        <v>2</v>
      </c>
      <c r="D169">
        <v>9</v>
      </c>
      <c r="E169" s="113">
        <v>18</v>
      </c>
      <c r="F169" s="113">
        <v>12</v>
      </c>
      <c r="I169" s="187">
        <v>47</v>
      </c>
      <c r="J169" s="183">
        <v>41705</v>
      </c>
      <c r="K169" s="142"/>
      <c r="M169" s="184">
        <v>1.72</v>
      </c>
      <c r="N169" s="157">
        <v>41853</v>
      </c>
      <c r="O169" s="141"/>
      <c r="Q169" s="142"/>
      <c r="S169" s="142">
        <v>5.19</v>
      </c>
      <c r="T169" s="157">
        <v>41853</v>
      </c>
      <c r="U169" s="142">
        <v>15.3</v>
      </c>
      <c r="W169" s="142"/>
      <c r="Y169" s="139">
        <f t="shared" si="2"/>
        <v>2.6449200000000004</v>
      </c>
      <c r="AA169" s="142">
        <v>26.57</v>
      </c>
      <c r="AE169" s="142">
        <v>11.16</v>
      </c>
      <c r="AG169" s="185">
        <v>4.2</v>
      </c>
      <c r="AI169" s="185">
        <v>115</v>
      </c>
      <c r="AJ169" s="157">
        <v>41803</v>
      </c>
      <c r="AK169" s="142"/>
      <c r="AM169" s="142"/>
      <c r="AO169" s="139">
        <v>88</v>
      </c>
      <c r="AP169" s="157">
        <v>41738</v>
      </c>
      <c r="AS169" s="139">
        <v>127</v>
      </c>
      <c r="AT169" s="157">
        <v>41766</v>
      </c>
      <c r="BS169" s="140">
        <v>46.5</v>
      </c>
      <c r="BU169" s="140">
        <v>23.7</v>
      </c>
      <c r="BW169" s="140">
        <v>57.9</v>
      </c>
      <c r="BY169" s="140">
        <v>9.6999999999999993</v>
      </c>
      <c r="CJ169" s="140" t="s">
        <v>8141</v>
      </c>
    </row>
    <row r="170" spans="1:91">
      <c r="A170" s="158" t="s">
        <v>7658</v>
      </c>
      <c r="B170" s="112" t="s">
        <v>269</v>
      </c>
      <c r="C170" s="112">
        <v>1</v>
      </c>
      <c r="D170">
        <v>43</v>
      </c>
      <c r="E170" s="113">
        <v>19</v>
      </c>
      <c r="F170" s="113">
        <v>1</v>
      </c>
      <c r="I170" s="112">
        <v>30</v>
      </c>
      <c r="J170" s="183">
        <v>41705</v>
      </c>
      <c r="M170" s="184">
        <v>1.04</v>
      </c>
      <c r="N170" s="157">
        <v>41853</v>
      </c>
      <c r="S170" s="139">
        <v>3.31</v>
      </c>
      <c r="T170" s="157">
        <v>41853</v>
      </c>
      <c r="U170" s="139">
        <v>15.3</v>
      </c>
      <c r="Y170" s="139">
        <f t="shared" si="2"/>
        <v>1.50525</v>
      </c>
      <c r="AA170" s="139">
        <v>12.98</v>
      </c>
      <c r="AE170" s="139">
        <v>6.75</v>
      </c>
      <c r="AG170" s="185">
        <v>5.2</v>
      </c>
      <c r="AI170" s="185">
        <v>135</v>
      </c>
      <c r="AJ170" s="157">
        <v>41803</v>
      </c>
      <c r="AO170" s="139">
        <v>92</v>
      </c>
      <c r="AP170" s="157">
        <v>41738</v>
      </c>
      <c r="AS170" s="139">
        <v>128</v>
      </c>
      <c r="AT170" s="157">
        <v>41766</v>
      </c>
      <c r="BS170" s="140">
        <v>49</v>
      </c>
      <c r="BU170" s="140">
        <v>22.3</v>
      </c>
      <c r="BW170" s="140">
        <v>58.3</v>
      </c>
      <c r="BY170" s="140">
        <v>9.6999999999999993</v>
      </c>
      <c r="CJ170" s="140" t="s">
        <v>8140</v>
      </c>
    </row>
    <row r="171" spans="1:91">
      <c r="A171" s="158" t="s">
        <v>7726</v>
      </c>
      <c r="B171" s="112" t="s">
        <v>269</v>
      </c>
      <c r="C171" s="112">
        <v>1</v>
      </c>
      <c r="D171">
        <v>111</v>
      </c>
      <c r="E171" s="113">
        <v>19</v>
      </c>
      <c r="F171" s="113">
        <v>2</v>
      </c>
      <c r="I171" s="112">
        <v>38</v>
      </c>
      <c r="J171" s="183">
        <v>41705</v>
      </c>
      <c r="M171" s="184">
        <v>2.14</v>
      </c>
      <c r="N171" s="157">
        <v>41853</v>
      </c>
      <c r="S171" s="139">
        <v>7.16</v>
      </c>
      <c r="T171" s="157">
        <v>41853</v>
      </c>
      <c r="U171" s="139">
        <v>15.3</v>
      </c>
      <c r="Y171" s="139">
        <f t="shared" si="2"/>
        <v>2.7066000000000003</v>
      </c>
      <c r="AA171" s="139">
        <v>29.53</v>
      </c>
      <c r="AE171" s="139">
        <v>13.88</v>
      </c>
      <c r="AG171" s="185">
        <v>4.7</v>
      </c>
      <c r="AI171" s="185">
        <v>120</v>
      </c>
      <c r="AJ171" s="157">
        <v>41803</v>
      </c>
      <c r="AO171" s="139">
        <v>93</v>
      </c>
      <c r="AP171" s="157">
        <v>41738</v>
      </c>
      <c r="AS171" s="139">
        <v>127</v>
      </c>
      <c r="AT171" s="157">
        <v>41766</v>
      </c>
      <c r="BS171" s="140">
        <v>51.6</v>
      </c>
      <c r="BU171" s="140">
        <v>19.5</v>
      </c>
      <c r="BW171" s="140">
        <v>18.399999999999999</v>
      </c>
      <c r="BY171" s="140">
        <v>9.6999999999999993</v>
      </c>
      <c r="CJ171" s="140" t="s">
        <v>8140</v>
      </c>
    </row>
    <row r="172" spans="1:91">
      <c r="A172" s="158" t="s">
        <v>7741</v>
      </c>
      <c r="B172" s="112" t="s">
        <v>269</v>
      </c>
      <c r="C172" s="112">
        <v>1</v>
      </c>
      <c r="D172">
        <v>126</v>
      </c>
      <c r="E172" s="113">
        <v>19</v>
      </c>
      <c r="F172" s="113">
        <v>3</v>
      </c>
      <c r="I172" s="112">
        <v>33</v>
      </c>
      <c r="J172" s="183">
        <v>41705</v>
      </c>
      <c r="M172" s="184">
        <v>1.64</v>
      </c>
      <c r="N172" s="157">
        <v>41853</v>
      </c>
      <c r="S172" s="139">
        <v>5.39</v>
      </c>
      <c r="T172" s="157">
        <v>41853</v>
      </c>
      <c r="U172" s="139">
        <v>15.3</v>
      </c>
      <c r="Y172" s="139">
        <f t="shared" si="2"/>
        <v>2.1599200000000001</v>
      </c>
      <c r="AA172" s="139">
        <v>18.34</v>
      </c>
      <c r="AE172" s="139">
        <v>10.64</v>
      </c>
      <c r="AG172" s="185">
        <v>5.8</v>
      </c>
      <c r="AI172" s="185">
        <v>125</v>
      </c>
      <c r="AJ172" s="157">
        <v>41803</v>
      </c>
      <c r="AO172" s="139">
        <v>94</v>
      </c>
      <c r="AP172" s="157">
        <v>41738</v>
      </c>
      <c r="AS172" s="139">
        <v>125</v>
      </c>
      <c r="AT172" s="157">
        <v>41766</v>
      </c>
      <c r="BS172" s="140">
        <v>50.7</v>
      </c>
      <c r="BU172" s="140">
        <v>20.3</v>
      </c>
      <c r="BW172" s="140">
        <v>18</v>
      </c>
      <c r="BY172" s="140">
        <v>9.6999999999999993</v>
      </c>
      <c r="CJ172" s="140" t="s">
        <v>8140</v>
      </c>
    </row>
    <row r="173" spans="1:91">
      <c r="A173" s="158" t="s">
        <v>7755</v>
      </c>
      <c r="B173" s="112" t="s">
        <v>269</v>
      </c>
      <c r="C173" s="112">
        <v>1</v>
      </c>
      <c r="D173">
        <v>140</v>
      </c>
      <c r="E173" s="113">
        <v>19</v>
      </c>
      <c r="F173" s="113">
        <v>4</v>
      </c>
      <c r="I173" s="112">
        <v>35</v>
      </c>
      <c r="J173" s="183">
        <v>41705</v>
      </c>
      <c r="M173" s="184">
        <v>1.1399999999999999</v>
      </c>
      <c r="N173" s="157">
        <v>41853</v>
      </c>
      <c r="S173" s="139">
        <v>3.67</v>
      </c>
      <c r="T173" s="157">
        <v>41853</v>
      </c>
      <c r="U173" s="139">
        <v>15.3</v>
      </c>
      <c r="Y173" s="139">
        <f t="shared" si="2"/>
        <v>1.6553599999999997</v>
      </c>
      <c r="AA173" s="139">
        <v>15.72</v>
      </c>
      <c r="AE173" s="139">
        <v>7.39</v>
      </c>
      <c r="AG173" s="185">
        <v>4.7</v>
      </c>
      <c r="AI173" s="185">
        <v>120</v>
      </c>
      <c r="AJ173" s="157">
        <v>41803</v>
      </c>
      <c r="AO173" s="139">
        <v>98</v>
      </c>
      <c r="AP173" s="157">
        <v>41738</v>
      </c>
      <c r="AS173" s="139">
        <v>128</v>
      </c>
      <c r="AT173" s="157">
        <v>41766</v>
      </c>
      <c r="BS173" s="140">
        <v>49.7</v>
      </c>
      <c r="BU173" s="140">
        <v>22.4</v>
      </c>
      <c r="BW173" s="140">
        <v>73.599999999999994</v>
      </c>
      <c r="BY173" s="140">
        <v>9.6999999999999993</v>
      </c>
      <c r="CJ173" s="140" t="s">
        <v>8131</v>
      </c>
    </row>
    <row r="174" spans="1:91">
      <c r="A174" s="158" t="s">
        <v>7766</v>
      </c>
      <c r="B174" s="112" t="s">
        <v>269</v>
      </c>
      <c r="C174" s="112">
        <v>1</v>
      </c>
      <c r="D174">
        <v>151</v>
      </c>
      <c r="E174" s="113">
        <v>19</v>
      </c>
      <c r="F174" s="113">
        <v>5</v>
      </c>
      <c r="I174" s="112">
        <v>34</v>
      </c>
      <c r="J174" s="183">
        <v>41705</v>
      </c>
      <c r="M174" s="184">
        <v>2.3199999999999998</v>
      </c>
      <c r="N174" s="157">
        <v>41853</v>
      </c>
      <c r="S174" s="139">
        <v>7.77</v>
      </c>
      <c r="T174" s="157">
        <v>41853</v>
      </c>
      <c r="U174" s="139">
        <v>15.3</v>
      </c>
      <c r="Y174" s="139">
        <f t="shared" si="2"/>
        <v>2.9196999999999997</v>
      </c>
      <c r="AA174" s="139">
        <v>32.72</v>
      </c>
      <c r="AE174" s="139">
        <v>15.05</v>
      </c>
      <c r="AG174" s="185">
        <v>4.5999999999999996</v>
      </c>
      <c r="AI174" s="185">
        <v>120</v>
      </c>
      <c r="AJ174" s="157">
        <v>41803</v>
      </c>
      <c r="AO174" s="139">
        <v>93</v>
      </c>
      <c r="AP174" s="157">
        <v>41738</v>
      </c>
      <c r="AS174" s="139">
        <v>128</v>
      </c>
      <c r="AT174" s="157">
        <v>41766</v>
      </c>
      <c r="BS174" s="140">
        <v>51.6</v>
      </c>
      <c r="BU174" s="140">
        <v>19.399999999999999</v>
      </c>
      <c r="BW174" s="140">
        <v>11.3</v>
      </c>
      <c r="BY174" s="140">
        <v>9.6999999999999993</v>
      </c>
      <c r="CJ174" s="140" t="s">
        <v>8140</v>
      </c>
    </row>
    <row r="175" spans="1:91">
      <c r="A175" s="188" t="s">
        <v>7657</v>
      </c>
      <c r="B175" s="189" t="s">
        <v>269</v>
      </c>
      <c r="C175" s="189">
        <v>1</v>
      </c>
      <c r="D175" s="190">
        <v>42</v>
      </c>
      <c r="E175" s="191">
        <v>19</v>
      </c>
      <c r="F175" s="191">
        <v>6</v>
      </c>
      <c r="G175" s="191"/>
      <c r="H175" s="191"/>
      <c r="I175" s="189">
        <v>25</v>
      </c>
      <c r="J175" s="193">
        <v>41705</v>
      </c>
      <c r="K175" s="194"/>
      <c r="L175" s="195"/>
      <c r="M175" s="196">
        <v>0.6</v>
      </c>
      <c r="N175" s="195">
        <v>41853</v>
      </c>
      <c r="O175" s="194"/>
      <c r="P175" s="195"/>
      <c r="Q175" s="194"/>
      <c r="R175" s="195"/>
      <c r="S175" s="194">
        <v>1.89</v>
      </c>
      <c r="T175" s="195">
        <v>41853</v>
      </c>
      <c r="U175" s="194">
        <v>15.3</v>
      </c>
      <c r="V175" s="195"/>
      <c r="W175" s="194"/>
      <c r="X175" s="195"/>
      <c r="Y175" s="139">
        <f t="shared" si="2"/>
        <v>0.89080999999999999</v>
      </c>
      <c r="Z175" s="195"/>
      <c r="AA175" s="194">
        <v>6.71</v>
      </c>
      <c r="AB175" s="195"/>
      <c r="AC175" s="194"/>
      <c r="AD175" s="195"/>
      <c r="AE175" s="194">
        <v>3.89</v>
      </c>
      <c r="AF175" s="195"/>
      <c r="AG175" s="197">
        <v>5.8</v>
      </c>
      <c r="AH175" s="195"/>
      <c r="AI175" s="197">
        <v>110</v>
      </c>
      <c r="AJ175" s="195">
        <v>41803</v>
      </c>
      <c r="AK175" s="194"/>
      <c r="AL175" s="195"/>
      <c r="AM175" s="194"/>
      <c r="AN175" s="195"/>
      <c r="AO175" s="194">
        <v>93</v>
      </c>
      <c r="AP175" s="195">
        <v>41738</v>
      </c>
      <c r="AQ175" s="194"/>
      <c r="AR175" s="194"/>
      <c r="AS175" s="194">
        <v>127</v>
      </c>
      <c r="AT175" s="195">
        <v>41766</v>
      </c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8"/>
      <c r="BF175" s="198"/>
      <c r="BG175" s="198"/>
      <c r="BH175" s="198"/>
      <c r="BI175" s="198"/>
      <c r="BJ175" s="198"/>
      <c r="BK175" s="198"/>
      <c r="BL175" s="198"/>
      <c r="BM175" s="198"/>
      <c r="BN175" s="198"/>
      <c r="BO175" s="198"/>
      <c r="BP175" s="198"/>
      <c r="BQ175" s="198"/>
      <c r="BR175" s="198"/>
      <c r="BS175" s="198">
        <v>48.5</v>
      </c>
      <c r="BT175" s="198"/>
      <c r="BU175" s="198">
        <v>22.9</v>
      </c>
      <c r="BV175" s="198"/>
      <c r="BW175" s="198">
        <v>65.3</v>
      </c>
      <c r="BX175" s="198"/>
      <c r="BY175" s="198">
        <v>9.6999999999999993</v>
      </c>
      <c r="BZ175" s="198"/>
      <c r="CA175" s="198"/>
      <c r="CB175" s="198"/>
      <c r="CC175" s="198"/>
      <c r="CD175" s="198"/>
      <c r="CE175" s="198"/>
      <c r="CF175" s="198"/>
      <c r="CG175" s="198"/>
      <c r="CH175" s="198"/>
      <c r="CI175" s="198"/>
      <c r="CJ175" s="198" t="s">
        <v>8149</v>
      </c>
      <c r="CK175" s="198"/>
      <c r="CL175" s="198"/>
      <c r="CM175" s="198"/>
    </row>
    <row r="176" spans="1:91">
      <c r="A176" s="188" t="s">
        <v>7645</v>
      </c>
      <c r="B176" s="189" t="s">
        <v>271</v>
      </c>
      <c r="C176" s="189">
        <v>2</v>
      </c>
      <c r="D176" s="190">
        <v>30</v>
      </c>
      <c r="E176" s="191">
        <v>19</v>
      </c>
      <c r="F176" s="191">
        <v>7</v>
      </c>
      <c r="G176" s="191"/>
      <c r="H176" s="191"/>
      <c r="I176" s="189">
        <v>54</v>
      </c>
      <c r="J176" s="193">
        <v>41705</v>
      </c>
      <c r="K176" s="194"/>
      <c r="L176" s="195"/>
      <c r="M176" s="196">
        <v>1.58</v>
      </c>
      <c r="N176" s="195">
        <v>41853</v>
      </c>
      <c r="O176" s="194"/>
      <c r="P176" s="195"/>
      <c r="Q176" s="194"/>
      <c r="R176" s="195"/>
      <c r="S176" s="194">
        <v>5</v>
      </c>
      <c r="T176" s="195">
        <v>41853</v>
      </c>
      <c r="U176" s="194">
        <v>15.3</v>
      </c>
      <c r="V176" s="195"/>
      <c r="W176" s="194"/>
      <c r="X176" s="195"/>
      <c r="Y176" s="139">
        <f t="shared" si="2"/>
        <v>2.2857500000000002</v>
      </c>
      <c r="Z176" s="195"/>
      <c r="AA176" s="194">
        <v>26.28</v>
      </c>
      <c r="AB176" s="195"/>
      <c r="AC176" s="194"/>
      <c r="AD176" s="195"/>
      <c r="AE176" s="194">
        <v>10.25</v>
      </c>
      <c r="AF176" s="195"/>
      <c r="AG176" s="197">
        <v>3.9</v>
      </c>
      <c r="AH176" s="195"/>
      <c r="AI176" s="197">
        <v>100</v>
      </c>
      <c r="AJ176" s="195">
        <v>41803</v>
      </c>
      <c r="AK176" s="194"/>
      <c r="AL176" s="195"/>
      <c r="AM176" s="194"/>
      <c r="AN176" s="195"/>
      <c r="AO176" s="194">
        <v>87</v>
      </c>
      <c r="AP176" s="195">
        <v>41738</v>
      </c>
      <c r="AQ176" s="194"/>
      <c r="AR176" s="194"/>
      <c r="AS176" s="194">
        <v>127</v>
      </c>
      <c r="AT176" s="195">
        <v>41766</v>
      </c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8"/>
      <c r="BF176" s="198"/>
      <c r="BG176" s="198"/>
      <c r="BH176" s="198"/>
      <c r="BI176" s="198"/>
      <c r="BJ176" s="198"/>
      <c r="BK176" s="198"/>
      <c r="BL176" s="198"/>
      <c r="BM176" s="198"/>
      <c r="BN176" s="198"/>
      <c r="BO176" s="198"/>
      <c r="BP176" s="198"/>
      <c r="BQ176" s="198"/>
      <c r="BR176" s="198"/>
      <c r="BS176" s="198">
        <v>48.8</v>
      </c>
      <c r="BT176" s="198"/>
      <c r="BU176" s="198">
        <v>22.3</v>
      </c>
      <c r="BV176" s="198"/>
      <c r="BW176" s="198">
        <v>62</v>
      </c>
      <c r="BX176" s="198"/>
      <c r="BY176" s="198">
        <v>9.6999999999999993</v>
      </c>
      <c r="BZ176" s="198"/>
      <c r="CA176" s="198"/>
      <c r="CB176" s="198"/>
      <c r="CC176" s="198"/>
      <c r="CD176" s="198"/>
      <c r="CE176" s="198"/>
      <c r="CF176" s="198"/>
      <c r="CG176" s="198"/>
      <c r="CH176" s="198"/>
      <c r="CI176" s="198"/>
      <c r="CJ176" s="198" t="s">
        <v>8141</v>
      </c>
      <c r="CK176" s="198"/>
      <c r="CL176" s="198"/>
      <c r="CM176" s="198"/>
    </row>
    <row r="177" spans="1:88">
      <c r="A177" s="158" t="s">
        <v>7784</v>
      </c>
      <c r="B177" s="112" t="s">
        <v>271</v>
      </c>
      <c r="C177" s="112">
        <v>2</v>
      </c>
      <c r="D177">
        <v>169</v>
      </c>
      <c r="E177" s="113">
        <v>19</v>
      </c>
      <c r="F177" s="113">
        <v>8</v>
      </c>
      <c r="I177" s="112">
        <v>36</v>
      </c>
      <c r="J177" s="183">
        <v>41705</v>
      </c>
      <c r="M177" s="184">
        <v>4.07</v>
      </c>
      <c r="N177" s="157">
        <v>41853</v>
      </c>
      <c r="S177" s="139">
        <v>13.77</v>
      </c>
      <c r="T177" s="157">
        <v>41853</v>
      </c>
      <c r="U177" s="139">
        <v>15.3</v>
      </c>
      <c r="Y177" s="139">
        <f t="shared" si="2"/>
        <v>5.1222199999999996</v>
      </c>
      <c r="AA177" s="139">
        <v>61.72</v>
      </c>
      <c r="AE177" s="139">
        <v>26.54</v>
      </c>
      <c r="AG177" s="185">
        <v>4.3</v>
      </c>
      <c r="AI177" s="185">
        <v>115</v>
      </c>
      <c r="AJ177" s="157">
        <v>41803</v>
      </c>
      <c r="AO177" s="139">
        <v>93</v>
      </c>
      <c r="AP177" s="157">
        <v>41738</v>
      </c>
      <c r="AS177" s="139">
        <v>128</v>
      </c>
      <c r="AT177" s="157">
        <v>41766</v>
      </c>
      <c r="BS177" s="140">
        <v>51.9</v>
      </c>
      <c r="BU177" s="140">
        <v>19.3</v>
      </c>
      <c r="BW177" s="140">
        <v>14</v>
      </c>
      <c r="BY177" s="140">
        <v>9.1999999999999993</v>
      </c>
      <c r="CJ177" s="140" t="s">
        <v>8140</v>
      </c>
    </row>
    <row r="178" spans="1:88">
      <c r="A178" s="158" t="s">
        <v>7644</v>
      </c>
      <c r="B178" s="112" t="s">
        <v>271</v>
      </c>
      <c r="C178" s="112">
        <v>2</v>
      </c>
      <c r="D178">
        <v>29</v>
      </c>
      <c r="E178" s="113">
        <v>19</v>
      </c>
      <c r="F178" s="113">
        <v>9</v>
      </c>
      <c r="I178" s="112">
        <v>43</v>
      </c>
      <c r="J178" s="183">
        <v>41705</v>
      </c>
      <c r="M178" s="184">
        <v>2.21</v>
      </c>
      <c r="N178" s="157">
        <v>41853</v>
      </c>
      <c r="S178" s="139">
        <v>6.89</v>
      </c>
      <c r="T178" s="157">
        <v>41853</v>
      </c>
      <c r="U178" s="139">
        <v>15.3</v>
      </c>
      <c r="Y178" s="139">
        <f t="shared" si="2"/>
        <v>3.4248699999999999</v>
      </c>
      <c r="AA178" s="139">
        <v>28.66</v>
      </c>
      <c r="AE178" s="139">
        <v>14.33</v>
      </c>
      <c r="AG178" s="185">
        <v>5</v>
      </c>
      <c r="AI178" s="185">
        <v>105</v>
      </c>
      <c r="AJ178" s="157">
        <v>41803</v>
      </c>
      <c r="AO178" s="139">
        <v>93</v>
      </c>
      <c r="AP178" s="157">
        <v>41738</v>
      </c>
      <c r="AS178" s="139">
        <v>127</v>
      </c>
      <c r="AT178" s="157">
        <v>41766</v>
      </c>
      <c r="BS178" s="140">
        <v>48.1</v>
      </c>
      <c r="BU178" s="140">
        <v>23.9</v>
      </c>
      <c r="BW178" s="140">
        <v>76.3</v>
      </c>
      <c r="BY178" s="140">
        <v>9.6999999999999993</v>
      </c>
      <c r="CJ178" s="140" t="s">
        <v>8139</v>
      </c>
    </row>
    <row r="179" spans="1:88">
      <c r="A179" s="158" t="s">
        <v>7634</v>
      </c>
      <c r="B179" s="112" t="s">
        <v>271</v>
      </c>
      <c r="C179" s="112">
        <v>2</v>
      </c>
      <c r="D179">
        <v>19</v>
      </c>
      <c r="E179" s="113">
        <v>19</v>
      </c>
      <c r="F179" s="113">
        <v>10</v>
      </c>
      <c r="I179" s="187">
        <v>21</v>
      </c>
      <c r="J179" s="183">
        <v>41705</v>
      </c>
      <c r="K179" s="142"/>
      <c r="M179" s="184">
        <v>2.5299999999999998</v>
      </c>
      <c r="N179" s="157">
        <v>41853</v>
      </c>
      <c r="O179" s="141"/>
      <c r="Q179" s="142"/>
      <c r="S179" s="142">
        <v>7.87</v>
      </c>
      <c r="T179" s="157">
        <v>41853</v>
      </c>
      <c r="U179" s="142">
        <v>15.3</v>
      </c>
      <c r="W179" s="142"/>
      <c r="Y179" s="139">
        <f t="shared" si="2"/>
        <v>3.81176</v>
      </c>
      <c r="AA179" s="142">
        <v>29.87</v>
      </c>
      <c r="AE179" s="142">
        <v>16.43</v>
      </c>
      <c r="AG179" s="185">
        <v>5.5</v>
      </c>
      <c r="AI179" s="185">
        <v>115</v>
      </c>
      <c r="AJ179" s="157">
        <v>41803</v>
      </c>
      <c r="AK179" s="142"/>
      <c r="AM179" s="142"/>
      <c r="AO179" s="139">
        <v>95</v>
      </c>
      <c r="AP179" s="157">
        <v>41738</v>
      </c>
      <c r="AS179" s="139">
        <v>127</v>
      </c>
      <c r="AT179" s="157">
        <v>41766</v>
      </c>
      <c r="BS179" s="140">
        <v>47.9</v>
      </c>
      <c r="BU179" s="140">
        <v>23.2</v>
      </c>
      <c r="BW179" s="140">
        <v>60</v>
      </c>
      <c r="BY179" s="140">
        <v>9.6</v>
      </c>
      <c r="CJ179" s="140" t="s">
        <v>8140</v>
      </c>
    </row>
    <row r="180" spans="1:88">
      <c r="A180" s="158" t="s">
        <v>7801</v>
      </c>
      <c r="B180" s="112" t="s">
        <v>271</v>
      </c>
      <c r="C180" s="112">
        <v>2</v>
      </c>
      <c r="D180">
        <v>186</v>
      </c>
      <c r="E180" s="113">
        <v>19</v>
      </c>
      <c r="F180" s="113">
        <v>11</v>
      </c>
      <c r="I180" s="112">
        <v>46</v>
      </c>
      <c r="J180" s="183">
        <v>41705</v>
      </c>
      <c r="M180" s="184">
        <v>4.25</v>
      </c>
      <c r="N180" s="157">
        <v>41853</v>
      </c>
      <c r="S180" s="139">
        <v>13.84</v>
      </c>
      <c r="T180" s="157">
        <v>41853</v>
      </c>
      <c r="U180" s="139">
        <v>15.3</v>
      </c>
      <c r="Y180" s="139">
        <f t="shared" si="2"/>
        <v>5.3291799999999991</v>
      </c>
      <c r="AA180" s="139">
        <v>51.83</v>
      </c>
      <c r="AE180" s="139">
        <v>27.47</v>
      </c>
      <c r="AG180" s="185">
        <v>5.3</v>
      </c>
      <c r="AI180" s="185">
        <v>115</v>
      </c>
      <c r="AJ180" s="157">
        <v>41803</v>
      </c>
      <c r="AO180" s="139">
        <v>92</v>
      </c>
      <c r="AP180" s="157">
        <v>41738</v>
      </c>
      <c r="AS180" s="139">
        <v>127</v>
      </c>
      <c r="AT180" s="157">
        <v>41766</v>
      </c>
      <c r="BS180" s="140">
        <v>50.4</v>
      </c>
      <c r="BU180" s="140">
        <v>19.399999999999999</v>
      </c>
      <c r="BW180" s="140">
        <v>12.1</v>
      </c>
      <c r="BY180" s="140">
        <v>10</v>
      </c>
      <c r="CJ180" s="140" t="s">
        <v>8140</v>
      </c>
    </row>
    <row r="181" spans="1:88">
      <c r="A181" s="158" t="s">
        <v>7695</v>
      </c>
      <c r="B181" s="112" t="s">
        <v>271</v>
      </c>
      <c r="C181" s="112">
        <v>2</v>
      </c>
      <c r="D181">
        <v>80</v>
      </c>
      <c r="E181" s="113">
        <v>19</v>
      </c>
      <c r="F181" s="113">
        <v>12</v>
      </c>
      <c r="I181" s="112">
        <v>29</v>
      </c>
      <c r="J181" s="183">
        <v>41705</v>
      </c>
      <c r="M181" s="184">
        <v>3.49</v>
      </c>
      <c r="N181" s="157">
        <v>41853</v>
      </c>
      <c r="S181" s="139">
        <v>11.56</v>
      </c>
      <c r="T181" s="157">
        <v>41853</v>
      </c>
      <c r="U181" s="139">
        <v>15.3</v>
      </c>
      <c r="Y181" s="139">
        <f t="shared" si="2"/>
        <v>4.6101300000000007</v>
      </c>
      <c r="AA181" s="139">
        <v>43.67</v>
      </c>
      <c r="AE181" s="139">
        <v>22.71</v>
      </c>
      <c r="AG181" s="185">
        <v>5.2</v>
      </c>
      <c r="AI181" s="185">
        <v>130</v>
      </c>
      <c r="AJ181" s="157">
        <v>41803</v>
      </c>
      <c r="AO181" s="139">
        <v>93</v>
      </c>
      <c r="AP181" s="157">
        <v>41738</v>
      </c>
      <c r="AS181" s="139">
        <v>128</v>
      </c>
      <c r="AT181" s="157">
        <v>41766</v>
      </c>
      <c r="BS181" s="140">
        <v>50.9</v>
      </c>
      <c r="BU181" s="140">
        <v>20.3</v>
      </c>
      <c r="BW181" s="140">
        <v>15.2</v>
      </c>
      <c r="BY181" s="140">
        <v>9.4</v>
      </c>
      <c r="CJ181" s="140" t="s">
        <v>8140</v>
      </c>
    </row>
    <row r="182" spans="1:88">
      <c r="A182" s="158" t="s">
        <v>7656</v>
      </c>
      <c r="B182" s="112" t="s">
        <v>269</v>
      </c>
      <c r="C182" s="112">
        <v>1</v>
      </c>
      <c r="D182">
        <v>41</v>
      </c>
      <c r="E182" s="113">
        <v>20</v>
      </c>
      <c r="F182" s="113">
        <v>1</v>
      </c>
      <c r="I182" s="112">
        <v>25</v>
      </c>
      <c r="J182" s="183">
        <v>41705</v>
      </c>
      <c r="M182" s="184">
        <v>0.85</v>
      </c>
      <c r="N182" s="157">
        <v>41853</v>
      </c>
      <c r="S182" s="139">
        <v>2.5499999999999998</v>
      </c>
      <c r="T182" s="157">
        <v>41853</v>
      </c>
      <c r="U182" s="139">
        <v>15.3</v>
      </c>
      <c r="Y182" s="139">
        <f t="shared" si="2"/>
        <v>1.3216700000000001</v>
      </c>
      <c r="AA182" s="139">
        <v>9.3699999999999992</v>
      </c>
      <c r="AE182" s="139">
        <v>5.53</v>
      </c>
      <c r="AG182" s="185">
        <v>5.9</v>
      </c>
      <c r="AI182" s="185">
        <v>130</v>
      </c>
      <c r="AJ182" s="157">
        <v>41803</v>
      </c>
      <c r="AO182" s="139">
        <v>96</v>
      </c>
      <c r="AP182" s="157">
        <v>41738</v>
      </c>
      <c r="AS182" s="139">
        <v>128</v>
      </c>
      <c r="AT182" s="157">
        <v>41766</v>
      </c>
      <c r="BS182" s="140">
        <v>46.2</v>
      </c>
      <c r="BU182" s="140">
        <v>23.9</v>
      </c>
      <c r="BW182" s="140">
        <v>27.7</v>
      </c>
      <c r="BY182" s="140">
        <v>9.4</v>
      </c>
      <c r="CJ182" s="140" t="s">
        <v>8131</v>
      </c>
    </row>
    <row r="183" spans="1:88">
      <c r="A183" s="158" t="s">
        <v>7748</v>
      </c>
      <c r="B183" s="112" t="s">
        <v>269</v>
      </c>
      <c r="C183" s="112">
        <v>1</v>
      </c>
      <c r="D183">
        <v>133</v>
      </c>
      <c r="E183" s="113">
        <v>20</v>
      </c>
      <c r="F183" s="113">
        <v>2</v>
      </c>
      <c r="I183" s="112">
        <v>40</v>
      </c>
      <c r="J183" s="183">
        <v>41705</v>
      </c>
      <c r="M183" s="184">
        <v>1.39</v>
      </c>
      <c r="N183" s="157">
        <v>41853</v>
      </c>
      <c r="S183" s="139">
        <v>4.4400000000000004</v>
      </c>
      <c r="T183" s="157">
        <v>41853</v>
      </c>
      <c r="U183" s="139">
        <v>15.3</v>
      </c>
      <c r="Y183" s="139">
        <f t="shared" si="2"/>
        <v>1.9729000000000001</v>
      </c>
      <c r="AA183" s="139">
        <v>18.47</v>
      </c>
      <c r="AE183" s="139">
        <v>9.0500000000000007</v>
      </c>
      <c r="AG183" s="185">
        <v>4.9000000000000004</v>
      </c>
      <c r="AI183" s="185">
        <v>110</v>
      </c>
      <c r="AJ183" s="157">
        <v>41803</v>
      </c>
      <c r="AO183" s="139">
        <v>97</v>
      </c>
      <c r="AP183" s="157">
        <v>41738</v>
      </c>
      <c r="AS183" s="139">
        <v>128</v>
      </c>
      <c r="AT183" s="157">
        <v>41766</v>
      </c>
      <c r="BS183" s="140">
        <v>49.1</v>
      </c>
      <c r="BU183" s="140">
        <v>21.8</v>
      </c>
      <c r="BW183" s="140">
        <v>70</v>
      </c>
      <c r="BY183" s="140">
        <v>9.4</v>
      </c>
      <c r="CJ183" s="140" t="s">
        <v>8131</v>
      </c>
    </row>
    <row r="184" spans="1:88">
      <c r="A184" s="158" t="s">
        <v>7763</v>
      </c>
      <c r="B184" s="112" t="s">
        <v>269</v>
      </c>
      <c r="C184" s="112">
        <v>1</v>
      </c>
      <c r="D184">
        <v>148</v>
      </c>
      <c r="E184" s="113">
        <v>20</v>
      </c>
      <c r="F184" s="113">
        <v>3</v>
      </c>
      <c r="I184" s="112">
        <v>42</v>
      </c>
      <c r="J184" s="183">
        <v>41705</v>
      </c>
      <c r="M184" s="184">
        <v>1.57</v>
      </c>
      <c r="N184" s="157">
        <v>41853</v>
      </c>
      <c r="S184" s="139">
        <v>5.19</v>
      </c>
      <c r="T184" s="157">
        <v>41853</v>
      </c>
      <c r="U184" s="139">
        <v>15.3</v>
      </c>
      <c r="Y184" s="139">
        <f t="shared" si="2"/>
        <v>2.2279600000000004</v>
      </c>
      <c r="AA184" s="139">
        <v>22.22</v>
      </c>
      <c r="AE184" s="139">
        <v>10.220000000000001</v>
      </c>
      <c r="AG184" s="185">
        <v>4.5999999999999996</v>
      </c>
      <c r="AI184" s="185">
        <v>115</v>
      </c>
      <c r="AJ184" s="157">
        <v>41803</v>
      </c>
      <c r="AO184" s="139">
        <v>96</v>
      </c>
      <c r="AP184" s="157">
        <v>41738</v>
      </c>
      <c r="AS184" s="139">
        <v>126</v>
      </c>
      <c r="AT184" s="157">
        <v>41766</v>
      </c>
      <c r="BS184" s="140">
        <v>50.8</v>
      </c>
      <c r="BU184" s="140">
        <v>21.8</v>
      </c>
      <c r="BW184" s="140">
        <v>46.7</v>
      </c>
      <c r="BY184" s="140">
        <v>9.4</v>
      </c>
      <c r="CJ184" s="140" t="s">
        <v>8131</v>
      </c>
    </row>
    <row r="185" spans="1:88">
      <c r="A185" s="158" t="s">
        <v>7744</v>
      </c>
      <c r="B185" s="112" t="s">
        <v>269</v>
      </c>
      <c r="C185" s="112">
        <v>1</v>
      </c>
      <c r="D185">
        <v>129</v>
      </c>
      <c r="E185" s="113">
        <v>20</v>
      </c>
      <c r="F185" s="113">
        <v>4</v>
      </c>
      <c r="I185" s="112">
        <v>41</v>
      </c>
      <c r="J185" s="183">
        <v>41705</v>
      </c>
      <c r="M185" s="184">
        <v>2.09</v>
      </c>
      <c r="N185" s="157">
        <v>41853</v>
      </c>
      <c r="S185" s="139">
        <v>7.07</v>
      </c>
      <c r="T185" s="157">
        <v>41853</v>
      </c>
      <c r="U185" s="139">
        <v>15.3</v>
      </c>
      <c r="Y185" s="139">
        <f t="shared" si="2"/>
        <v>2.5568</v>
      </c>
      <c r="AA185" s="139">
        <v>30.22</v>
      </c>
      <c r="AE185" s="139">
        <v>13.6</v>
      </c>
      <c r="AG185" s="185">
        <v>4.5</v>
      </c>
      <c r="AI185" s="185">
        <v>110</v>
      </c>
      <c r="AJ185" s="157">
        <v>41803</v>
      </c>
      <c r="AO185" s="139">
        <v>92</v>
      </c>
      <c r="AP185" s="157">
        <v>41738</v>
      </c>
      <c r="AS185" s="139">
        <v>127</v>
      </c>
      <c r="AT185" s="157">
        <v>41766</v>
      </c>
      <c r="BS185" s="140">
        <v>52</v>
      </c>
      <c r="BU185" s="140">
        <v>18.8</v>
      </c>
      <c r="BW185" s="140">
        <v>11.3</v>
      </c>
      <c r="BY185" s="140">
        <v>9.4</v>
      </c>
      <c r="CJ185" s="140" t="s">
        <v>8140</v>
      </c>
    </row>
    <row r="186" spans="1:88">
      <c r="A186" s="158" t="s">
        <v>7688</v>
      </c>
      <c r="B186" s="112" t="s">
        <v>269</v>
      </c>
      <c r="C186" s="112">
        <v>1</v>
      </c>
      <c r="D186">
        <v>73</v>
      </c>
      <c r="E186" s="113">
        <v>20</v>
      </c>
      <c r="F186" s="113">
        <v>5</v>
      </c>
      <c r="I186" s="112">
        <v>30</v>
      </c>
      <c r="J186" s="183">
        <v>41705</v>
      </c>
      <c r="M186" s="184">
        <v>2.0299999999999998</v>
      </c>
      <c r="N186" s="157">
        <v>41853</v>
      </c>
      <c r="S186" s="139">
        <v>6.86</v>
      </c>
      <c r="T186" s="157">
        <v>41853</v>
      </c>
      <c r="U186" s="139">
        <v>15.3</v>
      </c>
      <c r="Y186" s="139">
        <f t="shared" si="2"/>
        <v>2.3645900000000002</v>
      </c>
      <c r="AA186" s="139">
        <v>32.22</v>
      </c>
      <c r="AE186" s="139">
        <v>13.21</v>
      </c>
      <c r="AG186" s="185">
        <v>4.0999999999999996</v>
      </c>
      <c r="AI186" s="185">
        <v>115</v>
      </c>
      <c r="AJ186" s="157">
        <v>41803</v>
      </c>
      <c r="AO186" s="139">
        <v>90</v>
      </c>
      <c r="AP186" s="157">
        <v>41738</v>
      </c>
      <c r="AS186" s="139">
        <v>127</v>
      </c>
      <c r="AT186" s="157">
        <v>41766</v>
      </c>
      <c r="BS186" s="140">
        <v>51.9</v>
      </c>
      <c r="BU186" s="140">
        <v>17.899999999999999</v>
      </c>
      <c r="BW186" s="140">
        <v>17.399999999999999</v>
      </c>
      <c r="BY186" s="140">
        <v>9.4</v>
      </c>
      <c r="CJ186" s="140" t="s">
        <v>8140</v>
      </c>
    </row>
    <row r="187" spans="1:88">
      <c r="A187" s="158" t="s">
        <v>7903</v>
      </c>
      <c r="B187" s="112" t="s">
        <v>269</v>
      </c>
      <c r="C187" s="112">
        <v>1</v>
      </c>
      <c r="D187">
        <v>213</v>
      </c>
      <c r="E187" s="113">
        <v>20</v>
      </c>
      <c r="F187" s="113">
        <v>6</v>
      </c>
      <c r="I187" s="112">
        <v>32</v>
      </c>
      <c r="J187" s="183">
        <v>41705</v>
      </c>
      <c r="M187" s="184"/>
      <c r="N187" s="157">
        <v>41853</v>
      </c>
      <c r="T187" s="157">
        <v>41853</v>
      </c>
      <c r="U187" s="139">
        <v>15.3</v>
      </c>
      <c r="Y187" s="139">
        <f t="shared" si="2"/>
        <v>0</v>
      </c>
      <c r="AG187" s="185"/>
      <c r="AI187" s="185">
        <v>115</v>
      </c>
      <c r="AJ187" s="157">
        <v>41803</v>
      </c>
      <c r="AO187" s="139">
        <v>93</v>
      </c>
      <c r="AP187" s="157">
        <v>41738</v>
      </c>
      <c r="AS187" s="139">
        <v>127</v>
      </c>
      <c r="AT187" s="157">
        <v>41766</v>
      </c>
      <c r="CJ187" s="140" t="s">
        <v>8156</v>
      </c>
    </row>
    <row r="188" spans="1:88">
      <c r="A188" s="158" t="s">
        <v>7770</v>
      </c>
      <c r="B188" s="112" t="s">
        <v>271</v>
      </c>
      <c r="C188" s="112">
        <v>2</v>
      </c>
      <c r="D188">
        <v>155</v>
      </c>
      <c r="E188" s="113">
        <v>20</v>
      </c>
      <c r="F188" s="113">
        <v>7</v>
      </c>
      <c r="I188" s="112">
        <v>50</v>
      </c>
      <c r="J188" s="183">
        <v>41705</v>
      </c>
      <c r="M188" s="184">
        <v>3.99</v>
      </c>
      <c r="N188" s="157">
        <v>41853</v>
      </c>
      <c r="S188" s="139">
        <v>12.62</v>
      </c>
      <c r="T188" s="157">
        <v>41853</v>
      </c>
      <c r="U188" s="139">
        <v>15.3</v>
      </c>
      <c r="Y188" s="139">
        <f t="shared" si="2"/>
        <v>5.5942999999999996</v>
      </c>
      <c r="AA188" s="139">
        <v>51.02</v>
      </c>
      <c r="AE188" s="139">
        <v>26.02</v>
      </c>
      <c r="AG188" s="185">
        <v>5.0999999999999996</v>
      </c>
      <c r="AI188" s="185">
        <v>100</v>
      </c>
      <c r="AJ188" s="157">
        <v>41803</v>
      </c>
      <c r="AO188" s="139">
        <v>93</v>
      </c>
      <c r="AP188" s="157">
        <v>41738</v>
      </c>
      <c r="AS188" s="139">
        <v>127</v>
      </c>
      <c r="AT188" s="157">
        <v>41766</v>
      </c>
      <c r="BS188" s="140">
        <v>48.5</v>
      </c>
      <c r="BU188" s="140">
        <v>21.5</v>
      </c>
      <c r="BW188" s="140">
        <v>19.100000000000001</v>
      </c>
      <c r="BY188" s="140">
        <v>9.1999999999999993</v>
      </c>
      <c r="CJ188" s="140" t="s">
        <v>8140</v>
      </c>
    </row>
    <row r="189" spans="1:88">
      <c r="A189" s="158" t="s">
        <v>7677</v>
      </c>
      <c r="B189" s="112" t="s">
        <v>271</v>
      </c>
      <c r="C189" s="112">
        <v>2</v>
      </c>
      <c r="D189">
        <v>62</v>
      </c>
      <c r="E189" s="113">
        <v>20</v>
      </c>
      <c r="F189" s="113">
        <v>8</v>
      </c>
      <c r="I189" s="112">
        <v>44</v>
      </c>
      <c r="J189" s="183">
        <v>41705</v>
      </c>
      <c r="M189" s="184">
        <v>2.67</v>
      </c>
      <c r="N189" s="157">
        <v>41853</v>
      </c>
      <c r="S189" s="139">
        <v>8.26</v>
      </c>
      <c r="T189" s="157">
        <v>41853</v>
      </c>
      <c r="U189" s="139">
        <v>15.3</v>
      </c>
      <c r="Y189" s="139">
        <f t="shared" si="2"/>
        <v>3.8796799999999996</v>
      </c>
      <c r="AA189" s="139">
        <v>38.49</v>
      </c>
      <c r="AE189" s="139">
        <v>17.32</v>
      </c>
      <c r="AG189" s="185">
        <v>4.5</v>
      </c>
      <c r="AI189" s="185">
        <v>115</v>
      </c>
      <c r="AJ189" s="157">
        <v>41803</v>
      </c>
      <c r="AO189" s="139">
        <v>99</v>
      </c>
      <c r="AP189" s="157">
        <v>41738</v>
      </c>
      <c r="AS189" s="139">
        <v>128</v>
      </c>
      <c r="AT189" s="157">
        <v>41766</v>
      </c>
      <c r="BS189" s="140">
        <v>47.7</v>
      </c>
      <c r="BU189" s="140">
        <v>22.4</v>
      </c>
      <c r="BW189" s="140">
        <v>11.8</v>
      </c>
      <c r="BY189" s="140">
        <v>9.6999999999999993</v>
      </c>
      <c r="CJ189" s="140" t="s">
        <v>8134</v>
      </c>
    </row>
    <row r="190" spans="1:88">
      <c r="A190" s="158" t="s">
        <v>7708</v>
      </c>
      <c r="B190" s="112" t="s">
        <v>271</v>
      </c>
      <c r="C190" s="112">
        <v>2</v>
      </c>
      <c r="D190">
        <v>93</v>
      </c>
      <c r="E190" s="113">
        <v>20</v>
      </c>
      <c r="F190" s="113">
        <v>9</v>
      </c>
      <c r="I190" s="112">
        <v>38</v>
      </c>
      <c r="J190" s="183">
        <v>41705</v>
      </c>
      <c r="M190" s="184">
        <v>3.8</v>
      </c>
      <c r="N190" s="157">
        <v>41853</v>
      </c>
      <c r="S190" s="139">
        <v>12.03</v>
      </c>
      <c r="T190" s="157">
        <v>41853</v>
      </c>
      <c r="U190" s="139">
        <v>15.3</v>
      </c>
      <c r="Y190" s="139">
        <f t="shared" si="2"/>
        <v>5.0634999999999994</v>
      </c>
      <c r="AA190" s="139">
        <v>49.4</v>
      </c>
      <c r="AE190" s="139">
        <v>24.7</v>
      </c>
      <c r="AG190" s="185">
        <v>5</v>
      </c>
      <c r="AI190" s="185">
        <v>110</v>
      </c>
      <c r="AJ190" s="157">
        <v>41803</v>
      </c>
      <c r="AO190" s="139">
        <v>92</v>
      </c>
      <c r="AP190" s="157">
        <v>41738</v>
      </c>
      <c r="AS190" s="139">
        <v>127</v>
      </c>
      <c r="AT190" s="157">
        <v>41766</v>
      </c>
      <c r="BS190" s="140">
        <v>48.7</v>
      </c>
      <c r="BU190" s="140">
        <v>20.5</v>
      </c>
      <c r="BW190" s="140">
        <v>17.100000000000001</v>
      </c>
      <c r="BY190" s="140">
        <v>9.5</v>
      </c>
      <c r="CJ190" s="140" t="s">
        <v>8144</v>
      </c>
    </row>
    <row r="191" spans="1:88">
      <c r="A191" s="158" t="s">
        <v>7692</v>
      </c>
      <c r="B191" s="112" t="s">
        <v>271</v>
      </c>
      <c r="C191" s="112">
        <v>2</v>
      </c>
      <c r="D191">
        <v>77</v>
      </c>
      <c r="E191" s="113">
        <v>20</v>
      </c>
      <c r="F191" s="113">
        <v>10</v>
      </c>
      <c r="I191" s="112">
        <v>29</v>
      </c>
      <c r="J191" s="183">
        <v>41705</v>
      </c>
      <c r="M191" s="184">
        <v>3.4</v>
      </c>
      <c r="N191" s="157">
        <v>41853</v>
      </c>
      <c r="S191" s="139">
        <v>10.94</v>
      </c>
      <c r="T191" s="157">
        <v>41853</v>
      </c>
      <c r="U191" s="139">
        <v>15.3</v>
      </c>
      <c r="Y191" s="139">
        <f t="shared" si="2"/>
        <v>4.6852</v>
      </c>
      <c r="AA191" s="139">
        <v>43.33</v>
      </c>
      <c r="AE191" s="139">
        <v>22.1</v>
      </c>
      <c r="AG191" s="185">
        <v>5.0999999999999996</v>
      </c>
      <c r="AI191" s="185">
        <v>115</v>
      </c>
      <c r="AJ191" s="157">
        <v>41803</v>
      </c>
      <c r="AO191" s="139">
        <v>95</v>
      </c>
      <c r="AP191" s="157">
        <v>41738</v>
      </c>
      <c r="AS191" s="139">
        <v>128</v>
      </c>
      <c r="AT191" s="157">
        <v>41766</v>
      </c>
      <c r="BS191" s="140">
        <v>49.5</v>
      </c>
      <c r="BU191" s="140">
        <v>21.2</v>
      </c>
      <c r="BW191" s="140">
        <v>28.4</v>
      </c>
      <c r="BY191" s="140">
        <v>9.5</v>
      </c>
      <c r="CJ191" s="140" t="s">
        <v>8140</v>
      </c>
    </row>
    <row r="192" spans="1:88">
      <c r="A192" s="158" t="s">
        <v>7654</v>
      </c>
      <c r="B192" s="112" t="s">
        <v>271</v>
      </c>
      <c r="C192" s="112">
        <v>2</v>
      </c>
      <c r="D192">
        <v>39</v>
      </c>
      <c r="E192" s="113">
        <v>20</v>
      </c>
      <c r="F192" s="113">
        <v>11</v>
      </c>
      <c r="I192" s="112">
        <v>21</v>
      </c>
      <c r="J192" s="183">
        <v>41705</v>
      </c>
      <c r="M192" s="184">
        <v>2.96</v>
      </c>
      <c r="N192" s="157">
        <v>41853</v>
      </c>
      <c r="S192" s="139">
        <v>8.91</v>
      </c>
      <c r="T192" s="157">
        <v>41853</v>
      </c>
      <c r="U192" s="139">
        <v>15.3</v>
      </c>
      <c r="Y192" s="139">
        <f t="shared" si="2"/>
        <v>4.4352</v>
      </c>
      <c r="AA192" s="139">
        <v>35.56</v>
      </c>
      <c r="AE192" s="139">
        <v>19.2</v>
      </c>
      <c r="AG192" s="185">
        <v>5.4</v>
      </c>
      <c r="AI192" s="185">
        <v>120</v>
      </c>
      <c r="AJ192" s="157">
        <v>41803</v>
      </c>
      <c r="AO192" s="139">
        <v>92</v>
      </c>
      <c r="AP192" s="157">
        <v>41738</v>
      </c>
      <c r="AS192" s="139">
        <v>128</v>
      </c>
      <c r="AT192" s="157">
        <v>41766</v>
      </c>
      <c r="BS192" s="140">
        <v>46.4</v>
      </c>
      <c r="BU192" s="140">
        <v>23.1</v>
      </c>
      <c r="BW192" s="140">
        <v>64.400000000000006</v>
      </c>
      <c r="BY192" s="140">
        <v>9.6999999999999993</v>
      </c>
      <c r="CJ192" s="140" t="s">
        <v>8140</v>
      </c>
    </row>
    <row r="193" spans="1:91">
      <c r="A193" s="158" t="s">
        <v>7662</v>
      </c>
      <c r="B193" s="112" t="s">
        <v>271</v>
      </c>
      <c r="C193" s="112">
        <v>2</v>
      </c>
      <c r="D193">
        <v>47</v>
      </c>
      <c r="E193" s="113">
        <v>20</v>
      </c>
      <c r="F193" s="113">
        <v>12</v>
      </c>
      <c r="I193" s="112">
        <v>71</v>
      </c>
      <c r="J193" s="183">
        <v>41705</v>
      </c>
      <c r="M193" s="184">
        <v>4.05</v>
      </c>
      <c r="N193" s="157">
        <v>41853</v>
      </c>
      <c r="S193" s="139">
        <v>13.25</v>
      </c>
      <c r="T193" s="157">
        <v>41853</v>
      </c>
      <c r="U193" s="139">
        <v>15.3</v>
      </c>
      <c r="Y193" s="139">
        <f t="shared" si="2"/>
        <v>5.9162999999999997</v>
      </c>
      <c r="AA193" s="139">
        <v>70.13</v>
      </c>
      <c r="AE193" s="139">
        <v>26.65</v>
      </c>
      <c r="AG193" s="185">
        <v>3.8</v>
      </c>
      <c r="AI193" s="185">
        <v>125</v>
      </c>
      <c r="AJ193" s="157">
        <v>41803</v>
      </c>
      <c r="AO193" s="139">
        <v>90</v>
      </c>
      <c r="AP193" s="157">
        <v>41738</v>
      </c>
      <c r="AS193" s="139">
        <v>128</v>
      </c>
      <c r="AT193" s="157">
        <v>41766</v>
      </c>
      <c r="BS193" s="140">
        <v>49.7</v>
      </c>
      <c r="BU193" s="140">
        <v>22.2</v>
      </c>
      <c r="BW193" s="140">
        <v>46.7</v>
      </c>
      <c r="BY193" s="140">
        <v>8.4</v>
      </c>
      <c r="CJ193" s="140" t="s">
        <v>8140</v>
      </c>
    </row>
    <row r="194" spans="1:91">
      <c r="A194" s="158" t="s">
        <v>7685</v>
      </c>
      <c r="B194" s="112" t="s">
        <v>269</v>
      </c>
      <c r="C194" s="112">
        <v>1</v>
      </c>
      <c r="D194">
        <v>70</v>
      </c>
      <c r="E194" s="113">
        <v>21</v>
      </c>
      <c r="F194" s="113">
        <v>1</v>
      </c>
      <c r="I194" s="112">
        <v>27</v>
      </c>
      <c r="J194" s="183">
        <v>41705</v>
      </c>
      <c r="M194" s="184">
        <v>2.52</v>
      </c>
      <c r="N194" s="157">
        <v>41853</v>
      </c>
      <c r="S194" s="139">
        <v>8.3800000000000008</v>
      </c>
      <c r="T194" s="157">
        <v>41853</v>
      </c>
      <c r="U194" s="139">
        <v>15.3</v>
      </c>
      <c r="Y194" s="139">
        <f t="shared" ref="Y194:Y257" si="3">(AE194*BU194)/100</f>
        <v>3.2189799999999997</v>
      </c>
      <c r="AA194" s="139">
        <v>33.35</v>
      </c>
      <c r="AE194" s="139">
        <v>16.34</v>
      </c>
      <c r="AG194" s="185">
        <v>4.9000000000000004</v>
      </c>
      <c r="AI194" s="185">
        <v>130</v>
      </c>
      <c r="AJ194" s="157">
        <v>41803</v>
      </c>
      <c r="AO194" s="139">
        <v>96</v>
      </c>
      <c r="AP194" s="157">
        <v>41738</v>
      </c>
      <c r="AS194" s="139">
        <v>127</v>
      </c>
      <c r="AT194" s="157">
        <v>41766</v>
      </c>
      <c r="BS194" s="140">
        <v>51.3</v>
      </c>
      <c r="BU194" s="140">
        <v>19.7</v>
      </c>
      <c r="BW194" s="140">
        <v>19.7</v>
      </c>
      <c r="BY194" s="140">
        <v>9.6999999999999993</v>
      </c>
      <c r="CJ194" s="140" t="s">
        <v>8131</v>
      </c>
    </row>
    <row r="195" spans="1:91">
      <c r="A195" s="158" t="s">
        <v>7659</v>
      </c>
      <c r="B195" s="112" t="s">
        <v>269</v>
      </c>
      <c r="C195" s="112">
        <v>1</v>
      </c>
      <c r="D195">
        <v>44</v>
      </c>
      <c r="E195" s="113">
        <v>21</v>
      </c>
      <c r="F195" s="113">
        <v>2</v>
      </c>
      <c r="I195" s="112">
        <v>38</v>
      </c>
      <c r="J195" s="183">
        <v>41705</v>
      </c>
      <c r="M195" s="184">
        <v>1.26</v>
      </c>
      <c r="N195" s="157">
        <v>41853</v>
      </c>
      <c r="S195" s="139">
        <v>3.88</v>
      </c>
      <c r="T195" s="157">
        <v>41853</v>
      </c>
      <c r="U195" s="139">
        <v>15.3</v>
      </c>
      <c r="Y195" s="139">
        <f t="shared" si="3"/>
        <v>1.8137399999999999</v>
      </c>
      <c r="AA195" s="139">
        <v>17.38</v>
      </c>
      <c r="AE195" s="139">
        <v>8.17</v>
      </c>
      <c r="AG195" s="185">
        <v>4.7</v>
      </c>
      <c r="AI195" s="185">
        <v>125</v>
      </c>
      <c r="AJ195" s="157">
        <v>41803</v>
      </c>
      <c r="AO195" s="139">
        <v>94</v>
      </c>
      <c r="AP195" s="157">
        <v>41738</v>
      </c>
      <c r="AS195" s="139">
        <v>127</v>
      </c>
      <c r="AT195" s="157">
        <v>41766</v>
      </c>
      <c r="BS195" s="140">
        <v>47.5</v>
      </c>
      <c r="BU195" s="140">
        <v>22.2</v>
      </c>
      <c r="BW195" s="140">
        <v>58.5</v>
      </c>
      <c r="BY195" s="140">
        <v>9.6999999999999993</v>
      </c>
      <c r="CJ195" s="140" t="s">
        <v>8140</v>
      </c>
    </row>
    <row r="196" spans="1:91">
      <c r="A196" s="158" t="s">
        <v>7696</v>
      </c>
      <c r="B196" s="112" t="s">
        <v>269</v>
      </c>
      <c r="C196" s="112">
        <v>1</v>
      </c>
      <c r="D196">
        <v>81</v>
      </c>
      <c r="E196" s="113">
        <v>21</v>
      </c>
      <c r="F196" s="113">
        <v>3</v>
      </c>
      <c r="I196" s="112">
        <v>36</v>
      </c>
      <c r="J196" s="183">
        <v>41705</v>
      </c>
      <c r="M196" s="184">
        <v>1.94</v>
      </c>
      <c r="N196" s="157">
        <v>41853</v>
      </c>
      <c r="S196" s="139">
        <v>6.28</v>
      </c>
      <c r="T196" s="157">
        <v>41853</v>
      </c>
      <c r="U196" s="139">
        <v>15.3</v>
      </c>
      <c r="Y196" s="139">
        <f t="shared" si="3"/>
        <v>2.6417999999999999</v>
      </c>
      <c r="AA196" s="139">
        <v>22.46</v>
      </c>
      <c r="AE196" s="139">
        <v>12.58</v>
      </c>
      <c r="AG196" s="185">
        <v>5.6</v>
      </c>
      <c r="AI196" s="185">
        <v>120</v>
      </c>
      <c r="AJ196" s="157">
        <v>41803</v>
      </c>
      <c r="AO196" s="139">
        <v>93</v>
      </c>
      <c r="AP196" s="157">
        <v>41738</v>
      </c>
      <c r="AS196" s="139">
        <v>126</v>
      </c>
      <c r="AT196" s="157">
        <v>41766</v>
      </c>
      <c r="BS196" s="140">
        <v>49.9</v>
      </c>
      <c r="BU196" s="140">
        <v>21</v>
      </c>
      <c r="BW196" s="140">
        <v>15.3</v>
      </c>
      <c r="BY196" s="140">
        <v>9.6999999999999993</v>
      </c>
      <c r="CJ196" s="140" t="s">
        <v>8140</v>
      </c>
    </row>
    <row r="197" spans="1:91">
      <c r="A197" s="158" t="s">
        <v>7694</v>
      </c>
      <c r="B197" s="112" t="s">
        <v>269</v>
      </c>
      <c r="C197" s="112">
        <v>1</v>
      </c>
      <c r="D197">
        <v>79</v>
      </c>
      <c r="E197" s="113">
        <v>21</v>
      </c>
      <c r="F197" s="113">
        <v>4</v>
      </c>
      <c r="I197" s="112">
        <v>25</v>
      </c>
      <c r="J197" s="183">
        <v>41705</v>
      </c>
      <c r="M197" s="184">
        <v>2.11</v>
      </c>
      <c r="N197" s="157">
        <v>41853</v>
      </c>
      <c r="S197" s="139">
        <v>7.11</v>
      </c>
      <c r="T197" s="157">
        <v>41853</v>
      </c>
      <c r="U197" s="139">
        <v>15.3</v>
      </c>
      <c r="Y197" s="139">
        <f t="shared" si="3"/>
        <v>2.5581599999999995</v>
      </c>
      <c r="AA197" s="139">
        <v>36.97</v>
      </c>
      <c r="AE197" s="139">
        <v>13.68</v>
      </c>
      <c r="AG197" s="185">
        <v>3.7</v>
      </c>
      <c r="AI197" s="185">
        <v>115</v>
      </c>
      <c r="AJ197" s="157">
        <v>41803</v>
      </c>
      <c r="AO197" s="139">
        <v>90</v>
      </c>
      <c r="AP197" s="157">
        <v>41738</v>
      </c>
      <c r="AS197" s="139">
        <v>126</v>
      </c>
      <c r="AT197" s="157">
        <v>41766</v>
      </c>
      <c r="BS197" s="140">
        <v>52</v>
      </c>
      <c r="BU197" s="140">
        <v>18.7</v>
      </c>
      <c r="BW197" s="140">
        <v>12.2</v>
      </c>
      <c r="BY197" s="140">
        <v>9.6999999999999993</v>
      </c>
      <c r="CJ197" s="140" t="s">
        <v>8140</v>
      </c>
    </row>
    <row r="198" spans="1:91">
      <c r="A198" s="158" t="s">
        <v>7674</v>
      </c>
      <c r="B198" s="112" t="s">
        <v>269</v>
      </c>
      <c r="C198" s="112">
        <v>1</v>
      </c>
      <c r="D198">
        <v>59</v>
      </c>
      <c r="E198" s="113">
        <v>21</v>
      </c>
      <c r="F198" s="113">
        <v>5</v>
      </c>
      <c r="I198" s="112">
        <v>29</v>
      </c>
      <c r="J198" s="183">
        <v>41705</v>
      </c>
      <c r="M198" s="184">
        <v>2.1800000000000002</v>
      </c>
      <c r="N198" s="157">
        <v>41853</v>
      </c>
      <c r="S198" s="139">
        <v>7.25</v>
      </c>
      <c r="T198" s="157">
        <v>41853</v>
      </c>
      <c r="U198" s="139">
        <v>15.3</v>
      </c>
      <c r="Y198" s="139">
        <f t="shared" si="3"/>
        <v>2.8280000000000003</v>
      </c>
      <c r="AA198" s="139">
        <v>32.880000000000003</v>
      </c>
      <c r="AE198" s="139">
        <v>14.14</v>
      </c>
      <c r="AG198" s="185">
        <v>4.3</v>
      </c>
      <c r="AI198" s="185">
        <v>120</v>
      </c>
      <c r="AJ198" s="157">
        <v>41803</v>
      </c>
      <c r="AO198" s="139">
        <v>91</v>
      </c>
      <c r="AP198" s="157">
        <v>41738</v>
      </c>
      <c r="AS198" s="139">
        <v>126</v>
      </c>
      <c r="AT198" s="157">
        <v>41766</v>
      </c>
      <c r="BS198" s="140">
        <v>51.3</v>
      </c>
      <c r="BU198" s="140">
        <v>20</v>
      </c>
      <c r="BW198" s="140">
        <v>14.8</v>
      </c>
      <c r="BY198" s="140">
        <v>9.6999999999999993</v>
      </c>
      <c r="CJ198" s="140" t="s">
        <v>8140</v>
      </c>
    </row>
    <row r="199" spans="1:91">
      <c r="A199" s="158" t="s">
        <v>7687</v>
      </c>
      <c r="B199" s="112" t="s">
        <v>269</v>
      </c>
      <c r="C199" s="112">
        <v>1</v>
      </c>
      <c r="D199">
        <v>72</v>
      </c>
      <c r="E199" s="113">
        <v>21</v>
      </c>
      <c r="F199" s="113">
        <v>6</v>
      </c>
      <c r="I199" s="112">
        <v>28</v>
      </c>
      <c r="J199" s="183">
        <v>41705</v>
      </c>
      <c r="M199" s="184">
        <v>2.2799999999999998</v>
      </c>
      <c r="N199" s="157">
        <v>41853</v>
      </c>
      <c r="S199" s="139">
        <v>7.54</v>
      </c>
      <c r="T199" s="157">
        <v>41853</v>
      </c>
      <c r="U199" s="139">
        <v>15.3</v>
      </c>
      <c r="Y199" s="139">
        <f t="shared" si="3"/>
        <v>2.9432099999999997</v>
      </c>
      <c r="AA199" s="139">
        <v>33.61</v>
      </c>
      <c r="AE199" s="139">
        <v>14.79</v>
      </c>
      <c r="AG199" s="185">
        <v>4.4000000000000004</v>
      </c>
      <c r="AI199" s="185">
        <v>115</v>
      </c>
      <c r="AJ199" s="157">
        <v>41803</v>
      </c>
      <c r="AO199" s="139">
        <v>94</v>
      </c>
      <c r="AP199" s="157">
        <v>41738</v>
      </c>
      <c r="AS199" s="139">
        <v>127</v>
      </c>
      <c r="AT199" s="157">
        <v>41766</v>
      </c>
      <c r="BS199" s="140">
        <v>51</v>
      </c>
      <c r="BU199" s="140">
        <v>19.899999999999999</v>
      </c>
      <c r="BW199" s="140">
        <v>15.2</v>
      </c>
      <c r="BY199" s="140">
        <v>9.6999999999999993</v>
      </c>
      <c r="CJ199" s="140" t="s">
        <v>8140</v>
      </c>
    </row>
    <row r="200" spans="1:91">
      <c r="A200" s="158" t="s">
        <v>7774</v>
      </c>
      <c r="B200" s="112" t="s">
        <v>271</v>
      </c>
      <c r="C200" s="112">
        <v>2</v>
      </c>
      <c r="D200">
        <v>159</v>
      </c>
      <c r="E200" s="113">
        <v>21</v>
      </c>
      <c r="F200" s="113">
        <v>7</v>
      </c>
      <c r="I200" s="112">
        <v>35</v>
      </c>
      <c r="J200" s="183">
        <v>41705</v>
      </c>
      <c r="M200" s="184">
        <v>3.72</v>
      </c>
      <c r="N200" s="157">
        <v>41853</v>
      </c>
      <c r="S200" s="139">
        <v>12.24</v>
      </c>
      <c r="T200" s="157">
        <v>41853</v>
      </c>
      <c r="U200" s="139">
        <v>15.3</v>
      </c>
      <c r="Y200" s="139">
        <f t="shared" si="3"/>
        <v>4.8923400000000008</v>
      </c>
      <c r="AA200" s="139">
        <v>45.92</v>
      </c>
      <c r="AE200" s="139">
        <v>24.34</v>
      </c>
      <c r="AG200" s="185">
        <v>5.3</v>
      </c>
      <c r="AI200" s="185">
        <v>100</v>
      </c>
      <c r="AJ200" s="157">
        <v>41803</v>
      </c>
      <c r="AO200" s="139">
        <v>89</v>
      </c>
      <c r="AP200" s="157">
        <v>41738</v>
      </c>
      <c r="AS200" s="139">
        <v>127</v>
      </c>
      <c r="AT200" s="157">
        <v>41766</v>
      </c>
      <c r="BS200" s="140">
        <v>50.3</v>
      </c>
      <c r="BU200" s="140">
        <v>20.100000000000001</v>
      </c>
      <c r="BW200" s="140">
        <v>16.399999999999999</v>
      </c>
      <c r="BY200" s="140">
        <v>8.9</v>
      </c>
      <c r="CJ200" s="140" t="s">
        <v>8140</v>
      </c>
    </row>
    <row r="201" spans="1:91">
      <c r="A201" s="158" t="s">
        <v>7704</v>
      </c>
      <c r="B201" s="112" t="s">
        <v>271</v>
      </c>
      <c r="C201" s="112">
        <v>2</v>
      </c>
      <c r="D201">
        <v>89</v>
      </c>
      <c r="E201" s="113">
        <v>21</v>
      </c>
      <c r="F201" s="113">
        <v>8</v>
      </c>
      <c r="I201" s="112">
        <v>30</v>
      </c>
      <c r="J201" s="183">
        <v>41705</v>
      </c>
      <c r="M201" s="184">
        <v>3.58</v>
      </c>
      <c r="N201" s="157">
        <v>41853</v>
      </c>
      <c r="S201" s="139">
        <v>11.45</v>
      </c>
      <c r="T201" s="157">
        <v>41853</v>
      </c>
      <c r="U201" s="139">
        <v>15.3</v>
      </c>
      <c r="Y201" s="139">
        <f t="shared" si="3"/>
        <v>4.7205599999999999</v>
      </c>
      <c r="AA201" s="139">
        <v>40.6</v>
      </c>
      <c r="AE201" s="139">
        <v>23.14</v>
      </c>
      <c r="AG201" s="185">
        <v>5.7</v>
      </c>
      <c r="AI201" s="185">
        <v>115</v>
      </c>
      <c r="AJ201" s="157">
        <v>41803</v>
      </c>
      <c r="AO201" s="139">
        <v>95</v>
      </c>
      <c r="AP201" s="157">
        <v>41738</v>
      </c>
      <c r="AS201" s="139">
        <v>127</v>
      </c>
      <c r="AT201" s="157">
        <v>41766</v>
      </c>
      <c r="BS201" s="140">
        <v>49.5</v>
      </c>
      <c r="BU201" s="140">
        <v>20.399999999999999</v>
      </c>
      <c r="BW201" s="140">
        <v>16.7</v>
      </c>
      <c r="BY201" s="140">
        <v>10</v>
      </c>
      <c r="CJ201" s="140" t="s">
        <v>8140</v>
      </c>
    </row>
    <row r="202" spans="1:91" s="198" customFormat="1">
      <c r="A202" s="158" t="s">
        <v>7668</v>
      </c>
      <c r="B202" s="112" t="s">
        <v>271</v>
      </c>
      <c r="C202" s="112">
        <v>2</v>
      </c>
      <c r="D202">
        <v>53</v>
      </c>
      <c r="E202" s="113">
        <v>21</v>
      </c>
      <c r="F202" s="113">
        <v>9</v>
      </c>
      <c r="G202" s="113"/>
      <c r="H202" s="113"/>
      <c r="I202" s="112">
        <v>37</v>
      </c>
      <c r="J202" s="183">
        <v>41705</v>
      </c>
      <c r="K202" s="139"/>
      <c r="L202" s="157"/>
      <c r="M202" s="184">
        <v>4.29</v>
      </c>
      <c r="N202" s="157">
        <v>41853</v>
      </c>
      <c r="O202" s="139"/>
      <c r="P202" s="157"/>
      <c r="Q202" s="139"/>
      <c r="R202" s="157"/>
      <c r="S202" s="139">
        <v>14.6</v>
      </c>
      <c r="T202" s="157">
        <v>41853</v>
      </c>
      <c r="U202" s="139">
        <v>15.3</v>
      </c>
      <c r="V202" s="157"/>
      <c r="W202" s="139"/>
      <c r="X202" s="157"/>
      <c r="Y202" s="139">
        <f t="shared" si="3"/>
        <v>5.3048000000000002</v>
      </c>
      <c r="Z202" s="157"/>
      <c r="AA202" s="139">
        <v>53.69</v>
      </c>
      <c r="AB202" s="157"/>
      <c r="AC202" s="139"/>
      <c r="AD202" s="157"/>
      <c r="AE202" s="139">
        <v>27.92</v>
      </c>
      <c r="AF202" s="157"/>
      <c r="AG202" s="185">
        <v>5.2</v>
      </c>
      <c r="AH202" s="157"/>
      <c r="AI202" s="185">
        <v>120</v>
      </c>
      <c r="AJ202" s="157">
        <v>41803</v>
      </c>
      <c r="AK202" s="139"/>
      <c r="AL202" s="157"/>
      <c r="AM202" s="139"/>
      <c r="AN202" s="157"/>
      <c r="AO202" s="139">
        <v>96</v>
      </c>
      <c r="AP202" s="157">
        <v>41738</v>
      </c>
      <c r="AQ202" s="139"/>
      <c r="AR202" s="139"/>
      <c r="AS202" s="139">
        <v>127</v>
      </c>
      <c r="AT202" s="157">
        <v>41766</v>
      </c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  <c r="BE202" s="140"/>
      <c r="BF202" s="140"/>
      <c r="BG202" s="140"/>
      <c r="BH202" s="140"/>
      <c r="BI202" s="140"/>
      <c r="BJ202" s="140"/>
      <c r="BK202" s="140"/>
      <c r="BL202" s="140"/>
      <c r="BM202" s="140"/>
      <c r="BN202" s="140"/>
      <c r="BO202" s="140"/>
      <c r="BP202" s="140"/>
      <c r="BQ202" s="140"/>
      <c r="BR202" s="140"/>
      <c r="BS202" s="140">
        <v>52.3</v>
      </c>
      <c r="BT202" s="140"/>
      <c r="BU202" s="140">
        <v>19</v>
      </c>
      <c r="BV202" s="140"/>
      <c r="BW202" s="140">
        <v>16.3</v>
      </c>
      <c r="BX202" s="140"/>
      <c r="BY202" s="140">
        <v>9.4</v>
      </c>
      <c r="BZ202" s="140"/>
      <c r="CA202" s="140"/>
      <c r="CB202" s="140"/>
      <c r="CC202" s="140"/>
      <c r="CD202" s="140"/>
      <c r="CE202" s="140"/>
      <c r="CF202" s="140"/>
      <c r="CG202" s="140"/>
      <c r="CH202" s="140"/>
      <c r="CI202" s="140"/>
      <c r="CJ202" s="140" t="s">
        <v>8131</v>
      </c>
      <c r="CK202" s="140"/>
      <c r="CL202" s="140"/>
      <c r="CM202" s="140"/>
    </row>
    <row r="203" spans="1:91" s="198" customFormat="1">
      <c r="A203" s="158" t="s">
        <v>7702</v>
      </c>
      <c r="B203" s="112" t="s">
        <v>271</v>
      </c>
      <c r="C203" s="112">
        <v>2</v>
      </c>
      <c r="D203">
        <v>87</v>
      </c>
      <c r="E203" s="113">
        <v>21</v>
      </c>
      <c r="F203" s="113">
        <v>10</v>
      </c>
      <c r="G203" s="113"/>
      <c r="H203" s="113"/>
      <c r="I203" s="112">
        <v>38</v>
      </c>
      <c r="J203" s="183">
        <v>41705</v>
      </c>
      <c r="K203" s="139"/>
      <c r="L203" s="157"/>
      <c r="M203" s="184">
        <v>3.87</v>
      </c>
      <c r="N203" s="157">
        <v>41853</v>
      </c>
      <c r="O203" s="139"/>
      <c r="P203" s="157"/>
      <c r="Q203" s="139"/>
      <c r="R203" s="157"/>
      <c r="S203" s="139">
        <v>12.65</v>
      </c>
      <c r="T203" s="157">
        <v>41853</v>
      </c>
      <c r="U203" s="139">
        <v>15.3</v>
      </c>
      <c r="V203" s="157"/>
      <c r="W203" s="139"/>
      <c r="X203" s="157"/>
      <c r="Y203" s="139">
        <f t="shared" si="3"/>
        <v>5.3003999999999998</v>
      </c>
      <c r="Z203" s="157"/>
      <c r="AA203" s="139">
        <v>64.72</v>
      </c>
      <c r="AB203" s="157"/>
      <c r="AC203" s="139"/>
      <c r="AD203" s="157"/>
      <c r="AE203" s="139">
        <v>25.24</v>
      </c>
      <c r="AF203" s="157"/>
      <c r="AG203" s="185">
        <v>3.9</v>
      </c>
      <c r="AH203" s="157"/>
      <c r="AI203" s="185">
        <v>110</v>
      </c>
      <c r="AJ203" s="157">
        <v>41803</v>
      </c>
      <c r="AK203" s="139"/>
      <c r="AL203" s="157"/>
      <c r="AM203" s="139"/>
      <c r="AN203" s="157"/>
      <c r="AO203" s="139">
        <v>94</v>
      </c>
      <c r="AP203" s="157">
        <v>41738</v>
      </c>
      <c r="AQ203" s="139"/>
      <c r="AR203" s="139"/>
      <c r="AS203" s="139">
        <v>128</v>
      </c>
      <c r="AT203" s="157">
        <v>41766</v>
      </c>
      <c r="AU203" s="139"/>
      <c r="AV203" s="139"/>
      <c r="AW203" s="139"/>
      <c r="AX203" s="139"/>
      <c r="AY203" s="139"/>
      <c r="AZ203" s="139"/>
      <c r="BA203" s="139"/>
      <c r="BB203" s="139"/>
      <c r="BC203" s="139"/>
      <c r="BD203" s="139"/>
      <c r="BE203" s="140"/>
      <c r="BF203" s="140"/>
      <c r="BG203" s="140"/>
      <c r="BH203" s="140"/>
      <c r="BI203" s="140"/>
      <c r="BJ203" s="140"/>
      <c r="BK203" s="140"/>
      <c r="BL203" s="140"/>
      <c r="BM203" s="140"/>
      <c r="BN203" s="140"/>
      <c r="BO203" s="140"/>
      <c r="BP203" s="140"/>
      <c r="BQ203" s="140"/>
      <c r="BR203" s="140"/>
      <c r="BS203" s="140">
        <v>50.1</v>
      </c>
      <c r="BT203" s="140"/>
      <c r="BU203" s="140">
        <v>21</v>
      </c>
      <c r="BV203" s="140"/>
      <c r="BW203" s="140">
        <v>11</v>
      </c>
      <c r="BX203" s="140"/>
      <c r="BY203" s="140">
        <v>9.1999999999999993</v>
      </c>
      <c r="BZ203" s="140"/>
      <c r="CA203" s="140"/>
      <c r="CB203" s="140"/>
      <c r="CC203" s="140"/>
      <c r="CD203" s="140"/>
      <c r="CE203" s="140"/>
      <c r="CF203" s="140"/>
      <c r="CG203" s="140"/>
      <c r="CH203" s="140"/>
      <c r="CI203" s="140"/>
      <c r="CJ203" s="140" t="s">
        <v>8140</v>
      </c>
      <c r="CK203" s="140"/>
      <c r="CL203" s="140"/>
      <c r="CM203" s="140"/>
    </row>
    <row r="204" spans="1:91" s="198" customFormat="1">
      <c r="A204" s="158" t="s">
        <v>7618</v>
      </c>
      <c r="B204" s="112" t="s">
        <v>271</v>
      </c>
      <c r="C204" s="112">
        <v>2</v>
      </c>
      <c r="D204">
        <v>3</v>
      </c>
      <c r="E204" s="113">
        <v>21</v>
      </c>
      <c r="F204" s="113">
        <v>11</v>
      </c>
      <c r="G204" s="113"/>
      <c r="H204" s="113"/>
      <c r="I204" s="187">
        <v>30</v>
      </c>
      <c r="J204" s="183">
        <v>41705</v>
      </c>
      <c r="K204" s="142"/>
      <c r="L204" s="157"/>
      <c r="M204" s="184">
        <v>1.64</v>
      </c>
      <c r="N204" s="157">
        <v>41853</v>
      </c>
      <c r="O204" s="141"/>
      <c r="P204" s="157"/>
      <c r="Q204" s="142"/>
      <c r="R204" s="157"/>
      <c r="S204" s="142">
        <v>5.03</v>
      </c>
      <c r="T204" s="157">
        <v>41853</v>
      </c>
      <c r="U204" s="142">
        <v>15.3</v>
      </c>
      <c r="V204" s="157"/>
      <c r="W204" s="142"/>
      <c r="X204" s="157"/>
      <c r="Y204" s="139">
        <f t="shared" si="3"/>
        <v>2.4791200000000004</v>
      </c>
      <c r="Z204" s="157"/>
      <c r="AA204" s="142">
        <v>23.64</v>
      </c>
      <c r="AB204" s="157"/>
      <c r="AC204" s="139"/>
      <c r="AD204" s="157"/>
      <c r="AE204" s="142">
        <v>10.64</v>
      </c>
      <c r="AF204" s="157"/>
      <c r="AG204" s="185">
        <v>4.5</v>
      </c>
      <c r="AH204" s="157"/>
      <c r="AI204" s="185">
        <v>120</v>
      </c>
      <c r="AJ204" s="157">
        <v>41803</v>
      </c>
      <c r="AK204" s="142"/>
      <c r="AL204" s="157"/>
      <c r="AM204" s="142"/>
      <c r="AN204" s="157"/>
      <c r="AO204" s="139">
        <v>94</v>
      </c>
      <c r="AP204" s="157">
        <v>41738</v>
      </c>
      <c r="AQ204" s="139"/>
      <c r="AR204" s="139"/>
      <c r="AS204" s="139">
        <v>125</v>
      </c>
      <c r="AT204" s="157">
        <v>41766</v>
      </c>
      <c r="AU204" s="139"/>
      <c r="AV204" s="139"/>
      <c r="AW204" s="139"/>
      <c r="AX204" s="139"/>
      <c r="AY204" s="139"/>
      <c r="AZ204" s="139"/>
      <c r="BA204" s="139"/>
      <c r="BB204" s="139"/>
      <c r="BC204" s="139"/>
      <c r="BD204" s="139"/>
      <c r="BE204" s="140"/>
      <c r="BF204" s="140"/>
      <c r="BG204" s="140"/>
      <c r="BH204" s="140"/>
      <c r="BI204" s="140"/>
      <c r="BJ204" s="140"/>
      <c r="BK204" s="140"/>
      <c r="BL204" s="140"/>
      <c r="BM204" s="140"/>
      <c r="BN204" s="140"/>
      <c r="BO204" s="140"/>
      <c r="BP204" s="140"/>
      <c r="BQ204" s="140"/>
      <c r="BR204" s="140"/>
      <c r="BS204" s="140">
        <v>47.3</v>
      </c>
      <c r="BT204" s="140"/>
      <c r="BU204" s="140">
        <v>23.3</v>
      </c>
      <c r="BV204" s="140"/>
      <c r="BW204" s="140">
        <v>68.099999999999994</v>
      </c>
      <c r="BX204" s="140"/>
      <c r="BY204" s="140">
        <v>9.6999999999999993</v>
      </c>
      <c r="BZ204" s="140"/>
      <c r="CA204" s="140"/>
      <c r="CB204" s="140"/>
      <c r="CC204" s="140"/>
      <c r="CD204" s="140"/>
      <c r="CE204" s="140"/>
      <c r="CF204" s="140"/>
      <c r="CG204" s="140"/>
      <c r="CH204" s="140"/>
      <c r="CI204" s="140"/>
      <c r="CJ204" s="140" t="s">
        <v>8141</v>
      </c>
      <c r="CK204" s="140"/>
      <c r="CL204" s="140"/>
      <c r="CM204" s="140"/>
    </row>
    <row r="205" spans="1:91" s="198" customFormat="1">
      <c r="A205" s="158" t="s">
        <v>7734</v>
      </c>
      <c r="B205" s="112" t="s">
        <v>271</v>
      </c>
      <c r="C205" s="112">
        <v>2</v>
      </c>
      <c r="D205">
        <v>119</v>
      </c>
      <c r="E205" s="113">
        <v>21</v>
      </c>
      <c r="F205" s="113">
        <v>12</v>
      </c>
      <c r="G205" s="113"/>
      <c r="H205" s="113"/>
      <c r="I205" s="112">
        <v>34</v>
      </c>
      <c r="J205" s="183">
        <v>41705</v>
      </c>
      <c r="K205" s="139"/>
      <c r="L205" s="157"/>
      <c r="M205" s="184">
        <v>4.76</v>
      </c>
      <c r="N205" s="157">
        <v>41853</v>
      </c>
      <c r="O205" s="139"/>
      <c r="P205" s="157"/>
      <c r="Q205" s="139"/>
      <c r="R205" s="157"/>
      <c r="S205" s="139">
        <v>15.63</v>
      </c>
      <c r="T205" s="157">
        <v>41853</v>
      </c>
      <c r="U205" s="139">
        <v>15.3</v>
      </c>
      <c r="V205" s="157"/>
      <c r="W205" s="139"/>
      <c r="X205" s="157"/>
      <c r="Y205" s="139">
        <f t="shared" si="3"/>
        <v>6.3880600000000003</v>
      </c>
      <c r="Z205" s="157"/>
      <c r="AA205" s="139">
        <v>70.48</v>
      </c>
      <c r="AB205" s="157"/>
      <c r="AC205" s="139"/>
      <c r="AD205" s="157"/>
      <c r="AE205" s="139">
        <v>31.01</v>
      </c>
      <c r="AF205" s="157"/>
      <c r="AG205" s="185">
        <v>4.4000000000000004</v>
      </c>
      <c r="AH205" s="157"/>
      <c r="AI205" s="185">
        <v>130</v>
      </c>
      <c r="AJ205" s="157">
        <v>41803</v>
      </c>
      <c r="AK205" s="139"/>
      <c r="AL205" s="157"/>
      <c r="AM205" s="139"/>
      <c r="AN205" s="157"/>
      <c r="AO205" s="139">
        <v>94</v>
      </c>
      <c r="AP205" s="157">
        <v>41738</v>
      </c>
      <c r="AQ205" s="139"/>
      <c r="AR205" s="139"/>
      <c r="AS205" s="139">
        <v>126</v>
      </c>
      <c r="AT205" s="157">
        <v>41766</v>
      </c>
      <c r="AU205" s="139"/>
      <c r="AV205" s="139"/>
      <c r="AW205" s="139"/>
      <c r="AX205" s="139"/>
      <c r="AY205" s="139"/>
      <c r="AZ205" s="139"/>
      <c r="BA205" s="139"/>
      <c r="BB205" s="139"/>
      <c r="BC205" s="139"/>
      <c r="BD205" s="139"/>
      <c r="BE205" s="140"/>
      <c r="BF205" s="140"/>
      <c r="BG205" s="140"/>
      <c r="BH205" s="140"/>
      <c r="BI205" s="140"/>
      <c r="BJ205" s="140"/>
      <c r="BK205" s="140"/>
      <c r="BL205" s="140"/>
      <c r="BM205" s="140"/>
      <c r="BN205" s="140"/>
      <c r="BO205" s="140"/>
      <c r="BP205" s="140"/>
      <c r="BQ205" s="140"/>
      <c r="BR205" s="140"/>
      <c r="BS205" s="140">
        <v>50.4</v>
      </c>
      <c r="BT205" s="140"/>
      <c r="BU205" s="140">
        <v>20.6</v>
      </c>
      <c r="BV205" s="140"/>
      <c r="BW205" s="140">
        <v>15.9</v>
      </c>
      <c r="BX205" s="140"/>
      <c r="BY205" s="140">
        <v>9.3000000000000007</v>
      </c>
      <c r="BZ205" s="140"/>
      <c r="CA205" s="140"/>
      <c r="CB205" s="140"/>
      <c r="CC205" s="140"/>
      <c r="CD205" s="140"/>
      <c r="CE205" s="140"/>
      <c r="CF205" s="140"/>
      <c r="CG205" s="140"/>
      <c r="CH205" s="140"/>
      <c r="CI205" s="140"/>
      <c r="CJ205" s="140" t="s">
        <v>8140</v>
      </c>
      <c r="CK205" s="140"/>
      <c r="CL205" s="140"/>
      <c r="CM205" s="140"/>
    </row>
    <row r="206" spans="1:91">
      <c r="A206" s="158" t="s">
        <v>7642</v>
      </c>
      <c r="B206" s="112" t="s">
        <v>269</v>
      </c>
      <c r="C206" s="112">
        <v>1</v>
      </c>
      <c r="D206">
        <v>27</v>
      </c>
      <c r="E206" s="113">
        <v>22</v>
      </c>
      <c r="F206" s="113">
        <v>1</v>
      </c>
      <c r="I206" s="112">
        <v>35</v>
      </c>
      <c r="J206" s="183">
        <v>41705</v>
      </c>
      <c r="M206" s="184">
        <v>1.1399999999999999</v>
      </c>
      <c r="N206" s="157">
        <v>41853</v>
      </c>
      <c r="S206" s="139">
        <v>3.42</v>
      </c>
      <c r="T206" s="157">
        <v>41853</v>
      </c>
      <c r="U206" s="139">
        <v>15.3</v>
      </c>
      <c r="Y206" s="139">
        <f t="shared" si="3"/>
        <v>1.75143</v>
      </c>
      <c r="AA206" s="139">
        <v>14.78</v>
      </c>
      <c r="AE206" s="139">
        <v>7.39</v>
      </c>
      <c r="AG206" s="185">
        <v>5</v>
      </c>
      <c r="AI206" s="185">
        <v>130</v>
      </c>
      <c r="AJ206" s="157">
        <v>41803</v>
      </c>
      <c r="AO206" s="139">
        <v>97</v>
      </c>
      <c r="AP206" s="157">
        <v>41738</v>
      </c>
      <c r="AS206" s="139">
        <v>126</v>
      </c>
      <c r="AT206" s="157">
        <v>41766</v>
      </c>
      <c r="BS206" s="140">
        <v>46.3</v>
      </c>
      <c r="BU206" s="140">
        <v>23.7</v>
      </c>
      <c r="BW206" s="140">
        <v>60.5</v>
      </c>
      <c r="BY206" s="140">
        <v>9.6999999999999993</v>
      </c>
      <c r="CJ206" s="140" t="s">
        <v>8131</v>
      </c>
    </row>
    <row r="207" spans="1:91">
      <c r="A207" s="158" t="s">
        <v>7722</v>
      </c>
      <c r="B207" s="112" t="s">
        <v>269</v>
      </c>
      <c r="C207" s="112">
        <v>1</v>
      </c>
      <c r="D207">
        <v>107</v>
      </c>
      <c r="E207" s="113">
        <v>22</v>
      </c>
      <c r="F207" s="113">
        <v>2</v>
      </c>
      <c r="I207" s="112">
        <v>50</v>
      </c>
      <c r="J207" s="183">
        <v>41705</v>
      </c>
      <c r="M207" s="184">
        <v>1.89</v>
      </c>
      <c r="N207" s="157">
        <v>41853</v>
      </c>
      <c r="S207" s="139">
        <v>6.53</v>
      </c>
      <c r="T207" s="157">
        <v>41853</v>
      </c>
      <c r="U207" s="139">
        <v>15.3</v>
      </c>
      <c r="Y207" s="139">
        <f t="shared" si="3"/>
        <v>2.2558399999999996</v>
      </c>
      <c r="AA207" s="139">
        <v>27.24</v>
      </c>
      <c r="AE207" s="139">
        <v>12.26</v>
      </c>
      <c r="AG207" s="185">
        <v>4.5</v>
      </c>
      <c r="AI207" s="185">
        <v>120</v>
      </c>
      <c r="AJ207" s="157">
        <v>41803</v>
      </c>
      <c r="AO207" s="139">
        <v>94</v>
      </c>
      <c r="AP207" s="157">
        <v>41738</v>
      </c>
      <c r="AS207" s="139">
        <v>126</v>
      </c>
      <c r="AT207" s="157">
        <v>41766</v>
      </c>
      <c r="BS207" s="140">
        <v>53.3</v>
      </c>
      <c r="BU207" s="140">
        <v>18.399999999999999</v>
      </c>
      <c r="BW207" s="140">
        <v>12.6</v>
      </c>
      <c r="BY207" s="140">
        <v>9.6999999999999993</v>
      </c>
      <c r="CJ207" s="140" t="s">
        <v>8140</v>
      </c>
    </row>
    <row r="208" spans="1:91">
      <c r="A208" s="158" t="s">
        <v>7724</v>
      </c>
      <c r="B208" s="112" t="s">
        <v>269</v>
      </c>
      <c r="C208" s="112">
        <v>1</v>
      </c>
      <c r="D208">
        <v>109</v>
      </c>
      <c r="E208" s="113">
        <v>22</v>
      </c>
      <c r="F208" s="113">
        <v>3</v>
      </c>
      <c r="I208" s="112">
        <v>20</v>
      </c>
      <c r="J208" s="183">
        <v>41705</v>
      </c>
      <c r="M208" s="184">
        <v>1.87</v>
      </c>
      <c r="N208" s="157">
        <v>41853</v>
      </c>
      <c r="S208" s="139">
        <v>6.42</v>
      </c>
      <c r="T208" s="157">
        <v>41853</v>
      </c>
      <c r="U208" s="139">
        <v>15.3</v>
      </c>
      <c r="Y208" s="139">
        <f t="shared" si="3"/>
        <v>2.2561800000000001</v>
      </c>
      <c r="AA208" s="139">
        <v>26.96</v>
      </c>
      <c r="AE208" s="139">
        <v>12.13</v>
      </c>
      <c r="AG208" s="185">
        <v>4.5</v>
      </c>
      <c r="AI208" s="185">
        <v>110</v>
      </c>
      <c r="AJ208" s="157">
        <v>41803</v>
      </c>
      <c r="AO208" s="139">
        <v>92</v>
      </c>
      <c r="AP208" s="157">
        <v>41738</v>
      </c>
      <c r="AS208" s="139">
        <v>126</v>
      </c>
      <c r="AT208" s="157">
        <v>41766</v>
      </c>
      <c r="BS208" s="140">
        <v>52.9</v>
      </c>
      <c r="BU208" s="140">
        <v>18.600000000000001</v>
      </c>
      <c r="BW208" s="140">
        <v>15</v>
      </c>
      <c r="BY208" s="140">
        <v>9.6999999999999993</v>
      </c>
      <c r="CJ208" s="140" t="s">
        <v>8140</v>
      </c>
    </row>
    <row r="209" spans="1:91">
      <c r="A209" s="158" t="s">
        <v>7622</v>
      </c>
      <c r="B209" s="112" t="s">
        <v>269</v>
      </c>
      <c r="C209" s="112">
        <v>1</v>
      </c>
      <c r="D209">
        <v>7</v>
      </c>
      <c r="E209" s="113">
        <v>22</v>
      </c>
      <c r="F209" s="113">
        <v>4</v>
      </c>
      <c r="I209" s="187">
        <v>29</v>
      </c>
      <c r="J209" s="183">
        <v>41705</v>
      </c>
      <c r="K209" s="142"/>
      <c r="M209" s="184">
        <v>1.19</v>
      </c>
      <c r="N209" s="157">
        <v>41853</v>
      </c>
      <c r="O209" s="141"/>
      <c r="Q209" s="142"/>
      <c r="S209" s="142">
        <v>3.69</v>
      </c>
      <c r="T209" s="157">
        <v>41853</v>
      </c>
      <c r="U209" s="142">
        <v>15.3</v>
      </c>
      <c r="W209" s="142"/>
      <c r="Y209" s="139">
        <f t="shared" si="3"/>
        <v>1.74472</v>
      </c>
      <c r="AA209" s="142">
        <v>15.76</v>
      </c>
      <c r="AE209" s="142">
        <v>7.72</v>
      </c>
      <c r="AG209" s="185">
        <v>4.9000000000000004</v>
      </c>
      <c r="AI209" s="185">
        <v>110</v>
      </c>
      <c r="AJ209" s="157">
        <v>41803</v>
      </c>
      <c r="AK209" s="142"/>
      <c r="AM209" s="142"/>
      <c r="AO209" s="139">
        <v>86</v>
      </c>
      <c r="AP209" s="157">
        <v>41738</v>
      </c>
      <c r="AS209" s="139">
        <v>127</v>
      </c>
      <c r="AT209" s="157">
        <v>41766</v>
      </c>
      <c r="BS209" s="140">
        <v>47.8</v>
      </c>
      <c r="BU209" s="140">
        <v>22.6</v>
      </c>
      <c r="BW209" s="140">
        <v>66.7</v>
      </c>
      <c r="BY209" s="140">
        <v>9.6999999999999993</v>
      </c>
      <c r="CJ209" s="140" t="s">
        <v>8140</v>
      </c>
    </row>
    <row r="210" spans="1:91">
      <c r="A210" s="158" t="s">
        <v>7733</v>
      </c>
      <c r="B210" s="112" t="s">
        <v>269</v>
      </c>
      <c r="C210" s="112">
        <v>1</v>
      </c>
      <c r="D210">
        <v>118</v>
      </c>
      <c r="E210" s="113">
        <v>22</v>
      </c>
      <c r="F210" s="113">
        <v>5</v>
      </c>
      <c r="I210" s="112">
        <v>25</v>
      </c>
      <c r="J210" s="183">
        <v>41705</v>
      </c>
      <c r="M210" s="184">
        <v>2.17</v>
      </c>
      <c r="N210" s="157">
        <v>41853</v>
      </c>
      <c r="S210" s="139">
        <v>7.19</v>
      </c>
      <c r="T210" s="157">
        <v>41853</v>
      </c>
      <c r="U210" s="139">
        <v>15.3</v>
      </c>
      <c r="Y210" s="139">
        <f t="shared" si="3"/>
        <v>2.7155100000000001</v>
      </c>
      <c r="AA210" s="139">
        <v>26.55</v>
      </c>
      <c r="AE210" s="139">
        <v>14.07</v>
      </c>
      <c r="AG210" s="185">
        <v>5.3</v>
      </c>
      <c r="AI210" s="185">
        <v>130</v>
      </c>
      <c r="AJ210" s="157">
        <v>41803</v>
      </c>
      <c r="AO210" s="139">
        <v>93</v>
      </c>
      <c r="AP210" s="157">
        <v>41738</v>
      </c>
      <c r="AS210" s="139">
        <v>128</v>
      </c>
      <c r="AT210" s="157">
        <v>41766</v>
      </c>
      <c r="BS210" s="140">
        <v>51.1</v>
      </c>
      <c r="BU210" s="140">
        <v>19.3</v>
      </c>
      <c r="BW210" s="140">
        <v>10.1</v>
      </c>
      <c r="BY210" s="140">
        <v>9.6999999999999993</v>
      </c>
      <c r="CJ210" s="140" t="s">
        <v>8140</v>
      </c>
    </row>
    <row r="211" spans="1:91">
      <c r="A211" s="158" t="s">
        <v>7796</v>
      </c>
      <c r="B211" s="112" t="s">
        <v>269</v>
      </c>
      <c r="C211" s="112">
        <v>1</v>
      </c>
      <c r="D211">
        <v>181</v>
      </c>
      <c r="E211" s="113">
        <v>22</v>
      </c>
      <c r="F211" s="113">
        <v>6</v>
      </c>
      <c r="I211" s="112">
        <v>40</v>
      </c>
      <c r="J211" s="183">
        <v>41705</v>
      </c>
      <c r="M211" s="184">
        <v>3.14</v>
      </c>
      <c r="N211" s="157">
        <v>41853</v>
      </c>
      <c r="S211" s="139">
        <v>10.7</v>
      </c>
      <c r="T211" s="157">
        <v>41853</v>
      </c>
      <c r="U211" s="139">
        <v>15.3</v>
      </c>
      <c r="Y211" s="139">
        <f t="shared" si="3"/>
        <v>3.75176</v>
      </c>
      <c r="AA211" s="139">
        <v>44.33</v>
      </c>
      <c r="AE211" s="139">
        <v>20.39</v>
      </c>
      <c r="AG211" s="185">
        <v>4.5999999999999996</v>
      </c>
      <c r="AI211" s="185">
        <v>110</v>
      </c>
      <c r="AJ211" s="157">
        <v>41803</v>
      </c>
      <c r="AO211" s="139">
        <v>93</v>
      </c>
      <c r="AP211" s="157">
        <v>41738</v>
      </c>
      <c r="AS211" s="139">
        <v>127</v>
      </c>
      <c r="AT211" s="157">
        <v>41766</v>
      </c>
      <c r="BS211" s="140">
        <v>52.5</v>
      </c>
      <c r="BU211" s="140">
        <v>18.399999999999999</v>
      </c>
      <c r="BW211" s="140">
        <v>15.2</v>
      </c>
      <c r="BY211" s="140">
        <v>9.6</v>
      </c>
      <c r="CJ211" s="140" t="s">
        <v>8140</v>
      </c>
    </row>
    <row r="212" spans="1:91">
      <c r="A212" s="188" t="s">
        <v>7752</v>
      </c>
      <c r="B212" s="189" t="s">
        <v>271</v>
      </c>
      <c r="C212" s="189">
        <v>2</v>
      </c>
      <c r="D212" s="190">
        <v>137</v>
      </c>
      <c r="E212" s="191">
        <v>22</v>
      </c>
      <c r="F212" s="191">
        <v>7</v>
      </c>
      <c r="G212" s="191"/>
      <c r="H212" s="191"/>
      <c r="I212" s="189">
        <v>36</v>
      </c>
      <c r="J212" s="193">
        <v>41705</v>
      </c>
      <c r="K212" s="194"/>
      <c r="L212" s="195"/>
      <c r="M212" s="196">
        <v>1</v>
      </c>
      <c r="N212" s="195">
        <v>41853</v>
      </c>
      <c r="O212" s="194"/>
      <c r="P212" s="195"/>
      <c r="Q212" s="194"/>
      <c r="R212" s="195"/>
      <c r="S212" s="194">
        <v>3.08</v>
      </c>
      <c r="T212" s="195">
        <v>41853</v>
      </c>
      <c r="U212" s="194">
        <v>15.3</v>
      </c>
      <c r="V212" s="195"/>
      <c r="W212" s="194"/>
      <c r="X212" s="195"/>
      <c r="Y212" s="139">
        <f t="shared" si="3"/>
        <v>1.6095200000000001</v>
      </c>
      <c r="Z212" s="195"/>
      <c r="AA212" s="194">
        <v>9.83</v>
      </c>
      <c r="AB212" s="195"/>
      <c r="AC212" s="194"/>
      <c r="AD212" s="195"/>
      <c r="AE212" s="194">
        <v>6.49</v>
      </c>
      <c r="AF212" s="195"/>
      <c r="AG212" s="197">
        <v>6.6</v>
      </c>
      <c r="AH212" s="195"/>
      <c r="AI212" s="197">
        <v>100</v>
      </c>
      <c r="AJ212" s="195">
        <v>41803</v>
      </c>
      <c r="AK212" s="194"/>
      <c r="AL212" s="195"/>
      <c r="AM212" s="194"/>
      <c r="AN212" s="195"/>
      <c r="AO212" s="194">
        <v>90</v>
      </c>
      <c r="AP212" s="195">
        <v>41738</v>
      </c>
      <c r="AQ212" s="194"/>
      <c r="AR212" s="194"/>
      <c r="AS212" s="194">
        <v>128</v>
      </c>
      <c r="AT212" s="195">
        <v>41766</v>
      </c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8"/>
      <c r="BF212" s="198"/>
      <c r="BG212" s="198"/>
      <c r="BH212" s="198"/>
      <c r="BI212" s="198"/>
      <c r="BJ212" s="198"/>
      <c r="BK212" s="198"/>
      <c r="BL212" s="198"/>
      <c r="BM212" s="198"/>
      <c r="BN212" s="198"/>
      <c r="BO212" s="198"/>
      <c r="BP212" s="198"/>
      <c r="BQ212" s="198"/>
      <c r="BR212" s="198"/>
      <c r="BS212" s="198">
        <v>47.5</v>
      </c>
      <c r="BT212" s="198"/>
      <c r="BU212" s="198">
        <v>24.8</v>
      </c>
      <c r="BV212" s="198"/>
      <c r="BW212" s="198">
        <v>71.099999999999994</v>
      </c>
      <c r="BX212" s="198"/>
      <c r="BY212" s="198">
        <v>9.6999999999999993</v>
      </c>
      <c r="BZ212" s="198"/>
      <c r="CA212" s="198"/>
      <c r="CB212" s="198"/>
      <c r="CC212" s="198"/>
      <c r="CD212" s="198"/>
      <c r="CE212" s="198"/>
      <c r="CF212" s="198"/>
      <c r="CG212" s="198"/>
      <c r="CH212" s="198"/>
      <c r="CI212" s="198"/>
      <c r="CJ212" s="198" t="s">
        <v>8141</v>
      </c>
      <c r="CK212" s="198"/>
      <c r="CL212" s="198"/>
      <c r="CM212" s="198"/>
    </row>
    <row r="213" spans="1:91">
      <c r="A213" s="158" t="s">
        <v>7646</v>
      </c>
      <c r="B213" s="112" t="s">
        <v>271</v>
      </c>
      <c r="C213" s="112">
        <v>2</v>
      </c>
      <c r="D213">
        <v>31</v>
      </c>
      <c r="E213" s="113">
        <v>22</v>
      </c>
      <c r="F213" s="113">
        <v>8</v>
      </c>
      <c r="I213" s="112">
        <v>66</v>
      </c>
      <c r="J213" s="183">
        <v>41705</v>
      </c>
      <c r="M213" s="184">
        <v>4.24</v>
      </c>
      <c r="N213" s="157">
        <v>41853</v>
      </c>
      <c r="S213" s="139">
        <v>14.86</v>
      </c>
      <c r="T213" s="157">
        <v>41853</v>
      </c>
      <c r="U213" s="139">
        <v>15.3</v>
      </c>
      <c r="Y213" s="139">
        <f t="shared" si="3"/>
        <v>5.8127999999999993</v>
      </c>
      <c r="AA213" s="139">
        <v>56.49</v>
      </c>
      <c r="AE213" s="139">
        <v>27.68</v>
      </c>
      <c r="AG213" s="185">
        <v>4.9000000000000004</v>
      </c>
      <c r="AI213" s="185">
        <v>110</v>
      </c>
      <c r="AJ213" s="157">
        <v>41803</v>
      </c>
      <c r="AO213" s="139">
        <v>94</v>
      </c>
      <c r="AP213" s="157">
        <v>41738</v>
      </c>
      <c r="AS213" s="139">
        <v>127</v>
      </c>
      <c r="AT213" s="157">
        <v>41766</v>
      </c>
      <c r="BS213" s="140">
        <v>53.7</v>
      </c>
      <c r="BU213" s="140">
        <v>21</v>
      </c>
      <c r="BW213" s="140">
        <v>12</v>
      </c>
      <c r="BY213" s="140">
        <v>9.1</v>
      </c>
      <c r="CJ213" s="140" t="s">
        <v>8140</v>
      </c>
    </row>
    <row r="214" spans="1:91">
      <c r="A214" s="158" t="s">
        <v>7781</v>
      </c>
      <c r="B214" s="112" t="s">
        <v>271</v>
      </c>
      <c r="C214" s="112">
        <v>2</v>
      </c>
      <c r="D214">
        <v>166</v>
      </c>
      <c r="E214" s="113">
        <v>22</v>
      </c>
      <c r="F214" s="113">
        <v>9</v>
      </c>
      <c r="I214" s="112">
        <v>54</v>
      </c>
      <c r="J214" s="183">
        <v>41705</v>
      </c>
      <c r="M214" s="184">
        <v>4.12</v>
      </c>
      <c r="N214" s="157">
        <v>41853</v>
      </c>
      <c r="S214" s="139">
        <v>13.33</v>
      </c>
      <c r="T214" s="157">
        <v>41853</v>
      </c>
      <c r="U214" s="139">
        <v>15.3</v>
      </c>
      <c r="Y214" s="139">
        <f t="shared" si="3"/>
        <v>5.4919600000000006</v>
      </c>
      <c r="AA214" s="139">
        <v>53.32</v>
      </c>
      <c r="AE214" s="139">
        <v>26.66</v>
      </c>
      <c r="AG214" s="185">
        <v>5</v>
      </c>
      <c r="AI214" s="185">
        <v>110</v>
      </c>
      <c r="AJ214" s="157">
        <v>41803</v>
      </c>
      <c r="AO214" s="139">
        <v>93</v>
      </c>
      <c r="AP214" s="157">
        <v>41738</v>
      </c>
      <c r="AS214" s="139">
        <v>128</v>
      </c>
      <c r="AT214" s="157">
        <v>41766</v>
      </c>
      <c r="BS214" s="140">
        <v>50</v>
      </c>
      <c r="BU214" s="140">
        <v>20.6</v>
      </c>
      <c r="BW214" s="140">
        <v>12.1</v>
      </c>
      <c r="BY214" s="140">
        <v>9.9</v>
      </c>
      <c r="CJ214" s="140" t="s">
        <v>8140</v>
      </c>
    </row>
    <row r="215" spans="1:91">
      <c r="A215" s="158" t="s">
        <v>7776</v>
      </c>
      <c r="B215" s="112" t="s">
        <v>271</v>
      </c>
      <c r="C215" s="112">
        <v>2</v>
      </c>
      <c r="D215">
        <v>161</v>
      </c>
      <c r="E215" s="113">
        <v>22</v>
      </c>
      <c r="F215" s="113">
        <v>10</v>
      </c>
      <c r="I215" s="112">
        <v>48</v>
      </c>
      <c r="J215" s="183">
        <v>41705</v>
      </c>
      <c r="M215" s="184">
        <v>4.28</v>
      </c>
      <c r="N215" s="157">
        <v>41853</v>
      </c>
      <c r="S215" s="139">
        <v>14.03</v>
      </c>
      <c r="T215" s="157">
        <v>41853</v>
      </c>
      <c r="U215" s="139">
        <v>15.3</v>
      </c>
      <c r="Y215" s="139">
        <f t="shared" si="3"/>
        <v>5.7247400000000006</v>
      </c>
      <c r="AA215" s="139">
        <v>60.41</v>
      </c>
      <c r="AE215" s="139">
        <v>27.79</v>
      </c>
      <c r="AG215" s="185">
        <v>4.5999999999999996</v>
      </c>
      <c r="AI215" s="185">
        <v>110</v>
      </c>
      <c r="AJ215" s="157">
        <v>41803</v>
      </c>
      <c r="AO215" s="139">
        <v>91</v>
      </c>
      <c r="AP215" s="157">
        <v>41738</v>
      </c>
      <c r="AS215" s="139">
        <v>127</v>
      </c>
      <c r="AT215" s="157">
        <v>41766</v>
      </c>
      <c r="BS215" s="140">
        <v>50.5</v>
      </c>
      <c r="BU215" s="140">
        <v>20.6</v>
      </c>
      <c r="BW215" s="140">
        <v>13.5</v>
      </c>
      <c r="BY215" s="140">
        <v>9.6</v>
      </c>
      <c r="CJ215" s="140" t="s">
        <v>8140</v>
      </c>
    </row>
    <row r="216" spans="1:91">
      <c r="A216" s="158" t="s">
        <v>7787</v>
      </c>
      <c r="B216" s="112" t="s">
        <v>271</v>
      </c>
      <c r="C216" s="112">
        <v>2</v>
      </c>
      <c r="D216">
        <v>172</v>
      </c>
      <c r="E216" s="113">
        <v>22</v>
      </c>
      <c r="F216" s="113">
        <v>11</v>
      </c>
      <c r="I216" s="112">
        <v>28</v>
      </c>
      <c r="J216" s="183">
        <v>41705</v>
      </c>
      <c r="M216" s="184">
        <v>3.94</v>
      </c>
      <c r="N216" s="157">
        <v>41853</v>
      </c>
      <c r="S216" s="139">
        <v>12.46</v>
      </c>
      <c r="T216" s="157">
        <v>41853</v>
      </c>
      <c r="U216" s="139">
        <v>15.3</v>
      </c>
      <c r="Y216" s="139">
        <f t="shared" si="3"/>
        <v>5.2591799999999997</v>
      </c>
      <c r="AA216" s="139">
        <v>48.17</v>
      </c>
      <c r="AE216" s="139">
        <v>25.53</v>
      </c>
      <c r="AG216" s="185">
        <v>5.3</v>
      </c>
      <c r="AI216" s="185">
        <v>120</v>
      </c>
      <c r="AJ216" s="157">
        <v>41803</v>
      </c>
      <c r="AO216" s="139">
        <v>94</v>
      </c>
      <c r="AP216" s="157">
        <v>41738</v>
      </c>
      <c r="AS216" s="139">
        <v>127</v>
      </c>
      <c r="AT216" s="157">
        <v>41766</v>
      </c>
      <c r="BS216" s="140">
        <v>48.8</v>
      </c>
      <c r="BU216" s="140">
        <v>20.6</v>
      </c>
      <c r="BW216" s="140">
        <v>14.9</v>
      </c>
      <c r="BY216" s="140">
        <v>9.8000000000000007</v>
      </c>
      <c r="CJ216" s="140" t="s">
        <v>8140</v>
      </c>
    </row>
    <row r="217" spans="1:91">
      <c r="A217" s="158" t="s">
        <v>7810</v>
      </c>
      <c r="B217" s="112" t="s">
        <v>271</v>
      </c>
      <c r="C217" s="112">
        <v>2</v>
      </c>
      <c r="D217">
        <v>195</v>
      </c>
      <c r="E217" s="113">
        <v>22</v>
      </c>
      <c r="F217" s="113">
        <v>12</v>
      </c>
      <c r="I217" s="112">
        <v>42</v>
      </c>
      <c r="J217" s="183">
        <v>41705</v>
      </c>
      <c r="M217" s="184">
        <v>4.38</v>
      </c>
      <c r="N217" s="157">
        <v>41853</v>
      </c>
      <c r="S217" s="139">
        <v>14.1</v>
      </c>
      <c r="T217" s="157">
        <v>41853</v>
      </c>
      <c r="U217" s="139">
        <v>15.3</v>
      </c>
      <c r="Y217" s="139">
        <f t="shared" si="3"/>
        <v>5.4773400000000008</v>
      </c>
      <c r="AA217" s="139">
        <v>59.13</v>
      </c>
      <c r="AE217" s="139">
        <v>28.38</v>
      </c>
      <c r="AG217" s="185">
        <v>4.8</v>
      </c>
      <c r="AI217" s="185">
        <v>125</v>
      </c>
      <c r="AJ217" s="157">
        <v>41803</v>
      </c>
      <c r="AO217" s="139">
        <v>94</v>
      </c>
      <c r="AP217" s="157">
        <v>41738</v>
      </c>
      <c r="AS217" s="139">
        <v>127</v>
      </c>
      <c r="AT217" s="157">
        <v>41766</v>
      </c>
      <c r="BS217" s="140">
        <v>49.7</v>
      </c>
      <c r="BU217" s="140">
        <v>19.3</v>
      </c>
      <c r="BW217" s="140">
        <v>16.899999999999999</v>
      </c>
      <c r="BY217" s="140">
        <v>9.8000000000000007</v>
      </c>
      <c r="CJ217" s="140" t="s">
        <v>8140</v>
      </c>
    </row>
    <row r="218" spans="1:91" s="198" customFormat="1">
      <c r="A218" s="158" t="s">
        <v>7628</v>
      </c>
      <c r="B218" s="112" t="s">
        <v>269</v>
      </c>
      <c r="C218" s="112">
        <v>1</v>
      </c>
      <c r="D218">
        <v>13</v>
      </c>
      <c r="E218" s="113">
        <v>23</v>
      </c>
      <c r="F218" s="113">
        <v>1</v>
      </c>
      <c r="G218" s="113"/>
      <c r="H218" s="113"/>
      <c r="I218" s="187">
        <v>37</v>
      </c>
      <c r="J218" s="183">
        <v>41705</v>
      </c>
      <c r="K218" s="142"/>
      <c r="L218" s="157"/>
      <c r="M218" s="184">
        <v>1.1499999999999999</v>
      </c>
      <c r="N218" s="157">
        <v>41853</v>
      </c>
      <c r="O218" s="141"/>
      <c r="P218" s="157"/>
      <c r="Q218" s="142"/>
      <c r="R218" s="157"/>
      <c r="S218" s="142">
        <v>3.54</v>
      </c>
      <c r="T218" s="157">
        <v>41853</v>
      </c>
      <c r="U218" s="142">
        <v>15.3</v>
      </c>
      <c r="V218" s="157"/>
      <c r="W218" s="142"/>
      <c r="X218" s="157"/>
      <c r="Y218" s="139">
        <f t="shared" si="3"/>
        <v>1.8351600000000001</v>
      </c>
      <c r="Z218" s="157"/>
      <c r="AA218" s="142">
        <v>14.63</v>
      </c>
      <c r="AB218" s="157"/>
      <c r="AC218" s="139"/>
      <c r="AD218" s="157"/>
      <c r="AE218" s="142">
        <v>7.46</v>
      </c>
      <c r="AF218" s="157"/>
      <c r="AG218" s="185">
        <v>5.0999999999999996</v>
      </c>
      <c r="AH218" s="157"/>
      <c r="AI218" s="185">
        <v>135</v>
      </c>
      <c r="AJ218" s="157">
        <v>41803</v>
      </c>
      <c r="AK218" s="142"/>
      <c r="AL218" s="157"/>
      <c r="AM218" s="142"/>
      <c r="AN218" s="157"/>
      <c r="AO218" s="139">
        <v>92</v>
      </c>
      <c r="AP218" s="157">
        <v>41738</v>
      </c>
      <c r="AQ218" s="139"/>
      <c r="AR218" s="139"/>
      <c r="AS218" s="139">
        <v>123</v>
      </c>
      <c r="AT218" s="157">
        <v>41766</v>
      </c>
      <c r="AU218" s="139"/>
      <c r="AV218" s="139"/>
      <c r="AW218" s="139"/>
      <c r="AX218" s="139"/>
      <c r="AY218" s="139"/>
      <c r="AZ218" s="139"/>
      <c r="BA218" s="139"/>
      <c r="BB218" s="139"/>
      <c r="BC218" s="139"/>
      <c r="BD218" s="139"/>
      <c r="BE218" s="140"/>
      <c r="BF218" s="140"/>
      <c r="BG218" s="140"/>
      <c r="BH218" s="140"/>
      <c r="BI218" s="140"/>
      <c r="BJ218" s="140"/>
      <c r="BK218" s="140"/>
      <c r="BL218" s="140"/>
      <c r="BM218" s="140"/>
      <c r="BN218" s="140"/>
      <c r="BO218" s="140"/>
      <c r="BP218" s="140"/>
      <c r="BQ218" s="140"/>
      <c r="BR218" s="140"/>
      <c r="BS218" s="140">
        <v>47.5</v>
      </c>
      <c r="BT218" s="140"/>
      <c r="BU218" s="140">
        <v>24.6</v>
      </c>
      <c r="BV218" s="140"/>
      <c r="BW218" s="140">
        <v>76.3</v>
      </c>
      <c r="BX218" s="140"/>
      <c r="BY218" s="140">
        <v>9.6999999999999993</v>
      </c>
      <c r="BZ218" s="140"/>
      <c r="CA218" s="140"/>
      <c r="CB218" s="140"/>
      <c r="CC218" s="140"/>
      <c r="CD218" s="140"/>
      <c r="CE218" s="140"/>
      <c r="CF218" s="140"/>
      <c r="CG218" s="140"/>
      <c r="CH218" s="140"/>
      <c r="CI218" s="140"/>
      <c r="CJ218" s="140" t="s">
        <v>8140</v>
      </c>
      <c r="CK218" s="140"/>
      <c r="CL218" s="140"/>
      <c r="CM218" s="140"/>
    </row>
    <row r="219" spans="1:91" s="198" customFormat="1">
      <c r="A219" s="158" t="s">
        <v>7723</v>
      </c>
      <c r="B219" s="112" t="s">
        <v>269</v>
      </c>
      <c r="C219" s="112">
        <v>1</v>
      </c>
      <c r="D219">
        <v>108</v>
      </c>
      <c r="E219" s="113">
        <v>23</v>
      </c>
      <c r="F219" s="113">
        <v>2</v>
      </c>
      <c r="G219" s="113"/>
      <c r="H219" s="113"/>
      <c r="I219" s="112">
        <v>18</v>
      </c>
      <c r="J219" s="183">
        <v>41705</v>
      </c>
      <c r="K219" s="139"/>
      <c r="L219" s="157"/>
      <c r="M219" s="184">
        <v>0.31</v>
      </c>
      <c r="N219" s="157">
        <v>41853</v>
      </c>
      <c r="O219" s="139"/>
      <c r="P219" s="157"/>
      <c r="Q219" s="139"/>
      <c r="R219" s="157"/>
      <c r="S219" s="139">
        <v>1.04</v>
      </c>
      <c r="T219" s="157">
        <v>41853</v>
      </c>
      <c r="U219" s="139">
        <v>15.3</v>
      </c>
      <c r="V219" s="157"/>
      <c r="W219" s="139"/>
      <c r="X219" s="157"/>
      <c r="Y219" s="139">
        <f t="shared" si="3"/>
        <v>0.37</v>
      </c>
      <c r="Z219" s="157"/>
      <c r="AA219" s="139">
        <v>4.76</v>
      </c>
      <c r="AB219" s="157"/>
      <c r="AC219" s="139"/>
      <c r="AD219" s="157"/>
      <c r="AE219" s="139">
        <v>2</v>
      </c>
      <c r="AF219" s="157"/>
      <c r="AG219" s="185">
        <v>4.2</v>
      </c>
      <c r="AH219" s="157"/>
      <c r="AI219" s="185">
        <v>120</v>
      </c>
      <c r="AJ219" s="157">
        <v>41803</v>
      </c>
      <c r="AK219" s="139"/>
      <c r="AL219" s="157"/>
      <c r="AM219" s="139"/>
      <c r="AN219" s="157"/>
      <c r="AO219" s="139">
        <v>97</v>
      </c>
      <c r="AP219" s="157">
        <v>41738</v>
      </c>
      <c r="AQ219" s="139"/>
      <c r="AR219" s="139"/>
      <c r="AS219" s="139">
        <v>129</v>
      </c>
      <c r="AT219" s="157">
        <v>41766</v>
      </c>
      <c r="AU219" s="139"/>
      <c r="AV219" s="139"/>
      <c r="AW219" s="139"/>
      <c r="AX219" s="139"/>
      <c r="AY219" s="139"/>
      <c r="AZ219" s="139"/>
      <c r="BA219" s="139"/>
      <c r="BB219" s="139"/>
      <c r="BC219" s="139"/>
      <c r="BD219" s="139"/>
      <c r="BE219" s="140"/>
      <c r="BF219" s="140"/>
      <c r="BG219" s="140"/>
      <c r="BH219" s="140"/>
      <c r="BI219" s="140"/>
      <c r="BJ219" s="140"/>
      <c r="BK219" s="140"/>
      <c r="BL219" s="140"/>
      <c r="BM219" s="140"/>
      <c r="BN219" s="140"/>
      <c r="BO219" s="140"/>
      <c r="BP219" s="140"/>
      <c r="BQ219" s="140"/>
      <c r="BR219" s="140"/>
      <c r="BS219" s="140">
        <v>52</v>
      </c>
      <c r="BT219" s="140"/>
      <c r="BU219" s="140">
        <v>18.5</v>
      </c>
      <c r="BV219" s="140"/>
      <c r="BW219" s="140">
        <v>23.4</v>
      </c>
      <c r="BX219" s="140"/>
      <c r="BY219" s="140">
        <v>10.1</v>
      </c>
      <c r="BZ219" s="140"/>
      <c r="CA219" s="140"/>
      <c r="CB219" s="140"/>
      <c r="CC219" s="140"/>
      <c r="CD219" s="140"/>
      <c r="CE219" s="140"/>
      <c r="CF219" s="140"/>
      <c r="CG219" s="140"/>
      <c r="CH219" s="140"/>
      <c r="CI219" s="140"/>
      <c r="CJ219" s="140" t="s">
        <v>8131</v>
      </c>
      <c r="CK219" s="140"/>
      <c r="CL219" s="140"/>
      <c r="CM219" s="140"/>
    </row>
    <row r="220" spans="1:91" s="198" customFormat="1">
      <c r="A220" s="158" t="s">
        <v>7635</v>
      </c>
      <c r="B220" s="112" t="s">
        <v>269</v>
      </c>
      <c r="C220" s="112">
        <v>1</v>
      </c>
      <c r="D220">
        <v>20</v>
      </c>
      <c r="E220" s="113">
        <v>23</v>
      </c>
      <c r="F220" s="113">
        <v>3</v>
      </c>
      <c r="G220" s="113"/>
      <c r="H220" s="113"/>
      <c r="I220" s="187">
        <v>46</v>
      </c>
      <c r="J220" s="183">
        <v>41705</v>
      </c>
      <c r="K220" s="142"/>
      <c r="L220" s="157"/>
      <c r="M220" s="184">
        <v>0.86</v>
      </c>
      <c r="N220" s="157">
        <v>41853</v>
      </c>
      <c r="O220" s="141"/>
      <c r="P220" s="157"/>
      <c r="Q220" s="142"/>
      <c r="R220" s="157"/>
      <c r="S220" s="142">
        <v>2.68</v>
      </c>
      <c r="T220" s="157">
        <v>41853</v>
      </c>
      <c r="U220" s="142">
        <v>15.3</v>
      </c>
      <c r="V220" s="157"/>
      <c r="W220" s="142"/>
      <c r="X220" s="157"/>
      <c r="Y220" s="139">
        <f t="shared" si="3"/>
        <v>1.2654000000000001</v>
      </c>
      <c r="Z220" s="157"/>
      <c r="AA220" s="142">
        <v>13.88</v>
      </c>
      <c r="AB220" s="157"/>
      <c r="AC220" s="139"/>
      <c r="AD220" s="157"/>
      <c r="AE220" s="142">
        <v>5.55</v>
      </c>
      <c r="AF220" s="157"/>
      <c r="AG220" s="185">
        <v>4</v>
      </c>
      <c r="AH220" s="157"/>
      <c r="AI220" s="185">
        <v>100</v>
      </c>
      <c r="AJ220" s="157">
        <v>41803</v>
      </c>
      <c r="AK220" s="142"/>
      <c r="AL220" s="157"/>
      <c r="AM220" s="142"/>
      <c r="AN220" s="157"/>
      <c r="AO220" s="139">
        <v>86</v>
      </c>
      <c r="AP220" s="157">
        <v>41738</v>
      </c>
      <c r="AQ220" s="139"/>
      <c r="AR220" s="139"/>
      <c r="AS220" s="139">
        <v>123</v>
      </c>
      <c r="AT220" s="157">
        <v>41766</v>
      </c>
      <c r="AU220" s="139"/>
      <c r="AV220" s="139"/>
      <c r="AW220" s="139"/>
      <c r="AX220" s="139"/>
      <c r="AY220" s="139"/>
      <c r="AZ220" s="139"/>
      <c r="BA220" s="139"/>
      <c r="BB220" s="139"/>
      <c r="BC220" s="139"/>
      <c r="BD220" s="139"/>
      <c r="BE220" s="140"/>
      <c r="BF220" s="140"/>
      <c r="BG220" s="140"/>
      <c r="BH220" s="140"/>
      <c r="BI220" s="140"/>
      <c r="BJ220" s="140"/>
      <c r="BK220" s="140"/>
      <c r="BL220" s="140"/>
      <c r="BM220" s="140"/>
      <c r="BN220" s="140"/>
      <c r="BO220" s="140"/>
      <c r="BP220" s="140"/>
      <c r="BQ220" s="140"/>
      <c r="BR220" s="140"/>
      <c r="BS220" s="140">
        <v>48.3</v>
      </c>
      <c r="BT220" s="140"/>
      <c r="BU220" s="140">
        <v>22.8</v>
      </c>
      <c r="BV220" s="140"/>
      <c r="BW220" s="140">
        <v>60.9</v>
      </c>
      <c r="BX220" s="140"/>
      <c r="BY220" s="140">
        <v>10.1</v>
      </c>
      <c r="BZ220" s="140"/>
      <c r="CA220" s="140"/>
      <c r="CB220" s="140"/>
      <c r="CC220" s="140"/>
      <c r="CD220" s="140"/>
      <c r="CE220" s="140"/>
      <c r="CF220" s="140"/>
      <c r="CG220" s="140"/>
      <c r="CH220" s="140"/>
      <c r="CI220" s="140"/>
      <c r="CJ220" s="140" t="s">
        <v>8142</v>
      </c>
      <c r="CK220" s="140"/>
      <c r="CL220" s="140"/>
      <c r="CM220" s="140"/>
    </row>
    <row r="221" spans="1:91" s="198" customFormat="1">
      <c r="A221" s="158" t="s">
        <v>7819</v>
      </c>
      <c r="B221" s="112" t="s">
        <v>269</v>
      </c>
      <c r="C221" s="112">
        <v>1</v>
      </c>
      <c r="D221">
        <v>204</v>
      </c>
      <c r="E221" s="113">
        <v>23</v>
      </c>
      <c r="F221" s="113">
        <v>4</v>
      </c>
      <c r="G221" s="113"/>
      <c r="H221" s="113"/>
      <c r="I221" s="112">
        <v>32</v>
      </c>
      <c r="J221" s="183">
        <v>41705</v>
      </c>
      <c r="K221" s="139"/>
      <c r="L221" s="157"/>
      <c r="M221" s="184">
        <v>2.63</v>
      </c>
      <c r="N221" s="157">
        <v>41853</v>
      </c>
      <c r="O221" s="139"/>
      <c r="P221" s="157"/>
      <c r="Q221" s="139"/>
      <c r="R221" s="157"/>
      <c r="S221" s="139">
        <v>8.93</v>
      </c>
      <c r="T221" s="157">
        <v>41853</v>
      </c>
      <c r="U221" s="139">
        <v>15.3</v>
      </c>
      <c r="V221" s="157"/>
      <c r="W221" s="139"/>
      <c r="X221" s="157"/>
      <c r="Y221" s="139">
        <f t="shared" si="3"/>
        <v>2.9715000000000003</v>
      </c>
      <c r="Z221" s="157"/>
      <c r="AA221" s="139">
        <v>39.49</v>
      </c>
      <c r="AB221" s="157"/>
      <c r="AC221" s="139"/>
      <c r="AD221" s="157"/>
      <c r="AE221" s="139">
        <v>16.98</v>
      </c>
      <c r="AF221" s="157"/>
      <c r="AG221" s="185">
        <v>4.3</v>
      </c>
      <c r="AH221" s="157"/>
      <c r="AI221" s="185">
        <v>120</v>
      </c>
      <c r="AJ221" s="157">
        <v>41803</v>
      </c>
      <c r="AK221" s="139"/>
      <c r="AL221" s="157"/>
      <c r="AM221" s="139"/>
      <c r="AN221" s="157"/>
      <c r="AO221" s="139">
        <v>97</v>
      </c>
      <c r="AP221" s="157">
        <v>41738</v>
      </c>
      <c r="AQ221" s="139"/>
      <c r="AR221" s="139"/>
      <c r="AS221" s="139">
        <v>128</v>
      </c>
      <c r="AT221" s="157">
        <v>41766</v>
      </c>
      <c r="AU221" s="139"/>
      <c r="AV221" s="139"/>
      <c r="AW221" s="139"/>
      <c r="AX221" s="139"/>
      <c r="AY221" s="139"/>
      <c r="AZ221" s="139"/>
      <c r="BA221" s="139"/>
      <c r="BB221" s="139"/>
      <c r="BC221" s="139"/>
      <c r="BD221" s="139"/>
      <c r="BE221" s="140"/>
      <c r="BF221" s="140"/>
      <c r="BG221" s="140"/>
      <c r="BH221" s="140"/>
      <c r="BI221" s="140"/>
      <c r="BJ221" s="140"/>
      <c r="BK221" s="140"/>
      <c r="BL221" s="140"/>
      <c r="BM221" s="140"/>
      <c r="BN221" s="140"/>
      <c r="BO221" s="140"/>
      <c r="BP221" s="140"/>
      <c r="BQ221" s="140"/>
      <c r="BR221" s="140"/>
      <c r="BS221" s="140">
        <v>52.6</v>
      </c>
      <c r="BT221" s="140"/>
      <c r="BU221" s="140">
        <v>17.5</v>
      </c>
      <c r="BV221" s="140"/>
      <c r="BW221" s="140">
        <v>10</v>
      </c>
      <c r="BX221" s="140"/>
      <c r="BY221" s="140">
        <v>10.1</v>
      </c>
      <c r="BZ221" s="140"/>
      <c r="CA221" s="140"/>
      <c r="CB221" s="140"/>
      <c r="CC221" s="140"/>
      <c r="CD221" s="140"/>
      <c r="CE221" s="140"/>
      <c r="CF221" s="140"/>
      <c r="CG221" s="140"/>
      <c r="CH221" s="140"/>
      <c r="CI221" s="140"/>
      <c r="CJ221" s="140" t="s">
        <v>8131</v>
      </c>
      <c r="CK221" s="140"/>
      <c r="CL221" s="140"/>
      <c r="CM221" s="140"/>
    </row>
    <row r="222" spans="1:91">
      <c r="A222" s="158" t="s">
        <v>7620</v>
      </c>
      <c r="B222" s="112" t="s">
        <v>269</v>
      </c>
      <c r="C222" s="112">
        <v>1</v>
      </c>
      <c r="D222">
        <v>5</v>
      </c>
      <c r="E222" s="113">
        <v>23</v>
      </c>
      <c r="F222" s="113">
        <v>5</v>
      </c>
      <c r="I222" s="187">
        <v>31</v>
      </c>
      <c r="J222" s="183">
        <v>41705</v>
      </c>
      <c r="K222" s="142"/>
      <c r="M222" s="184">
        <v>1.44</v>
      </c>
      <c r="N222" s="157">
        <v>41853</v>
      </c>
      <c r="O222" s="141"/>
      <c r="Q222" s="142"/>
      <c r="S222" s="142"/>
      <c r="T222" s="157">
        <v>41853</v>
      </c>
      <c r="U222" s="142">
        <v>15.3</v>
      </c>
      <c r="W222" s="142"/>
      <c r="Y222" s="139">
        <f t="shared" si="3"/>
        <v>0</v>
      </c>
      <c r="AA222" s="142"/>
      <c r="AE222" s="142">
        <v>9.3000000000000007</v>
      </c>
      <c r="AG222" s="185"/>
      <c r="AI222" s="185">
        <v>120</v>
      </c>
      <c r="AJ222" s="157">
        <v>41803</v>
      </c>
      <c r="AK222" s="142"/>
      <c r="AM222" s="142"/>
      <c r="AO222" s="139">
        <v>96</v>
      </c>
      <c r="AP222" s="157">
        <v>41738</v>
      </c>
      <c r="AS222" s="139">
        <v>126</v>
      </c>
      <c r="AT222" s="157">
        <v>41766</v>
      </c>
      <c r="BY222" s="140">
        <v>10.1</v>
      </c>
      <c r="CJ222" s="140" t="s">
        <v>8131</v>
      </c>
    </row>
    <row r="223" spans="1:91">
      <c r="A223" s="158" t="s">
        <v>7713</v>
      </c>
      <c r="B223" s="112" t="s">
        <v>269</v>
      </c>
      <c r="C223" s="112">
        <v>1</v>
      </c>
      <c r="D223">
        <v>98</v>
      </c>
      <c r="E223" s="113">
        <v>23</v>
      </c>
      <c r="F223" s="113">
        <v>6</v>
      </c>
      <c r="I223" s="112">
        <v>37</v>
      </c>
      <c r="J223" s="183">
        <v>41705</v>
      </c>
      <c r="M223" s="184">
        <v>2.2599999999999998</v>
      </c>
      <c r="N223" s="157">
        <v>41853</v>
      </c>
      <c r="S223" s="139">
        <v>7.41</v>
      </c>
      <c r="T223" s="157">
        <v>41853</v>
      </c>
      <c r="U223" s="139">
        <v>15.3</v>
      </c>
      <c r="Y223" s="139">
        <f t="shared" si="3"/>
        <v>2.8012799999999998</v>
      </c>
      <c r="AA223" s="139">
        <v>31.04</v>
      </c>
      <c r="AE223" s="139">
        <v>14.59</v>
      </c>
      <c r="AG223" s="185">
        <v>4.7</v>
      </c>
      <c r="AI223" s="185">
        <v>110</v>
      </c>
      <c r="AJ223" s="157">
        <v>41803</v>
      </c>
      <c r="AO223" s="139">
        <v>95</v>
      </c>
      <c r="AP223" s="157">
        <v>41738</v>
      </c>
      <c r="AS223" s="139">
        <v>126</v>
      </c>
      <c r="AT223" s="157">
        <v>41766</v>
      </c>
      <c r="BS223" s="140">
        <v>50.8</v>
      </c>
      <c r="BU223" s="140">
        <v>19.2</v>
      </c>
      <c r="BW223" s="140">
        <v>12.6</v>
      </c>
      <c r="BY223" s="140">
        <v>10.1</v>
      </c>
      <c r="CJ223" s="140" t="s">
        <v>8140</v>
      </c>
    </row>
    <row r="224" spans="1:91">
      <c r="A224" s="158" t="s">
        <v>7698</v>
      </c>
      <c r="B224" s="112" t="s">
        <v>271</v>
      </c>
      <c r="C224" s="112">
        <v>2</v>
      </c>
      <c r="D224">
        <v>83</v>
      </c>
      <c r="E224" s="113">
        <v>23</v>
      </c>
      <c r="F224" s="113">
        <v>7</v>
      </c>
      <c r="I224" s="112">
        <v>63</v>
      </c>
      <c r="J224" s="183">
        <v>41705</v>
      </c>
      <c r="M224" s="184">
        <v>3.27</v>
      </c>
      <c r="N224" s="157">
        <v>41853</v>
      </c>
      <c r="S224" s="139">
        <v>10.55</v>
      </c>
      <c r="T224" s="157">
        <v>41853</v>
      </c>
      <c r="U224" s="139">
        <v>15.3</v>
      </c>
      <c r="Y224" s="139">
        <f t="shared" si="3"/>
        <v>4.4901599999999995</v>
      </c>
      <c r="AA224" s="139">
        <v>54.31</v>
      </c>
      <c r="AE224" s="139">
        <v>21.18</v>
      </c>
      <c r="AG224" s="185">
        <v>3.9</v>
      </c>
      <c r="AI224" s="185">
        <v>105</v>
      </c>
      <c r="AJ224" s="157">
        <v>41803</v>
      </c>
      <c r="AO224" s="139">
        <v>93</v>
      </c>
      <c r="AP224" s="157">
        <v>41738</v>
      </c>
      <c r="AS224" s="139">
        <v>127</v>
      </c>
      <c r="AT224" s="157">
        <v>41766</v>
      </c>
      <c r="BS224" s="140">
        <v>49.8</v>
      </c>
      <c r="BU224" s="140">
        <v>21.2</v>
      </c>
      <c r="BW224" s="140">
        <v>15.1</v>
      </c>
      <c r="BY224" s="140">
        <v>9.8000000000000007</v>
      </c>
      <c r="CJ224" s="140" t="s">
        <v>8140</v>
      </c>
    </row>
    <row r="225" spans="1:91">
      <c r="A225" s="158" t="s">
        <v>7684</v>
      </c>
      <c r="B225" s="112" t="s">
        <v>271</v>
      </c>
      <c r="C225" s="112">
        <v>2</v>
      </c>
      <c r="D225">
        <v>69</v>
      </c>
      <c r="E225" s="113">
        <v>23</v>
      </c>
      <c r="F225" s="113">
        <v>8</v>
      </c>
      <c r="I225" s="112">
        <v>31</v>
      </c>
      <c r="J225" s="183">
        <v>41705</v>
      </c>
      <c r="M225" s="184">
        <v>2.96</v>
      </c>
      <c r="N225" s="157">
        <v>41853</v>
      </c>
      <c r="S225" s="139">
        <v>9.57</v>
      </c>
      <c r="T225" s="157">
        <v>41853</v>
      </c>
      <c r="U225" s="139">
        <v>15.3</v>
      </c>
      <c r="Y225" s="139">
        <f t="shared" si="3"/>
        <v>3.9284200000000005</v>
      </c>
      <c r="AA225" s="139">
        <v>36.67</v>
      </c>
      <c r="AE225" s="139">
        <v>19.07</v>
      </c>
      <c r="AG225" s="185">
        <v>5.2</v>
      </c>
      <c r="AI225" s="185">
        <v>110</v>
      </c>
      <c r="AJ225" s="157">
        <v>41803</v>
      </c>
      <c r="AO225" s="139">
        <v>95</v>
      </c>
      <c r="AP225" s="157">
        <v>41738</v>
      </c>
      <c r="AS225" s="139">
        <v>128</v>
      </c>
      <c r="AT225" s="157">
        <v>41766</v>
      </c>
      <c r="BS225" s="140">
        <v>50.2</v>
      </c>
      <c r="BU225" s="140">
        <v>20.6</v>
      </c>
      <c r="BW225" s="140">
        <v>17.100000000000001</v>
      </c>
      <c r="BY225" s="140">
        <v>10.3</v>
      </c>
      <c r="CJ225" s="140" t="s">
        <v>8144</v>
      </c>
    </row>
    <row r="226" spans="1:91">
      <c r="A226" s="158" t="s">
        <v>7721</v>
      </c>
      <c r="B226" s="112" t="s">
        <v>271</v>
      </c>
      <c r="C226" s="112">
        <v>2</v>
      </c>
      <c r="D226">
        <v>106</v>
      </c>
      <c r="E226" s="113">
        <v>23</v>
      </c>
      <c r="F226" s="113">
        <v>9</v>
      </c>
      <c r="I226" s="112">
        <v>25</v>
      </c>
      <c r="J226" s="183">
        <v>41705</v>
      </c>
      <c r="M226" s="184">
        <v>3.44</v>
      </c>
      <c r="N226" s="157">
        <v>41853</v>
      </c>
      <c r="S226" s="139">
        <v>10.65</v>
      </c>
      <c r="T226" s="157">
        <v>41853</v>
      </c>
      <c r="U226" s="139">
        <v>15.3</v>
      </c>
      <c r="Y226" s="139">
        <f t="shared" si="3"/>
        <v>4.6259199999999998</v>
      </c>
      <c r="AA226" s="139">
        <v>51.72</v>
      </c>
      <c r="AE226" s="139">
        <v>22.24</v>
      </c>
      <c r="AG226" s="185">
        <v>4.3</v>
      </c>
      <c r="AI226" s="185">
        <v>120</v>
      </c>
      <c r="AJ226" s="157">
        <v>41803</v>
      </c>
      <c r="AO226" s="139">
        <v>94</v>
      </c>
      <c r="AP226" s="157">
        <v>41738</v>
      </c>
      <c r="AS226" s="139">
        <v>128</v>
      </c>
      <c r="AT226" s="157">
        <v>41766</v>
      </c>
      <c r="BS226" s="140">
        <v>47.9</v>
      </c>
      <c r="BU226" s="140">
        <v>20.8</v>
      </c>
      <c r="BW226" s="140">
        <v>18</v>
      </c>
      <c r="BY226" s="140">
        <v>10</v>
      </c>
      <c r="CJ226" s="140" t="s">
        <v>8140</v>
      </c>
    </row>
    <row r="227" spans="1:91">
      <c r="A227" s="158" t="s">
        <v>7675</v>
      </c>
      <c r="B227" s="112" t="s">
        <v>271</v>
      </c>
      <c r="C227" s="112">
        <v>2</v>
      </c>
      <c r="D227">
        <v>60</v>
      </c>
      <c r="E227" s="113">
        <v>23</v>
      </c>
      <c r="F227" s="113">
        <v>10</v>
      </c>
      <c r="I227" s="112">
        <v>50</v>
      </c>
      <c r="J227" s="183">
        <v>41705</v>
      </c>
      <c r="M227" s="184">
        <v>3.86</v>
      </c>
      <c r="N227" s="157">
        <v>41853</v>
      </c>
      <c r="S227" s="139">
        <v>12.9</v>
      </c>
      <c r="T227" s="157">
        <v>41853</v>
      </c>
      <c r="U227" s="139">
        <v>15.3</v>
      </c>
      <c r="Y227" s="139">
        <f t="shared" si="3"/>
        <v>4.9643999999999995</v>
      </c>
      <c r="AA227" s="139">
        <v>61.46</v>
      </c>
      <c r="AE227" s="139">
        <v>25.2</v>
      </c>
      <c r="AG227" s="185">
        <v>4.0999999999999996</v>
      </c>
      <c r="AI227" s="185">
        <v>115</v>
      </c>
      <c r="AJ227" s="157">
        <v>41803</v>
      </c>
      <c r="AO227" s="139">
        <v>93</v>
      </c>
      <c r="AP227" s="157">
        <v>41738</v>
      </c>
      <c r="AS227" s="139">
        <v>127</v>
      </c>
      <c r="AT227" s="157">
        <v>41766</v>
      </c>
      <c r="BS227" s="140">
        <v>51.2</v>
      </c>
      <c r="BU227" s="140">
        <v>19.7</v>
      </c>
      <c r="BW227" s="140">
        <v>13.3</v>
      </c>
      <c r="BY227" s="140">
        <v>9.1</v>
      </c>
      <c r="CJ227" s="140" t="s">
        <v>8140</v>
      </c>
    </row>
    <row r="228" spans="1:91">
      <c r="A228" s="188" t="s">
        <v>7657</v>
      </c>
      <c r="B228" s="189" t="s">
        <v>271</v>
      </c>
      <c r="C228" s="189">
        <v>2</v>
      </c>
      <c r="D228" s="190">
        <v>42</v>
      </c>
      <c r="E228" s="191">
        <v>23</v>
      </c>
      <c r="F228" s="191">
        <v>11</v>
      </c>
      <c r="G228" s="191"/>
      <c r="H228" s="191"/>
      <c r="I228" s="189">
        <v>42</v>
      </c>
      <c r="J228" s="193">
        <v>41705</v>
      </c>
      <c r="K228" s="194"/>
      <c r="L228" s="195"/>
      <c r="M228" s="196">
        <v>0.74</v>
      </c>
      <c r="N228" s="195">
        <v>41853</v>
      </c>
      <c r="O228" s="194"/>
      <c r="P228" s="195"/>
      <c r="Q228" s="194"/>
      <c r="R228" s="195"/>
      <c r="S228" s="194">
        <v>2.23</v>
      </c>
      <c r="T228" s="195">
        <v>41853</v>
      </c>
      <c r="U228" s="194">
        <v>15.3</v>
      </c>
      <c r="V228" s="195"/>
      <c r="W228" s="194"/>
      <c r="X228" s="195"/>
      <c r="Y228" s="139">
        <f t="shared" si="3"/>
        <v>1.17588</v>
      </c>
      <c r="Z228" s="195"/>
      <c r="AA228" s="194">
        <v>8.85</v>
      </c>
      <c r="AB228" s="195"/>
      <c r="AC228" s="194"/>
      <c r="AD228" s="195"/>
      <c r="AE228" s="194">
        <v>4.78</v>
      </c>
      <c r="AF228" s="195"/>
      <c r="AG228" s="197">
        <v>5.4</v>
      </c>
      <c r="AH228" s="195"/>
      <c r="AI228" s="197">
        <v>110</v>
      </c>
      <c r="AJ228" s="195">
        <v>41803</v>
      </c>
      <c r="AK228" s="194"/>
      <c r="AL228" s="195"/>
      <c r="AM228" s="194"/>
      <c r="AN228" s="195"/>
      <c r="AO228" s="194">
        <v>94</v>
      </c>
      <c r="AP228" s="195">
        <v>41738</v>
      </c>
      <c r="AQ228" s="194"/>
      <c r="AR228" s="194"/>
      <c r="AS228" s="194">
        <v>128</v>
      </c>
      <c r="AT228" s="195">
        <v>41766</v>
      </c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8"/>
      <c r="BF228" s="198"/>
      <c r="BG228" s="198"/>
      <c r="BH228" s="198"/>
      <c r="BI228" s="198"/>
      <c r="BJ228" s="198"/>
      <c r="BK228" s="198"/>
      <c r="BL228" s="198"/>
      <c r="BM228" s="198"/>
      <c r="BN228" s="198"/>
      <c r="BO228" s="198"/>
      <c r="BP228" s="198"/>
      <c r="BQ228" s="198"/>
      <c r="BR228" s="198"/>
      <c r="BS228" s="198">
        <v>46.7</v>
      </c>
      <c r="BT228" s="198"/>
      <c r="BU228" s="198">
        <v>24.6</v>
      </c>
      <c r="BV228" s="198"/>
      <c r="BW228" s="198">
        <v>71.2</v>
      </c>
      <c r="BX228" s="198"/>
      <c r="BY228" s="198">
        <v>10.1</v>
      </c>
      <c r="BZ228" s="198"/>
      <c r="CA228" s="198"/>
      <c r="CB228" s="198"/>
      <c r="CC228" s="198"/>
      <c r="CD228" s="198"/>
      <c r="CE228" s="198"/>
      <c r="CF228" s="198"/>
      <c r="CG228" s="198"/>
      <c r="CH228" s="198"/>
      <c r="CI228" s="198"/>
      <c r="CJ228" s="198" t="s">
        <v>8141</v>
      </c>
      <c r="CK228" s="198"/>
      <c r="CL228" s="198"/>
      <c r="CM228" s="198"/>
    </row>
    <row r="229" spans="1:91">
      <c r="A229" s="158" t="s">
        <v>7660</v>
      </c>
      <c r="B229" s="112" t="s">
        <v>271</v>
      </c>
      <c r="C229" s="112">
        <v>2</v>
      </c>
      <c r="D229">
        <v>45</v>
      </c>
      <c r="E229" s="113">
        <v>23</v>
      </c>
      <c r="F229" s="113">
        <v>12</v>
      </c>
      <c r="I229" s="112">
        <v>60</v>
      </c>
      <c r="J229" s="183">
        <v>41705</v>
      </c>
      <c r="M229" s="184">
        <v>2.4</v>
      </c>
      <c r="N229" s="157">
        <v>41853</v>
      </c>
      <c r="S229" s="139">
        <v>7.45</v>
      </c>
      <c r="T229" s="157">
        <v>41853</v>
      </c>
      <c r="U229" s="139">
        <v>15.3</v>
      </c>
      <c r="Y229" s="139">
        <f t="shared" si="3"/>
        <v>3.4676399999999994</v>
      </c>
      <c r="AA229" s="139">
        <v>39.049999999999997</v>
      </c>
      <c r="AE229" s="139">
        <v>15.62</v>
      </c>
      <c r="AG229" s="185">
        <v>4</v>
      </c>
      <c r="AI229" s="185">
        <v>110</v>
      </c>
      <c r="AJ229" s="157">
        <v>41803</v>
      </c>
      <c r="AO229" s="139">
        <v>92</v>
      </c>
      <c r="AP229" s="157">
        <v>41738</v>
      </c>
      <c r="AS229" s="139">
        <v>127</v>
      </c>
      <c r="AT229" s="157">
        <v>41766</v>
      </c>
      <c r="BS229" s="140">
        <v>47.7</v>
      </c>
      <c r="BU229" s="140">
        <v>22.2</v>
      </c>
      <c r="BW229" s="140">
        <v>58.6</v>
      </c>
      <c r="BY229" s="140">
        <v>9.4</v>
      </c>
      <c r="CJ229" s="140" t="s">
        <v>8139</v>
      </c>
    </row>
    <row r="230" spans="1:91">
      <c r="A230" s="158" t="s">
        <v>7738</v>
      </c>
      <c r="B230" s="112" t="s">
        <v>269</v>
      </c>
      <c r="C230" s="112">
        <v>1</v>
      </c>
      <c r="D230">
        <v>123</v>
      </c>
      <c r="E230" s="113">
        <v>24</v>
      </c>
      <c r="F230" s="113">
        <v>1</v>
      </c>
      <c r="I230" s="112">
        <v>28</v>
      </c>
      <c r="J230" s="183">
        <v>41705</v>
      </c>
      <c r="M230" s="184">
        <v>1.44</v>
      </c>
      <c r="N230" s="157">
        <v>41853</v>
      </c>
      <c r="S230" s="139">
        <v>4.76</v>
      </c>
      <c r="T230" s="157">
        <v>41853</v>
      </c>
      <c r="U230" s="139">
        <v>15.3</v>
      </c>
      <c r="Y230" s="139">
        <f t="shared" si="3"/>
        <v>1.9424999999999999</v>
      </c>
      <c r="AA230" s="139">
        <v>19.27</v>
      </c>
      <c r="AE230" s="139">
        <v>9.25</v>
      </c>
      <c r="AG230" s="185">
        <v>4.8</v>
      </c>
      <c r="AI230" s="185">
        <v>125</v>
      </c>
      <c r="AJ230" s="157">
        <v>41803</v>
      </c>
      <c r="AO230" s="139">
        <v>92</v>
      </c>
      <c r="AP230" s="157">
        <v>41738</v>
      </c>
      <c r="AS230" s="139">
        <v>126</v>
      </c>
      <c r="AT230" s="157">
        <v>41766</v>
      </c>
      <c r="BS230" s="140">
        <v>51.5</v>
      </c>
      <c r="BU230" s="140">
        <v>21</v>
      </c>
      <c r="BW230" s="140">
        <v>17.5</v>
      </c>
      <c r="BY230" s="140">
        <v>10.6</v>
      </c>
      <c r="CJ230" s="140" t="s">
        <v>8140</v>
      </c>
    </row>
    <row r="231" spans="1:91">
      <c r="A231" s="158" t="s">
        <v>7679</v>
      </c>
      <c r="B231" s="112" t="s">
        <v>269</v>
      </c>
      <c r="C231" s="112">
        <v>1</v>
      </c>
      <c r="D231">
        <v>64</v>
      </c>
      <c r="E231" s="113">
        <v>24</v>
      </c>
      <c r="F231" s="113">
        <v>2</v>
      </c>
      <c r="I231" s="112">
        <v>27</v>
      </c>
      <c r="J231" s="183">
        <v>41705</v>
      </c>
      <c r="M231" s="184">
        <v>0.92</v>
      </c>
      <c r="N231" s="157">
        <v>41853</v>
      </c>
      <c r="S231" s="139">
        <v>2.89</v>
      </c>
      <c r="T231" s="157">
        <v>41853</v>
      </c>
      <c r="U231" s="139">
        <v>15.3</v>
      </c>
      <c r="Y231" s="139">
        <f t="shared" si="3"/>
        <v>1.23519</v>
      </c>
      <c r="AA231" s="139">
        <v>12.31</v>
      </c>
      <c r="AE231" s="139">
        <v>5.91</v>
      </c>
      <c r="AG231" s="185">
        <v>4.8</v>
      </c>
      <c r="AI231" s="185">
        <v>115</v>
      </c>
      <c r="AJ231" s="157">
        <v>41803</v>
      </c>
      <c r="AO231" s="139">
        <v>90</v>
      </c>
      <c r="AP231" s="157">
        <v>41738</v>
      </c>
      <c r="AS231" s="139">
        <v>128</v>
      </c>
      <c r="AT231" s="157">
        <v>41766</v>
      </c>
      <c r="BS231" s="140">
        <v>48.9</v>
      </c>
      <c r="BU231" s="140">
        <v>20.9</v>
      </c>
      <c r="BW231" s="140">
        <v>29.5</v>
      </c>
      <c r="BY231" s="140">
        <v>10.6</v>
      </c>
      <c r="CJ231" s="140" t="s">
        <v>8140</v>
      </c>
    </row>
    <row r="232" spans="1:91">
      <c r="A232" s="158" t="s">
        <v>7782</v>
      </c>
      <c r="B232" s="112" t="s">
        <v>269</v>
      </c>
      <c r="C232" s="112">
        <v>1</v>
      </c>
      <c r="D232">
        <v>167</v>
      </c>
      <c r="E232" s="113">
        <v>24</v>
      </c>
      <c r="F232" s="113">
        <v>3</v>
      </c>
      <c r="I232" s="112">
        <v>35</v>
      </c>
      <c r="J232" s="183">
        <v>41705</v>
      </c>
      <c r="M232" s="184">
        <v>2.13</v>
      </c>
      <c r="N232" s="157">
        <v>41853</v>
      </c>
      <c r="S232" s="139">
        <v>7.29</v>
      </c>
      <c r="T232" s="157">
        <v>41853</v>
      </c>
      <c r="U232" s="139">
        <v>15.3</v>
      </c>
      <c r="Y232" s="139">
        <f t="shared" si="3"/>
        <v>2.4487199999999998</v>
      </c>
      <c r="AA232" s="139">
        <v>27.92</v>
      </c>
      <c r="AE232" s="139">
        <v>13.68</v>
      </c>
      <c r="AG232" s="185">
        <v>4.9000000000000004</v>
      </c>
      <c r="AI232" s="185">
        <v>115</v>
      </c>
      <c r="AJ232" s="157">
        <v>41803</v>
      </c>
      <c r="AO232" s="139">
        <v>94</v>
      </c>
      <c r="AP232" s="157">
        <v>41738</v>
      </c>
      <c r="AS232" s="139">
        <v>126</v>
      </c>
      <c r="AT232" s="157">
        <v>41766</v>
      </c>
      <c r="BS232" s="140">
        <v>53.3</v>
      </c>
      <c r="BU232" s="140">
        <v>17.899999999999999</v>
      </c>
      <c r="BW232" s="140">
        <v>13.1</v>
      </c>
      <c r="BY232" s="140">
        <v>10.6</v>
      </c>
      <c r="CJ232" s="140" t="s">
        <v>8140</v>
      </c>
    </row>
    <row r="233" spans="1:91">
      <c r="A233" s="158" t="s">
        <v>7686</v>
      </c>
      <c r="B233" s="112" t="s">
        <v>269</v>
      </c>
      <c r="C233" s="112">
        <v>1</v>
      </c>
      <c r="D233">
        <v>71</v>
      </c>
      <c r="E233" s="113">
        <v>24</v>
      </c>
      <c r="F233" s="113">
        <v>4</v>
      </c>
      <c r="I233" s="112">
        <v>31</v>
      </c>
      <c r="J233" s="183">
        <v>41705</v>
      </c>
      <c r="M233" s="184">
        <v>1.68</v>
      </c>
      <c r="N233" s="157">
        <v>41853</v>
      </c>
      <c r="S233" s="139">
        <v>5.65</v>
      </c>
      <c r="T233" s="157">
        <v>41853</v>
      </c>
      <c r="U233" s="139">
        <v>15.3</v>
      </c>
      <c r="Y233" s="139">
        <f t="shared" si="3"/>
        <v>1.9098299999999997</v>
      </c>
      <c r="AA233" s="139">
        <v>25.69</v>
      </c>
      <c r="AE233" s="139">
        <v>10.79</v>
      </c>
      <c r="AG233" s="185">
        <v>4.2</v>
      </c>
      <c r="AI233" s="185">
        <v>110</v>
      </c>
      <c r="AJ233" s="157">
        <v>41803</v>
      </c>
      <c r="AO233" s="139">
        <v>96</v>
      </c>
      <c r="AP233" s="157">
        <v>41738</v>
      </c>
      <c r="AS233" s="139">
        <v>127</v>
      </c>
      <c r="AT233" s="157">
        <v>41766</v>
      </c>
      <c r="BS233" s="140">
        <v>52.4</v>
      </c>
      <c r="BU233" s="140">
        <v>17.7</v>
      </c>
      <c r="BW233" s="140">
        <v>11.1</v>
      </c>
      <c r="BY233" s="140">
        <v>10.6</v>
      </c>
      <c r="CJ233" s="140" t="s">
        <v>8131</v>
      </c>
    </row>
    <row r="234" spans="1:91">
      <c r="A234" s="158" t="s">
        <v>7903</v>
      </c>
      <c r="B234" s="112" t="s">
        <v>269</v>
      </c>
      <c r="C234" s="112">
        <v>1</v>
      </c>
      <c r="D234">
        <v>214</v>
      </c>
      <c r="E234" s="113">
        <v>24</v>
      </c>
      <c r="F234" s="113">
        <v>5</v>
      </c>
      <c r="I234" s="112">
        <v>28</v>
      </c>
      <c r="J234" s="183">
        <v>41705</v>
      </c>
      <c r="M234" s="184">
        <v>2.66</v>
      </c>
      <c r="N234" s="157">
        <v>41853</v>
      </c>
      <c r="S234" s="139">
        <v>9.11</v>
      </c>
      <c r="T234" s="157">
        <v>41853</v>
      </c>
      <c r="U234" s="139">
        <v>15.3</v>
      </c>
      <c r="Y234" s="139">
        <f t="shared" si="3"/>
        <v>2.9684399999999993</v>
      </c>
      <c r="AA234" s="139">
        <v>37.909999999999997</v>
      </c>
      <c r="AE234" s="139">
        <v>17.059999999999999</v>
      </c>
      <c r="AG234" s="185">
        <v>4.5</v>
      </c>
      <c r="AI234" s="185">
        <v>125</v>
      </c>
      <c r="AJ234" s="157">
        <v>41803</v>
      </c>
      <c r="AO234" s="139">
        <v>93</v>
      </c>
      <c r="AP234" s="157">
        <v>41738</v>
      </c>
      <c r="AS234" s="139">
        <v>126</v>
      </c>
      <c r="AT234" s="157">
        <v>41766</v>
      </c>
      <c r="BS234" s="140">
        <v>53.4</v>
      </c>
      <c r="BU234" s="140">
        <v>17.399999999999999</v>
      </c>
      <c r="BW234" s="140">
        <v>11.8</v>
      </c>
      <c r="BY234" s="140">
        <v>10.7</v>
      </c>
      <c r="CJ234" s="140" t="s">
        <v>8140</v>
      </c>
    </row>
    <row r="235" spans="1:91">
      <c r="A235" s="158" t="s">
        <v>7695</v>
      </c>
      <c r="B235" s="112" t="s">
        <v>269</v>
      </c>
      <c r="C235" s="112">
        <v>1</v>
      </c>
      <c r="D235">
        <v>80</v>
      </c>
      <c r="E235" s="113">
        <v>24</v>
      </c>
      <c r="F235" s="113">
        <v>6</v>
      </c>
      <c r="I235" s="112">
        <v>29</v>
      </c>
      <c r="J235" s="183">
        <v>41705</v>
      </c>
      <c r="M235" s="184">
        <v>2.06</v>
      </c>
      <c r="N235" s="157">
        <v>41853</v>
      </c>
      <c r="S235" s="139">
        <v>7</v>
      </c>
      <c r="T235" s="157">
        <v>41853</v>
      </c>
      <c r="U235" s="139">
        <v>15.3</v>
      </c>
      <c r="Y235" s="139">
        <f t="shared" si="3"/>
        <v>2.43432</v>
      </c>
      <c r="AA235" s="139">
        <v>25.94</v>
      </c>
      <c r="AE235" s="139">
        <v>13.23</v>
      </c>
      <c r="AG235" s="185">
        <v>5.0999999999999996</v>
      </c>
      <c r="AI235" s="185">
        <v>115</v>
      </c>
      <c r="AJ235" s="157">
        <v>41803</v>
      </c>
      <c r="AO235" s="139">
        <v>93</v>
      </c>
      <c r="AP235" s="157">
        <v>41738</v>
      </c>
      <c r="AS235" s="139">
        <v>127</v>
      </c>
      <c r="AT235" s="157">
        <v>41766</v>
      </c>
      <c r="BS235" s="140">
        <v>52.9</v>
      </c>
      <c r="BU235" s="140">
        <v>18.399999999999999</v>
      </c>
      <c r="BW235" s="140">
        <v>12.9</v>
      </c>
      <c r="BY235" s="140">
        <v>10.6</v>
      </c>
      <c r="CJ235" s="140" t="s">
        <v>8140</v>
      </c>
    </row>
    <row r="236" spans="1:91">
      <c r="A236" s="158" t="s">
        <v>7902</v>
      </c>
      <c r="B236" s="112" t="s">
        <v>271</v>
      </c>
      <c r="C236" s="112">
        <v>2</v>
      </c>
      <c r="D236">
        <v>208</v>
      </c>
      <c r="E236" s="113">
        <v>24</v>
      </c>
      <c r="F236" s="113">
        <v>7</v>
      </c>
      <c r="I236" s="112">
        <v>58</v>
      </c>
      <c r="J236" s="183">
        <v>41705</v>
      </c>
      <c r="M236" s="184">
        <v>3.88</v>
      </c>
      <c r="N236" s="157">
        <v>41853</v>
      </c>
      <c r="S236" s="139">
        <v>12.49</v>
      </c>
      <c r="T236" s="157">
        <v>41853</v>
      </c>
      <c r="U236" s="139">
        <v>15.3</v>
      </c>
      <c r="Y236" s="139">
        <f t="shared" si="3"/>
        <v>5.0877600000000003</v>
      </c>
      <c r="AA236" s="139">
        <v>58</v>
      </c>
      <c r="AE236" s="139">
        <v>24.94</v>
      </c>
      <c r="AG236" s="185">
        <v>4.3</v>
      </c>
      <c r="AI236" s="185">
        <v>110</v>
      </c>
      <c r="AJ236" s="157">
        <v>41803</v>
      </c>
      <c r="AO236" s="139">
        <v>90</v>
      </c>
      <c r="AP236" s="157">
        <v>41738</v>
      </c>
      <c r="AS236" s="139">
        <v>126</v>
      </c>
      <c r="AT236" s="157">
        <v>41766</v>
      </c>
      <c r="BS236" s="140">
        <v>50.1</v>
      </c>
      <c r="BU236" s="140">
        <v>20.399999999999999</v>
      </c>
      <c r="BW236" s="140">
        <v>18.2</v>
      </c>
      <c r="BY236" s="140">
        <v>10.5</v>
      </c>
      <c r="CJ236" s="140" t="s">
        <v>8144</v>
      </c>
    </row>
    <row r="237" spans="1:91">
      <c r="A237" s="158" t="s">
        <v>7803</v>
      </c>
      <c r="B237" s="112" t="s">
        <v>271</v>
      </c>
      <c r="C237" s="112">
        <v>2</v>
      </c>
      <c r="D237">
        <v>188</v>
      </c>
      <c r="E237" s="113">
        <v>24</v>
      </c>
      <c r="F237" s="113">
        <v>8</v>
      </c>
      <c r="I237" s="112">
        <v>74</v>
      </c>
      <c r="J237" s="183">
        <v>41705</v>
      </c>
      <c r="M237" s="184">
        <v>5.7</v>
      </c>
      <c r="N237" s="157">
        <v>41853</v>
      </c>
      <c r="S237" s="139">
        <v>19.14</v>
      </c>
      <c r="T237" s="157">
        <v>41853</v>
      </c>
      <c r="U237" s="139">
        <v>15.3</v>
      </c>
      <c r="Y237" s="139">
        <f t="shared" si="3"/>
        <v>6.8448000000000002</v>
      </c>
      <c r="AA237" s="139">
        <v>81.78</v>
      </c>
      <c r="AE237" s="139">
        <v>36.799999999999997</v>
      </c>
      <c r="AG237" s="185">
        <v>4.5</v>
      </c>
      <c r="AI237" s="185">
        <v>110</v>
      </c>
      <c r="AJ237" s="157">
        <v>41803</v>
      </c>
      <c r="AO237" s="139">
        <v>88</v>
      </c>
      <c r="AP237" s="157">
        <v>41738</v>
      </c>
      <c r="AS237" s="139">
        <v>126</v>
      </c>
      <c r="AT237" s="157">
        <v>41766</v>
      </c>
      <c r="BS237" s="140">
        <v>52</v>
      </c>
      <c r="BU237" s="140">
        <v>18.600000000000001</v>
      </c>
      <c r="BW237" s="140">
        <v>13.7</v>
      </c>
      <c r="BY237" s="140">
        <v>10.1</v>
      </c>
      <c r="CJ237" s="140" t="s">
        <v>8140</v>
      </c>
    </row>
    <row r="238" spans="1:91">
      <c r="A238" s="158" t="s">
        <v>7683</v>
      </c>
      <c r="B238" s="112" t="s">
        <v>271</v>
      </c>
      <c r="C238" s="112">
        <v>2</v>
      </c>
      <c r="D238">
        <v>68</v>
      </c>
      <c r="E238" s="113">
        <v>24</v>
      </c>
      <c r="F238" s="113">
        <v>9</v>
      </c>
      <c r="I238" s="112">
        <v>46</v>
      </c>
      <c r="J238" s="183">
        <v>41705</v>
      </c>
      <c r="M238" s="184">
        <v>4.1399999999999997</v>
      </c>
      <c r="N238" s="157">
        <v>41853</v>
      </c>
      <c r="S238" s="139">
        <v>13.64</v>
      </c>
      <c r="T238" s="157">
        <v>41853</v>
      </c>
      <c r="U238" s="139">
        <v>15.3</v>
      </c>
      <c r="Y238" s="139">
        <f t="shared" si="3"/>
        <v>5.3546400000000007</v>
      </c>
      <c r="AA238" s="139">
        <v>47.57</v>
      </c>
      <c r="AE238" s="139">
        <v>26.64</v>
      </c>
      <c r="AG238" s="185">
        <v>5.6</v>
      </c>
      <c r="AI238" s="185">
        <v>125</v>
      </c>
      <c r="AJ238" s="157">
        <v>41803</v>
      </c>
      <c r="AO238" s="139">
        <v>94</v>
      </c>
      <c r="AP238" s="157">
        <v>41738</v>
      </c>
      <c r="AS238" s="139">
        <v>126</v>
      </c>
      <c r="AT238" s="157">
        <v>41766</v>
      </c>
      <c r="BS238" s="140">
        <v>51.2</v>
      </c>
      <c r="BU238" s="140">
        <v>20.100000000000001</v>
      </c>
      <c r="BW238" s="140">
        <v>14.2</v>
      </c>
      <c r="BY238" s="140">
        <v>10.4</v>
      </c>
      <c r="CJ238" s="140" t="s">
        <v>8140</v>
      </c>
    </row>
    <row r="239" spans="1:91">
      <c r="A239" s="158" t="s">
        <v>7733</v>
      </c>
      <c r="B239" s="112" t="s">
        <v>271</v>
      </c>
      <c r="C239" s="112">
        <v>2</v>
      </c>
      <c r="D239">
        <v>118</v>
      </c>
      <c r="E239" s="113">
        <v>24</v>
      </c>
      <c r="F239" s="113">
        <v>10</v>
      </c>
      <c r="I239" s="112">
        <v>30</v>
      </c>
      <c r="J239" s="183">
        <v>41705</v>
      </c>
      <c r="M239" s="184">
        <v>4.59</v>
      </c>
      <c r="N239" s="157">
        <v>41853</v>
      </c>
      <c r="S239" s="139">
        <v>14.65</v>
      </c>
      <c r="T239" s="157">
        <v>41853</v>
      </c>
      <c r="U239" s="139">
        <v>15.3</v>
      </c>
      <c r="Y239" s="139">
        <f t="shared" si="3"/>
        <v>6.0708200000000003</v>
      </c>
      <c r="AA239" s="139">
        <v>55.6</v>
      </c>
      <c r="AE239" s="139">
        <v>29.47</v>
      </c>
      <c r="AG239" s="185">
        <v>5.3</v>
      </c>
      <c r="AI239" s="185">
        <v>125</v>
      </c>
      <c r="AJ239" s="157">
        <v>41803</v>
      </c>
      <c r="AO239" s="139">
        <v>93</v>
      </c>
      <c r="AP239" s="157">
        <v>41738</v>
      </c>
      <c r="AS239" s="139">
        <v>128</v>
      </c>
      <c r="AT239" s="157">
        <v>41766</v>
      </c>
      <c r="BS239" s="140">
        <v>49.7</v>
      </c>
      <c r="BU239" s="140">
        <v>20.6</v>
      </c>
      <c r="BW239" s="140">
        <v>10.1</v>
      </c>
      <c r="BY239" s="140">
        <v>10.6</v>
      </c>
      <c r="CJ239" s="140" t="s">
        <v>8140</v>
      </c>
    </row>
    <row r="240" spans="1:91">
      <c r="A240" s="158" t="s">
        <v>7667</v>
      </c>
      <c r="B240" s="112" t="s">
        <v>271</v>
      </c>
      <c r="C240" s="112">
        <v>2</v>
      </c>
      <c r="D240">
        <v>52</v>
      </c>
      <c r="E240" s="113">
        <v>24</v>
      </c>
      <c r="F240" s="113">
        <v>11</v>
      </c>
      <c r="I240" s="112">
        <v>35</v>
      </c>
      <c r="J240" s="183">
        <v>41705</v>
      </c>
      <c r="M240" s="184">
        <v>1.91</v>
      </c>
      <c r="N240" s="157">
        <v>41853</v>
      </c>
      <c r="S240" s="139">
        <v>5.71</v>
      </c>
      <c r="T240" s="157">
        <v>41853</v>
      </c>
      <c r="U240" s="139">
        <v>15.3</v>
      </c>
      <c r="Y240" s="139">
        <f t="shared" si="3"/>
        <v>3.0895199999999998</v>
      </c>
      <c r="AA240" s="139">
        <v>24.04</v>
      </c>
      <c r="AE240" s="139">
        <v>12.26</v>
      </c>
      <c r="AG240" s="185">
        <v>5.0999999999999996</v>
      </c>
      <c r="AI240" s="185">
        <v>100</v>
      </c>
      <c r="AJ240" s="157">
        <v>41803</v>
      </c>
      <c r="AO240" s="139">
        <v>93</v>
      </c>
      <c r="AP240" s="157">
        <v>41738</v>
      </c>
      <c r="AS240" s="139">
        <v>128</v>
      </c>
      <c r="AT240" s="157">
        <v>41766</v>
      </c>
      <c r="BS240" s="140">
        <v>46.6</v>
      </c>
      <c r="BU240" s="140">
        <v>25.2</v>
      </c>
      <c r="BW240" s="140">
        <v>66.5</v>
      </c>
      <c r="BY240" s="140">
        <v>10.6</v>
      </c>
      <c r="CJ240" s="140" t="s">
        <v>8141</v>
      </c>
    </row>
    <row r="241" spans="1:88">
      <c r="A241" s="158" t="s">
        <v>7629</v>
      </c>
      <c r="B241" s="112" t="s">
        <v>271</v>
      </c>
      <c r="C241" s="112">
        <v>2</v>
      </c>
      <c r="D241">
        <v>14</v>
      </c>
      <c r="E241" s="113">
        <v>24</v>
      </c>
      <c r="F241" s="113">
        <v>12</v>
      </c>
      <c r="I241" s="187">
        <v>60</v>
      </c>
      <c r="J241" s="183">
        <v>41705</v>
      </c>
      <c r="K241" s="142"/>
      <c r="M241" s="184">
        <v>2.74</v>
      </c>
      <c r="N241" s="157">
        <v>41853</v>
      </c>
      <c r="O241" s="141"/>
      <c r="Q241" s="142"/>
      <c r="S241" s="142">
        <v>8.52</v>
      </c>
      <c r="T241" s="157">
        <v>41853</v>
      </c>
      <c r="U241" s="142">
        <v>15.3</v>
      </c>
      <c r="W241" s="142"/>
      <c r="Y241" s="139">
        <f t="shared" si="3"/>
        <v>4.1347800000000001</v>
      </c>
      <c r="AA241" s="142">
        <v>44.18</v>
      </c>
      <c r="AE241" s="142">
        <v>17.670000000000002</v>
      </c>
      <c r="AG241" s="185">
        <v>4</v>
      </c>
      <c r="AI241" s="185">
        <v>105</v>
      </c>
      <c r="AJ241" s="157">
        <v>41803</v>
      </c>
      <c r="AK241" s="142"/>
      <c r="AM241" s="142"/>
      <c r="AO241" s="139">
        <v>89</v>
      </c>
      <c r="AP241" s="157">
        <v>41738</v>
      </c>
      <c r="AS241" s="139">
        <v>125</v>
      </c>
      <c r="AT241" s="157">
        <v>41766</v>
      </c>
      <c r="BS241" s="140">
        <v>48.2</v>
      </c>
      <c r="BU241" s="140">
        <v>23.4</v>
      </c>
      <c r="BW241" s="140">
        <v>54.9</v>
      </c>
      <c r="BY241" s="140">
        <v>10.199999999999999</v>
      </c>
      <c r="CJ241" s="140" t="s">
        <v>8144</v>
      </c>
    </row>
    <row r="242" spans="1:88">
      <c r="A242" s="158" t="s">
        <v>7627</v>
      </c>
      <c r="B242" s="112" t="s">
        <v>269</v>
      </c>
      <c r="C242" s="112">
        <v>1</v>
      </c>
      <c r="D242">
        <v>12</v>
      </c>
      <c r="E242" s="113">
        <v>25</v>
      </c>
      <c r="F242" s="113">
        <v>1</v>
      </c>
      <c r="I242" s="187">
        <v>29</v>
      </c>
      <c r="J242" s="183">
        <v>41705</v>
      </c>
      <c r="K242" s="142"/>
      <c r="M242" s="184">
        <v>1.52</v>
      </c>
      <c r="N242" s="157">
        <v>41853</v>
      </c>
      <c r="O242" s="141"/>
      <c r="Q242" s="142"/>
      <c r="S242" s="142">
        <v>4.9800000000000004</v>
      </c>
      <c r="T242" s="157">
        <v>41853</v>
      </c>
      <c r="U242" s="142">
        <v>15.3</v>
      </c>
      <c r="W242" s="142"/>
      <c r="Y242" s="139">
        <f t="shared" si="3"/>
        <v>2.1856900000000001</v>
      </c>
      <c r="AA242" s="142">
        <v>19.78</v>
      </c>
      <c r="AE242" s="142">
        <v>9.89</v>
      </c>
      <c r="AG242" s="185">
        <v>5</v>
      </c>
      <c r="AI242" s="185">
        <v>140</v>
      </c>
      <c r="AJ242" s="157">
        <v>41803</v>
      </c>
      <c r="AK242" s="142"/>
      <c r="AM242" s="142"/>
      <c r="AO242" s="139">
        <v>100</v>
      </c>
      <c r="AP242" s="157">
        <v>41738</v>
      </c>
      <c r="AS242" s="139">
        <v>127</v>
      </c>
      <c r="AT242" s="157">
        <v>41766</v>
      </c>
      <c r="BS242" s="140">
        <v>50.4</v>
      </c>
      <c r="BU242" s="140">
        <v>22.1</v>
      </c>
      <c r="BW242" s="140">
        <v>61.7</v>
      </c>
      <c r="BY242" s="140">
        <v>9.4</v>
      </c>
      <c r="CJ242" s="140" t="s">
        <v>8131</v>
      </c>
    </row>
    <row r="243" spans="1:88">
      <c r="A243" s="158" t="s">
        <v>7631</v>
      </c>
      <c r="B243" s="112" t="s">
        <v>269</v>
      </c>
      <c r="C243" s="112">
        <v>1</v>
      </c>
      <c r="D243">
        <v>16</v>
      </c>
      <c r="E243" s="113">
        <v>25</v>
      </c>
      <c r="F243" s="113">
        <v>2</v>
      </c>
      <c r="I243" s="187">
        <v>40</v>
      </c>
      <c r="J243" s="183">
        <v>41705</v>
      </c>
      <c r="K243" s="142"/>
      <c r="M243" s="184">
        <v>0.92</v>
      </c>
      <c r="N243" s="157">
        <v>41853</v>
      </c>
      <c r="O243" s="141"/>
      <c r="Q243" s="142"/>
      <c r="S243" s="142">
        <v>2.82</v>
      </c>
      <c r="T243" s="157">
        <v>41853</v>
      </c>
      <c r="U243" s="142">
        <v>15.3</v>
      </c>
      <c r="W243" s="142"/>
      <c r="Y243" s="139">
        <f t="shared" si="3"/>
        <v>1.3417599999999998</v>
      </c>
      <c r="AA243" s="142">
        <v>12.74</v>
      </c>
      <c r="AE243" s="142">
        <v>5.99</v>
      </c>
      <c r="AG243" s="185">
        <v>4.7</v>
      </c>
      <c r="AI243" s="185">
        <v>110</v>
      </c>
      <c r="AJ243" s="157">
        <v>41803</v>
      </c>
      <c r="AK243" s="142"/>
      <c r="AM243" s="142"/>
      <c r="AO243" s="139">
        <v>90</v>
      </c>
      <c r="AP243" s="157">
        <v>41738</v>
      </c>
      <c r="AS243" s="139">
        <v>127</v>
      </c>
      <c r="AT243" s="157">
        <v>41766</v>
      </c>
      <c r="BS243" s="140">
        <v>47.1</v>
      </c>
      <c r="BU243" s="140">
        <v>22.4</v>
      </c>
      <c r="BW243" s="140">
        <v>65.099999999999994</v>
      </c>
      <c r="BY243" s="140">
        <v>9.4</v>
      </c>
      <c r="CJ243" s="140" t="s">
        <v>8140</v>
      </c>
    </row>
    <row r="244" spans="1:88">
      <c r="A244" s="158" t="s">
        <v>7756</v>
      </c>
      <c r="B244" s="112" t="s">
        <v>269</v>
      </c>
      <c r="C244" s="112">
        <v>1</v>
      </c>
      <c r="D244">
        <v>141</v>
      </c>
      <c r="E244" s="113">
        <v>25</v>
      </c>
      <c r="F244" s="113">
        <v>3</v>
      </c>
      <c r="I244" s="112">
        <v>30</v>
      </c>
      <c r="J244" s="183">
        <v>41705</v>
      </c>
      <c r="M244" s="184">
        <v>0.81</v>
      </c>
      <c r="N244" s="157">
        <v>41853</v>
      </c>
      <c r="S244" s="139">
        <v>2.5099999999999998</v>
      </c>
      <c r="T244" s="157">
        <v>41853</v>
      </c>
      <c r="U244" s="139">
        <v>15.3</v>
      </c>
      <c r="Y244" s="139">
        <f t="shared" si="3"/>
        <v>1.2279100000000001</v>
      </c>
      <c r="AA244" s="139">
        <v>12.85</v>
      </c>
      <c r="AE244" s="139">
        <v>5.27</v>
      </c>
      <c r="AG244" s="185">
        <v>4.0999999999999996</v>
      </c>
      <c r="AI244" s="185">
        <v>110</v>
      </c>
      <c r="AJ244" s="157">
        <v>41803</v>
      </c>
      <c r="AO244" s="139">
        <v>90</v>
      </c>
      <c r="AP244" s="157">
        <v>41738</v>
      </c>
      <c r="AS244" s="139">
        <v>126</v>
      </c>
      <c r="AT244" s="157">
        <v>41766</v>
      </c>
      <c r="BS244" s="140">
        <v>47.7</v>
      </c>
      <c r="BU244" s="140">
        <v>23.3</v>
      </c>
      <c r="BW244" s="140">
        <v>72.3</v>
      </c>
      <c r="BY244" s="140">
        <v>9.4</v>
      </c>
      <c r="CJ244" s="140" t="s">
        <v>8140</v>
      </c>
    </row>
    <row r="245" spans="1:88">
      <c r="A245" s="158" t="s">
        <v>7711</v>
      </c>
      <c r="B245" s="112" t="s">
        <v>269</v>
      </c>
      <c r="C245" s="112">
        <v>1</v>
      </c>
      <c r="D245">
        <v>96</v>
      </c>
      <c r="E245" s="113">
        <v>25</v>
      </c>
      <c r="F245" s="113">
        <v>4</v>
      </c>
      <c r="I245" s="112">
        <v>39</v>
      </c>
      <c r="J245" s="183">
        <v>41705</v>
      </c>
      <c r="M245" s="184">
        <v>1.85</v>
      </c>
      <c r="N245" s="157">
        <v>41853</v>
      </c>
      <c r="S245" s="139">
        <v>6.43</v>
      </c>
      <c r="T245" s="157">
        <v>41853</v>
      </c>
      <c r="U245" s="139">
        <v>15.3</v>
      </c>
      <c r="Y245" s="139">
        <f t="shared" si="3"/>
        <v>2.2394400000000001</v>
      </c>
      <c r="AA245" s="139">
        <v>30.1</v>
      </c>
      <c r="AE245" s="139">
        <v>12.04</v>
      </c>
      <c r="AG245" s="185">
        <v>4</v>
      </c>
      <c r="AI245" s="185">
        <v>110</v>
      </c>
      <c r="AJ245" s="157">
        <v>41803</v>
      </c>
      <c r="AO245" s="139">
        <v>94</v>
      </c>
      <c r="AP245" s="157">
        <v>41738</v>
      </c>
      <c r="AS245" s="139">
        <v>127</v>
      </c>
      <c r="AT245" s="157">
        <v>41766</v>
      </c>
      <c r="BS245" s="140">
        <v>53.4</v>
      </c>
      <c r="BU245" s="140">
        <v>18.600000000000001</v>
      </c>
      <c r="BW245" s="140">
        <v>7.3</v>
      </c>
      <c r="BY245" s="140">
        <v>9.4</v>
      </c>
      <c r="CJ245" s="140" t="s">
        <v>8140</v>
      </c>
    </row>
    <row r="246" spans="1:88">
      <c r="A246" s="158" t="s">
        <v>7662</v>
      </c>
      <c r="B246" s="112" t="s">
        <v>269</v>
      </c>
      <c r="C246" s="112">
        <v>1</v>
      </c>
      <c r="D246">
        <v>47</v>
      </c>
      <c r="E246" s="113">
        <v>25</v>
      </c>
      <c r="F246" s="113">
        <v>5</v>
      </c>
      <c r="I246" s="112">
        <v>49</v>
      </c>
      <c r="J246" s="183">
        <v>41705</v>
      </c>
      <c r="M246" s="184">
        <v>1.88</v>
      </c>
      <c r="N246" s="157">
        <v>41853</v>
      </c>
      <c r="S246" s="139">
        <v>6.34</v>
      </c>
      <c r="T246" s="157">
        <v>41853</v>
      </c>
      <c r="U246" s="139">
        <v>15.3</v>
      </c>
      <c r="Y246" s="139">
        <f t="shared" si="3"/>
        <v>2.43377</v>
      </c>
      <c r="AA246" s="139">
        <v>33.049999999999997</v>
      </c>
      <c r="AE246" s="139">
        <v>12.23</v>
      </c>
      <c r="AG246" s="185">
        <v>3.7</v>
      </c>
      <c r="AI246" s="185">
        <v>110</v>
      </c>
      <c r="AJ246" s="157">
        <v>41803</v>
      </c>
      <c r="AO246" s="139">
        <v>95</v>
      </c>
      <c r="AP246" s="157">
        <v>41738</v>
      </c>
      <c r="AS246" s="139">
        <v>128</v>
      </c>
      <c r="AT246" s="157">
        <v>41766</v>
      </c>
      <c r="BS246" s="140">
        <v>51.8</v>
      </c>
      <c r="BU246" s="140">
        <v>19.899999999999999</v>
      </c>
      <c r="BW246" s="140">
        <v>48.9</v>
      </c>
      <c r="BY246" s="140">
        <v>9.4</v>
      </c>
      <c r="CJ246" s="140" t="s">
        <v>8131</v>
      </c>
    </row>
    <row r="247" spans="1:88">
      <c r="A247" s="158" t="s">
        <v>7704</v>
      </c>
      <c r="B247" s="112" t="s">
        <v>269</v>
      </c>
      <c r="C247" s="112">
        <v>1</v>
      </c>
      <c r="D247">
        <v>89</v>
      </c>
      <c r="E247" s="113">
        <v>25</v>
      </c>
      <c r="F247" s="113">
        <v>6</v>
      </c>
      <c r="I247" s="112">
        <v>26</v>
      </c>
      <c r="J247" s="183">
        <v>41705</v>
      </c>
      <c r="M247" s="184">
        <v>2.02</v>
      </c>
      <c r="N247" s="157">
        <v>41853</v>
      </c>
      <c r="S247" s="139">
        <v>6.66</v>
      </c>
      <c r="T247" s="157">
        <v>41853</v>
      </c>
      <c r="U247" s="139">
        <v>15.3</v>
      </c>
      <c r="Y247" s="139">
        <f t="shared" si="3"/>
        <v>2.5360200000000002</v>
      </c>
      <c r="AA247" s="139">
        <v>25.27</v>
      </c>
      <c r="AE247" s="139">
        <v>13.14</v>
      </c>
      <c r="AG247" s="185">
        <v>5.2</v>
      </c>
      <c r="AI247" s="185">
        <v>115</v>
      </c>
      <c r="AJ247" s="157">
        <v>41803</v>
      </c>
      <c r="AO247" s="139">
        <v>92</v>
      </c>
      <c r="AP247" s="157">
        <v>41738</v>
      </c>
      <c r="AS247" s="139">
        <v>125</v>
      </c>
      <c r="AT247" s="157">
        <v>41766</v>
      </c>
      <c r="BS247" s="140">
        <v>50.7</v>
      </c>
      <c r="BU247" s="140">
        <v>19.3</v>
      </c>
      <c r="BW247" s="140">
        <v>15.9</v>
      </c>
      <c r="BY247" s="140">
        <v>9.4</v>
      </c>
      <c r="CJ247" s="140" t="s">
        <v>8140</v>
      </c>
    </row>
    <row r="248" spans="1:88">
      <c r="A248" s="158" t="s">
        <v>7730</v>
      </c>
      <c r="B248" s="112" t="s">
        <v>271</v>
      </c>
      <c r="C248" s="112">
        <v>2</v>
      </c>
      <c r="D248">
        <v>115</v>
      </c>
      <c r="E248" s="113">
        <v>25</v>
      </c>
      <c r="F248" s="113">
        <v>7</v>
      </c>
      <c r="I248" s="112">
        <v>35</v>
      </c>
      <c r="J248" s="183">
        <v>41705</v>
      </c>
      <c r="M248" s="184">
        <v>3.69</v>
      </c>
      <c r="N248" s="157">
        <v>41853</v>
      </c>
      <c r="S248" s="139">
        <v>11.96</v>
      </c>
      <c r="T248" s="157">
        <v>41853</v>
      </c>
      <c r="U248" s="139">
        <v>15.3</v>
      </c>
      <c r="Y248" s="139">
        <f t="shared" si="3"/>
        <v>4.9204800000000004</v>
      </c>
      <c r="AA248" s="139">
        <v>44.67</v>
      </c>
      <c r="AE248" s="139">
        <v>24.12</v>
      </c>
      <c r="AG248" s="185">
        <v>5.4</v>
      </c>
      <c r="AI248" s="185">
        <v>115</v>
      </c>
      <c r="AJ248" s="157">
        <v>41803</v>
      </c>
      <c r="AO248" s="139">
        <v>95</v>
      </c>
      <c r="AP248" s="157">
        <v>41738</v>
      </c>
      <c r="AS248" s="139">
        <v>127</v>
      </c>
      <c r="AT248" s="157">
        <v>41766</v>
      </c>
      <c r="BS248" s="140">
        <v>49.6</v>
      </c>
      <c r="BU248" s="140">
        <v>20.399999999999999</v>
      </c>
      <c r="BW248" s="140">
        <v>15.8</v>
      </c>
      <c r="BY248" s="140">
        <v>9</v>
      </c>
      <c r="CJ248" s="140" t="s">
        <v>8140</v>
      </c>
    </row>
    <row r="249" spans="1:88">
      <c r="A249" s="158" t="s">
        <v>7732</v>
      </c>
      <c r="B249" s="112" t="s">
        <v>271</v>
      </c>
      <c r="C249" s="112">
        <v>2</v>
      </c>
      <c r="D249">
        <v>117</v>
      </c>
      <c r="E249" s="113">
        <v>25</v>
      </c>
      <c r="F249" s="113">
        <v>8</v>
      </c>
      <c r="I249" s="112">
        <v>28</v>
      </c>
      <c r="J249" s="183">
        <v>41705</v>
      </c>
      <c r="M249" s="184">
        <v>4.04</v>
      </c>
      <c r="N249" s="157">
        <v>41853</v>
      </c>
      <c r="S249" s="139">
        <v>13.04</v>
      </c>
      <c r="T249" s="157">
        <v>41853</v>
      </c>
      <c r="U249" s="139">
        <v>15.3</v>
      </c>
      <c r="Y249" s="139">
        <f t="shared" si="3"/>
        <v>5.4296100000000003</v>
      </c>
      <c r="AA249" s="139">
        <v>47.69</v>
      </c>
      <c r="AE249" s="139">
        <v>26.23</v>
      </c>
      <c r="AG249" s="185">
        <v>5.5</v>
      </c>
      <c r="AI249" s="185">
        <v>115</v>
      </c>
      <c r="AJ249" s="157">
        <v>41803</v>
      </c>
      <c r="AO249" s="139">
        <v>93</v>
      </c>
      <c r="AP249" s="157">
        <v>41738</v>
      </c>
      <c r="AS249" s="139">
        <v>128</v>
      </c>
      <c r="AT249" s="157">
        <v>41766</v>
      </c>
      <c r="BS249" s="140">
        <v>49.7</v>
      </c>
      <c r="BU249" s="140">
        <v>20.7</v>
      </c>
      <c r="BW249" s="140">
        <v>18.399999999999999</v>
      </c>
      <c r="BY249" s="140">
        <v>9.6</v>
      </c>
      <c r="CJ249" s="140" t="s">
        <v>8140</v>
      </c>
    </row>
    <row r="250" spans="1:88">
      <c r="A250" s="158" t="s">
        <v>7817</v>
      </c>
      <c r="B250" s="112" t="s">
        <v>271</v>
      </c>
      <c r="C250" s="112">
        <v>2</v>
      </c>
      <c r="D250">
        <v>202</v>
      </c>
      <c r="E250" s="113">
        <v>25</v>
      </c>
      <c r="F250" s="113">
        <v>9</v>
      </c>
      <c r="I250" s="112">
        <v>55</v>
      </c>
      <c r="J250" s="183">
        <v>41705</v>
      </c>
      <c r="M250" s="184">
        <v>4.2300000000000004</v>
      </c>
      <c r="N250" s="157">
        <v>41853</v>
      </c>
      <c r="S250" s="139">
        <v>13.67</v>
      </c>
      <c r="T250" s="157">
        <v>41853</v>
      </c>
      <c r="U250" s="139">
        <v>15.3</v>
      </c>
      <c r="Y250" s="139">
        <f t="shared" si="3"/>
        <v>5.4293199999999988</v>
      </c>
      <c r="AA250" s="139">
        <v>64.09</v>
      </c>
      <c r="AE250" s="139">
        <v>27.56</v>
      </c>
      <c r="AG250" s="185">
        <v>4.3</v>
      </c>
      <c r="AI250" s="185">
        <v>115</v>
      </c>
      <c r="AJ250" s="157">
        <v>41803</v>
      </c>
      <c r="AO250" s="139">
        <v>93</v>
      </c>
      <c r="AP250" s="157">
        <v>41738</v>
      </c>
      <c r="AS250" s="139">
        <v>128</v>
      </c>
      <c r="AT250" s="157">
        <v>41766</v>
      </c>
      <c r="BS250" s="140">
        <v>49.6</v>
      </c>
      <c r="BU250" s="140">
        <v>19.7</v>
      </c>
      <c r="BW250" s="140">
        <v>14.3</v>
      </c>
      <c r="BY250" s="140">
        <v>9.3000000000000007</v>
      </c>
      <c r="CJ250" s="140" t="s">
        <v>8140</v>
      </c>
    </row>
    <row r="251" spans="1:88">
      <c r="A251" s="158" t="s">
        <v>7707</v>
      </c>
      <c r="B251" s="112" t="s">
        <v>271</v>
      </c>
      <c r="C251" s="112">
        <v>2</v>
      </c>
      <c r="D251">
        <v>92</v>
      </c>
      <c r="E251" s="113">
        <v>25</v>
      </c>
      <c r="F251" s="113">
        <v>10</v>
      </c>
      <c r="I251" s="112">
        <v>24</v>
      </c>
      <c r="J251" s="183">
        <v>41705</v>
      </c>
      <c r="M251" s="184">
        <v>3.62</v>
      </c>
      <c r="N251" s="157">
        <v>41853</v>
      </c>
      <c r="S251" s="139">
        <v>12.32</v>
      </c>
      <c r="T251" s="157">
        <v>41853</v>
      </c>
      <c r="U251" s="139">
        <v>15.3</v>
      </c>
      <c r="Y251" s="139">
        <f t="shared" si="3"/>
        <v>4.5818199999999996</v>
      </c>
      <c r="AA251" s="139">
        <v>52.76</v>
      </c>
      <c r="AE251" s="139">
        <v>23.74</v>
      </c>
      <c r="AG251" s="185">
        <v>4.5</v>
      </c>
      <c r="AI251" s="185">
        <v>120</v>
      </c>
      <c r="AJ251" s="157">
        <v>41803</v>
      </c>
      <c r="AO251" s="139">
        <v>95</v>
      </c>
      <c r="AP251" s="157">
        <v>41738</v>
      </c>
      <c r="AS251" s="139">
        <v>128</v>
      </c>
      <c r="AT251" s="157">
        <v>41766</v>
      </c>
      <c r="BS251" s="140">
        <v>51.9</v>
      </c>
      <c r="BU251" s="140">
        <v>19.3</v>
      </c>
      <c r="BW251" s="140">
        <v>12.6</v>
      </c>
      <c r="BY251" s="140">
        <v>8.6999999999999993</v>
      </c>
      <c r="CJ251" s="140" t="s">
        <v>8140</v>
      </c>
    </row>
    <row r="252" spans="1:88">
      <c r="A252" s="158" t="s">
        <v>7641</v>
      </c>
      <c r="B252" s="112" t="s">
        <v>271</v>
      </c>
      <c r="C252" s="112">
        <v>2</v>
      </c>
      <c r="D252">
        <v>26</v>
      </c>
      <c r="E252" s="113">
        <v>25</v>
      </c>
      <c r="F252" s="113">
        <v>11</v>
      </c>
      <c r="I252" s="112">
        <v>60</v>
      </c>
      <c r="J252" s="183">
        <v>41705</v>
      </c>
      <c r="M252" s="184">
        <v>1.59</v>
      </c>
      <c r="N252" s="157">
        <v>41853</v>
      </c>
      <c r="S252" s="139">
        <v>5.03</v>
      </c>
      <c r="T252" s="157">
        <v>41853</v>
      </c>
      <c r="U252" s="139">
        <v>15.3</v>
      </c>
      <c r="Y252" s="139">
        <f t="shared" si="3"/>
        <v>2.3597999999999999</v>
      </c>
      <c r="AA252" s="139">
        <v>24.64</v>
      </c>
      <c r="AE252" s="139">
        <v>10.35</v>
      </c>
      <c r="AG252" s="185">
        <v>4.2</v>
      </c>
      <c r="AI252" s="185">
        <v>100</v>
      </c>
      <c r="AJ252" s="157">
        <v>41803</v>
      </c>
      <c r="AO252" s="139">
        <v>89</v>
      </c>
      <c r="AP252" s="157">
        <v>41738</v>
      </c>
      <c r="AS252" s="139">
        <v>123</v>
      </c>
      <c r="AT252" s="157">
        <v>41766</v>
      </c>
      <c r="BS252" s="140">
        <v>48.6</v>
      </c>
      <c r="BU252" s="140">
        <v>22.8</v>
      </c>
      <c r="BW252" s="140">
        <v>59.2</v>
      </c>
      <c r="BY252" s="140">
        <v>9.4</v>
      </c>
      <c r="CJ252" s="140" t="s">
        <v>8141</v>
      </c>
    </row>
    <row r="253" spans="1:88">
      <c r="A253" s="158" t="s">
        <v>7674</v>
      </c>
      <c r="B253" s="112" t="s">
        <v>271</v>
      </c>
      <c r="C253" s="112">
        <v>2</v>
      </c>
      <c r="D253">
        <v>59</v>
      </c>
      <c r="E253" s="113">
        <v>25</v>
      </c>
      <c r="F253" s="113">
        <v>12</v>
      </c>
      <c r="I253" s="112">
        <v>48</v>
      </c>
      <c r="J253" s="183">
        <v>41705</v>
      </c>
      <c r="M253" s="184">
        <v>4.0599999999999996</v>
      </c>
      <c r="N253" s="157">
        <v>41853</v>
      </c>
      <c r="S253" s="139">
        <v>13.53</v>
      </c>
      <c r="T253" s="157">
        <v>41853</v>
      </c>
      <c r="U253" s="139">
        <v>15.3</v>
      </c>
      <c r="Y253" s="139">
        <f t="shared" si="3"/>
        <v>5.4813599999999996</v>
      </c>
      <c r="AA253" s="139">
        <v>56.34</v>
      </c>
      <c r="AE253" s="139">
        <v>26.48</v>
      </c>
      <c r="AG253" s="185">
        <v>4.7</v>
      </c>
      <c r="AI253" s="185">
        <v>125</v>
      </c>
      <c r="AJ253" s="157">
        <v>41803</v>
      </c>
      <c r="AO253" s="139">
        <v>91</v>
      </c>
      <c r="AP253" s="157">
        <v>41738</v>
      </c>
      <c r="AS253" s="139">
        <v>126</v>
      </c>
      <c r="AT253" s="157">
        <v>41766</v>
      </c>
      <c r="BS253" s="140">
        <v>51.1</v>
      </c>
      <c r="BU253" s="140">
        <v>20.7</v>
      </c>
      <c r="BW253" s="140">
        <v>14.3</v>
      </c>
      <c r="BY253" s="140">
        <v>9.1999999999999993</v>
      </c>
      <c r="CJ253" s="140" t="s">
        <v>8140</v>
      </c>
    </row>
    <row r="254" spans="1:88">
      <c r="A254" s="158" t="s">
        <v>7697</v>
      </c>
      <c r="B254" s="112" t="s">
        <v>269</v>
      </c>
      <c r="C254" s="112">
        <v>1</v>
      </c>
      <c r="D254">
        <v>82</v>
      </c>
      <c r="E254" s="113">
        <v>26</v>
      </c>
      <c r="F254" s="113">
        <v>1</v>
      </c>
      <c r="I254" s="112">
        <v>26</v>
      </c>
      <c r="J254" s="183">
        <v>41705</v>
      </c>
      <c r="M254" s="184">
        <v>2.2799999999999998</v>
      </c>
      <c r="N254" s="157">
        <v>41853</v>
      </c>
      <c r="S254" s="139">
        <v>7.27</v>
      </c>
      <c r="T254" s="157">
        <v>41853</v>
      </c>
      <c r="U254" s="139">
        <v>15.3</v>
      </c>
      <c r="Y254" s="139">
        <f t="shared" si="3"/>
        <v>3.2013499999999997</v>
      </c>
      <c r="AA254" s="139">
        <v>29.78</v>
      </c>
      <c r="AE254" s="139">
        <v>14.89</v>
      </c>
      <c r="AG254" s="185">
        <v>5</v>
      </c>
      <c r="AI254" s="185">
        <v>135</v>
      </c>
      <c r="AJ254" s="157">
        <v>41803</v>
      </c>
      <c r="AO254" s="139">
        <v>91</v>
      </c>
      <c r="AP254" s="157">
        <v>41738</v>
      </c>
      <c r="AS254" s="139">
        <v>126</v>
      </c>
      <c r="AT254" s="157">
        <v>41766</v>
      </c>
      <c r="BS254" s="140">
        <v>48.8</v>
      </c>
      <c r="BU254" s="140">
        <v>21.5</v>
      </c>
      <c r="BW254" s="140">
        <v>19.2</v>
      </c>
      <c r="BY254" s="140">
        <v>9.1</v>
      </c>
      <c r="CJ254" s="140" t="s">
        <v>8140</v>
      </c>
    </row>
    <row r="255" spans="1:88">
      <c r="A255" s="158" t="s">
        <v>7630</v>
      </c>
      <c r="B255" s="112" t="s">
        <v>269</v>
      </c>
      <c r="C255" s="112">
        <v>1</v>
      </c>
      <c r="D255">
        <v>15</v>
      </c>
      <c r="E255" s="113">
        <v>26</v>
      </c>
      <c r="F255" s="113">
        <v>2</v>
      </c>
      <c r="I255" s="187">
        <v>42</v>
      </c>
      <c r="J255" s="183">
        <v>41705</v>
      </c>
      <c r="K255" s="142"/>
      <c r="M255" s="184">
        <v>1.31</v>
      </c>
      <c r="N255" s="157">
        <v>41853</v>
      </c>
      <c r="O255" s="141"/>
      <c r="Q255" s="142"/>
      <c r="S255" s="142">
        <v>4.17</v>
      </c>
      <c r="T255" s="157">
        <v>41853</v>
      </c>
      <c r="U255" s="142">
        <v>15.3</v>
      </c>
      <c r="W255" s="142"/>
      <c r="Y255" s="139">
        <f t="shared" si="3"/>
        <v>2.052</v>
      </c>
      <c r="AA255" s="142">
        <v>24.43</v>
      </c>
      <c r="AE255" s="142">
        <v>8.5500000000000007</v>
      </c>
      <c r="AG255" s="185">
        <v>3.5</v>
      </c>
      <c r="AI255" s="185">
        <v>95</v>
      </c>
      <c r="AJ255" s="157">
        <v>41803</v>
      </c>
      <c r="AK255" s="142"/>
      <c r="AM255" s="142"/>
      <c r="AO255" s="139">
        <v>90</v>
      </c>
      <c r="AP255" s="157">
        <v>41738</v>
      </c>
      <c r="AS255" s="139">
        <v>126</v>
      </c>
      <c r="AT255" s="157">
        <v>41766</v>
      </c>
      <c r="BS255" s="140">
        <v>48.8</v>
      </c>
      <c r="BU255" s="140">
        <v>24</v>
      </c>
      <c r="BW255" s="140">
        <v>64.2</v>
      </c>
      <c r="BY255" s="140">
        <v>9.1</v>
      </c>
      <c r="CJ255" s="140" t="s">
        <v>8140</v>
      </c>
    </row>
    <row r="256" spans="1:88">
      <c r="A256" s="158" t="s">
        <v>7772</v>
      </c>
      <c r="B256" s="112" t="s">
        <v>269</v>
      </c>
      <c r="C256" s="112">
        <v>1</v>
      </c>
      <c r="D256">
        <v>157</v>
      </c>
      <c r="E256" s="113">
        <v>26</v>
      </c>
      <c r="F256" s="113">
        <v>3</v>
      </c>
      <c r="I256" s="112">
        <v>41</v>
      </c>
      <c r="J256" s="183">
        <v>41705</v>
      </c>
      <c r="M256" s="184">
        <v>2.5</v>
      </c>
      <c r="N256" s="157">
        <v>41853</v>
      </c>
      <c r="S256" s="139">
        <v>8.2899999999999991</v>
      </c>
      <c r="T256" s="157">
        <v>41853</v>
      </c>
      <c r="U256" s="139">
        <v>15.3</v>
      </c>
      <c r="Y256" s="139">
        <f t="shared" si="3"/>
        <v>3.1823999999999999</v>
      </c>
      <c r="AA256" s="139">
        <v>37.090000000000003</v>
      </c>
      <c r="AE256" s="139">
        <v>16.32</v>
      </c>
      <c r="AG256" s="185">
        <v>4.4000000000000004</v>
      </c>
      <c r="AI256" s="185">
        <v>125</v>
      </c>
      <c r="AJ256" s="157">
        <v>41803</v>
      </c>
      <c r="AO256" s="139">
        <v>94</v>
      </c>
      <c r="AP256" s="157">
        <v>41738</v>
      </c>
      <c r="AS256" s="139">
        <v>128</v>
      </c>
      <c r="AT256" s="157">
        <v>41766</v>
      </c>
      <c r="BS256" s="140">
        <v>50.8</v>
      </c>
      <c r="BU256" s="140">
        <v>19.5</v>
      </c>
      <c r="BW256" s="140">
        <v>15.5</v>
      </c>
      <c r="BY256" s="140">
        <v>9.1</v>
      </c>
      <c r="CJ256" s="140" t="s">
        <v>8140</v>
      </c>
    </row>
    <row r="257" spans="1:91">
      <c r="A257" s="158" t="s">
        <v>7789</v>
      </c>
      <c r="B257" s="112" t="s">
        <v>269</v>
      </c>
      <c r="C257" s="112">
        <v>1</v>
      </c>
      <c r="D257">
        <v>174</v>
      </c>
      <c r="E257" s="113">
        <v>26</v>
      </c>
      <c r="F257" s="113">
        <v>4</v>
      </c>
      <c r="I257" s="112">
        <v>29</v>
      </c>
      <c r="J257" s="183">
        <v>41705</v>
      </c>
      <c r="M257" s="184">
        <v>1.7</v>
      </c>
      <c r="N257" s="157">
        <v>41853</v>
      </c>
      <c r="S257" s="139">
        <v>5.71</v>
      </c>
      <c r="T257" s="157">
        <v>41853</v>
      </c>
      <c r="U257" s="139">
        <v>15.3</v>
      </c>
      <c r="Y257" s="139">
        <f t="shared" si="3"/>
        <v>2.0868000000000002</v>
      </c>
      <c r="AA257" s="139">
        <v>24.13</v>
      </c>
      <c r="AE257" s="139">
        <v>11.1</v>
      </c>
      <c r="AG257" s="185">
        <v>4.5999999999999996</v>
      </c>
      <c r="AI257" s="185">
        <v>110</v>
      </c>
      <c r="AJ257" s="157">
        <v>41803</v>
      </c>
      <c r="AO257" s="139">
        <v>94</v>
      </c>
      <c r="AP257" s="157">
        <v>41738</v>
      </c>
      <c r="AS257" s="139">
        <v>127</v>
      </c>
      <c r="AT257" s="157">
        <v>41766</v>
      </c>
      <c r="BS257" s="140">
        <v>51.4</v>
      </c>
      <c r="BU257" s="140">
        <v>18.8</v>
      </c>
      <c r="BW257" s="140">
        <v>14.2</v>
      </c>
      <c r="BY257" s="140">
        <v>9.1</v>
      </c>
      <c r="CJ257" s="140" t="s">
        <v>8140</v>
      </c>
    </row>
    <row r="258" spans="1:91">
      <c r="A258" s="158" t="s">
        <v>8129</v>
      </c>
      <c r="B258" s="112" t="s">
        <v>269</v>
      </c>
      <c r="C258" s="112">
        <v>1</v>
      </c>
      <c r="D258">
        <v>216</v>
      </c>
      <c r="E258" s="113">
        <v>26</v>
      </c>
      <c r="F258" s="113">
        <v>5</v>
      </c>
      <c r="I258" s="112">
        <v>23</v>
      </c>
      <c r="J258" s="183">
        <v>41705</v>
      </c>
      <c r="M258" s="184">
        <v>2.88</v>
      </c>
      <c r="N258" s="157">
        <v>41853</v>
      </c>
      <c r="S258" s="139">
        <v>10.039999999999999</v>
      </c>
      <c r="T258" s="157">
        <v>41853</v>
      </c>
      <c r="U258" s="139">
        <v>15.3</v>
      </c>
      <c r="Y258" s="139">
        <f t="shared" ref="Y258:Y321" si="4">(AE258*BU258)/100</f>
        <v>3.2969999999999997</v>
      </c>
      <c r="AA258" s="139">
        <v>45.95</v>
      </c>
      <c r="AE258" s="139">
        <v>18.84</v>
      </c>
      <c r="AG258" s="185">
        <v>4.0999999999999996</v>
      </c>
      <c r="AI258" s="185">
        <v>115</v>
      </c>
      <c r="AJ258" s="157">
        <v>41803</v>
      </c>
      <c r="AO258" s="139">
        <v>90</v>
      </c>
      <c r="AP258" s="157">
        <v>41738</v>
      </c>
      <c r="AS258" s="139">
        <v>126</v>
      </c>
      <c r="AT258" s="157">
        <v>41766</v>
      </c>
      <c r="BS258" s="140">
        <v>53.3</v>
      </c>
      <c r="BU258" s="140">
        <v>17.5</v>
      </c>
      <c r="BW258" s="140">
        <v>13.6</v>
      </c>
      <c r="BY258" s="140">
        <v>8.9</v>
      </c>
      <c r="CJ258" s="140" t="s">
        <v>8140</v>
      </c>
    </row>
    <row r="259" spans="1:91">
      <c r="A259" s="158" t="s">
        <v>7693</v>
      </c>
      <c r="B259" s="112" t="s">
        <v>269</v>
      </c>
      <c r="C259" s="112">
        <v>1</v>
      </c>
      <c r="D259">
        <v>78</v>
      </c>
      <c r="E259" s="113">
        <v>26</v>
      </c>
      <c r="F259" s="113">
        <v>6</v>
      </c>
      <c r="I259" s="112">
        <v>39</v>
      </c>
      <c r="J259" s="183">
        <v>41705</v>
      </c>
      <c r="M259" s="184">
        <v>2.84</v>
      </c>
      <c r="N259" s="157">
        <v>41853</v>
      </c>
      <c r="S259" s="139">
        <v>10.08</v>
      </c>
      <c r="T259" s="157">
        <v>41853</v>
      </c>
      <c r="U259" s="139">
        <v>15.3</v>
      </c>
      <c r="Y259" s="139">
        <f t="shared" si="4"/>
        <v>3.4147799999999999</v>
      </c>
      <c r="AA259" s="139">
        <v>40.57</v>
      </c>
      <c r="AE259" s="139">
        <v>18.66</v>
      </c>
      <c r="AG259" s="185">
        <v>4.5999999999999996</v>
      </c>
      <c r="AI259" s="185">
        <v>120</v>
      </c>
      <c r="AJ259" s="157">
        <v>41803</v>
      </c>
      <c r="AO259" s="139">
        <v>92</v>
      </c>
      <c r="AP259" s="157">
        <v>41738</v>
      </c>
      <c r="AS259" s="139">
        <v>126</v>
      </c>
      <c r="AT259" s="157">
        <v>41766</v>
      </c>
      <c r="BS259" s="140">
        <v>54</v>
      </c>
      <c r="BU259" s="140">
        <v>18.3</v>
      </c>
      <c r="BW259" s="140">
        <v>12.6</v>
      </c>
      <c r="BY259" s="140">
        <v>8.5</v>
      </c>
      <c r="CJ259" s="140" t="s">
        <v>8140</v>
      </c>
    </row>
    <row r="260" spans="1:91">
      <c r="A260" s="188" t="s">
        <v>7754</v>
      </c>
      <c r="B260" s="189" t="s">
        <v>271</v>
      </c>
      <c r="C260" s="189">
        <v>2</v>
      </c>
      <c r="D260" s="190">
        <v>139</v>
      </c>
      <c r="E260" s="191">
        <v>26</v>
      </c>
      <c r="F260" s="191">
        <v>7</v>
      </c>
      <c r="G260" s="191"/>
      <c r="H260" s="191"/>
      <c r="I260" s="189">
        <v>36</v>
      </c>
      <c r="J260" s="193">
        <v>41705</v>
      </c>
      <c r="K260" s="194"/>
      <c r="L260" s="195"/>
      <c r="M260" s="196">
        <v>1.18</v>
      </c>
      <c r="N260" s="195">
        <v>41853</v>
      </c>
      <c r="O260" s="194"/>
      <c r="P260" s="195"/>
      <c r="Q260" s="194"/>
      <c r="R260" s="195"/>
      <c r="S260" s="194">
        <v>3.67</v>
      </c>
      <c r="T260" s="195">
        <v>41853</v>
      </c>
      <c r="U260" s="194">
        <v>15.3</v>
      </c>
      <c r="V260" s="195"/>
      <c r="W260" s="194"/>
      <c r="X260" s="195"/>
      <c r="Y260" s="139">
        <f t="shared" si="4"/>
        <v>1.8557000000000001</v>
      </c>
      <c r="Z260" s="195"/>
      <c r="AA260" s="194">
        <v>18.329999999999998</v>
      </c>
      <c r="AB260" s="195"/>
      <c r="AC260" s="194"/>
      <c r="AD260" s="195"/>
      <c r="AE260" s="194">
        <v>7.7</v>
      </c>
      <c r="AF260" s="195"/>
      <c r="AG260" s="197">
        <v>4.2</v>
      </c>
      <c r="AH260" s="195"/>
      <c r="AI260" s="197">
        <v>90</v>
      </c>
      <c r="AJ260" s="195">
        <v>41803</v>
      </c>
      <c r="AK260" s="194"/>
      <c r="AL260" s="195"/>
      <c r="AM260" s="194"/>
      <c r="AN260" s="195"/>
      <c r="AO260" s="194">
        <v>98</v>
      </c>
      <c r="AP260" s="195">
        <v>41738</v>
      </c>
      <c r="AQ260" s="194"/>
      <c r="AR260" s="194"/>
      <c r="AS260" s="194">
        <v>128</v>
      </c>
      <c r="AT260" s="195">
        <v>41766</v>
      </c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8"/>
      <c r="BF260" s="198"/>
      <c r="BG260" s="198"/>
      <c r="BH260" s="198"/>
      <c r="BI260" s="198"/>
      <c r="BJ260" s="198"/>
      <c r="BK260" s="198"/>
      <c r="BL260" s="198"/>
      <c r="BM260" s="198"/>
      <c r="BN260" s="198"/>
      <c r="BO260" s="198"/>
      <c r="BP260" s="198"/>
      <c r="BQ260" s="198"/>
      <c r="BR260" s="198"/>
      <c r="BS260" s="198">
        <v>47.7</v>
      </c>
      <c r="BT260" s="198"/>
      <c r="BU260" s="198">
        <v>24.1</v>
      </c>
      <c r="BV260" s="198"/>
      <c r="BW260" s="198">
        <v>68.3</v>
      </c>
      <c r="BX260" s="198"/>
      <c r="BY260" s="198">
        <v>9.1</v>
      </c>
      <c r="BZ260" s="198"/>
      <c r="CA260" s="198"/>
      <c r="CB260" s="198"/>
      <c r="CC260" s="198"/>
      <c r="CD260" s="198"/>
      <c r="CE260" s="198"/>
      <c r="CF260" s="198"/>
      <c r="CG260" s="198"/>
      <c r="CH260" s="198"/>
      <c r="CI260" s="198"/>
      <c r="CJ260" s="198" t="s">
        <v>8138</v>
      </c>
      <c r="CK260" s="198"/>
      <c r="CL260" s="198"/>
      <c r="CM260" s="198"/>
    </row>
    <row r="261" spans="1:91">
      <c r="A261" s="158" t="s">
        <v>7903</v>
      </c>
      <c r="B261" s="112" t="s">
        <v>271</v>
      </c>
      <c r="C261" s="112">
        <v>2</v>
      </c>
      <c r="D261">
        <v>213</v>
      </c>
      <c r="E261" s="113">
        <v>26</v>
      </c>
      <c r="F261" s="113">
        <v>8</v>
      </c>
      <c r="I261" s="112">
        <v>47</v>
      </c>
      <c r="J261" s="183">
        <v>41705</v>
      </c>
      <c r="M261" s="184"/>
      <c r="N261" s="157">
        <v>41853</v>
      </c>
      <c r="T261" s="157">
        <v>41853</v>
      </c>
      <c r="U261" s="139">
        <v>15.3</v>
      </c>
      <c r="Y261" s="139">
        <f t="shared" si="4"/>
        <v>0</v>
      </c>
      <c r="AG261" s="185"/>
      <c r="AI261" s="185">
        <v>115</v>
      </c>
      <c r="AJ261" s="157">
        <v>41803</v>
      </c>
      <c r="AO261" s="139">
        <v>93</v>
      </c>
      <c r="AP261" s="157">
        <v>41738</v>
      </c>
      <c r="AS261" s="139">
        <v>127</v>
      </c>
      <c r="AT261" s="157">
        <v>41766</v>
      </c>
      <c r="CJ261" s="140" t="s">
        <v>8156</v>
      </c>
    </row>
    <row r="262" spans="1:91">
      <c r="A262" s="158" t="s">
        <v>7621</v>
      </c>
      <c r="B262" s="112" t="s">
        <v>271</v>
      </c>
      <c r="C262" s="112">
        <v>2</v>
      </c>
      <c r="D262">
        <v>6</v>
      </c>
      <c r="E262" s="113">
        <v>26</v>
      </c>
      <c r="F262" s="113">
        <v>9</v>
      </c>
      <c r="I262" s="187">
        <v>44</v>
      </c>
      <c r="J262" s="183">
        <v>41705</v>
      </c>
      <c r="K262" s="142"/>
      <c r="M262" s="184">
        <v>1.68</v>
      </c>
      <c r="N262" s="157">
        <v>41853</v>
      </c>
      <c r="O262" s="141"/>
      <c r="Q262" s="142"/>
      <c r="S262" s="142">
        <v>5.29</v>
      </c>
      <c r="T262" s="157">
        <v>41853</v>
      </c>
      <c r="U262" s="142">
        <v>15.3</v>
      </c>
      <c r="W262" s="142"/>
      <c r="Y262" s="139">
        <f t="shared" si="4"/>
        <v>2.6547399999999999</v>
      </c>
      <c r="AA262" s="142">
        <v>20.309999999999999</v>
      </c>
      <c r="AE262" s="142">
        <v>10.97</v>
      </c>
      <c r="AG262" s="185">
        <v>5.4</v>
      </c>
      <c r="AI262" s="185">
        <v>125</v>
      </c>
      <c r="AJ262" s="157">
        <v>41803</v>
      </c>
      <c r="AK262" s="142"/>
      <c r="AM262" s="142"/>
      <c r="AO262" s="139">
        <v>92</v>
      </c>
      <c r="AP262" s="157">
        <v>41738</v>
      </c>
      <c r="AS262" s="139">
        <v>129</v>
      </c>
      <c r="AT262" s="157">
        <v>41766</v>
      </c>
      <c r="BS262" s="140">
        <v>48.2</v>
      </c>
      <c r="BU262" s="140">
        <v>24.2</v>
      </c>
      <c r="BW262" s="140">
        <v>76.2</v>
      </c>
      <c r="BY262" s="140">
        <v>9.1</v>
      </c>
      <c r="CJ262" s="140" t="s">
        <v>8140</v>
      </c>
    </row>
    <row r="263" spans="1:91">
      <c r="A263" s="158" t="s">
        <v>7798</v>
      </c>
      <c r="B263" s="112" t="s">
        <v>271</v>
      </c>
      <c r="C263" s="112">
        <v>2</v>
      </c>
      <c r="D263">
        <v>183</v>
      </c>
      <c r="E263" s="113">
        <v>26</v>
      </c>
      <c r="F263" s="113">
        <v>10</v>
      </c>
      <c r="I263" s="112">
        <v>50</v>
      </c>
      <c r="J263" s="183">
        <v>41705</v>
      </c>
      <c r="M263" s="184">
        <v>4.84</v>
      </c>
      <c r="N263" s="157">
        <v>41853</v>
      </c>
      <c r="S263" s="139">
        <v>16.46</v>
      </c>
      <c r="T263" s="157">
        <v>41853</v>
      </c>
      <c r="U263" s="139">
        <v>15.3</v>
      </c>
      <c r="Y263" s="139">
        <f t="shared" si="4"/>
        <v>6.3690599999999993</v>
      </c>
      <c r="AA263" s="139">
        <v>68.540000000000006</v>
      </c>
      <c r="AE263" s="139">
        <v>31.53</v>
      </c>
      <c r="AG263" s="185">
        <v>4.5999999999999996</v>
      </c>
      <c r="AI263" s="185">
        <v>120</v>
      </c>
      <c r="AJ263" s="157">
        <v>41803</v>
      </c>
      <c r="AO263" s="139">
        <v>94</v>
      </c>
      <c r="AP263" s="157">
        <v>41738</v>
      </c>
      <c r="AS263" s="139">
        <v>128</v>
      </c>
      <c r="AT263" s="157">
        <v>41766</v>
      </c>
      <c r="BS263" s="140">
        <v>52.2</v>
      </c>
      <c r="BU263" s="140">
        <v>20.2</v>
      </c>
      <c r="BW263" s="140">
        <v>11.9</v>
      </c>
      <c r="BY263" s="140">
        <v>9.3000000000000007</v>
      </c>
      <c r="CJ263" s="140" t="s">
        <v>8140</v>
      </c>
    </row>
    <row r="264" spans="1:91">
      <c r="A264" s="158" t="s">
        <v>7767</v>
      </c>
      <c r="B264" s="112" t="s">
        <v>271</v>
      </c>
      <c r="C264" s="112">
        <v>2</v>
      </c>
      <c r="D264">
        <v>152</v>
      </c>
      <c r="E264" s="113">
        <v>26</v>
      </c>
      <c r="F264" s="113">
        <v>11</v>
      </c>
      <c r="I264" s="112">
        <v>43</v>
      </c>
      <c r="J264" s="183">
        <v>41705</v>
      </c>
      <c r="M264" s="184">
        <v>3.16</v>
      </c>
      <c r="N264" s="157">
        <v>41853</v>
      </c>
      <c r="S264" s="139">
        <v>10.39</v>
      </c>
      <c r="T264" s="157">
        <v>41853</v>
      </c>
      <c r="U264" s="139">
        <v>15.3</v>
      </c>
      <c r="Y264" s="139">
        <f t="shared" si="4"/>
        <v>4.0189500000000002</v>
      </c>
      <c r="AA264" s="139">
        <v>42.94</v>
      </c>
      <c r="AE264" s="139">
        <v>20.61</v>
      </c>
      <c r="AG264" s="185">
        <v>4.8</v>
      </c>
      <c r="AI264" s="185">
        <v>105</v>
      </c>
      <c r="AJ264" s="157">
        <v>41803</v>
      </c>
      <c r="AO264" s="139">
        <v>93</v>
      </c>
      <c r="AP264" s="157">
        <v>41738</v>
      </c>
      <c r="AS264" s="139">
        <v>128</v>
      </c>
      <c r="AT264" s="157">
        <v>41766</v>
      </c>
      <c r="BS264" s="140">
        <v>50.4</v>
      </c>
      <c r="BU264" s="140">
        <v>19.5</v>
      </c>
      <c r="BW264" s="140">
        <v>55.3</v>
      </c>
      <c r="BY264" s="140">
        <v>9.1999999999999993</v>
      </c>
      <c r="CJ264" s="140" t="s">
        <v>8139</v>
      </c>
    </row>
    <row r="265" spans="1:91">
      <c r="A265" s="158" t="s">
        <v>7716</v>
      </c>
      <c r="B265" s="112" t="s">
        <v>271</v>
      </c>
      <c r="C265" s="112">
        <v>2</v>
      </c>
      <c r="D265">
        <v>101</v>
      </c>
      <c r="E265" s="113">
        <v>26</v>
      </c>
      <c r="F265" s="113">
        <v>12</v>
      </c>
      <c r="I265" s="112">
        <v>60</v>
      </c>
      <c r="J265" s="183">
        <v>41705</v>
      </c>
      <c r="M265" s="184">
        <v>4.04</v>
      </c>
      <c r="N265" s="157">
        <v>41853</v>
      </c>
      <c r="S265" s="139">
        <v>13.38</v>
      </c>
      <c r="T265" s="157">
        <v>41853</v>
      </c>
      <c r="U265" s="139">
        <v>15.3</v>
      </c>
      <c r="Y265" s="139">
        <f t="shared" si="4"/>
        <v>5.2979999999999992</v>
      </c>
      <c r="AA265" s="139">
        <v>67.92</v>
      </c>
      <c r="AE265" s="139">
        <v>26.49</v>
      </c>
      <c r="AG265" s="185">
        <v>3.9</v>
      </c>
      <c r="AI265" s="185">
        <v>120</v>
      </c>
      <c r="AJ265" s="157">
        <v>41803</v>
      </c>
      <c r="AO265" s="139">
        <v>95</v>
      </c>
      <c r="AP265" s="157">
        <v>41738</v>
      </c>
      <c r="AS265" s="139">
        <v>128</v>
      </c>
      <c r="AT265" s="157">
        <v>41766</v>
      </c>
      <c r="BS265" s="140">
        <v>50.5</v>
      </c>
      <c r="BU265" s="140">
        <v>20</v>
      </c>
      <c r="BW265" s="140">
        <v>17</v>
      </c>
      <c r="BY265" s="140">
        <v>8.6999999999999993</v>
      </c>
      <c r="CJ265" s="140" t="s">
        <v>8140</v>
      </c>
    </row>
    <row r="266" spans="1:91">
      <c r="A266" s="158" t="s">
        <v>7818</v>
      </c>
      <c r="B266" s="112" t="s">
        <v>269</v>
      </c>
      <c r="C266" s="112">
        <v>1</v>
      </c>
      <c r="D266">
        <v>203</v>
      </c>
      <c r="E266" s="113">
        <v>27</v>
      </c>
      <c r="F266" s="113">
        <v>1</v>
      </c>
      <c r="I266" s="112">
        <v>22</v>
      </c>
      <c r="J266" s="183">
        <v>41705</v>
      </c>
      <c r="M266" s="184">
        <v>2.1800000000000002</v>
      </c>
      <c r="N266" s="157">
        <v>41853</v>
      </c>
      <c r="S266" s="139">
        <v>7.14</v>
      </c>
      <c r="T266" s="157">
        <v>41853</v>
      </c>
      <c r="U266" s="139">
        <v>15.3</v>
      </c>
      <c r="Y266" s="139">
        <f t="shared" si="4"/>
        <v>3.02312</v>
      </c>
      <c r="AA266" s="139">
        <v>24.17</v>
      </c>
      <c r="AE266" s="139">
        <v>14.26</v>
      </c>
      <c r="AG266" s="185">
        <v>5.9</v>
      </c>
      <c r="AI266" s="185">
        <v>135</v>
      </c>
      <c r="AJ266" s="157">
        <v>41803</v>
      </c>
      <c r="AO266" s="139">
        <v>96</v>
      </c>
      <c r="AP266" s="157">
        <v>41738</v>
      </c>
      <c r="AS266" s="139">
        <v>126</v>
      </c>
      <c r="AT266" s="157">
        <v>41766</v>
      </c>
      <c r="BS266" s="140">
        <v>50.1</v>
      </c>
      <c r="BU266" s="140">
        <v>21.2</v>
      </c>
      <c r="BW266" s="140">
        <v>26.3</v>
      </c>
      <c r="BY266" s="140">
        <v>8.9</v>
      </c>
      <c r="CJ266" s="140" t="s">
        <v>8131</v>
      </c>
    </row>
    <row r="267" spans="1:91">
      <c r="A267" s="158" t="s">
        <v>7734</v>
      </c>
      <c r="B267" s="112" t="s">
        <v>269</v>
      </c>
      <c r="C267" s="112">
        <v>1</v>
      </c>
      <c r="D267">
        <v>119</v>
      </c>
      <c r="E267" s="113">
        <v>27</v>
      </c>
      <c r="F267" s="113">
        <v>2</v>
      </c>
      <c r="I267" s="112">
        <v>33</v>
      </c>
      <c r="J267" s="183">
        <v>41705</v>
      </c>
      <c r="M267" s="184">
        <v>2.69</v>
      </c>
      <c r="N267" s="157">
        <v>41853</v>
      </c>
      <c r="S267" s="139">
        <v>8.69</v>
      </c>
      <c r="T267" s="157">
        <v>41853</v>
      </c>
      <c r="U267" s="139">
        <v>15.3</v>
      </c>
      <c r="Y267" s="139">
        <f t="shared" si="4"/>
        <v>3.7664</v>
      </c>
      <c r="AA267" s="139">
        <v>40.93</v>
      </c>
      <c r="AE267" s="139">
        <v>17.600000000000001</v>
      </c>
      <c r="AG267" s="185">
        <v>4.3</v>
      </c>
      <c r="AI267" s="185">
        <v>125</v>
      </c>
      <c r="AJ267" s="157">
        <v>41803</v>
      </c>
      <c r="AO267" s="139">
        <v>94</v>
      </c>
      <c r="AP267" s="157">
        <v>41738</v>
      </c>
      <c r="AS267" s="139">
        <v>126</v>
      </c>
      <c r="AT267" s="157">
        <v>41766</v>
      </c>
      <c r="BS267" s="140">
        <v>49.4</v>
      </c>
      <c r="BU267" s="140">
        <v>21.4</v>
      </c>
      <c r="BW267" s="140">
        <v>20.9</v>
      </c>
      <c r="BY267" s="140">
        <v>8.9</v>
      </c>
      <c r="CJ267" s="140" t="s">
        <v>8140</v>
      </c>
    </row>
    <row r="268" spans="1:91">
      <c r="A268" s="158" t="s">
        <v>7632</v>
      </c>
      <c r="B268" s="112" t="s">
        <v>269</v>
      </c>
      <c r="C268" s="112">
        <v>1</v>
      </c>
      <c r="D268">
        <v>17</v>
      </c>
      <c r="E268" s="113">
        <v>27</v>
      </c>
      <c r="F268" s="113">
        <v>3</v>
      </c>
      <c r="I268" s="187">
        <v>38</v>
      </c>
      <c r="J268" s="183">
        <v>41705</v>
      </c>
      <c r="K268" s="142"/>
      <c r="M268" s="184">
        <v>1.3</v>
      </c>
      <c r="N268" s="157">
        <v>41853</v>
      </c>
      <c r="O268" s="141"/>
      <c r="Q268" s="142"/>
      <c r="S268" s="142">
        <v>4.2300000000000004</v>
      </c>
      <c r="T268" s="157">
        <v>41853</v>
      </c>
      <c r="U268" s="142">
        <v>15.3</v>
      </c>
      <c r="W268" s="142"/>
      <c r="Y268" s="139">
        <f t="shared" si="4"/>
        <v>1.82965</v>
      </c>
      <c r="AA268" s="142">
        <v>17.37</v>
      </c>
      <c r="AE268" s="142">
        <v>8.51</v>
      </c>
      <c r="AG268" s="185">
        <v>4.9000000000000004</v>
      </c>
      <c r="AI268" s="185">
        <v>125</v>
      </c>
      <c r="AJ268" s="157">
        <v>41803</v>
      </c>
      <c r="AK268" s="142"/>
      <c r="AM268" s="142"/>
      <c r="AO268" s="139">
        <v>94</v>
      </c>
      <c r="AP268" s="157">
        <v>41738</v>
      </c>
      <c r="AS268" s="139">
        <v>127</v>
      </c>
      <c r="AT268" s="157">
        <v>41766</v>
      </c>
      <c r="BS268" s="140">
        <v>49.7</v>
      </c>
      <c r="BU268" s="140">
        <v>21.5</v>
      </c>
      <c r="BW268" s="140">
        <v>57</v>
      </c>
      <c r="BY268" s="140">
        <v>8.9</v>
      </c>
      <c r="CJ268" s="140" t="s">
        <v>8140</v>
      </c>
    </row>
    <row r="269" spans="1:91">
      <c r="A269" s="158" t="s">
        <v>7792</v>
      </c>
      <c r="B269" s="112" t="s">
        <v>269</v>
      </c>
      <c r="C269" s="112">
        <v>1</v>
      </c>
      <c r="D269">
        <v>177</v>
      </c>
      <c r="E269" s="113">
        <v>27</v>
      </c>
      <c r="F269" s="113">
        <v>4</v>
      </c>
      <c r="I269" s="112">
        <v>35</v>
      </c>
      <c r="J269" s="183">
        <v>41705</v>
      </c>
      <c r="M269" s="184">
        <v>1.73</v>
      </c>
      <c r="N269" s="157">
        <v>41853</v>
      </c>
      <c r="S269" s="139">
        <v>5.89</v>
      </c>
      <c r="T269" s="157">
        <v>41853</v>
      </c>
      <c r="U269" s="139">
        <v>15.3</v>
      </c>
      <c r="Y269" s="139">
        <f t="shared" si="4"/>
        <v>2.0942000000000003</v>
      </c>
      <c r="AA269" s="139">
        <v>26.95</v>
      </c>
      <c r="AE269" s="139">
        <v>11.32</v>
      </c>
      <c r="AG269" s="185">
        <v>4.2</v>
      </c>
      <c r="AI269" s="185">
        <v>115</v>
      </c>
      <c r="AJ269" s="157">
        <v>41803</v>
      </c>
      <c r="AO269" s="139">
        <v>97</v>
      </c>
      <c r="AP269" s="157">
        <v>41738</v>
      </c>
      <c r="AS269" s="139">
        <v>128</v>
      </c>
      <c r="AT269" s="157">
        <v>41766</v>
      </c>
      <c r="BS269" s="140">
        <v>52</v>
      </c>
      <c r="BU269" s="140">
        <v>18.5</v>
      </c>
      <c r="BW269" s="140">
        <v>10.9</v>
      </c>
      <c r="BY269" s="140">
        <v>8.9</v>
      </c>
      <c r="CJ269" s="140" t="s">
        <v>8131</v>
      </c>
    </row>
    <row r="270" spans="1:91">
      <c r="A270" s="158" t="s">
        <v>7616</v>
      </c>
      <c r="B270" s="112" t="s">
        <v>269</v>
      </c>
      <c r="C270" s="112">
        <v>1</v>
      </c>
      <c r="D270">
        <v>1</v>
      </c>
      <c r="E270" s="113">
        <v>27</v>
      </c>
      <c r="F270" s="113">
        <v>5</v>
      </c>
      <c r="I270" s="187">
        <v>35</v>
      </c>
      <c r="J270" s="183">
        <v>41705</v>
      </c>
      <c r="K270" s="142"/>
      <c r="M270" s="184">
        <v>1.34</v>
      </c>
      <c r="N270" s="157">
        <v>41853</v>
      </c>
      <c r="O270" s="141"/>
      <c r="Q270" s="142"/>
      <c r="S270" s="142">
        <v>4.3899999999999997</v>
      </c>
      <c r="T270" s="157">
        <v>41853</v>
      </c>
      <c r="U270" s="142">
        <v>15.3</v>
      </c>
      <c r="W270" s="142"/>
      <c r="Y270" s="139">
        <f t="shared" si="4"/>
        <v>1.8767799999999997</v>
      </c>
      <c r="AA270" s="142">
        <v>20.88</v>
      </c>
      <c r="AE270" s="142">
        <v>8.77</v>
      </c>
      <c r="AG270" s="185">
        <v>4.2</v>
      </c>
      <c r="AI270" s="185">
        <v>110</v>
      </c>
      <c r="AJ270" s="157">
        <v>41803</v>
      </c>
      <c r="AK270" s="142"/>
      <c r="AM270" s="142"/>
      <c r="AO270" s="139">
        <v>96</v>
      </c>
      <c r="AP270" s="157">
        <v>41738</v>
      </c>
      <c r="AS270" s="139">
        <v>126</v>
      </c>
      <c r="AT270" s="157">
        <v>41766</v>
      </c>
      <c r="BS270" s="140">
        <v>50.1</v>
      </c>
      <c r="BU270" s="140">
        <v>21.4</v>
      </c>
      <c r="BW270" s="140">
        <v>54.4</v>
      </c>
      <c r="BY270" s="140">
        <v>8.9</v>
      </c>
      <c r="CJ270" s="140" t="s">
        <v>8131</v>
      </c>
    </row>
    <row r="271" spans="1:91">
      <c r="A271" s="158" t="s">
        <v>7745</v>
      </c>
      <c r="B271" s="112" t="s">
        <v>269</v>
      </c>
      <c r="C271" s="112">
        <v>1</v>
      </c>
      <c r="D271">
        <v>130</v>
      </c>
      <c r="E271" s="113">
        <v>27</v>
      </c>
      <c r="F271" s="113">
        <v>6</v>
      </c>
      <c r="I271" s="112">
        <v>31</v>
      </c>
      <c r="J271" s="183">
        <v>41705</v>
      </c>
      <c r="M271" s="184">
        <v>2.61</v>
      </c>
      <c r="N271" s="157">
        <v>41853</v>
      </c>
      <c r="S271" s="139">
        <v>8.7899999999999991</v>
      </c>
      <c r="T271" s="157">
        <v>41853</v>
      </c>
      <c r="U271" s="139">
        <v>15.3</v>
      </c>
      <c r="Y271" s="139">
        <f t="shared" si="4"/>
        <v>3.2414000000000001</v>
      </c>
      <c r="AA271" s="139">
        <v>38.770000000000003</v>
      </c>
      <c r="AE271" s="139">
        <v>17.059999999999999</v>
      </c>
      <c r="AG271" s="185">
        <v>4.4000000000000004</v>
      </c>
      <c r="AI271" s="185">
        <v>115</v>
      </c>
      <c r="AJ271" s="157">
        <v>41803</v>
      </c>
      <c r="AO271" s="139">
        <v>92</v>
      </c>
      <c r="AP271" s="157">
        <v>41738</v>
      </c>
      <c r="AS271" s="139">
        <v>127</v>
      </c>
      <c r="AT271" s="157">
        <v>41766</v>
      </c>
      <c r="BS271" s="140">
        <v>51.5</v>
      </c>
      <c r="BU271" s="140">
        <v>19</v>
      </c>
      <c r="BW271" s="140">
        <v>16.100000000000001</v>
      </c>
      <c r="BY271" s="140">
        <v>9</v>
      </c>
      <c r="CJ271" s="140" t="s">
        <v>8140</v>
      </c>
    </row>
    <row r="272" spans="1:91">
      <c r="A272" s="158" t="s">
        <v>7647</v>
      </c>
      <c r="B272" s="112" t="s">
        <v>271</v>
      </c>
      <c r="C272" s="112">
        <v>2</v>
      </c>
      <c r="D272">
        <v>32</v>
      </c>
      <c r="E272" s="113">
        <v>27</v>
      </c>
      <c r="F272" s="113">
        <v>7</v>
      </c>
      <c r="I272" s="112">
        <v>39</v>
      </c>
      <c r="J272" s="183">
        <v>41705</v>
      </c>
      <c r="M272" s="184">
        <v>3.04</v>
      </c>
      <c r="N272" s="157">
        <v>41853</v>
      </c>
      <c r="S272" s="139">
        <v>10.37</v>
      </c>
      <c r="T272" s="157">
        <v>41853</v>
      </c>
      <c r="U272" s="139">
        <v>15.3</v>
      </c>
      <c r="Y272" s="139">
        <f t="shared" si="4"/>
        <v>4.1810999999999998</v>
      </c>
      <c r="AA272" s="139">
        <v>45.25</v>
      </c>
      <c r="AE272" s="139">
        <v>19.91</v>
      </c>
      <c r="AG272" s="185">
        <v>4.4000000000000004</v>
      </c>
      <c r="AI272" s="185">
        <v>115</v>
      </c>
      <c r="AJ272" s="157">
        <v>41803</v>
      </c>
      <c r="AO272" s="139">
        <v>97</v>
      </c>
      <c r="AP272" s="157">
        <v>41738</v>
      </c>
      <c r="AS272" s="139">
        <v>128</v>
      </c>
      <c r="AT272" s="157">
        <v>41766</v>
      </c>
      <c r="BS272" s="140">
        <v>52.1</v>
      </c>
      <c r="BU272" s="140">
        <v>21</v>
      </c>
      <c r="BW272" s="140">
        <v>50.1</v>
      </c>
      <c r="BY272" s="140">
        <v>8.8000000000000007</v>
      </c>
      <c r="CJ272" s="140" t="s">
        <v>8132</v>
      </c>
    </row>
    <row r="273" spans="1:91">
      <c r="A273" s="158" t="s">
        <v>7663</v>
      </c>
      <c r="B273" s="112" t="s">
        <v>271</v>
      </c>
      <c r="C273" s="112">
        <v>2</v>
      </c>
      <c r="D273">
        <v>48</v>
      </c>
      <c r="E273" s="113">
        <v>27</v>
      </c>
      <c r="F273" s="113">
        <v>8</v>
      </c>
      <c r="I273" s="112">
        <v>41</v>
      </c>
      <c r="J273" s="183">
        <v>41705</v>
      </c>
      <c r="M273" s="184">
        <v>1.86</v>
      </c>
      <c r="N273" s="157">
        <v>41853</v>
      </c>
      <c r="S273" s="139">
        <v>5.78</v>
      </c>
      <c r="T273" s="157">
        <v>41853</v>
      </c>
      <c r="U273" s="139">
        <v>15.3</v>
      </c>
      <c r="Y273" s="139">
        <f t="shared" si="4"/>
        <v>2.7260800000000001</v>
      </c>
      <c r="AA273" s="139">
        <v>30.43</v>
      </c>
      <c r="AE273" s="139">
        <v>12.17</v>
      </c>
      <c r="AG273" s="185">
        <v>4</v>
      </c>
      <c r="AI273" s="185">
        <v>110</v>
      </c>
      <c r="AJ273" s="157">
        <v>41803</v>
      </c>
      <c r="AO273" s="139">
        <v>93</v>
      </c>
      <c r="AP273" s="157">
        <v>41738</v>
      </c>
      <c r="AS273" s="139">
        <v>128</v>
      </c>
      <c r="AT273" s="157">
        <v>41766</v>
      </c>
      <c r="BS273" s="140">
        <v>47.5</v>
      </c>
      <c r="BU273" s="140">
        <v>22.4</v>
      </c>
      <c r="BW273" s="140">
        <v>55.6</v>
      </c>
      <c r="BY273" s="140">
        <v>8.9</v>
      </c>
      <c r="CJ273" s="140" t="s">
        <v>8144</v>
      </c>
    </row>
    <row r="274" spans="1:91">
      <c r="A274" s="158" t="s">
        <v>7769</v>
      </c>
      <c r="B274" s="112" t="s">
        <v>271</v>
      </c>
      <c r="C274" s="112">
        <v>2</v>
      </c>
      <c r="D274">
        <v>154</v>
      </c>
      <c r="E274" s="113">
        <v>27</v>
      </c>
      <c r="F274" s="113">
        <v>9</v>
      </c>
      <c r="I274" s="112">
        <v>52</v>
      </c>
      <c r="J274" s="183">
        <v>41705</v>
      </c>
      <c r="M274" s="184">
        <v>1.9</v>
      </c>
      <c r="N274" s="157">
        <v>41853</v>
      </c>
      <c r="S274" s="139">
        <v>6.31</v>
      </c>
      <c r="T274" s="157">
        <v>41853</v>
      </c>
      <c r="U274" s="139">
        <v>15.3</v>
      </c>
      <c r="Y274" s="139">
        <f t="shared" si="4"/>
        <v>2.7967500000000003</v>
      </c>
      <c r="AA274" s="139">
        <v>27.02</v>
      </c>
      <c r="AE274" s="139">
        <v>12.43</v>
      </c>
      <c r="AG274" s="185">
        <v>4.5999999999999996</v>
      </c>
      <c r="AI274" s="185">
        <v>130</v>
      </c>
      <c r="AJ274" s="157">
        <v>41803</v>
      </c>
      <c r="AO274" s="139">
        <v>100</v>
      </c>
      <c r="AP274" s="157">
        <v>41738</v>
      </c>
      <c r="AS274" s="139">
        <v>129</v>
      </c>
      <c r="AT274" s="157">
        <v>41766</v>
      </c>
      <c r="BS274" s="140">
        <v>50.8</v>
      </c>
      <c r="BU274" s="140">
        <v>22.5</v>
      </c>
      <c r="BW274" s="140">
        <v>58.8</v>
      </c>
      <c r="BY274" s="140">
        <v>8.9</v>
      </c>
      <c r="CJ274" s="140" t="s">
        <v>8131</v>
      </c>
    </row>
    <row r="275" spans="1:91">
      <c r="A275" s="158" t="s">
        <v>7699</v>
      </c>
      <c r="B275" s="112" t="s">
        <v>271</v>
      </c>
      <c r="C275" s="112">
        <v>2</v>
      </c>
      <c r="D275">
        <v>84</v>
      </c>
      <c r="E275" s="113">
        <v>27</v>
      </c>
      <c r="F275" s="113">
        <v>10</v>
      </c>
      <c r="I275" s="112">
        <v>37</v>
      </c>
      <c r="J275" s="183">
        <v>41705</v>
      </c>
      <c r="M275" s="184">
        <v>3.95</v>
      </c>
      <c r="N275" s="157">
        <v>41853</v>
      </c>
      <c r="S275" s="139">
        <v>12.89</v>
      </c>
      <c r="T275" s="157">
        <v>41853</v>
      </c>
      <c r="U275" s="139">
        <v>15.3</v>
      </c>
      <c r="Y275" s="139">
        <f t="shared" si="4"/>
        <v>5.4452999999999996</v>
      </c>
      <c r="AA275" s="139">
        <v>57.62</v>
      </c>
      <c r="AE275" s="139">
        <v>25.93</v>
      </c>
      <c r="AG275" s="185">
        <v>4.5</v>
      </c>
      <c r="AI275" s="185">
        <v>115</v>
      </c>
      <c r="AJ275" s="157">
        <v>41803</v>
      </c>
      <c r="AO275" s="139">
        <v>90</v>
      </c>
      <c r="AP275" s="157">
        <v>41738</v>
      </c>
      <c r="AS275" s="139">
        <v>127</v>
      </c>
      <c r="AT275" s="157">
        <v>41766</v>
      </c>
      <c r="BS275" s="140">
        <v>49.7</v>
      </c>
      <c r="BU275" s="140">
        <v>21</v>
      </c>
      <c r="BW275" s="140">
        <v>17</v>
      </c>
      <c r="BY275" s="140">
        <v>8.6</v>
      </c>
      <c r="CJ275" s="140" t="s">
        <v>8140</v>
      </c>
    </row>
    <row r="276" spans="1:91">
      <c r="A276" s="158" t="s">
        <v>7808</v>
      </c>
      <c r="B276" s="112" t="s">
        <v>271</v>
      </c>
      <c r="C276" s="112">
        <v>2</v>
      </c>
      <c r="D276">
        <v>193</v>
      </c>
      <c r="E276" s="113">
        <v>27</v>
      </c>
      <c r="F276" s="113">
        <v>11</v>
      </c>
      <c r="I276" s="112">
        <v>46</v>
      </c>
      <c r="J276" s="183">
        <v>41705</v>
      </c>
      <c r="M276" s="184">
        <v>3.22</v>
      </c>
      <c r="N276" s="157">
        <v>41853</v>
      </c>
      <c r="S276" s="139">
        <v>11.01</v>
      </c>
      <c r="T276" s="157">
        <v>41853</v>
      </c>
      <c r="U276" s="139">
        <v>15.3</v>
      </c>
      <c r="Y276" s="139">
        <f t="shared" si="4"/>
        <v>4.1645799999999999</v>
      </c>
      <c r="AA276" s="139">
        <v>41.45</v>
      </c>
      <c r="AE276" s="139">
        <v>21.14</v>
      </c>
      <c r="AG276" s="185">
        <v>5.0999999999999996</v>
      </c>
      <c r="AI276" s="185">
        <v>110</v>
      </c>
      <c r="AJ276" s="157">
        <v>41803</v>
      </c>
      <c r="AO276" s="139">
        <v>93</v>
      </c>
      <c r="AP276" s="157">
        <v>41738</v>
      </c>
      <c r="AS276" s="139">
        <v>127</v>
      </c>
      <c r="AT276" s="157">
        <v>41766</v>
      </c>
      <c r="BS276" s="140">
        <v>52.1</v>
      </c>
      <c r="BU276" s="140">
        <v>19.7</v>
      </c>
      <c r="BW276" s="140">
        <v>16</v>
      </c>
      <c r="BY276" s="140">
        <v>8.6</v>
      </c>
      <c r="CJ276" s="140" t="s">
        <v>8140</v>
      </c>
    </row>
    <row r="277" spans="1:91">
      <c r="A277" s="188" t="s">
        <v>7746</v>
      </c>
      <c r="B277" s="189" t="s">
        <v>271</v>
      </c>
      <c r="C277" s="189">
        <v>2</v>
      </c>
      <c r="D277" s="190">
        <v>131</v>
      </c>
      <c r="E277" s="191">
        <v>27</v>
      </c>
      <c r="F277" s="191">
        <v>12</v>
      </c>
      <c r="G277" s="191"/>
      <c r="H277" s="191"/>
      <c r="I277" s="189">
        <v>66</v>
      </c>
      <c r="J277" s="193">
        <v>41705</v>
      </c>
      <c r="K277" s="194"/>
      <c r="L277" s="195"/>
      <c r="M277" s="196">
        <v>1.02</v>
      </c>
      <c r="N277" s="195">
        <v>41853</v>
      </c>
      <c r="O277" s="194"/>
      <c r="P277" s="195"/>
      <c r="Q277" s="194"/>
      <c r="R277" s="195"/>
      <c r="S277" s="194">
        <v>3.07</v>
      </c>
      <c r="T277" s="195">
        <v>41853</v>
      </c>
      <c r="U277" s="194">
        <v>15.3</v>
      </c>
      <c r="V277" s="195"/>
      <c r="W277" s="194"/>
      <c r="X277" s="195"/>
      <c r="Y277" s="139">
        <f t="shared" si="4"/>
        <v>1.6875100000000001</v>
      </c>
      <c r="Z277" s="195"/>
      <c r="AA277" s="194">
        <v>13.9</v>
      </c>
      <c r="AB277" s="195"/>
      <c r="AC277" s="194"/>
      <c r="AD277" s="195"/>
      <c r="AE277" s="194">
        <v>6.67</v>
      </c>
      <c r="AF277" s="195"/>
      <c r="AG277" s="197">
        <v>4.8</v>
      </c>
      <c r="AH277" s="195"/>
      <c r="AI277" s="197">
        <v>110</v>
      </c>
      <c r="AJ277" s="195">
        <v>41803</v>
      </c>
      <c r="AK277" s="194"/>
      <c r="AL277" s="195"/>
      <c r="AM277" s="194"/>
      <c r="AN277" s="195"/>
      <c r="AO277" s="194">
        <v>80</v>
      </c>
      <c r="AP277" s="195">
        <v>41738</v>
      </c>
      <c r="AQ277" s="194"/>
      <c r="AR277" s="194"/>
      <c r="AS277" s="194">
        <v>127</v>
      </c>
      <c r="AT277" s="195">
        <v>41766</v>
      </c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8"/>
      <c r="BF277" s="198"/>
      <c r="BG277" s="198"/>
      <c r="BH277" s="198"/>
      <c r="BI277" s="198"/>
      <c r="BJ277" s="198"/>
      <c r="BK277" s="198"/>
      <c r="BL277" s="198"/>
      <c r="BM277" s="198"/>
      <c r="BN277" s="198"/>
      <c r="BO277" s="198"/>
      <c r="BP277" s="198"/>
      <c r="BQ277" s="198"/>
      <c r="BR277" s="198"/>
      <c r="BS277" s="198">
        <v>46.1</v>
      </c>
      <c r="BT277" s="198"/>
      <c r="BU277" s="198">
        <v>25.3</v>
      </c>
      <c r="BV277" s="198"/>
      <c r="BW277" s="198">
        <v>65.3</v>
      </c>
      <c r="BX277" s="198"/>
      <c r="BY277" s="198">
        <v>8.9</v>
      </c>
      <c r="BZ277" s="198"/>
      <c r="CA277" s="198"/>
      <c r="CB277" s="198"/>
      <c r="CC277" s="198"/>
      <c r="CD277" s="198"/>
      <c r="CE277" s="198"/>
      <c r="CF277" s="198"/>
      <c r="CG277" s="198"/>
      <c r="CH277" s="198"/>
      <c r="CI277" s="198"/>
      <c r="CJ277" s="198" t="s">
        <v>8152</v>
      </c>
      <c r="CK277" s="198"/>
      <c r="CL277" s="198"/>
      <c r="CM277" s="198"/>
    </row>
    <row r="278" spans="1:91">
      <c r="A278" s="158" t="s">
        <v>7715</v>
      </c>
      <c r="B278" s="112" t="s">
        <v>269</v>
      </c>
      <c r="C278" s="112">
        <v>1</v>
      </c>
      <c r="D278">
        <v>100</v>
      </c>
      <c r="E278" s="113">
        <v>28</v>
      </c>
      <c r="F278" s="113">
        <v>1</v>
      </c>
      <c r="I278" s="112">
        <v>33</v>
      </c>
      <c r="J278" s="183">
        <v>41705</v>
      </c>
      <c r="M278" s="184">
        <v>2.52</v>
      </c>
      <c r="N278" s="157">
        <v>41853</v>
      </c>
      <c r="S278" s="139">
        <v>7.91</v>
      </c>
      <c r="T278" s="157">
        <v>41853</v>
      </c>
      <c r="U278" s="139">
        <v>15.3</v>
      </c>
      <c r="Y278" s="139">
        <f t="shared" si="4"/>
        <v>3.7999499999999999</v>
      </c>
      <c r="AA278" s="139">
        <v>31.04</v>
      </c>
      <c r="AE278" s="139">
        <v>16.45</v>
      </c>
      <c r="AG278" s="185">
        <v>5.3</v>
      </c>
      <c r="AI278" s="185">
        <v>115</v>
      </c>
      <c r="AJ278" s="157">
        <v>41803</v>
      </c>
      <c r="AO278" s="139">
        <v>91</v>
      </c>
      <c r="AP278" s="157">
        <v>41738</v>
      </c>
      <c r="AS278" s="139">
        <v>125</v>
      </c>
      <c r="AT278" s="157">
        <v>41766</v>
      </c>
      <c r="BS278" s="140">
        <v>48.1</v>
      </c>
      <c r="BU278" s="140">
        <v>23.1</v>
      </c>
      <c r="BW278" s="140">
        <v>17.600000000000001</v>
      </c>
      <c r="BY278" s="140">
        <v>9.1</v>
      </c>
      <c r="CJ278" s="140" t="s">
        <v>8140</v>
      </c>
    </row>
    <row r="279" spans="1:91">
      <c r="A279" s="158" t="s">
        <v>7701</v>
      </c>
      <c r="B279" s="112" t="s">
        <v>269</v>
      </c>
      <c r="C279" s="112">
        <v>1</v>
      </c>
      <c r="D279">
        <v>86</v>
      </c>
      <c r="E279" s="113">
        <v>28</v>
      </c>
      <c r="F279" s="113">
        <v>2</v>
      </c>
      <c r="I279" s="112">
        <v>33</v>
      </c>
      <c r="J279" s="183">
        <v>41705</v>
      </c>
      <c r="M279" s="184">
        <v>1.98</v>
      </c>
      <c r="N279" s="157">
        <v>41853</v>
      </c>
      <c r="S279" s="139">
        <v>6.32</v>
      </c>
      <c r="T279" s="157">
        <v>41853</v>
      </c>
      <c r="U279" s="139">
        <v>15.3</v>
      </c>
      <c r="Y279" s="139">
        <f t="shared" si="4"/>
        <v>2.6827199999999998</v>
      </c>
      <c r="AA279" s="139">
        <v>28.8</v>
      </c>
      <c r="AE279" s="139">
        <v>12.96</v>
      </c>
      <c r="AG279" s="185">
        <v>4.5</v>
      </c>
      <c r="AI279" s="185">
        <v>130</v>
      </c>
      <c r="AJ279" s="157">
        <v>41803</v>
      </c>
      <c r="AO279" s="139">
        <v>94</v>
      </c>
      <c r="AP279" s="157">
        <v>41738</v>
      </c>
      <c r="AS279" s="139">
        <v>127</v>
      </c>
      <c r="AT279" s="157">
        <v>41766</v>
      </c>
      <c r="BS279" s="140">
        <v>48.8</v>
      </c>
      <c r="BU279" s="140">
        <v>20.7</v>
      </c>
      <c r="BW279" s="140">
        <v>18.600000000000001</v>
      </c>
      <c r="BY279" s="140">
        <v>8.9</v>
      </c>
      <c r="CJ279" s="140" t="s">
        <v>8140</v>
      </c>
    </row>
    <row r="280" spans="1:91">
      <c r="A280" s="158" t="s">
        <v>7781</v>
      </c>
      <c r="B280" s="112" t="s">
        <v>269</v>
      </c>
      <c r="C280" s="112">
        <v>1</v>
      </c>
      <c r="D280">
        <v>166</v>
      </c>
      <c r="E280" s="113">
        <v>28</v>
      </c>
      <c r="F280" s="113">
        <v>3</v>
      </c>
      <c r="I280" s="112">
        <v>30</v>
      </c>
      <c r="J280" s="183">
        <v>41705</v>
      </c>
      <c r="M280" s="184">
        <v>1.82</v>
      </c>
      <c r="N280" s="157">
        <v>41853</v>
      </c>
      <c r="S280" s="139">
        <v>6.04</v>
      </c>
      <c r="T280" s="157">
        <v>41853</v>
      </c>
      <c r="U280" s="139">
        <v>15.3</v>
      </c>
      <c r="Y280" s="139">
        <f t="shared" si="4"/>
        <v>2.3224499999999999</v>
      </c>
      <c r="AA280" s="139">
        <v>25.34</v>
      </c>
      <c r="AE280" s="139">
        <v>11.91</v>
      </c>
      <c r="AG280" s="185">
        <v>4.7</v>
      </c>
      <c r="AI280" s="185">
        <v>105</v>
      </c>
      <c r="AJ280" s="157">
        <v>41803</v>
      </c>
      <c r="AO280" s="139">
        <v>93</v>
      </c>
      <c r="AP280" s="157">
        <v>41738</v>
      </c>
      <c r="AS280" s="139">
        <v>127</v>
      </c>
      <c r="AT280" s="157">
        <v>41766</v>
      </c>
      <c r="BS280" s="140">
        <v>50.7</v>
      </c>
      <c r="BU280" s="140">
        <v>19.5</v>
      </c>
      <c r="BW280" s="140">
        <v>10.1</v>
      </c>
      <c r="BY280" s="140">
        <v>8.9</v>
      </c>
      <c r="CJ280" s="140" t="s">
        <v>8140</v>
      </c>
    </row>
    <row r="281" spans="1:91">
      <c r="A281" s="158" t="s">
        <v>7718</v>
      </c>
      <c r="B281" s="112" t="s">
        <v>269</v>
      </c>
      <c r="C281" s="112">
        <v>1</v>
      </c>
      <c r="D281">
        <v>103</v>
      </c>
      <c r="E281" s="113">
        <v>28</v>
      </c>
      <c r="F281" s="113">
        <v>4</v>
      </c>
      <c r="I281" s="112">
        <v>23</v>
      </c>
      <c r="J281" s="183">
        <v>41705</v>
      </c>
      <c r="M281" s="184">
        <v>2.15</v>
      </c>
      <c r="N281" s="157">
        <v>41853</v>
      </c>
      <c r="S281" s="139">
        <v>7.46</v>
      </c>
      <c r="T281" s="157">
        <v>41853</v>
      </c>
      <c r="U281" s="139">
        <v>15.3</v>
      </c>
      <c r="Y281" s="139">
        <f t="shared" si="4"/>
        <v>2.3637600000000001</v>
      </c>
      <c r="AA281" s="139">
        <v>32.72</v>
      </c>
      <c r="AE281" s="139">
        <v>14.07</v>
      </c>
      <c r="AG281" s="185">
        <v>4.3</v>
      </c>
      <c r="AI281" s="185">
        <v>120</v>
      </c>
      <c r="AJ281" s="157">
        <v>41803</v>
      </c>
      <c r="AO281" s="139">
        <v>94</v>
      </c>
      <c r="AP281" s="157">
        <v>41738</v>
      </c>
      <c r="AS281" s="139">
        <v>126</v>
      </c>
      <c r="AT281" s="157">
        <v>41766</v>
      </c>
      <c r="BS281" s="140">
        <v>53</v>
      </c>
      <c r="BU281" s="140">
        <v>16.8</v>
      </c>
      <c r="BW281" s="140">
        <v>14.2</v>
      </c>
      <c r="BY281" s="140">
        <v>8.9</v>
      </c>
      <c r="CJ281" s="140" t="s">
        <v>8140</v>
      </c>
    </row>
    <row r="282" spans="1:91">
      <c r="A282" s="158" t="s">
        <v>8129</v>
      </c>
      <c r="B282" s="112" t="s">
        <v>269</v>
      </c>
      <c r="C282" s="112">
        <v>1</v>
      </c>
      <c r="D282">
        <v>215</v>
      </c>
      <c r="E282" s="113">
        <v>28</v>
      </c>
      <c r="F282" s="113">
        <v>5</v>
      </c>
      <c r="I282" s="112">
        <v>32</v>
      </c>
      <c r="J282" s="183">
        <v>41705</v>
      </c>
      <c r="M282" s="184"/>
      <c r="N282" s="157">
        <v>41853</v>
      </c>
      <c r="T282" s="157">
        <v>41853</v>
      </c>
      <c r="U282" s="139">
        <v>15.3</v>
      </c>
      <c r="Y282" s="139">
        <f t="shared" si="4"/>
        <v>0</v>
      </c>
      <c r="AG282" s="185"/>
      <c r="AI282" s="185">
        <v>125</v>
      </c>
      <c r="AJ282" s="157">
        <v>41803</v>
      </c>
      <c r="AO282" s="139">
        <v>91</v>
      </c>
      <c r="AP282" s="157">
        <v>41738</v>
      </c>
      <c r="AS282" s="139">
        <v>126</v>
      </c>
      <c r="AT282" s="157">
        <v>41766</v>
      </c>
      <c r="CJ282" s="140" t="s">
        <v>8156</v>
      </c>
    </row>
    <row r="283" spans="1:91">
      <c r="A283" s="158" t="s">
        <v>7625</v>
      </c>
      <c r="B283" s="112" t="s">
        <v>269</v>
      </c>
      <c r="C283" s="112">
        <v>1</v>
      </c>
      <c r="D283">
        <v>10</v>
      </c>
      <c r="E283" s="113">
        <v>28</v>
      </c>
      <c r="F283" s="113">
        <v>6</v>
      </c>
      <c r="I283" s="187">
        <v>28</v>
      </c>
      <c r="J283" s="183">
        <v>41705</v>
      </c>
      <c r="K283" s="142"/>
      <c r="M283" s="184">
        <v>1.37</v>
      </c>
      <c r="N283" s="157">
        <v>41853</v>
      </c>
      <c r="O283" s="141"/>
      <c r="Q283" s="142"/>
      <c r="S283" s="142">
        <v>4.4400000000000004</v>
      </c>
      <c r="T283" s="157">
        <v>41853</v>
      </c>
      <c r="U283" s="142">
        <v>15.3</v>
      </c>
      <c r="W283" s="142"/>
      <c r="Y283" s="139">
        <f t="shared" si="4"/>
        <v>1.9443200000000003</v>
      </c>
      <c r="AA283" s="142">
        <v>17.920000000000002</v>
      </c>
      <c r="AE283" s="142">
        <v>8.9600000000000009</v>
      </c>
      <c r="AG283" s="185">
        <v>5</v>
      </c>
      <c r="AI283" s="185">
        <v>135</v>
      </c>
      <c r="AJ283" s="157">
        <v>41803</v>
      </c>
      <c r="AK283" s="142"/>
      <c r="AM283" s="142"/>
      <c r="AO283" s="139">
        <v>98</v>
      </c>
      <c r="AP283" s="157">
        <v>41738</v>
      </c>
      <c r="AS283" s="139">
        <v>127</v>
      </c>
      <c r="AT283" s="157">
        <v>41766</v>
      </c>
      <c r="BS283" s="140">
        <v>49.6</v>
      </c>
      <c r="BU283" s="140">
        <v>21.7</v>
      </c>
      <c r="BW283" s="140">
        <v>66.400000000000006</v>
      </c>
      <c r="BY283" s="140">
        <v>8.9</v>
      </c>
      <c r="CJ283" s="140" t="s">
        <v>8131</v>
      </c>
    </row>
    <row r="284" spans="1:91">
      <c r="A284" s="158" t="s">
        <v>7672</v>
      </c>
      <c r="B284" s="112" t="s">
        <v>271</v>
      </c>
      <c r="C284" s="112">
        <v>2</v>
      </c>
      <c r="D284">
        <v>57</v>
      </c>
      <c r="E284" s="113">
        <v>28</v>
      </c>
      <c r="F284" s="113">
        <v>7</v>
      </c>
      <c r="I284" s="112">
        <v>36</v>
      </c>
      <c r="J284" s="183">
        <v>41705</v>
      </c>
      <c r="M284" s="184">
        <v>2.9</v>
      </c>
      <c r="N284" s="157">
        <v>41853</v>
      </c>
      <c r="S284" s="139">
        <v>9.6300000000000008</v>
      </c>
      <c r="T284" s="157">
        <v>41853</v>
      </c>
      <c r="U284" s="139">
        <v>15.3</v>
      </c>
      <c r="Y284" s="139">
        <f t="shared" si="4"/>
        <v>3.7548199999999996</v>
      </c>
      <c r="AA284" s="139">
        <v>43.32</v>
      </c>
      <c r="AE284" s="139">
        <v>19.059999999999999</v>
      </c>
      <c r="AG284" s="185">
        <v>4.4000000000000004</v>
      </c>
      <c r="AI284" s="185">
        <v>110</v>
      </c>
      <c r="AJ284" s="157">
        <v>41803</v>
      </c>
      <c r="AO284" s="139">
        <v>95</v>
      </c>
      <c r="AP284" s="157">
        <v>41738</v>
      </c>
      <c r="AS284" s="139">
        <v>128</v>
      </c>
      <c r="AT284" s="157">
        <v>41766</v>
      </c>
      <c r="BS284" s="140">
        <v>50.5</v>
      </c>
      <c r="BU284" s="140">
        <v>19.7</v>
      </c>
      <c r="BW284" s="140">
        <v>11.8</v>
      </c>
      <c r="BY284" s="140">
        <v>8.5</v>
      </c>
      <c r="CJ284" s="140" t="s">
        <v>8140</v>
      </c>
    </row>
    <row r="285" spans="1:91">
      <c r="A285" s="158" t="s">
        <v>7820</v>
      </c>
      <c r="B285" s="112" t="s">
        <v>271</v>
      </c>
      <c r="C285" s="112">
        <v>2</v>
      </c>
      <c r="D285">
        <v>205</v>
      </c>
      <c r="E285" s="113">
        <v>28</v>
      </c>
      <c r="F285" s="113">
        <v>8</v>
      </c>
      <c r="I285" s="112">
        <v>42</v>
      </c>
      <c r="J285" s="183">
        <v>41705</v>
      </c>
      <c r="M285" s="184">
        <v>4.4800000000000004</v>
      </c>
      <c r="N285" s="157">
        <v>41853</v>
      </c>
      <c r="S285" s="139">
        <v>15.33</v>
      </c>
      <c r="T285" s="157">
        <v>41853</v>
      </c>
      <c r="U285" s="139">
        <v>15.3</v>
      </c>
      <c r="Y285" s="139">
        <f t="shared" si="4"/>
        <v>5.3467399999999996</v>
      </c>
      <c r="AA285" s="139">
        <v>73.849999999999994</v>
      </c>
      <c r="AE285" s="139">
        <v>29.54</v>
      </c>
      <c r="AG285" s="185">
        <v>4</v>
      </c>
      <c r="AI285" s="185">
        <v>110</v>
      </c>
      <c r="AJ285" s="157">
        <v>41803</v>
      </c>
      <c r="AO285" s="139">
        <v>94</v>
      </c>
      <c r="AP285" s="157">
        <v>41738</v>
      </c>
      <c r="AS285" s="139">
        <v>128</v>
      </c>
      <c r="AT285" s="157">
        <v>41766</v>
      </c>
      <c r="BS285" s="140">
        <v>51.9</v>
      </c>
      <c r="BU285" s="140">
        <v>18.100000000000001</v>
      </c>
      <c r="BW285" s="140">
        <v>16.899999999999999</v>
      </c>
      <c r="BY285" s="140">
        <v>8.1999999999999993</v>
      </c>
      <c r="CJ285" s="140" t="s">
        <v>8140</v>
      </c>
    </row>
    <row r="286" spans="1:91">
      <c r="A286" s="188" t="s">
        <v>7619</v>
      </c>
      <c r="B286" s="189" t="s">
        <v>271</v>
      </c>
      <c r="C286" s="189">
        <v>2</v>
      </c>
      <c r="D286" s="190">
        <v>4</v>
      </c>
      <c r="E286" s="191">
        <v>28</v>
      </c>
      <c r="F286" s="191">
        <v>9</v>
      </c>
      <c r="G286" s="191"/>
      <c r="H286" s="191"/>
      <c r="I286" s="385">
        <v>45</v>
      </c>
      <c r="J286" s="193">
        <v>41705</v>
      </c>
      <c r="K286" s="200"/>
      <c r="L286" s="195"/>
      <c r="M286" s="196">
        <v>1.17</v>
      </c>
      <c r="N286" s="195">
        <v>41853</v>
      </c>
      <c r="O286" s="199"/>
      <c r="P286" s="195"/>
      <c r="Q286" s="200"/>
      <c r="R286" s="195"/>
      <c r="S286" s="200">
        <v>3.57</v>
      </c>
      <c r="T286" s="195">
        <v>41853</v>
      </c>
      <c r="U286" s="200">
        <v>15.3</v>
      </c>
      <c r="V286" s="195"/>
      <c r="W286" s="200"/>
      <c r="X286" s="195"/>
      <c r="Y286" s="139">
        <f t="shared" si="4"/>
        <v>1.80776</v>
      </c>
      <c r="Z286" s="195"/>
      <c r="AA286" s="200">
        <v>18.68</v>
      </c>
      <c r="AB286" s="195"/>
      <c r="AC286" s="194"/>
      <c r="AD286" s="195"/>
      <c r="AE286" s="200">
        <v>7.66</v>
      </c>
      <c r="AF286" s="195"/>
      <c r="AG286" s="197">
        <v>4.0999999999999996</v>
      </c>
      <c r="AH286" s="195"/>
      <c r="AI286" s="197">
        <v>100</v>
      </c>
      <c r="AJ286" s="195">
        <v>41803</v>
      </c>
      <c r="AK286" s="200"/>
      <c r="AL286" s="195"/>
      <c r="AM286" s="200"/>
      <c r="AN286" s="195"/>
      <c r="AO286" s="194">
        <v>87</v>
      </c>
      <c r="AP286" s="195">
        <v>41738</v>
      </c>
      <c r="AQ286" s="194"/>
      <c r="AR286" s="194"/>
      <c r="AS286" s="194">
        <v>127</v>
      </c>
      <c r="AT286" s="195">
        <v>41766</v>
      </c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8"/>
      <c r="BF286" s="198"/>
      <c r="BG286" s="198"/>
      <c r="BH286" s="198"/>
      <c r="BI286" s="198"/>
      <c r="BJ286" s="198"/>
      <c r="BK286" s="198"/>
      <c r="BL286" s="198"/>
      <c r="BM286" s="198"/>
      <c r="BN286" s="198"/>
      <c r="BO286" s="198"/>
      <c r="BP286" s="198"/>
      <c r="BQ286" s="198"/>
      <c r="BR286" s="198"/>
      <c r="BS286" s="198">
        <v>46.6</v>
      </c>
      <c r="BT286" s="198"/>
      <c r="BU286" s="198">
        <v>23.6</v>
      </c>
      <c r="BV286" s="198"/>
      <c r="BW286" s="198">
        <v>56.9</v>
      </c>
      <c r="BX286" s="198"/>
      <c r="BY286" s="198">
        <v>8.9</v>
      </c>
      <c r="BZ286" s="198"/>
      <c r="CA286" s="198"/>
      <c r="CB286" s="198"/>
      <c r="CC286" s="198"/>
      <c r="CD286" s="198"/>
      <c r="CE286" s="198"/>
      <c r="CF286" s="198"/>
      <c r="CG286" s="198"/>
      <c r="CH286" s="198"/>
      <c r="CI286" s="198"/>
      <c r="CJ286" s="198" t="s">
        <v>8141</v>
      </c>
      <c r="CK286" s="198"/>
      <c r="CL286" s="198"/>
      <c r="CM286" s="198"/>
    </row>
    <row r="287" spans="1:91">
      <c r="A287" s="158" t="s">
        <v>7790</v>
      </c>
      <c r="B287" s="112" t="s">
        <v>271</v>
      </c>
      <c r="C287" s="112">
        <v>2</v>
      </c>
      <c r="D287">
        <v>175</v>
      </c>
      <c r="E287" s="113">
        <v>28</v>
      </c>
      <c r="F287" s="113">
        <v>10</v>
      </c>
      <c r="I287" s="112">
        <v>61</v>
      </c>
      <c r="J287" s="183">
        <v>41705</v>
      </c>
      <c r="M287" s="184">
        <v>4.57</v>
      </c>
      <c r="N287" s="157">
        <v>41853</v>
      </c>
      <c r="S287" s="139">
        <v>15.27</v>
      </c>
      <c r="T287" s="157">
        <v>41853</v>
      </c>
      <c r="U287" s="139">
        <v>15.3</v>
      </c>
      <c r="Y287" s="139">
        <f t="shared" si="4"/>
        <v>5.97</v>
      </c>
      <c r="AA287" s="139">
        <v>60</v>
      </c>
      <c r="AE287" s="139">
        <v>30</v>
      </c>
      <c r="AG287" s="185">
        <v>5</v>
      </c>
      <c r="AI287" s="185">
        <v>115</v>
      </c>
      <c r="AJ287" s="157">
        <v>41803</v>
      </c>
      <c r="AO287" s="139">
        <v>93</v>
      </c>
      <c r="AP287" s="157">
        <v>41738</v>
      </c>
      <c r="AS287" s="139">
        <v>127</v>
      </c>
      <c r="AT287" s="157">
        <v>41766</v>
      </c>
      <c r="BS287" s="140">
        <v>50.9</v>
      </c>
      <c r="BU287" s="140">
        <v>19.899999999999999</v>
      </c>
      <c r="BW287" s="140">
        <v>15.2</v>
      </c>
      <c r="BY287" s="140">
        <v>8.6</v>
      </c>
      <c r="CJ287" s="140" t="s">
        <v>8140</v>
      </c>
    </row>
    <row r="288" spans="1:91">
      <c r="A288" s="158" t="s">
        <v>7637</v>
      </c>
      <c r="B288" s="112" t="s">
        <v>271</v>
      </c>
      <c r="C288" s="112">
        <v>2</v>
      </c>
      <c r="D288">
        <v>22</v>
      </c>
      <c r="E288" s="113">
        <v>28</v>
      </c>
      <c r="F288" s="113">
        <v>11</v>
      </c>
      <c r="I288" s="187">
        <v>34</v>
      </c>
      <c r="J288" s="183">
        <v>41705</v>
      </c>
      <c r="K288" s="142"/>
      <c r="M288" s="184">
        <v>1.98</v>
      </c>
      <c r="N288" s="157">
        <v>41853</v>
      </c>
      <c r="O288" s="141"/>
      <c r="Q288" s="142"/>
      <c r="S288" s="142">
        <v>6.31</v>
      </c>
      <c r="T288" s="157">
        <v>41853</v>
      </c>
      <c r="U288" s="142">
        <v>15.3</v>
      </c>
      <c r="W288" s="142"/>
      <c r="Y288" s="139">
        <f t="shared" si="4"/>
        <v>2.8382400000000003</v>
      </c>
      <c r="AA288" s="142">
        <v>30.14</v>
      </c>
      <c r="AE288" s="142">
        <v>12.96</v>
      </c>
      <c r="AG288" s="185">
        <v>4.3</v>
      </c>
      <c r="AI288" s="185">
        <v>110</v>
      </c>
      <c r="AJ288" s="157">
        <v>41803</v>
      </c>
      <c r="AK288" s="142"/>
      <c r="AM288" s="142"/>
      <c r="AO288" s="139">
        <v>93</v>
      </c>
      <c r="AP288" s="157">
        <v>41738</v>
      </c>
      <c r="AS288" s="139">
        <v>128</v>
      </c>
      <c r="AT288" s="157">
        <v>41766</v>
      </c>
      <c r="BS288" s="140">
        <v>48.7</v>
      </c>
      <c r="BU288" s="140">
        <v>21.9</v>
      </c>
      <c r="BW288" s="140">
        <v>70.2</v>
      </c>
      <c r="BY288" s="140">
        <v>8.9</v>
      </c>
      <c r="CJ288" s="140" t="s">
        <v>8144</v>
      </c>
    </row>
    <row r="289" spans="1:88">
      <c r="A289" s="158" t="s">
        <v>7622</v>
      </c>
      <c r="B289" s="112" t="s">
        <v>271</v>
      </c>
      <c r="C289" s="112">
        <v>2</v>
      </c>
      <c r="D289">
        <v>7</v>
      </c>
      <c r="E289" s="113">
        <v>28</v>
      </c>
      <c r="F289" s="113">
        <v>12</v>
      </c>
      <c r="I289" s="187">
        <v>33</v>
      </c>
      <c r="J289" s="183">
        <v>41705</v>
      </c>
      <c r="K289" s="142"/>
      <c r="M289" s="184">
        <v>3.13</v>
      </c>
      <c r="N289" s="157">
        <v>41853</v>
      </c>
      <c r="O289" s="141"/>
      <c r="Q289" s="142"/>
      <c r="S289" s="142">
        <v>9.3699999999999992</v>
      </c>
      <c r="T289" s="157">
        <v>41853</v>
      </c>
      <c r="U289" s="142">
        <v>15.3</v>
      </c>
      <c r="W289" s="142"/>
      <c r="Y289" s="139">
        <f t="shared" si="4"/>
        <v>4.9621900000000005</v>
      </c>
      <c r="AA289" s="142">
        <v>40.369999999999997</v>
      </c>
      <c r="AE289" s="142">
        <v>20.59</v>
      </c>
      <c r="AG289" s="185">
        <v>5.0999999999999996</v>
      </c>
      <c r="AI289" s="185">
        <v>120</v>
      </c>
      <c r="AJ289" s="157">
        <v>41803</v>
      </c>
      <c r="AK289" s="142"/>
      <c r="AM289" s="142"/>
      <c r="AO289" s="139">
        <v>88</v>
      </c>
      <c r="AP289" s="157">
        <v>41738</v>
      </c>
      <c r="AS289" s="139">
        <v>127</v>
      </c>
      <c r="AT289" s="157">
        <v>41766</v>
      </c>
      <c r="BS289" s="140">
        <v>45.5</v>
      </c>
      <c r="BU289" s="140">
        <v>24.1</v>
      </c>
      <c r="BW289" s="140">
        <v>65.900000000000006</v>
      </c>
      <c r="BY289" s="140">
        <v>8.4</v>
      </c>
      <c r="CJ289" s="140" t="s">
        <v>8140</v>
      </c>
    </row>
    <row r="290" spans="1:88">
      <c r="A290" s="158" t="s">
        <v>7689</v>
      </c>
      <c r="B290" s="112" t="s">
        <v>269</v>
      </c>
      <c r="C290" s="112">
        <v>1</v>
      </c>
      <c r="D290">
        <v>74</v>
      </c>
      <c r="E290" s="113">
        <v>29</v>
      </c>
      <c r="F290" s="113">
        <v>1</v>
      </c>
      <c r="I290" s="112">
        <v>21</v>
      </c>
      <c r="J290" s="183">
        <v>41705</v>
      </c>
      <c r="M290" s="184">
        <v>1.45</v>
      </c>
      <c r="N290" s="157">
        <v>41853</v>
      </c>
      <c r="S290" s="139">
        <v>4.5599999999999996</v>
      </c>
      <c r="T290" s="157">
        <v>41853</v>
      </c>
      <c r="U290" s="139">
        <v>15.3</v>
      </c>
      <c r="Y290" s="139">
        <f t="shared" si="4"/>
        <v>2.1732100000000001</v>
      </c>
      <c r="AA290" s="139">
        <v>18.98</v>
      </c>
      <c r="AE290" s="139">
        <v>9.49</v>
      </c>
      <c r="AG290" s="185">
        <v>5</v>
      </c>
      <c r="AI290" s="185">
        <v>130</v>
      </c>
      <c r="AJ290" s="157">
        <v>41803</v>
      </c>
      <c r="AO290" s="139">
        <v>90</v>
      </c>
      <c r="AP290" s="157">
        <v>41738</v>
      </c>
      <c r="AS290" s="139">
        <v>127</v>
      </c>
      <c r="AT290" s="157">
        <v>41766</v>
      </c>
      <c r="BS290" s="140">
        <v>48.1</v>
      </c>
      <c r="BU290" s="140">
        <v>22.9</v>
      </c>
      <c r="BW290" s="140">
        <v>17.3</v>
      </c>
      <c r="BY290" s="140">
        <v>8.9</v>
      </c>
      <c r="CJ290" s="140" t="s">
        <v>8140</v>
      </c>
    </row>
    <row r="291" spans="1:88">
      <c r="A291" s="158" t="s">
        <v>7640</v>
      </c>
      <c r="B291" s="112" t="s">
        <v>269</v>
      </c>
      <c r="C291" s="112">
        <v>1</v>
      </c>
      <c r="D291">
        <v>25</v>
      </c>
      <c r="E291" s="113">
        <v>29</v>
      </c>
      <c r="F291" s="113">
        <v>2</v>
      </c>
      <c r="I291" s="112">
        <v>35</v>
      </c>
      <c r="J291" s="183">
        <v>41705</v>
      </c>
      <c r="M291" s="184">
        <v>1.06</v>
      </c>
      <c r="N291" s="157">
        <v>41853</v>
      </c>
      <c r="S291" s="139">
        <v>3.32</v>
      </c>
      <c r="T291" s="157">
        <v>41853</v>
      </c>
      <c r="U291" s="139">
        <v>15.3</v>
      </c>
      <c r="Y291" s="139">
        <f t="shared" si="4"/>
        <v>1.6378400000000002</v>
      </c>
      <c r="AA291" s="139">
        <v>16.14</v>
      </c>
      <c r="AE291" s="139">
        <v>6.94</v>
      </c>
      <c r="AG291" s="185">
        <v>4.3</v>
      </c>
      <c r="AI291" s="185">
        <v>110</v>
      </c>
      <c r="AJ291" s="157">
        <v>41803</v>
      </c>
      <c r="AO291" s="139">
        <v>88</v>
      </c>
      <c r="AP291" s="157">
        <v>41738</v>
      </c>
      <c r="AS291" s="139">
        <v>124</v>
      </c>
      <c r="AT291" s="157">
        <v>41766</v>
      </c>
      <c r="BS291" s="140">
        <v>47.9</v>
      </c>
      <c r="BU291" s="140">
        <v>23.6</v>
      </c>
      <c r="BW291" s="140">
        <v>58.5</v>
      </c>
      <c r="BY291" s="140">
        <v>8.9</v>
      </c>
      <c r="CJ291" s="140" t="s">
        <v>8140</v>
      </c>
    </row>
    <row r="292" spans="1:88">
      <c r="A292" s="158" t="s">
        <v>7805</v>
      </c>
      <c r="B292" s="112" t="s">
        <v>269</v>
      </c>
      <c r="C292" s="112">
        <v>1</v>
      </c>
      <c r="D292">
        <v>190</v>
      </c>
      <c r="E292" s="113">
        <v>29</v>
      </c>
      <c r="F292" s="113">
        <v>3</v>
      </c>
      <c r="I292" s="112">
        <v>52</v>
      </c>
      <c r="J292" s="183">
        <v>41705</v>
      </c>
      <c r="M292" s="184">
        <v>1.9</v>
      </c>
      <c r="N292" s="157">
        <v>41853</v>
      </c>
      <c r="S292" s="139">
        <v>6.55</v>
      </c>
      <c r="T292" s="157">
        <v>41853</v>
      </c>
      <c r="U292" s="139">
        <v>15.3</v>
      </c>
      <c r="Y292" s="139">
        <f t="shared" si="4"/>
        <v>2.2374000000000001</v>
      </c>
      <c r="AA292" s="139">
        <v>29.6</v>
      </c>
      <c r="AE292" s="139">
        <v>12.43</v>
      </c>
      <c r="AG292" s="185">
        <v>4.2</v>
      </c>
      <c r="AI292" s="185">
        <v>120</v>
      </c>
      <c r="AJ292" s="157">
        <v>41803</v>
      </c>
      <c r="AO292" s="139">
        <v>93</v>
      </c>
      <c r="AP292" s="157">
        <v>41738</v>
      </c>
      <c r="AS292" s="139">
        <v>128</v>
      </c>
      <c r="AT292" s="157">
        <v>41766</v>
      </c>
      <c r="BS292" s="140">
        <v>52.7</v>
      </c>
      <c r="BU292" s="140">
        <v>18</v>
      </c>
      <c r="BW292" s="140">
        <v>13.9</v>
      </c>
      <c r="BY292" s="140">
        <v>8.9</v>
      </c>
      <c r="CJ292" s="140" t="s">
        <v>8140</v>
      </c>
    </row>
    <row r="293" spans="1:88">
      <c r="A293" s="158" t="s">
        <v>7737</v>
      </c>
      <c r="B293" s="112" t="s">
        <v>269</v>
      </c>
      <c r="C293" s="112">
        <v>1</v>
      </c>
      <c r="D293">
        <v>122</v>
      </c>
      <c r="E293" s="113">
        <v>29</v>
      </c>
      <c r="F293" s="113">
        <v>4</v>
      </c>
      <c r="I293" s="112">
        <v>25</v>
      </c>
      <c r="J293" s="183">
        <v>41705</v>
      </c>
      <c r="M293" s="184">
        <v>1.53</v>
      </c>
      <c r="N293" s="157">
        <v>41853</v>
      </c>
      <c r="S293" s="139">
        <v>5.24</v>
      </c>
      <c r="T293" s="157">
        <v>41853</v>
      </c>
      <c r="U293" s="139">
        <v>15.3</v>
      </c>
      <c r="Y293" s="139">
        <f t="shared" si="4"/>
        <v>1.7717699999999998</v>
      </c>
      <c r="AA293" s="139">
        <v>22.75</v>
      </c>
      <c r="AE293" s="139">
        <v>10.01</v>
      </c>
      <c r="AG293" s="185">
        <v>4.4000000000000004</v>
      </c>
      <c r="AI293" s="185">
        <v>110</v>
      </c>
      <c r="AJ293" s="157">
        <v>41803</v>
      </c>
      <c r="AO293" s="139">
        <v>95</v>
      </c>
      <c r="AP293" s="157">
        <v>41738</v>
      </c>
      <c r="AS293" s="139">
        <v>127</v>
      </c>
      <c r="AT293" s="157">
        <v>41766</v>
      </c>
      <c r="BS293" s="140">
        <v>52.3</v>
      </c>
      <c r="BU293" s="140">
        <v>17.7</v>
      </c>
      <c r="BW293" s="140">
        <v>10.4</v>
      </c>
      <c r="BY293" s="140">
        <v>8.9</v>
      </c>
      <c r="CJ293" s="140" t="s">
        <v>8131</v>
      </c>
    </row>
    <row r="294" spans="1:88">
      <c r="A294" s="158" t="s">
        <v>7791</v>
      </c>
      <c r="B294" s="112" t="s">
        <v>269</v>
      </c>
      <c r="C294" s="112">
        <v>1</v>
      </c>
      <c r="D294">
        <v>176</v>
      </c>
      <c r="E294" s="113">
        <v>29</v>
      </c>
      <c r="F294" s="113">
        <v>5</v>
      </c>
      <c r="I294" s="112">
        <v>32</v>
      </c>
      <c r="J294" s="183">
        <v>41705</v>
      </c>
      <c r="M294" s="184">
        <v>1.67</v>
      </c>
      <c r="N294" s="157">
        <v>41853</v>
      </c>
      <c r="S294" s="139">
        <v>5.83</v>
      </c>
      <c r="T294" s="157">
        <v>41853</v>
      </c>
      <c r="U294" s="139">
        <v>15.3</v>
      </c>
      <c r="Y294" s="139">
        <f t="shared" si="4"/>
        <v>1.9018199999999998</v>
      </c>
      <c r="AA294" s="139">
        <v>26.66</v>
      </c>
      <c r="AE294" s="139">
        <v>10.93</v>
      </c>
      <c r="AG294" s="185">
        <v>4.0999999999999996</v>
      </c>
      <c r="AI294" s="185">
        <v>120</v>
      </c>
      <c r="AJ294" s="157">
        <v>41803</v>
      </c>
      <c r="AO294" s="139">
        <v>92</v>
      </c>
      <c r="AP294" s="157">
        <v>41738</v>
      </c>
      <c r="AS294" s="139">
        <v>128</v>
      </c>
      <c r="AT294" s="157">
        <v>41766</v>
      </c>
      <c r="BS294" s="140">
        <v>53.3</v>
      </c>
      <c r="BU294" s="140">
        <v>17.399999999999999</v>
      </c>
      <c r="BW294" s="140">
        <v>9</v>
      </c>
      <c r="BY294" s="140">
        <v>8.9</v>
      </c>
      <c r="CJ294" s="140" t="s">
        <v>8140</v>
      </c>
    </row>
    <row r="295" spans="1:88">
      <c r="A295" s="158" t="s">
        <v>7634</v>
      </c>
      <c r="B295" s="112" t="s">
        <v>269</v>
      </c>
      <c r="C295" s="112">
        <v>1</v>
      </c>
      <c r="D295">
        <v>19</v>
      </c>
      <c r="E295" s="113">
        <v>29</v>
      </c>
      <c r="F295" s="113">
        <v>6</v>
      </c>
      <c r="I295" s="187">
        <v>22</v>
      </c>
      <c r="J295" s="183">
        <v>41705</v>
      </c>
      <c r="K295" s="142"/>
      <c r="M295" s="184">
        <v>1.59</v>
      </c>
      <c r="N295" s="157">
        <v>41853</v>
      </c>
      <c r="O295" s="141"/>
      <c r="Q295" s="142"/>
      <c r="S295" s="142">
        <v>5.21</v>
      </c>
      <c r="T295" s="157">
        <v>41853</v>
      </c>
      <c r="U295" s="142">
        <v>15.3</v>
      </c>
      <c r="W295" s="142"/>
      <c r="Y295" s="139">
        <f t="shared" si="4"/>
        <v>2.1736</v>
      </c>
      <c r="AA295" s="142">
        <v>18.57</v>
      </c>
      <c r="AE295" s="142">
        <v>10.4</v>
      </c>
      <c r="AG295" s="185">
        <v>5.6</v>
      </c>
      <c r="AI295" s="185">
        <v>115</v>
      </c>
      <c r="AJ295" s="157">
        <v>41803</v>
      </c>
      <c r="AK295" s="142"/>
      <c r="AM295" s="142"/>
      <c r="AO295" s="139">
        <v>96</v>
      </c>
      <c r="AP295" s="157">
        <v>41738</v>
      </c>
      <c r="AS295" s="139">
        <v>127</v>
      </c>
      <c r="AT295" s="157">
        <v>41766</v>
      </c>
      <c r="BS295" s="140">
        <v>50.1</v>
      </c>
      <c r="BU295" s="140">
        <v>20.9</v>
      </c>
      <c r="BW295" s="140">
        <v>57</v>
      </c>
      <c r="BY295" s="140">
        <v>8.9</v>
      </c>
      <c r="CJ295" s="140" t="s">
        <v>8131</v>
      </c>
    </row>
    <row r="296" spans="1:88">
      <c r="A296" s="158" t="s">
        <v>7728</v>
      </c>
      <c r="B296" s="112" t="s">
        <v>271</v>
      </c>
      <c r="C296" s="112">
        <v>2</v>
      </c>
      <c r="D296">
        <v>113</v>
      </c>
      <c r="E296" s="113">
        <v>29</v>
      </c>
      <c r="F296" s="113">
        <v>7</v>
      </c>
      <c r="I296" s="112">
        <v>30</v>
      </c>
      <c r="J296" s="183">
        <v>41705</v>
      </c>
      <c r="M296" s="184">
        <v>3.27</v>
      </c>
      <c r="N296" s="157">
        <v>41853</v>
      </c>
      <c r="S296" s="139">
        <v>11.08</v>
      </c>
      <c r="T296" s="157">
        <v>41853</v>
      </c>
      <c r="U296" s="139">
        <v>15.3</v>
      </c>
      <c r="Y296" s="139">
        <f t="shared" si="4"/>
        <v>4.0101599999999999</v>
      </c>
      <c r="AA296" s="139">
        <v>55.28</v>
      </c>
      <c r="AE296" s="139">
        <v>21.56</v>
      </c>
      <c r="AG296" s="185">
        <v>3.9</v>
      </c>
      <c r="AI296" s="185">
        <v>115</v>
      </c>
      <c r="AJ296" s="157">
        <v>41803</v>
      </c>
      <c r="AO296" s="139">
        <v>91</v>
      </c>
      <c r="AP296" s="157">
        <v>41738</v>
      </c>
      <c r="AS296" s="139">
        <v>128</v>
      </c>
      <c r="AT296" s="157">
        <v>41766</v>
      </c>
      <c r="BS296" s="140">
        <v>51.4</v>
      </c>
      <c r="BU296" s="140">
        <v>18.600000000000001</v>
      </c>
      <c r="BW296" s="140">
        <v>13.5</v>
      </c>
      <c r="BY296" s="140">
        <v>8.1999999999999993</v>
      </c>
      <c r="CJ296" s="140" t="s">
        <v>8144</v>
      </c>
    </row>
    <row r="297" spans="1:88">
      <c r="A297" s="158" t="s">
        <v>7726</v>
      </c>
      <c r="B297" s="112" t="s">
        <v>271</v>
      </c>
      <c r="C297" s="112">
        <v>2</v>
      </c>
      <c r="D297">
        <v>111</v>
      </c>
      <c r="E297" s="113">
        <v>29</v>
      </c>
      <c r="F297" s="113">
        <v>8</v>
      </c>
      <c r="I297" s="112">
        <v>46</v>
      </c>
      <c r="J297" s="183">
        <v>41705</v>
      </c>
      <c r="M297" s="184">
        <v>3.98</v>
      </c>
      <c r="N297" s="157">
        <v>41853</v>
      </c>
      <c r="S297" s="139">
        <v>13.57</v>
      </c>
      <c r="T297" s="157">
        <v>41853</v>
      </c>
      <c r="U297" s="139">
        <v>15.3</v>
      </c>
      <c r="Y297" s="139">
        <f t="shared" si="4"/>
        <v>5.0759000000000007</v>
      </c>
      <c r="AA297" s="139">
        <v>61.16</v>
      </c>
      <c r="AE297" s="139">
        <v>26.3</v>
      </c>
      <c r="AG297" s="185">
        <v>4.3</v>
      </c>
      <c r="AI297" s="185">
        <v>110</v>
      </c>
      <c r="AJ297" s="157">
        <v>41803</v>
      </c>
      <c r="AO297" s="139">
        <v>94</v>
      </c>
      <c r="AP297" s="157">
        <v>41738</v>
      </c>
      <c r="AS297" s="139">
        <v>128</v>
      </c>
      <c r="AT297" s="157">
        <v>41766</v>
      </c>
      <c r="BS297" s="140">
        <v>51.6</v>
      </c>
      <c r="BU297" s="140">
        <v>19.3</v>
      </c>
      <c r="BW297" s="140">
        <v>16.100000000000001</v>
      </c>
      <c r="BY297" s="140">
        <v>8</v>
      </c>
      <c r="CJ297" s="140" t="s">
        <v>8140</v>
      </c>
    </row>
    <row r="298" spans="1:88">
      <c r="A298" s="158" t="s">
        <v>7682</v>
      </c>
      <c r="B298" s="112" t="s">
        <v>271</v>
      </c>
      <c r="C298" s="112">
        <v>2</v>
      </c>
      <c r="D298">
        <v>67</v>
      </c>
      <c r="E298" s="113">
        <v>29</v>
      </c>
      <c r="F298" s="113">
        <v>9</v>
      </c>
      <c r="I298" s="112">
        <v>38</v>
      </c>
      <c r="J298" s="183">
        <v>41705</v>
      </c>
      <c r="M298" s="184">
        <v>2.93</v>
      </c>
      <c r="N298" s="157">
        <v>41853</v>
      </c>
      <c r="S298" s="139">
        <v>9.85</v>
      </c>
      <c r="T298" s="157">
        <v>41853</v>
      </c>
      <c r="U298" s="139">
        <v>15.3</v>
      </c>
      <c r="Y298" s="139">
        <f t="shared" si="4"/>
        <v>3.7674000000000003</v>
      </c>
      <c r="AA298" s="139">
        <v>46</v>
      </c>
      <c r="AE298" s="139">
        <v>19.32</v>
      </c>
      <c r="AG298" s="185">
        <v>4.2</v>
      </c>
      <c r="AI298" s="185">
        <v>125</v>
      </c>
      <c r="AJ298" s="157">
        <v>41803</v>
      </c>
      <c r="AO298" s="139">
        <v>96</v>
      </c>
      <c r="AP298" s="157">
        <v>41738</v>
      </c>
      <c r="AS298" s="139">
        <v>128</v>
      </c>
      <c r="AT298" s="157">
        <v>41766</v>
      </c>
      <c r="BS298" s="140">
        <v>51</v>
      </c>
      <c r="BU298" s="140">
        <v>19.5</v>
      </c>
      <c r="BW298" s="140">
        <v>13.8</v>
      </c>
      <c r="BY298" s="140">
        <v>8.1999999999999993</v>
      </c>
      <c r="CJ298" s="140" t="s">
        <v>8135</v>
      </c>
    </row>
    <row r="299" spans="1:88">
      <c r="A299" s="158" t="s">
        <v>7648</v>
      </c>
      <c r="B299" s="112" t="s">
        <v>271</v>
      </c>
      <c r="C299" s="112">
        <v>2</v>
      </c>
      <c r="D299">
        <v>33</v>
      </c>
      <c r="E299" s="113">
        <v>29</v>
      </c>
      <c r="F299" s="113">
        <v>10</v>
      </c>
      <c r="I299" s="112">
        <v>36</v>
      </c>
      <c r="J299" s="183">
        <v>41705</v>
      </c>
      <c r="M299" s="184">
        <v>3.04</v>
      </c>
      <c r="N299" s="157">
        <v>41853</v>
      </c>
      <c r="S299" s="139">
        <v>9.42</v>
      </c>
      <c r="T299" s="157">
        <v>41853</v>
      </c>
      <c r="U299" s="139">
        <v>15.3</v>
      </c>
      <c r="Y299" s="139">
        <f t="shared" si="4"/>
        <v>4.78</v>
      </c>
      <c r="AA299" s="139">
        <v>43.48</v>
      </c>
      <c r="AE299" s="139">
        <v>20</v>
      </c>
      <c r="AG299" s="185">
        <v>4.5999999999999996</v>
      </c>
      <c r="AI299" s="185">
        <v>110</v>
      </c>
      <c r="AJ299" s="157">
        <v>41803</v>
      </c>
      <c r="AO299" s="139">
        <v>93</v>
      </c>
      <c r="AP299" s="157">
        <v>41738</v>
      </c>
      <c r="AS299" s="139">
        <v>127</v>
      </c>
      <c r="AT299" s="157">
        <v>41766</v>
      </c>
      <c r="BS299" s="140">
        <v>47.1</v>
      </c>
      <c r="BU299" s="140">
        <v>23.9</v>
      </c>
      <c r="BW299" s="140">
        <v>67.900000000000006</v>
      </c>
      <c r="BY299" s="140">
        <v>8.4</v>
      </c>
      <c r="CJ299" s="140" t="s">
        <v>8140</v>
      </c>
    </row>
    <row r="300" spans="1:88">
      <c r="A300" s="158" t="s">
        <v>7729</v>
      </c>
      <c r="B300" s="112" t="s">
        <v>271</v>
      </c>
      <c r="C300" s="112">
        <v>2</v>
      </c>
      <c r="D300">
        <v>114</v>
      </c>
      <c r="E300" s="113">
        <v>29</v>
      </c>
      <c r="F300" s="113">
        <v>11</v>
      </c>
      <c r="I300" s="112">
        <v>42</v>
      </c>
      <c r="J300" s="183">
        <v>41705</v>
      </c>
      <c r="M300" s="184">
        <v>3.15</v>
      </c>
      <c r="N300" s="157">
        <v>41853</v>
      </c>
      <c r="S300" s="139">
        <v>10.43</v>
      </c>
      <c r="T300" s="157">
        <v>41853</v>
      </c>
      <c r="U300" s="139">
        <v>15.3</v>
      </c>
      <c r="Y300" s="139">
        <f t="shared" si="4"/>
        <v>4.1192999999999991</v>
      </c>
      <c r="AA300" s="139">
        <v>46</v>
      </c>
      <c r="AE300" s="139">
        <v>20.7</v>
      </c>
      <c r="AG300" s="185">
        <v>4.5</v>
      </c>
      <c r="AI300" s="185">
        <v>110</v>
      </c>
      <c r="AJ300" s="157">
        <v>41803</v>
      </c>
      <c r="AO300" s="139">
        <v>91</v>
      </c>
      <c r="AP300" s="157">
        <v>41738</v>
      </c>
      <c r="AS300" s="139">
        <v>128</v>
      </c>
      <c r="AT300" s="157">
        <v>41766</v>
      </c>
      <c r="BS300" s="140">
        <v>50.4</v>
      </c>
      <c r="BU300" s="140">
        <v>19.899999999999999</v>
      </c>
      <c r="BW300" s="140">
        <v>17.3</v>
      </c>
      <c r="BY300" s="140">
        <v>8.5</v>
      </c>
      <c r="CJ300" s="140" t="s">
        <v>8140</v>
      </c>
    </row>
    <row r="301" spans="1:88">
      <c r="A301" s="158" t="s">
        <v>7670</v>
      </c>
      <c r="B301" s="112" t="s">
        <v>271</v>
      </c>
      <c r="C301" s="112">
        <v>2</v>
      </c>
      <c r="D301">
        <v>55</v>
      </c>
      <c r="E301" s="113">
        <v>29</v>
      </c>
      <c r="F301" s="113">
        <v>12</v>
      </c>
      <c r="I301" s="112">
        <v>65</v>
      </c>
      <c r="J301" s="183">
        <v>41705</v>
      </c>
      <c r="M301" s="184">
        <v>4.0999999999999996</v>
      </c>
      <c r="N301" s="157">
        <v>41853</v>
      </c>
      <c r="S301" s="139">
        <v>13.24</v>
      </c>
      <c r="T301" s="157">
        <v>41853</v>
      </c>
      <c r="U301" s="139">
        <v>15.3</v>
      </c>
      <c r="Y301" s="139">
        <f t="shared" si="4"/>
        <v>5.2861199999999995</v>
      </c>
      <c r="AA301" s="139">
        <v>65.78</v>
      </c>
      <c r="AE301" s="139">
        <v>26.97</v>
      </c>
      <c r="AG301" s="185">
        <v>4.0999999999999996</v>
      </c>
      <c r="AI301" s="185">
        <v>125</v>
      </c>
      <c r="AJ301" s="157">
        <v>41803</v>
      </c>
      <c r="AO301" s="139">
        <v>94</v>
      </c>
      <c r="AP301" s="157">
        <v>41738</v>
      </c>
      <c r="AS301" s="139">
        <v>128</v>
      </c>
      <c r="AT301" s="157">
        <v>41766</v>
      </c>
      <c r="BS301" s="140">
        <v>49.1</v>
      </c>
      <c r="BU301" s="140">
        <v>19.600000000000001</v>
      </c>
      <c r="BW301" s="140">
        <v>13.4</v>
      </c>
      <c r="BY301" s="140">
        <v>8.4</v>
      </c>
      <c r="CJ301" s="140" t="s">
        <v>8150</v>
      </c>
    </row>
    <row r="302" spans="1:88">
      <c r="A302" s="158" t="s">
        <v>7664</v>
      </c>
      <c r="B302" s="112" t="s">
        <v>269</v>
      </c>
      <c r="C302" s="112">
        <v>1</v>
      </c>
      <c r="D302">
        <v>49</v>
      </c>
      <c r="E302" s="113">
        <v>30</v>
      </c>
      <c r="F302" s="113">
        <v>1</v>
      </c>
      <c r="I302" s="112">
        <v>38</v>
      </c>
      <c r="J302" s="183">
        <v>41705</v>
      </c>
      <c r="M302" s="184">
        <v>1.23</v>
      </c>
      <c r="N302" s="157">
        <v>41853</v>
      </c>
      <c r="S302" s="139">
        <v>3.75</v>
      </c>
      <c r="T302" s="157">
        <v>41853</v>
      </c>
      <c r="U302" s="139">
        <v>15.3</v>
      </c>
      <c r="Y302" s="139">
        <f t="shared" si="4"/>
        <v>1.9186800000000002</v>
      </c>
      <c r="AA302" s="139">
        <v>13.78</v>
      </c>
      <c r="AE302" s="139">
        <v>8.1300000000000008</v>
      </c>
      <c r="AG302" s="185">
        <v>5.9</v>
      </c>
      <c r="AI302" s="185">
        <v>120</v>
      </c>
      <c r="AJ302" s="157">
        <v>41803</v>
      </c>
      <c r="AO302" s="139">
        <v>91</v>
      </c>
      <c r="AP302" s="157">
        <v>41738</v>
      </c>
      <c r="AS302" s="139">
        <v>125</v>
      </c>
      <c r="AT302" s="157">
        <v>41766</v>
      </c>
      <c r="BS302" s="140">
        <v>46.1</v>
      </c>
      <c r="BU302" s="140">
        <v>23.6</v>
      </c>
      <c r="BW302" s="140">
        <v>65</v>
      </c>
      <c r="BY302" s="140">
        <v>8</v>
      </c>
      <c r="CJ302" s="140" t="s">
        <v>8140</v>
      </c>
    </row>
    <row r="303" spans="1:88">
      <c r="A303" s="158" t="s">
        <v>7806</v>
      </c>
      <c r="B303" s="112" t="s">
        <v>269</v>
      </c>
      <c r="C303" s="112">
        <v>1</v>
      </c>
      <c r="D303">
        <v>191</v>
      </c>
      <c r="E303" s="113">
        <v>30</v>
      </c>
      <c r="F303" s="113">
        <v>2</v>
      </c>
      <c r="I303" s="112">
        <v>32</v>
      </c>
      <c r="J303" s="183">
        <v>41705</v>
      </c>
      <c r="M303" s="184">
        <v>1.89</v>
      </c>
      <c r="N303" s="157">
        <v>41853</v>
      </c>
      <c r="S303" s="139">
        <v>6.44</v>
      </c>
      <c r="T303" s="157">
        <v>41853</v>
      </c>
      <c r="U303" s="139">
        <v>15.3</v>
      </c>
      <c r="Y303" s="139">
        <f t="shared" si="4"/>
        <v>2.4855099999999997</v>
      </c>
      <c r="AA303" s="139">
        <v>30.46</v>
      </c>
      <c r="AE303" s="139">
        <v>12.49</v>
      </c>
      <c r="AG303" s="185">
        <v>4.0999999999999996</v>
      </c>
      <c r="AI303" s="185">
        <v>125</v>
      </c>
      <c r="AJ303" s="157">
        <v>41803</v>
      </c>
      <c r="AO303" s="139">
        <v>96</v>
      </c>
      <c r="AP303" s="157">
        <v>41738</v>
      </c>
      <c r="AS303" s="139">
        <v>128</v>
      </c>
      <c r="AT303" s="157">
        <v>41766</v>
      </c>
      <c r="BS303" s="140">
        <v>51.6</v>
      </c>
      <c r="BU303" s="140">
        <v>19.899999999999999</v>
      </c>
      <c r="BW303" s="140">
        <v>13.4</v>
      </c>
      <c r="BY303" s="140">
        <v>8</v>
      </c>
      <c r="CJ303" s="140" t="s">
        <v>8131</v>
      </c>
    </row>
    <row r="304" spans="1:88">
      <c r="A304" s="158" t="s">
        <v>7903</v>
      </c>
      <c r="B304" s="112" t="s">
        <v>269</v>
      </c>
      <c r="C304" s="112">
        <v>1</v>
      </c>
      <c r="D304">
        <v>212</v>
      </c>
      <c r="E304" s="113">
        <v>30</v>
      </c>
      <c r="F304" s="113">
        <v>3</v>
      </c>
      <c r="I304" s="112">
        <v>22</v>
      </c>
      <c r="J304" s="183">
        <v>41705</v>
      </c>
      <c r="M304" s="184">
        <v>2.25</v>
      </c>
      <c r="N304" s="157">
        <v>41853</v>
      </c>
      <c r="S304" s="139">
        <v>7.97</v>
      </c>
      <c r="T304" s="157">
        <v>41853</v>
      </c>
      <c r="U304" s="139">
        <v>15.3</v>
      </c>
      <c r="Y304" s="139">
        <f t="shared" si="4"/>
        <v>2.5130299999999997</v>
      </c>
      <c r="AA304" s="139">
        <v>34.58</v>
      </c>
      <c r="AE304" s="139">
        <v>14.87</v>
      </c>
      <c r="AG304" s="185">
        <v>4.3</v>
      </c>
      <c r="AI304" s="185">
        <v>135</v>
      </c>
      <c r="AJ304" s="157">
        <v>41803</v>
      </c>
      <c r="AO304" s="139">
        <v>93</v>
      </c>
      <c r="AP304" s="157">
        <v>41738</v>
      </c>
      <c r="AS304" s="139">
        <v>127</v>
      </c>
      <c r="AT304" s="157">
        <v>41766</v>
      </c>
      <c r="BS304" s="140">
        <v>53.6</v>
      </c>
      <c r="BU304" s="140">
        <v>16.899999999999999</v>
      </c>
      <c r="BW304" s="140">
        <v>11.6</v>
      </c>
      <c r="BY304" s="140">
        <v>8</v>
      </c>
      <c r="CJ304" s="140" t="s">
        <v>8140</v>
      </c>
    </row>
    <row r="305" spans="1:88">
      <c r="A305" s="158" t="s">
        <v>7708</v>
      </c>
      <c r="B305" s="112" t="s">
        <v>269</v>
      </c>
      <c r="C305" s="112">
        <v>1</v>
      </c>
      <c r="D305">
        <v>93</v>
      </c>
      <c r="E305" s="113">
        <v>30</v>
      </c>
      <c r="F305" s="113">
        <v>4</v>
      </c>
      <c r="I305" s="112">
        <v>31</v>
      </c>
      <c r="J305" s="183">
        <v>41705</v>
      </c>
      <c r="M305" s="184">
        <v>2.09</v>
      </c>
      <c r="N305" s="157">
        <v>41853</v>
      </c>
      <c r="S305" s="139">
        <v>6.95</v>
      </c>
      <c r="T305" s="157">
        <v>41853</v>
      </c>
      <c r="U305" s="139">
        <v>15.3</v>
      </c>
      <c r="Y305" s="139">
        <f t="shared" si="4"/>
        <v>2.45818</v>
      </c>
      <c r="AA305" s="139">
        <v>30.69</v>
      </c>
      <c r="AE305" s="139">
        <v>13.81</v>
      </c>
      <c r="AG305" s="185">
        <v>4.5</v>
      </c>
      <c r="AI305" s="185">
        <v>115</v>
      </c>
      <c r="AJ305" s="157">
        <v>41803</v>
      </c>
      <c r="AO305" s="139">
        <v>89</v>
      </c>
      <c r="AP305" s="157">
        <v>41738</v>
      </c>
      <c r="AS305" s="139">
        <v>126</v>
      </c>
      <c r="AT305" s="157">
        <v>41766</v>
      </c>
      <c r="BS305" s="140">
        <v>50.3</v>
      </c>
      <c r="BU305" s="140">
        <v>17.8</v>
      </c>
      <c r="BW305" s="140">
        <v>14.5</v>
      </c>
      <c r="BY305" s="140">
        <v>8</v>
      </c>
      <c r="CJ305" s="140" t="s">
        <v>8140</v>
      </c>
    </row>
    <row r="306" spans="1:88">
      <c r="A306" s="158" t="s">
        <v>7717</v>
      </c>
      <c r="B306" s="112" t="s">
        <v>269</v>
      </c>
      <c r="C306" s="112">
        <v>1</v>
      </c>
      <c r="D306">
        <v>102</v>
      </c>
      <c r="E306" s="113">
        <v>30</v>
      </c>
      <c r="F306" s="113">
        <v>5</v>
      </c>
      <c r="I306" s="112">
        <v>21</v>
      </c>
      <c r="J306" s="183">
        <v>41705</v>
      </c>
      <c r="M306" s="184">
        <v>1</v>
      </c>
      <c r="N306" s="157">
        <v>41853</v>
      </c>
      <c r="S306" s="139">
        <v>3.46</v>
      </c>
      <c r="T306" s="157">
        <v>41853</v>
      </c>
      <c r="U306" s="139">
        <v>15.3</v>
      </c>
      <c r="Y306" s="139">
        <f t="shared" si="4"/>
        <v>1.20963</v>
      </c>
      <c r="AA306" s="139">
        <v>15.37</v>
      </c>
      <c r="AE306" s="139">
        <v>6.61</v>
      </c>
      <c r="AG306" s="185">
        <v>4.3</v>
      </c>
      <c r="AI306" s="185">
        <v>115</v>
      </c>
      <c r="AJ306" s="157">
        <v>41803</v>
      </c>
      <c r="AO306" s="139">
        <v>96</v>
      </c>
      <c r="AP306" s="157">
        <v>41738</v>
      </c>
      <c r="AS306" s="139">
        <v>128</v>
      </c>
      <c r="AT306" s="157">
        <v>41766</v>
      </c>
      <c r="BS306" s="140">
        <v>52.3</v>
      </c>
      <c r="BU306" s="140">
        <v>18.3</v>
      </c>
      <c r="BW306" s="140">
        <v>8.9</v>
      </c>
      <c r="BY306" s="140">
        <v>8</v>
      </c>
      <c r="CJ306" s="140" t="s">
        <v>8131</v>
      </c>
    </row>
    <row r="307" spans="1:88">
      <c r="A307" s="158" t="s">
        <v>7676</v>
      </c>
      <c r="B307" s="112" t="s">
        <v>269</v>
      </c>
      <c r="C307" s="112">
        <v>1</v>
      </c>
      <c r="D307">
        <v>61</v>
      </c>
      <c r="E307" s="113">
        <v>30</v>
      </c>
      <c r="F307" s="113">
        <v>6</v>
      </c>
      <c r="I307" s="112">
        <v>25</v>
      </c>
      <c r="J307" s="183">
        <v>41705</v>
      </c>
      <c r="M307" s="184">
        <v>2.17</v>
      </c>
      <c r="N307" s="157">
        <v>41853</v>
      </c>
      <c r="S307" s="139">
        <v>7.76</v>
      </c>
      <c r="T307" s="157">
        <v>41853</v>
      </c>
      <c r="U307" s="139">
        <v>15.3</v>
      </c>
      <c r="Y307" s="139">
        <f t="shared" si="4"/>
        <v>2.3947799999999999</v>
      </c>
      <c r="AA307" s="139">
        <v>34.14</v>
      </c>
      <c r="AE307" s="139">
        <v>14.34</v>
      </c>
      <c r="AG307" s="185">
        <v>4.2</v>
      </c>
      <c r="AI307" s="185">
        <v>115</v>
      </c>
      <c r="AJ307" s="157">
        <v>41803</v>
      </c>
      <c r="AO307" s="139">
        <v>92</v>
      </c>
      <c r="AP307" s="157">
        <v>41738</v>
      </c>
      <c r="AS307" s="139">
        <v>127</v>
      </c>
      <c r="AT307" s="157">
        <v>41766</v>
      </c>
      <c r="BS307" s="140">
        <v>54.1</v>
      </c>
      <c r="BU307" s="140">
        <v>16.7</v>
      </c>
      <c r="BW307" s="140">
        <v>20.5</v>
      </c>
      <c r="BY307" s="140">
        <v>8</v>
      </c>
      <c r="CJ307" s="140" t="s">
        <v>8140</v>
      </c>
    </row>
    <row r="308" spans="1:88">
      <c r="A308" s="158" t="s">
        <v>7763</v>
      </c>
      <c r="B308" s="112" t="s">
        <v>271</v>
      </c>
      <c r="C308" s="112">
        <v>2</v>
      </c>
      <c r="D308">
        <v>148</v>
      </c>
      <c r="E308" s="113">
        <v>30</v>
      </c>
      <c r="F308" s="113">
        <v>7</v>
      </c>
      <c r="I308" s="112">
        <v>62</v>
      </c>
      <c r="J308" s="183">
        <v>41705</v>
      </c>
      <c r="M308" s="184">
        <v>3.05</v>
      </c>
      <c r="N308" s="157">
        <v>41853</v>
      </c>
      <c r="S308" s="139">
        <v>10.01</v>
      </c>
      <c r="T308" s="157">
        <v>41853</v>
      </c>
      <c r="U308" s="139">
        <v>15.3</v>
      </c>
      <c r="Y308" s="139">
        <f t="shared" si="4"/>
        <v>4.5808599999999995</v>
      </c>
      <c r="AA308" s="139">
        <v>45.86</v>
      </c>
      <c r="AE308" s="139">
        <v>20.18</v>
      </c>
      <c r="AG308" s="185">
        <v>4.4000000000000004</v>
      </c>
      <c r="AI308" s="185">
        <v>110</v>
      </c>
      <c r="AJ308" s="157">
        <v>41803</v>
      </c>
      <c r="AO308" s="139">
        <v>96</v>
      </c>
      <c r="AP308" s="157">
        <v>41738</v>
      </c>
      <c r="AS308" s="139">
        <v>128</v>
      </c>
      <c r="AT308" s="157">
        <v>41766</v>
      </c>
      <c r="BS308" s="140">
        <v>49.6</v>
      </c>
      <c r="BU308" s="140">
        <v>22.7</v>
      </c>
      <c r="BW308" s="140">
        <v>46.6</v>
      </c>
      <c r="BY308" s="140">
        <v>7.9</v>
      </c>
      <c r="CJ308" s="140" t="s">
        <v>8131</v>
      </c>
    </row>
    <row r="309" spans="1:88">
      <c r="A309" s="158" t="s">
        <v>7804</v>
      </c>
      <c r="B309" s="112" t="s">
        <v>271</v>
      </c>
      <c r="C309" s="112">
        <v>2</v>
      </c>
      <c r="D309">
        <v>189</v>
      </c>
      <c r="E309" s="113">
        <v>30</v>
      </c>
      <c r="F309" s="113">
        <v>8</v>
      </c>
      <c r="I309" s="112">
        <v>59</v>
      </c>
      <c r="J309" s="183">
        <v>41705</v>
      </c>
      <c r="M309" s="184">
        <v>4.2300000000000004</v>
      </c>
      <c r="N309" s="157">
        <v>41853</v>
      </c>
      <c r="S309" s="139">
        <v>14.57</v>
      </c>
      <c r="T309" s="157">
        <v>41853</v>
      </c>
      <c r="U309" s="139">
        <v>15.3</v>
      </c>
      <c r="Y309" s="139">
        <f t="shared" si="4"/>
        <v>5.0983800000000006</v>
      </c>
      <c r="AA309" s="139">
        <v>69.650000000000006</v>
      </c>
      <c r="AE309" s="139">
        <v>27.86</v>
      </c>
      <c r="AG309" s="185">
        <v>4</v>
      </c>
      <c r="AI309" s="185">
        <v>115</v>
      </c>
      <c r="AJ309" s="157">
        <v>41803</v>
      </c>
      <c r="AO309" s="139">
        <v>93</v>
      </c>
      <c r="AP309" s="157">
        <v>41738</v>
      </c>
      <c r="AS309" s="139">
        <v>128</v>
      </c>
      <c r="AT309" s="157">
        <v>41766</v>
      </c>
      <c r="BS309" s="140">
        <v>52.3</v>
      </c>
      <c r="BU309" s="140">
        <v>18.3</v>
      </c>
      <c r="BW309" s="140">
        <v>15.4</v>
      </c>
      <c r="BY309" s="140">
        <v>8.3000000000000007</v>
      </c>
      <c r="CJ309" s="140" t="s">
        <v>8140</v>
      </c>
    </row>
    <row r="310" spans="1:88">
      <c r="A310" s="158" t="s">
        <v>7757</v>
      </c>
      <c r="B310" s="112" t="s">
        <v>271</v>
      </c>
      <c r="C310" s="112">
        <v>2</v>
      </c>
      <c r="D310">
        <v>142</v>
      </c>
      <c r="E310" s="113">
        <v>30</v>
      </c>
      <c r="F310" s="113">
        <v>9</v>
      </c>
      <c r="I310" s="112">
        <v>44</v>
      </c>
      <c r="J310" s="183">
        <v>41705</v>
      </c>
      <c r="M310" s="184">
        <v>1.56</v>
      </c>
      <c r="N310" s="157">
        <v>41853</v>
      </c>
      <c r="S310" s="139">
        <v>4.8</v>
      </c>
      <c r="T310" s="157">
        <v>41853</v>
      </c>
      <c r="U310" s="139">
        <v>15.3</v>
      </c>
      <c r="Y310" s="139">
        <f t="shared" si="4"/>
        <v>2.3495399999999997</v>
      </c>
      <c r="AA310" s="139">
        <v>23.32</v>
      </c>
      <c r="AE310" s="139">
        <v>10.26</v>
      </c>
      <c r="AG310" s="185">
        <v>4.4000000000000004</v>
      </c>
      <c r="AI310" s="185">
        <v>110</v>
      </c>
      <c r="AJ310" s="157">
        <v>41803</v>
      </c>
      <c r="AO310" s="139">
        <v>91</v>
      </c>
      <c r="AP310" s="157">
        <v>41738</v>
      </c>
      <c r="AS310" s="139">
        <v>128</v>
      </c>
      <c r="AT310" s="157">
        <v>41766</v>
      </c>
      <c r="BS310" s="140">
        <v>46.8</v>
      </c>
      <c r="BU310" s="140">
        <v>22.9</v>
      </c>
      <c r="BW310" s="140">
        <v>65.3</v>
      </c>
      <c r="BY310" s="140">
        <v>8.4</v>
      </c>
      <c r="CJ310" s="140" t="s">
        <v>8141</v>
      </c>
    </row>
    <row r="311" spans="1:88">
      <c r="A311" s="158" t="s">
        <v>7694</v>
      </c>
      <c r="B311" s="112" t="s">
        <v>271</v>
      </c>
      <c r="C311" s="112">
        <v>2</v>
      </c>
      <c r="D311">
        <v>79</v>
      </c>
      <c r="E311" s="113">
        <v>30</v>
      </c>
      <c r="F311" s="113">
        <v>10</v>
      </c>
      <c r="I311" s="112">
        <v>47</v>
      </c>
      <c r="J311" s="183">
        <v>41705</v>
      </c>
      <c r="M311" s="184">
        <v>4.09</v>
      </c>
      <c r="N311" s="157">
        <v>41853</v>
      </c>
      <c r="S311" s="139">
        <v>13.73</v>
      </c>
      <c r="T311" s="157">
        <v>41853</v>
      </c>
      <c r="U311" s="139">
        <v>15.3</v>
      </c>
      <c r="Y311" s="139">
        <f t="shared" si="4"/>
        <v>5.3347600000000002</v>
      </c>
      <c r="AA311" s="139">
        <v>67.7</v>
      </c>
      <c r="AE311" s="139">
        <v>27.08</v>
      </c>
      <c r="AG311" s="185">
        <v>4</v>
      </c>
      <c r="AI311" s="185">
        <v>110</v>
      </c>
      <c r="AJ311" s="157">
        <v>41803</v>
      </c>
      <c r="AO311" s="139">
        <v>90</v>
      </c>
      <c r="AP311" s="157">
        <v>41738</v>
      </c>
      <c r="AS311" s="139">
        <v>127</v>
      </c>
      <c r="AT311" s="157">
        <v>41766</v>
      </c>
      <c r="BS311" s="140">
        <v>50.7</v>
      </c>
      <c r="BU311" s="140">
        <v>19.7</v>
      </c>
      <c r="BW311" s="140">
        <v>12.8</v>
      </c>
      <c r="BY311" s="140">
        <v>7.8</v>
      </c>
      <c r="CJ311" s="140" t="s">
        <v>8140</v>
      </c>
    </row>
    <row r="312" spans="1:88">
      <c r="A312" s="158" t="s">
        <v>7740</v>
      </c>
      <c r="B312" s="112" t="s">
        <v>271</v>
      </c>
      <c r="C312" s="112">
        <v>2</v>
      </c>
      <c r="D312">
        <v>125</v>
      </c>
      <c r="E312" s="113">
        <v>30</v>
      </c>
      <c r="F312" s="113">
        <v>11</v>
      </c>
      <c r="I312" s="112">
        <v>25</v>
      </c>
      <c r="J312" s="183">
        <v>41705</v>
      </c>
      <c r="M312" s="184">
        <v>3.51</v>
      </c>
      <c r="N312" s="157">
        <v>41853</v>
      </c>
      <c r="S312" s="139">
        <v>11.6</v>
      </c>
      <c r="T312" s="157">
        <v>41853</v>
      </c>
      <c r="U312" s="139">
        <v>15.3</v>
      </c>
      <c r="Y312" s="139">
        <f t="shared" si="4"/>
        <v>4.4525100000000002</v>
      </c>
      <c r="AA312" s="139">
        <v>54.93</v>
      </c>
      <c r="AE312" s="139">
        <v>23.07</v>
      </c>
      <c r="AG312" s="185">
        <v>4.2</v>
      </c>
      <c r="AI312" s="185">
        <v>110</v>
      </c>
      <c r="AJ312" s="157">
        <v>41803</v>
      </c>
      <c r="AO312" s="139">
        <v>90</v>
      </c>
      <c r="AP312" s="157">
        <v>41738</v>
      </c>
      <c r="AS312" s="139">
        <v>127</v>
      </c>
      <c r="AT312" s="157">
        <v>41766</v>
      </c>
      <c r="BS312" s="140">
        <v>50.3</v>
      </c>
      <c r="BU312" s="140">
        <v>19.3</v>
      </c>
      <c r="BW312" s="140">
        <v>17.8</v>
      </c>
      <c r="BY312" s="140">
        <v>8.5</v>
      </c>
      <c r="CJ312" s="140" t="s">
        <v>8144</v>
      </c>
    </row>
    <row r="313" spans="1:88">
      <c r="A313" s="158" t="s">
        <v>7902</v>
      </c>
      <c r="B313" s="112" t="s">
        <v>271</v>
      </c>
      <c r="C313" s="112">
        <v>2</v>
      </c>
      <c r="D313">
        <v>209</v>
      </c>
      <c r="E313" s="113">
        <v>30</v>
      </c>
      <c r="F313" s="113">
        <v>12</v>
      </c>
      <c r="I313" s="112">
        <v>43</v>
      </c>
      <c r="J313" s="183">
        <v>41705</v>
      </c>
      <c r="M313" s="184">
        <v>3.9</v>
      </c>
      <c r="N313" s="157">
        <v>41853</v>
      </c>
      <c r="S313" s="139">
        <v>13.1</v>
      </c>
      <c r="T313" s="157">
        <v>41853</v>
      </c>
      <c r="U313" s="139">
        <v>15.3</v>
      </c>
      <c r="Y313" s="139">
        <f t="shared" si="4"/>
        <v>4.93248</v>
      </c>
      <c r="AA313" s="139">
        <v>62.66</v>
      </c>
      <c r="AE313" s="139">
        <v>25.69</v>
      </c>
      <c r="AG313" s="185">
        <v>4.0999999999999996</v>
      </c>
      <c r="AI313" s="185">
        <v>120</v>
      </c>
      <c r="AJ313" s="157">
        <v>41803</v>
      </c>
      <c r="AO313" s="139">
        <v>91</v>
      </c>
      <c r="AP313" s="157">
        <v>41738</v>
      </c>
      <c r="AS313" s="139">
        <v>127</v>
      </c>
      <c r="AT313" s="157">
        <v>41766</v>
      </c>
      <c r="BS313" s="140">
        <v>51</v>
      </c>
      <c r="BU313" s="140">
        <v>19.2</v>
      </c>
      <c r="BW313" s="140">
        <v>20.2</v>
      </c>
      <c r="BY313" s="140">
        <v>8.3000000000000007</v>
      </c>
      <c r="CJ313" s="140" t="s">
        <v>8144</v>
      </c>
    </row>
    <row r="314" spans="1:88">
      <c r="A314" s="158" t="s">
        <v>7678</v>
      </c>
      <c r="B314" s="112" t="s">
        <v>269</v>
      </c>
      <c r="C314" s="112">
        <v>1</v>
      </c>
      <c r="D314">
        <v>63</v>
      </c>
      <c r="E314" s="113">
        <v>31</v>
      </c>
      <c r="F314" s="113">
        <v>1</v>
      </c>
      <c r="I314" s="112">
        <v>23</v>
      </c>
      <c r="J314" s="183">
        <v>41705</v>
      </c>
      <c r="M314" s="184">
        <v>1.64</v>
      </c>
      <c r="N314" s="157">
        <v>41853</v>
      </c>
      <c r="S314" s="139">
        <v>5.41</v>
      </c>
      <c r="T314" s="157">
        <v>41853</v>
      </c>
      <c r="U314" s="139">
        <v>15.3</v>
      </c>
      <c r="Y314" s="139">
        <f t="shared" si="4"/>
        <v>2.2103800000000002</v>
      </c>
      <c r="AA314" s="139">
        <v>19.87</v>
      </c>
      <c r="AE314" s="139">
        <v>10.73</v>
      </c>
      <c r="AG314" s="185">
        <v>5.4</v>
      </c>
      <c r="AI314" s="185">
        <v>130</v>
      </c>
      <c r="AJ314" s="157">
        <v>41803</v>
      </c>
      <c r="AO314" s="139">
        <v>92</v>
      </c>
      <c r="AP314" s="157">
        <v>41738</v>
      </c>
      <c r="AS314" s="139">
        <v>128</v>
      </c>
      <c r="AT314" s="157">
        <v>41766</v>
      </c>
      <c r="BS314" s="140">
        <v>50.4</v>
      </c>
      <c r="BU314" s="140">
        <v>20.6</v>
      </c>
      <c r="BW314" s="140">
        <v>17</v>
      </c>
      <c r="BY314" s="140">
        <v>8.9</v>
      </c>
      <c r="CJ314" s="140" t="s">
        <v>8140</v>
      </c>
    </row>
    <row r="315" spans="1:88">
      <c r="A315" s="158" t="s">
        <v>7646</v>
      </c>
      <c r="B315" s="112" t="s">
        <v>269</v>
      </c>
      <c r="C315" s="112">
        <v>1</v>
      </c>
      <c r="D315">
        <v>31</v>
      </c>
      <c r="E315" s="113">
        <v>31</v>
      </c>
      <c r="F315" s="113">
        <v>2</v>
      </c>
      <c r="I315" s="112">
        <v>31</v>
      </c>
      <c r="J315" s="183">
        <v>41705</v>
      </c>
      <c r="M315" s="184">
        <v>2.17</v>
      </c>
      <c r="N315" s="157">
        <v>41853</v>
      </c>
      <c r="S315" s="139">
        <v>7.74</v>
      </c>
      <c r="T315" s="157">
        <v>41853</v>
      </c>
      <c r="U315" s="139">
        <v>15.3</v>
      </c>
      <c r="Y315" s="139">
        <f t="shared" si="4"/>
        <v>2.7547999999999995</v>
      </c>
      <c r="AA315" s="139">
        <v>28.98</v>
      </c>
      <c r="AE315" s="139">
        <v>14.2</v>
      </c>
      <c r="AG315" s="185">
        <v>4.9000000000000004</v>
      </c>
      <c r="AI315" s="185">
        <v>125</v>
      </c>
      <c r="AJ315" s="157">
        <v>41803</v>
      </c>
      <c r="AO315" s="139">
        <v>91</v>
      </c>
      <c r="AP315" s="157">
        <v>41738</v>
      </c>
      <c r="AS315" s="139">
        <v>126</v>
      </c>
      <c r="AT315" s="157">
        <v>41766</v>
      </c>
      <c r="BS315" s="140">
        <v>54.5</v>
      </c>
      <c r="BU315" s="140">
        <v>19.399999999999999</v>
      </c>
      <c r="BW315" s="140">
        <v>14.3</v>
      </c>
      <c r="BY315" s="140">
        <v>8.9</v>
      </c>
      <c r="CJ315" s="140" t="s">
        <v>8140</v>
      </c>
    </row>
    <row r="316" spans="1:88">
      <c r="A316" s="158" t="s">
        <v>7731</v>
      </c>
      <c r="B316" s="112" t="s">
        <v>269</v>
      </c>
      <c r="C316" s="112">
        <v>1</v>
      </c>
      <c r="D316">
        <v>116</v>
      </c>
      <c r="E316" s="113">
        <v>31</v>
      </c>
      <c r="F316" s="113">
        <v>3</v>
      </c>
      <c r="I316" s="112">
        <v>51</v>
      </c>
      <c r="J316" s="183">
        <v>41705</v>
      </c>
      <c r="M316" s="184">
        <v>1.55</v>
      </c>
      <c r="N316" s="157">
        <v>41853</v>
      </c>
      <c r="S316" s="139">
        <v>5.14</v>
      </c>
      <c r="T316" s="157">
        <v>41853</v>
      </c>
      <c r="U316" s="139">
        <v>15.3</v>
      </c>
      <c r="Y316" s="139">
        <f t="shared" si="4"/>
        <v>1.9874400000000003</v>
      </c>
      <c r="AA316" s="139">
        <v>21.13</v>
      </c>
      <c r="AE316" s="139">
        <v>10.14</v>
      </c>
      <c r="AG316" s="185">
        <v>4.8</v>
      </c>
      <c r="AI316" s="185">
        <v>120</v>
      </c>
      <c r="AJ316" s="157">
        <v>41803</v>
      </c>
      <c r="AO316" s="139">
        <v>92</v>
      </c>
      <c r="AP316" s="157">
        <v>41738</v>
      </c>
      <c r="AS316" s="139">
        <v>127</v>
      </c>
      <c r="AT316" s="157">
        <v>41766</v>
      </c>
      <c r="BS316" s="140">
        <v>50.7</v>
      </c>
      <c r="BU316" s="140">
        <v>19.600000000000001</v>
      </c>
      <c r="BW316" s="140">
        <v>16.399999999999999</v>
      </c>
      <c r="BY316" s="140">
        <v>8.9</v>
      </c>
      <c r="CJ316" s="140" t="s">
        <v>8140</v>
      </c>
    </row>
    <row r="317" spans="1:88">
      <c r="A317" s="158" t="s">
        <v>7712</v>
      </c>
      <c r="B317" s="112" t="s">
        <v>269</v>
      </c>
      <c r="C317" s="112">
        <v>1</v>
      </c>
      <c r="D317">
        <v>97</v>
      </c>
      <c r="E317" s="113">
        <v>31</v>
      </c>
      <c r="F317" s="113">
        <v>4</v>
      </c>
      <c r="I317" s="112">
        <v>23</v>
      </c>
      <c r="J317" s="183">
        <v>41705</v>
      </c>
      <c r="M317" s="184">
        <v>2.09</v>
      </c>
      <c r="N317" s="157">
        <v>41853</v>
      </c>
      <c r="S317" s="139">
        <v>7.07</v>
      </c>
      <c r="T317" s="157">
        <v>41853</v>
      </c>
      <c r="U317" s="139">
        <v>15.3</v>
      </c>
      <c r="Y317" s="139">
        <f t="shared" si="4"/>
        <v>2.6539199999999998</v>
      </c>
      <c r="AA317" s="139">
        <v>30.4</v>
      </c>
      <c r="AE317" s="139">
        <v>13.68</v>
      </c>
      <c r="AG317" s="185">
        <v>4.5</v>
      </c>
      <c r="AI317" s="185">
        <v>120</v>
      </c>
      <c r="AJ317" s="157">
        <v>41803</v>
      </c>
      <c r="AO317" s="139">
        <v>96</v>
      </c>
      <c r="AP317" s="157">
        <v>41738</v>
      </c>
      <c r="AS317" s="139">
        <v>128</v>
      </c>
      <c r="AT317" s="157">
        <v>41766</v>
      </c>
      <c r="BS317" s="140">
        <v>51.7</v>
      </c>
      <c r="BU317" s="140">
        <v>19.399999999999999</v>
      </c>
      <c r="BW317" s="140">
        <v>12.9</v>
      </c>
      <c r="BY317" s="140">
        <v>8.9</v>
      </c>
      <c r="CJ317" s="140" t="s">
        <v>8131</v>
      </c>
    </row>
    <row r="318" spans="1:88">
      <c r="A318" s="158" t="s">
        <v>7720</v>
      </c>
      <c r="B318" s="112" t="s">
        <v>269</v>
      </c>
      <c r="C318" s="112">
        <v>1</v>
      </c>
      <c r="D318">
        <v>105</v>
      </c>
      <c r="E318" s="113">
        <v>31</v>
      </c>
      <c r="F318" s="113">
        <v>5</v>
      </c>
      <c r="I318" s="112">
        <v>41</v>
      </c>
      <c r="J318" s="183">
        <v>41705</v>
      </c>
      <c r="M318" s="184">
        <v>2.09</v>
      </c>
      <c r="N318" s="157">
        <v>41853</v>
      </c>
      <c r="S318" s="139">
        <v>7</v>
      </c>
      <c r="T318" s="157">
        <v>41853</v>
      </c>
      <c r="U318" s="139">
        <v>15.3</v>
      </c>
      <c r="Y318" s="139">
        <f t="shared" si="4"/>
        <v>2.42136</v>
      </c>
      <c r="AA318" s="139">
        <v>32.57</v>
      </c>
      <c r="AE318" s="139">
        <v>13.68</v>
      </c>
      <c r="AG318" s="185">
        <v>4.2</v>
      </c>
      <c r="AI318" s="185">
        <v>115</v>
      </c>
      <c r="AJ318" s="157">
        <v>41803</v>
      </c>
      <c r="AO318" s="139">
        <v>96</v>
      </c>
      <c r="AP318" s="157">
        <v>41738</v>
      </c>
      <c r="AS318" s="139">
        <v>128</v>
      </c>
      <c r="AT318" s="157">
        <v>41766</v>
      </c>
      <c r="BS318" s="140">
        <v>51.2</v>
      </c>
      <c r="BU318" s="140">
        <v>17.7</v>
      </c>
      <c r="BW318" s="140">
        <v>10.7</v>
      </c>
      <c r="BY318" s="140">
        <v>8.9</v>
      </c>
      <c r="CJ318" s="140" t="s">
        <v>8131</v>
      </c>
    </row>
    <row r="319" spans="1:88">
      <c r="A319" s="158" t="s">
        <v>7617</v>
      </c>
      <c r="B319" s="112" t="s">
        <v>269</v>
      </c>
      <c r="C319" s="112">
        <v>1</v>
      </c>
      <c r="D319">
        <v>2</v>
      </c>
      <c r="E319" s="113">
        <v>31</v>
      </c>
      <c r="F319" s="113">
        <v>6</v>
      </c>
      <c r="I319" s="187">
        <v>36</v>
      </c>
      <c r="J319" s="183">
        <v>41705</v>
      </c>
      <c r="K319" s="142"/>
      <c r="M319" s="184">
        <v>1.7</v>
      </c>
      <c r="N319" s="157">
        <v>41853</v>
      </c>
      <c r="O319" s="141"/>
      <c r="Q319" s="142"/>
      <c r="S319" s="142">
        <v>5.74</v>
      </c>
      <c r="T319" s="157">
        <v>41853</v>
      </c>
      <c r="U319" s="142">
        <v>15.3</v>
      </c>
      <c r="W319" s="142"/>
      <c r="Y319" s="139">
        <f t="shared" si="4"/>
        <v>2.10168</v>
      </c>
      <c r="AA319" s="142">
        <v>22.69</v>
      </c>
      <c r="AE319" s="142">
        <v>11.12</v>
      </c>
      <c r="AG319" s="185">
        <v>4.9000000000000004</v>
      </c>
      <c r="AI319" s="185">
        <v>115</v>
      </c>
      <c r="AJ319" s="157">
        <v>41803</v>
      </c>
      <c r="AK319" s="142"/>
      <c r="AM319" s="142"/>
      <c r="AO319" s="139">
        <v>92</v>
      </c>
      <c r="AP319" s="157">
        <v>41738</v>
      </c>
      <c r="AS319" s="139">
        <v>127</v>
      </c>
      <c r="AT319" s="157">
        <v>41766</v>
      </c>
      <c r="BS319" s="140">
        <v>51.6</v>
      </c>
      <c r="BU319" s="140">
        <v>18.899999999999999</v>
      </c>
      <c r="BW319" s="140">
        <v>55.1</v>
      </c>
      <c r="BY319" s="140">
        <v>8.9</v>
      </c>
      <c r="CJ319" s="140" t="s">
        <v>8140</v>
      </c>
    </row>
    <row r="320" spans="1:88">
      <c r="A320" s="158" t="s">
        <v>7673</v>
      </c>
      <c r="B320" s="112" t="s">
        <v>271</v>
      </c>
      <c r="C320" s="112">
        <v>2</v>
      </c>
      <c r="D320">
        <v>58</v>
      </c>
      <c r="E320" s="113">
        <v>31</v>
      </c>
      <c r="F320" s="113">
        <v>7</v>
      </c>
      <c r="I320" s="112">
        <v>28</v>
      </c>
      <c r="J320" s="183">
        <v>41705</v>
      </c>
      <c r="M320" s="184">
        <v>3.24</v>
      </c>
      <c r="N320" s="157">
        <v>41853</v>
      </c>
      <c r="S320" s="139">
        <v>10.33</v>
      </c>
      <c r="T320" s="157">
        <v>41853</v>
      </c>
      <c r="U320" s="139">
        <v>15.3</v>
      </c>
      <c r="Y320" s="139">
        <f t="shared" si="4"/>
        <v>4.2792399999999997</v>
      </c>
      <c r="AA320" s="139">
        <v>47.91</v>
      </c>
      <c r="AE320" s="139">
        <v>21.08</v>
      </c>
      <c r="AG320" s="185">
        <v>4.4000000000000004</v>
      </c>
      <c r="AI320" s="185">
        <v>120</v>
      </c>
      <c r="AJ320" s="157">
        <v>41803</v>
      </c>
      <c r="AO320" s="139">
        <v>99</v>
      </c>
      <c r="AP320" s="157">
        <v>41738</v>
      </c>
      <c r="AS320" s="139">
        <v>128</v>
      </c>
      <c r="AT320" s="157">
        <v>41766</v>
      </c>
      <c r="BS320" s="140">
        <v>49</v>
      </c>
      <c r="BU320" s="140">
        <v>20.3</v>
      </c>
      <c r="BW320" s="140">
        <v>18.5</v>
      </c>
      <c r="BY320" s="140">
        <v>9.4</v>
      </c>
      <c r="CJ320" s="140" t="s">
        <v>8131</v>
      </c>
    </row>
    <row r="321" spans="1:88">
      <c r="A321" s="158" t="s">
        <v>7649</v>
      </c>
      <c r="B321" s="112" t="s">
        <v>271</v>
      </c>
      <c r="C321" s="112">
        <v>2</v>
      </c>
      <c r="D321">
        <v>34</v>
      </c>
      <c r="E321" s="113">
        <v>31</v>
      </c>
      <c r="F321" s="113">
        <v>8</v>
      </c>
      <c r="I321" s="112">
        <v>27</v>
      </c>
      <c r="J321" s="183">
        <v>41705</v>
      </c>
      <c r="M321" s="184">
        <v>3.13</v>
      </c>
      <c r="N321" s="157">
        <v>41853</v>
      </c>
      <c r="S321" s="139">
        <v>9.4600000000000009</v>
      </c>
      <c r="T321" s="157">
        <v>41853</v>
      </c>
      <c r="U321" s="139">
        <v>15.3</v>
      </c>
      <c r="Y321" s="139">
        <f t="shared" si="4"/>
        <v>4.5674999999999999</v>
      </c>
      <c r="AA321" s="139">
        <v>42.29</v>
      </c>
      <c r="AE321" s="139">
        <v>20.3</v>
      </c>
      <c r="AG321" s="185">
        <v>4.8</v>
      </c>
      <c r="AI321" s="185">
        <v>110</v>
      </c>
      <c r="AJ321" s="157">
        <v>41803</v>
      </c>
      <c r="AO321" s="139">
        <v>97</v>
      </c>
      <c r="AP321" s="157">
        <v>41738</v>
      </c>
      <c r="AS321" s="139">
        <v>127</v>
      </c>
      <c r="AT321" s="157">
        <v>41766</v>
      </c>
      <c r="BS321" s="140">
        <v>46.6</v>
      </c>
      <c r="BU321" s="140">
        <v>22.5</v>
      </c>
      <c r="BW321" s="140">
        <v>71.400000000000006</v>
      </c>
      <c r="BY321" s="140">
        <v>9.6999999999999993</v>
      </c>
      <c r="CJ321" s="140" t="s">
        <v>8134</v>
      </c>
    </row>
    <row r="322" spans="1:88">
      <c r="A322" s="158" t="s">
        <v>7747</v>
      </c>
      <c r="B322" s="112" t="s">
        <v>271</v>
      </c>
      <c r="C322" s="112">
        <v>2</v>
      </c>
      <c r="D322">
        <v>132</v>
      </c>
      <c r="E322" s="113">
        <v>31</v>
      </c>
      <c r="F322" s="113">
        <v>9</v>
      </c>
      <c r="I322" s="112">
        <v>36</v>
      </c>
      <c r="J322" s="183">
        <v>41705</v>
      </c>
      <c r="M322" s="184">
        <v>3.17</v>
      </c>
      <c r="N322" s="157">
        <v>41853</v>
      </c>
      <c r="S322" s="139">
        <v>10.16</v>
      </c>
      <c r="T322" s="157">
        <v>41853</v>
      </c>
      <c r="U322" s="139">
        <v>15.3</v>
      </c>
      <c r="Y322" s="139">
        <f t="shared" ref="Y322:Y385" si="5">(AE322*BU322)/100</f>
        <v>4.4063999999999997</v>
      </c>
      <c r="AA322" s="139">
        <v>49.76</v>
      </c>
      <c r="AE322" s="139">
        <v>20.399999999999999</v>
      </c>
      <c r="AG322" s="185">
        <v>4.0999999999999996</v>
      </c>
      <c r="AI322" s="185">
        <v>110</v>
      </c>
      <c r="AJ322" s="157">
        <v>41803</v>
      </c>
      <c r="AO322" s="139">
        <v>97</v>
      </c>
      <c r="AP322" s="157">
        <v>41738</v>
      </c>
      <c r="AS322" s="139">
        <v>128</v>
      </c>
      <c r="AT322" s="157">
        <v>41766</v>
      </c>
      <c r="BS322" s="140">
        <v>49.8</v>
      </c>
      <c r="BU322" s="140">
        <v>21.6</v>
      </c>
      <c r="BW322" s="140">
        <v>59.6</v>
      </c>
      <c r="BY322" s="140">
        <v>10.4</v>
      </c>
      <c r="CJ322" s="140" t="s">
        <v>8132</v>
      </c>
    </row>
    <row r="323" spans="1:88">
      <c r="A323" s="158" t="s">
        <v>7703</v>
      </c>
      <c r="B323" s="112" t="s">
        <v>271</v>
      </c>
      <c r="C323" s="112">
        <v>2</v>
      </c>
      <c r="D323">
        <v>88</v>
      </c>
      <c r="E323" s="113">
        <v>31</v>
      </c>
      <c r="F323" s="113">
        <v>10</v>
      </c>
      <c r="I323" s="112">
        <v>25</v>
      </c>
      <c r="J323" s="183">
        <v>41705</v>
      </c>
      <c r="M323" s="184">
        <v>4.0199999999999996</v>
      </c>
      <c r="N323" s="157">
        <v>41853</v>
      </c>
      <c r="S323" s="139">
        <v>13.82</v>
      </c>
      <c r="T323" s="157">
        <v>41853</v>
      </c>
      <c r="U323" s="139">
        <v>15.3</v>
      </c>
      <c r="Y323" s="139">
        <f t="shared" si="5"/>
        <v>4.79826</v>
      </c>
      <c r="AA323" s="139">
        <v>69</v>
      </c>
      <c r="AE323" s="139">
        <v>26.22</v>
      </c>
      <c r="AG323" s="185">
        <v>3.8</v>
      </c>
      <c r="AI323" s="185">
        <v>120</v>
      </c>
      <c r="AJ323" s="157">
        <v>41803</v>
      </c>
      <c r="AO323" s="139">
        <v>100</v>
      </c>
      <c r="AP323" s="157">
        <v>41738</v>
      </c>
      <c r="AS323" s="139">
        <v>128</v>
      </c>
      <c r="AT323" s="157">
        <v>41766</v>
      </c>
      <c r="BS323" s="140">
        <v>52.7</v>
      </c>
      <c r="BU323" s="140">
        <v>18.3</v>
      </c>
      <c r="BW323" s="140">
        <v>12.2</v>
      </c>
      <c r="BY323" s="140">
        <v>9.1999999999999993</v>
      </c>
      <c r="CJ323" s="140" t="s">
        <v>8131</v>
      </c>
    </row>
    <row r="324" spans="1:88">
      <c r="A324" s="158" t="s">
        <v>7739</v>
      </c>
      <c r="B324" s="112" t="s">
        <v>271</v>
      </c>
      <c r="C324" s="112">
        <v>2</v>
      </c>
      <c r="D324">
        <v>124</v>
      </c>
      <c r="E324" s="113">
        <v>31</v>
      </c>
      <c r="F324" s="113">
        <v>11</v>
      </c>
      <c r="I324" s="112">
        <v>46</v>
      </c>
      <c r="J324" s="183">
        <v>41705</v>
      </c>
      <c r="M324" s="184">
        <v>2.67</v>
      </c>
      <c r="N324" s="157">
        <v>41853</v>
      </c>
      <c r="S324" s="139">
        <v>8.39</v>
      </c>
      <c r="T324" s="157">
        <v>41853</v>
      </c>
      <c r="U324" s="139">
        <v>15.3</v>
      </c>
      <c r="Y324" s="139">
        <f t="shared" si="5"/>
        <v>3.8084600000000002</v>
      </c>
      <c r="AA324" s="139">
        <v>44.79</v>
      </c>
      <c r="AE324" s="139">
        <v>17.47</v>
      </c>
      <c r="AG324" s="185">
        <v>3.9</v>
      </c>
      <c r="AI324" s="185">
        <v>110</v>
      </c>
      <c r="AJ324" s="157">
        <v>41803</v>
      </c>
      <c r="AO324" s="139">
        <v>94</v>
      </c>
      <c r="AP324" s="157">
        <v>41738</v>
      </c>
      <c r="AS324" s="139">
        <v>128</v>
      </c>
      <c r="AT324" s="157">
        <v>41766</v>
      </c>
      <c r="BS324" s="140">
        <v>48</v>
      </c>
      <c r="BU324" s="140">
        <v>21.8</v>
      </c>
      <c r="BW324" s="140">
        <v>11.7</v>
      </c>
      <c r="BY324" s="140">
        <v>8.9</v>
      </c>
      <c r="CJ324" s="140" t="s">
        <v>8140</v>
      </c>
    </row>
    <row r="325" spans="1:88">
      <c r="A325" s="158" t="s">
        <v>7639</v>
      </c>
      <c r="B325" s="112" t="s">
        <v>271</v>
      </c>
      <c r="C325" s="112">
        <v>2</v>
      </c>
      <c r="D325">
        <v>24</v>
      </c>
      <c r="E325" s="113">
        <v>31</v>
      </c>
      <c r="F325" s="113">
        <v>12</v>
      </c>
      <c r="I325" s="112">
        <v>51</v>
      </c>
      <c r="J325" s="183">
        <v>41705</v>
      </c>
      <c r="M325" s="184">
        <v>3.42</v>
      </c>
      <c r="N325" s="157">
        <v>41853</v>
      </c>
      <c r="S325" s="139">
        <v>11.09</v>
      </c>
      <c r="T325" s="157">
        <v>41853</v>
      </c>
      <c r="U325" s="139">
        <v>15.3</v>
      </c>
      <c r="Y325" s="139">
        <f t="shared" si="5"/>
        <v>4.6238400000000004</v>
      </c>
      <c r="AA325" s="139">
        <v>47.3</v>
      </c>
      <c r="AE325" s="139">
        <v>22.23</v>
      </c>
      <c r="AG325" s="185">
        <v>4.7</v>
      </c>
      <c r="AI325" s="185">
        <v>120</v>
      </c>
      <c r="AJ325" s="157">
        <v>41803</v>
      </c>
      <c r="AO325" s="139">
        <v>94</v>
      </c>
      <c r="AP325" s="157">
        <v>41738</v>
      </c>
      <c r="AS325" s="139">
        <v>128</v>
      </c>
      <c r="AT325" s="157">
        <v>41766</v>
      </c>
      <c r="BS325" s="140">
        <v>49.9</v>
      </c>
      <c r="BU325" s="140">
        <v>20.8</v>
      </c>
      <c r="BW325" s="140">
        <v>56.8</v>
      </c>
      <c r="BY325" s="140">
        <v>9.5</v>
      </c>
      <c r="CJ325" s="140" t="s">
        <v>8140</v>
      </c>
    </row>
    <row r="326" spans="1:88">
      <c r="A326" s="158" t="s">
        <v>7802</v>
      </c>
      <c r="B326" s="112" t="s">
        <v>269</v>
      </c>
      <c r="C326" s="112">
        <v>1</v>
      </c>
      <c r="D326">
        <v>187</v>
      </c>
      <c r="E326" s="113">
        <v>32</v>
      </c>
      <c r="F326" s="113">
        <v>1</v>
      </c>
      <c r="I326" s="112">
        <v>21</v>
      </c>
      <c r="J326" s="183">
        <v>41705</v>
      </c>
      <c r="M326" s="184">
        <v>2.0699999999999998</v>
      </c>
      <c r="N326" s="157">
        <v>41853</v>
      </c>
      <c r="S326" s="139">
        <v>6.76</v>
      </c>
      <c r="T326" s="157">
        <v>41853</v>
      </c>
      <c r="U326" s="139">
        <v>15.3</v>
      </c>
      <c r="Y326" s="139">
        <f t="shared" si="5"/>
        <v>2.9110999999999994</v>
      </c>
      <c r="AA326" s="139">
        <v>28.81</v>
      </c>
      <c r="AE326" s="139">
        <v>13.54</v>
      </c>
      <c r="AG326" s="185">
        <v>4.7</v>
      </c>
      <c r="AI326" s="185">
        <v>130</v>
      </c>
      <c r="AJ326" s="157">
        <v>41803</v>
      </c>
      <c r="AO326" s="139">
        <v>90</v>
      </c>
      <c r="AP326" s="157">
        <v>41738</v>
      </c>
      <c r="AS326" s="139">
        <v>127</v>
      </c>
      <c r="AT326" s="157">
        <v>41766</v>
      </c>
      <c r="BS326" s="140">
        <v>49.9</v>
      </c>
      <c r="BU326" s="140">
        <v>21.5</v>
      </c>
      <c r="BW326" s="140">
        <v>14.5</v>
      </c>
      <c r="BY326" s="140">
        <v>8.9</v>
      </c>
      <c r="CJ326" s="140" t="s">
        <v>8140</v>
      </c>
    </row>
    <row r="327" spans="1:88">
      <c r="A327" s="158" t="s">
        <v>7757</v>
      </c>
      <c r="B327" s="112" t="s">
        <v>269</v>
      </c>
      <c r="C327" s="112">
        <v>1</v>
      </c>
      <c r="D327">
        <v>142</v>
      </c>
      <c r="E327" s="113">
        <v>32</v>
      </c>
      <c r="F327" s="113">
        <v>2</v>
      </c>
      <c r="I327" s="112">
        <v>34</v>
      </c>
      <c r="J327" s="183">
        <v>41705</v>
      </c>
      <c r="M327" s="184">
        <v>0.86</v>
      </c>
      <c r="N327" s="157">
        <v>41853</v>
      </c>
      <c r="S327" s="139">
        <v>2.59</v>
      </c>
      <c r="T327" s="157">
        <v>41853</v>
      </c>
      <c r="U327" s="139">
        <v>15.3</v>
      </c>
      <c r="Y327" s="139">
        <f t="shared" si="5"/>
        <v>1.3455699999999999</v>
      </c>
      <c r="AA327" s="139">
        <v>10.62</v>
      </c>
      <c r="AE327" s="139">
        <v>5.63</v>
      </c>
      <c r="AG327" s="185">
        <v>5.3</v>
      </c>
      <c r="AI327" s="185">
        <v>110</v>
      </c>
      <c r="AJ327" s="157">
        <v>41803</v>
      </c>
      <c r="AO327" s="139">
        <v>91</v>
      </c>
      <c r="AP327" s="157">
        <v>41738</v>
      </c>
      <c r="AS327" s="139">
        <v>128</v>
      </c>
      <c r="AT327" s="157">
        <v>41766</v>
      </c>
      <c r="BS327" s="140">
        <v>46</v>
      </c>
      <c r="BU327" s="140">
        <v>23.9</v>
      </c>
      <c r="BW327" s="140">
        <v>72.900000000000006</v>
      </c>
      <c r="BY327" s="140">
        <v>8.9</v>
      </c>
      <c r="CJ327" s="140" t="s">
        <v>8140</v>
      </c>
    </row>
    <row r="328" spans="1:88">
      <c r="A328" s="158" t="s">
        <v>7820</v>
      </c>
      <c r="B328" s="112" t="s">
        <v>269</v>
      </c>
      <c r="C328" s="112">
        <v>1</v>
      </c>
      <c r="D328">
        <v>205</v>
      </c>
      <c r="E328" s="113">
        <v>32</v>
      </c>
      <c r="F328" s="113">
        <v>3</v>
      </c>
      <c r="I328" s="112">
        <v>28</v>
      </c>
      <c r="J328" s="183">
        <v>41705</v>
      </c>
      <c r="M328" s="184">
        <v>2.4</v>
      </c>
      <c r="N328" s="157">
        <v>41853</v>
      </c>
      <c r="S328" s="139">
        <v>8.2899999999999991</v>
      </c>
      <c r="T328" s="157">
        <v>41853</v>
      </c>
      <c r="U328" s="139">
        <v>15.3</v>
      </c>
      <c r="Y328" s="139">
        <f t="shared" si="5"/>
        <v>2.6847000000000003</v>
      </c>
      <c r="AA328" s="139">
        <v>36.51</v>
      </c>
      <c r="AE328" s="139">
        <v>15.7</v>
      </c>
      <c r="AG328" s="185">
        <v>4.3</v>
      </c>
      <c r="AI328" s="185">
        <v>120</v>
      </c>
      <c r="AJ328" s="157">
        <v>41803</v>
      </c>
      <c r="AO328" s="139">
        <v>94</v>
      </c>
      <c r="AP328" s="157">
        <v>41738</v>
      </c>
      <c r="AS328" s="139">
        <v>127</v>
      </c>
      <c r="AT328" s="157">
        <v>41766</v>
      </c>
      <c r="BS328" s="140">
        <v>52.8</v>
      </c>
      <c r="BU328" s="140">
        <v>17.100000000000001</v>
      </c>
      <c r="BW328" s="140">
        <v>15.5</v>
      </c>
      <c r="BY328" s="140">
        <v>8.9</v>
      </c>
      <c r="CJ328" s="140" t="s">
        <v>8140</v>
      </c>
    </row>
    <row r="329" spans="1:88">
      <c r="A329" s="158" t="s">
        <v>7643</v>
      </c>
      <c r="B329" s="112" t="s">
        <v>269</v>
      </c>
      <c r="C329" s="112">
        <v>1</v>
      </c>
      <c r="D329">
        <v>28</v>
      </c>
      <c r="E329" s="113">
        <v>32</v>
      </c>
      <c r="F329" s="113">
        <v>4</v>
      </c>
      <c r="I329" s="112">
        <v>40</v>
      </c>
      <c r="J329" s="183">
        <v>41705</v>
      </c>
      <c r="M329" s="184">
        <v>1.83</v>
      </c>
      <c r="N329" s="157">
        <v>41853</v>
      </c>
      <c r="S329" s="139">
        <v>5.93</v>
      </c>
      <c r="T329" s="157">
        <v>41853</v>
      </c>
      <c r="U329" s="139">
        <v>15.3</v>
      </c>
      <c r="Y329" s="139">
        <f t="shared" si="5"/>
        <v>2.5256700000000003</v>
      </c>
      <c r="AA329" s="139">
        <v>23.02</v>
      </c>
      <c r="AE329" s="139">
        <v>11.97</v>
      </c>
      <c r="AG329" s="185">
        <v>5.2</v>
      </c>
      <c r="AI329" s="185">
        <v>125</v>
      </c>
      <c r="AJ329" s="157">
        <v>41803</v>
      </c>
      <c r="AO329" s="139">
        <v>96</v>
      </c>
      <c r="AP329" s="157">
        <v>41738</v>
      </c>
      <c r="AS329" s="139">
        <v>128</v>
      </c>
      <c r="AT329" s="157">
        <v>41766</v>
      </c>
      <c r="BS329" s="140">
        <v>49.5</v>
      </c>
      <c r="BU329" s="140">
        <v>21.1</v>
      </c>
      <c r="BW329" s="140">
        <v>64.3</v>
      </c>
      <c r="BY329" s="140">
        <v>8.9</v>
      </c>
      <c r="CJ329" s="140" t="s">
        <v>8131</v>
      </c>
    </row>
    <row r="330" spans="1:88">
      <c r="A330" s="158" t="s">
        <v>7663</v>
      </c>
      <c r="B330" s="112" t="s">
        <v>269</v>
      </c>
      <c r="C330" s="112">
        <v>1</v>
      </c>
      <c r="D330">
        <v>48</v>
      </c>
      <c r="E330" s="113">
        <v>32</v>
      </c>
      <c r="F330" s="113">
        <v>5</v>
      </c>
      <c r="I330" s="112">
        <v>43</v>
      </c>
      <c r="J330" s="183">
        <v>41705</v>
      </c>
      <c r="M330" s="184">
        <v>1.6</v>
      </c>
      <c r="N330" s="157">
        <v>41853</v>
      </c>
      <c r="S330" s="139">
        <v>5.2</v>
      </c>
      <c r="T330" s="157">
        <v>41853</v>
      </c>
      <c r="U330" s="139">
        <v>15.3</v>
      </c>
      <c r="Y330" s="139">
        <f t="shared" si="5"/>
        <v>2.0939999999999999</v>
      </c>
      <c r="AA330" s="139">
        <v>25.54</v>
      </c>
      <c r="AE330" s="139">
        <v>10.47</v>
      </c>
      <c r="AG330" s="185">
        <v>4.0999999999999996</v>
      </c>
      <c r="AI330" s="185">
        <v>155</v>
      </c>
      <c r="AJ330" s="157">
        <v>41803</v>
      </c>
      <c r="AO330" s="139">
        <v>92</v>
      </c>
      <c r="AP330" s="157">
        <v>41738</v>
      </c>
      <c r="AS330" s="139">
        <v>127</v>
      </c>
      <c r="AT330" s="157">
        <v>41766</v>
      </c>
      <c r="BS330" s="140">
        <v>49.7</v>
      </c>
      <c r="BU330" s="140">
        <v>20</v>
      </c>
      <c r="BW330" s="140">
        <v>57.7</v>
      </c>
      <c r="BY330" s="140">
        <v>8.9</v>
      </c>
      <c r="CJ330" s="140" t="s">
        <v>8140</v>
      </c>
    </row>
    <row r="331" spans="1:88">
      <c r="A331" s="158" t="s">
        <v>7652</v>
      </c>
      <c r="B331" s="112" t="s">
        <v>269</v>
      </c>
      <c r="C331" s="112">
        <v>1</v>
      </c>
      <c r="D331">
        <v>37</v>
      </c>
      <c r="E331" s="113">
        <v>32</v>
      </c>
      <c r="F331" s="113">
        <v>6</v>
      </c>
      <c r="I331" s="112">
        <v>43</v>
      </c>
      <c r="J331" s="183">
        <v>41705</v>
      </c>
      <c r="M331" s="184">
        <v>1.84</v>
      </c>
      <c r="N331" s="157">
        <v>41853</v>
      </c>
      <c r="S331" s="139">
        <v>6.03</v>
      </c>
      <c r="T331" s="157">
        <v>41853</v>
      </c>
      <c r="U331" s="139">
        <v>15.3</v>
      </c>
      <c r="Y331" s="139">
        <f t="shared" si="5"/>
        <v>2.3237199999999998</v>
      </c>
      <c r="AA331" s="139">
        <v>27.36</v>
      </c>
      <c r="AE331" s="139">
        <v>12.04</v>
      </c>
      <c r="AG331" s="185">
        <v>4.4000000000000004</v>
      </c>
      <c r="AI331" s="185">
        <v>110</v>
      </c>
      <c r="AJ331" s="157">
        <v>41803</v>
      </c>
      <c r="AO331" s="139">
        <v>88</v>
      </c>
      <c r="AP331" s="157">
        <v>41738</v>
      </c>
      <c r="AS331" s="139">
        <v>125</v>
      </c>
      <c r="AT331" s="157">
        <v>41766</v>
      </c>
      <c r="BS331" s="140">
        <v>50.1</v>
      </c>
      <c r="BU331" s="140">
        <v>19.3</v>
      </c>
      <c r="BW331" s="140">
        <v>59.2</v>
      </c>
      <c r="BY331" s="140">
        <v>8.9</v>
      </c>
      <c r="CJ331" s="140" t="s">
        <v>8140</v>
      </c>
    </row>
    <row r="332" spans="1:88">
      <c r="A332" s="158" t="s">
        <v>7679</v>
      </c>
      <c r="B332" s="112" t="s">
        <v>271</v>
      </c>
      <c r="C332" s="112">
        <v>2</v>
      </c>
      <c r="D332">
        <v>64</v>
      </c>
      <c r="E332" s="113">
        <v>32</v>
      </c>
      <c r="F332" s="113">
        <v>7</v>
      </c>
      <c r="I332" s="112">
        <v>22</v>
      </c>
      <c r="J332" s="183">
        <v>41705</v>
      </c>
      <c r="M332" s="184">
        <v>2.15</v>
      </c>
      <c r="N332" s="157">
        <v>41853</v>
      </c>
      <c r="S332" s="139">
        <v>6.47</v>
      </c>
      <c r="T332" s="157">
        <v>41853</v>
      </c>
      <c r="U332" s="139">
        <v>15.3</v>
      </c>
      <c r="Y332" s="139">
        <f t="shared" si="5"/>
        <v>3.2501700000000007</v>
      </c>
      <c r="AA332" s="139">
        <v>27.59</v>
      </c>
      <c r="AE332" s="139">
        <v>14.07</v>
      </c>
      <c r="AG332" s="185">
        <v>5.0999999999999996</v>
      </c>
      <c r="AI332" s="185">
        <v>110</v>
      </c>
      <c r="AJ332" s="157">
        <v>41803</v>
      </c>
      <c r="AO332" s="139">
        <v>85</v>
      </c>
      <c r="AP332" s="157">
        <v>41738</v>
      </c>
      <c r="AS332" s="139">
        <v>128</v>
      </c>
      <c r="AT332" s="157">
        <v>41766</v>
      </c>
      <c r="BS332" s="140">
        <v>46</v>
      </c>
      <c r="BU332" s="140">
        <v>23.1</v>
      </c>
      <c r="BW332" s="140">
        <v>29.8</v>
      </c>
      <c r="BY332" s="140">
        <v>8.9</v>
      </c>
      <c r="CJ332" s="140" t="s">
        <v>8143</v>
      </c>
    </row>
    <row r="333" spans="1:88">
      <c r="A333" s="158" t="s">
        <v>7735</v>
      </c>
      <c r="B333" s="112" t="s">
        <v>271</v>
      </c>
      <c r="C333" s="112">
        <v>2</v>
      </c>
      <c r="D333">
        <v>120</v>
      </c>
      <c r="E333" s="113">
        <v>32</v>
      </c>
      <c r="F333" s="113">
        <v>8</v>
      </c>
      <c r="I333" s="112">
        <v>31</v>
      </c>
      <c r="J333" s="183">
        <v>41705</v>
      </c>
      <c r="M333" s="184">
        <v>3.93</v>
      </c>
      <c r="N333" s="157">
        <v>41853</v>
      </c>
      <c r="S333" s="139">
        <v>12.94</v>
      </c>
      <c r="T333" s="157">
        <v>41853</v>
      </c>
      <c r="U333" s="139">
        <v>15.3</v>
      </c>
      <c r="Y333" s="139">
        <f t="shared" si="5"/>
        <v>5.2018800000000001</v>
      </c>
      <c r="AA333" s="139">
        <v>53.92</v>
      </c>
      <c r="AE333" s="139">
        <v>25.88</v>
      </c>
      <c r="AG333" s="185">
        <v>4.8</v>
      </c>
      <c r="AI333" s="185">
        <v>110</v>
      </c>
      <c r="AJ333" s="157">
        <v>41803</v>
      </c>
      <c r="AO333" s="139">
        <v>94</v>
      </c>
      <c r="AP333" s="157">
        <v>41738</v>
      </c>
      <c r="AS333" s="139">
        <v>128</v>
      </c>
      <c r="AT333" s="157">
        <v>41766</v>
      </c>
      <c r="BS333" s="140">
        <v>50</v>
      </c>
      <c r="BU333" s="140">
        <v>20.100000000000001</v>
      </c>
      <c r="BW333" s="140">
        <v>15.7</v>
      </c>
      <c r="BY333" s="140">
        <v>8.3000000000000007</v>
      </c>
      <c r="CJ333" s="140" t="s">
        <v>8140</v>
      </c>
    </row>
    <row r="334" spans="1:88">
      <c r="A334" s="158" t="s">
        <v>7751</v>
      </c>
      <c r="B334" s="112" t="s">
        <v>271</v>
      </c>
      <c r="C334" s="112">
        <v>2</v>
      </c>
      <c r="D334">
        <v>136</v>
      </c>
      <c r="E334" s="113">
        <v>32</v>
      </c>
      <c r="F334" s="113">
        <v>9</v>
      </c>
      <c r="I334" s="112">
        <v>41</v>
      </c>
      <c r="J334" s="183">
        <v>41705</v>
      </c>
      <c r="M334" s="184">
        <v>2.74</v>
      </c>
      <c r="N334" s="157">
        <v>41853</v>
      </c>
      <c r="S334" s="139">
        <v>8.74</v>
      </c>
      <c r="T334" s="157">
        <v>41853</v>
      </c>
      <c r="U334" s="139">
        <v>15.3</v>
      </c>
      <c r="Y334" s="139">
        <f t="shared" si="5"/>
        <v>4.2096599999999995</v>
      </c>
      <c r="AA334" s="139">
        <v>41.84</v>
      </c>
      <c r="AE334" s="139">
        <v>17.989999999999998</v>
      </c>
      <c r="AG334" s="185">
        <v>4.3</v>
      </c>
      <c r="AI334" s="185">
        <v>120</v>
      </c>
      <c r="AJ334" s="157">
        <v>41803</v>
      </c>
      <c r="AO334" s="139">
        <v>97</v>
      </c>
      <c r="AP334" s="157">
        <v>41738</v>
      </c>
      <c r="AS334" s="139">
        <v>129</v>
      </c>
      <c r="AT334" s="157">
        <v>41766</v>
      </c>
      <c r="BS334" s="140">
        <v>48.6</v>
      </c>
      <c r="BU334" s="140">
        <v>23.4</v>
      </c>
      <c r="BW334" s="140">
        <v>68.2</v>
      </c>
      <c r="BY334" s="140">
        <v>8.6</v>
      </c>
      <c r="CJ334" s="140" t="s">
        <v>8131</v>
      </c>
    </row>
    <row r="335" spans="1:88">
      <c r="A335" s="158" t="s">
        <v>7741</v>
      </c>
      <c r="B335" s="112" t="s">
        <v>271</v>
      </c>
      <c r="C335" s="112">
        <v>2</v>
      </c>
      <c r="D335">
        <v>126</v>
      </c>
      <c r="E335" s="113">
        <v>32</v>
      </c>
      <c r="F335" s="113">
        <v>10</v>
      </c>
      <c r="I335" s="112">
        <v>48</v>
      </c>
      <c r="J335" s="183">
        <v>41705</v>
      </c>
      <c r="M335" s="184">
        <v>4.54</v>
      </c>
      <c r="N335" s="157">
        <v>41853</v>
      </c>
      <c r="S335" s="139">
        <v>15.02</v>
      </c>
      <c r="T335" s="157">
        <v>41853</v>
      </c>
      <c r="U335" s="139">
        <v>15.3</v>
      </c>
      <c r="Y335" s="139">
        <f t="shared" si="5"/>
        <v>5.9897999999999998</v>
      </c>
      <c r="AA335" s="139">
        <v>53.21</v>
      </c>
      <c r="AE335" s="139">
        <v>29.8</v>
      </c>
      <c r="AG335" s="185">
        <v>5.6</v>
      </c>
      <c r="AI335" s="185">
        <v>120</v>
      </c>
      <c r="AJ335" s="157">
        <v>41803</v>
      </c>
      <c r="AO335" s="139">
        <v>93</v>
      </c>
      <c r="AP335" s="157">
        <v>41738</v>
      </c>
      <c r="AS335" s="139">
        <v>127</v>
      </c>
      <c r="AT335" s="157">
        <v>41766</v>
      </c>
      <c r="BS335" s="140">
        <v>50.4</v>
      </c>
      <c r="BU335" s="140">
        <v>20.100000000000001</v>
      </c>
      <c r="BW335" s="140">
        <v>17.7</v>
      </c>
      <c r="BY335" s="140">
        <v>8.6</v>
      </c>
      <c r="CJ335" s="140" t="s">
        <v>8140</v>
      </c>
    </row>
    <row r="336" spans="1:88">
      <c r="A336" s="158" t="s">
        <v>7799</v>
      </c>
      <c r="B336" s="112" t="s">
        <v>271</v>
      </c>
      <c r="C336" s="112">
        <v>2</v>
      </c>
      <c r="D336">
        <v>184</v>
      </c>
      <c r="E336" s="113">
        <v>32</v>
      </c>
      <c r="F336" s="113">
        <v>11</v>
      </c>
      <c r="I336" s="112">
        <v>31</v>
      </c>
      <c r="J336" s="183">
        <v>41705</v>
      </c>
      <c r="M336" s="184">
        <v>4.3099999999999996</v>
      </c>
      <c r="N336" s="157">
        <v>41853</v>
      </c>
      <c r="S336" s="139">
        <v>14.31</v>
      </c>
      <c r="T336" s="157">
        <v>41853</v>
      </c>
      <c r="U336" s="139">
        <v>15.3</v>
      </c>
      <c r="Y336" s="139">
        <f t="shared" si="5"/>
        <v>5.5776600000000007</v>
      </c>
      <c r="AA336" s="139">
        <v>54.17</v>
      </c>
      <c r="AE336" s="139">
        <v>28.17</v>
      </c>
      <c r="AG336" s="185">
        <v>5.2</v>
      </c>
      <c r="AI336" s="185">
        <v>110</v>
      </c>
      <c r="AJ336" s="157">
        <v>41803</v>
      </c>
      <c r="AO336" s="139">
        <v>93</v>
      </c>
      <c r="AP336" s="157">
        <v>41738</v>
      </c>
      <c r="AS336" s="139">
        <v>128</v>
      </c>
      <c r="AT336" s="157">
        <v>41766</v>
      </c>
      <c r="BS336" s="140">
        <v>50.8</v>
      </c>
      <c r="BU336" s="140">
        <v>19.8</v>
      </c>
      <c r="BW336" s="140">
        <v>16.8</v>
      </c>
      <c r="BY336" s="140">
        <v>9</v>
      </c>
      <c r="CJ336" s="140" t="s">
        <v>8140</v>
      </c>
    </row>
    <row r="337" spans="1:91">
      <c r="A337" s="158" t="s">
        <v>7706</v>
      </c>
      <c r="B337" s="112" t="s">
        <v>271</v>
      </c>
      <c r="C337" s="112">
        <v>2</v>
      </c>
      <c r="D337">
        <v>91</v>
      </c>
      <c r="E337" s="113">
        <v>32</v>
      </c>
      <c r="F337" s="113">
        <v>12</v>
      </c>
      <c r="I337" s="112">
        <v>41</v>
      </c>
      <c r="J337" s="183">
        <v>41705</v>
      </c>
      <c r="M337" s="184">
        <v>4.4800000000000004</v>
      </c>
      <c r="N337" s="157">
        <v>41853</v>
      </c>
      <c r="S337" s="139">
        <v>14.87</v>
      </c>
      <c r="T337" s="157">
        <v>41853</v>
      </c>
      <c r="U337" s="139">
        <v>15.3</v>
      </c>
      <c r="Y337" s="139">
        <f t="shared" si="5"/>
        <v>5.91744</v>
      </c>
      <c r="AA337" s="139">
        <v>62.64</v>
      </c>
      <c r="AE337" s="139">
        <v>29.44</v>
      </c>
      <c r="AG337" s="185">
        <v>4.7</v>
      </c>
      <c r="AI337" s="185">
        <v>135</v>
      </c>
      <c r="AJ337" s="157">
        <v>41803</v>
      </c>
      <c r="AO337" s="139">
        <v>97</v>
      </c>
      <c r="AP337" s="157">
        <v>41738</v>
      </c>
      <c r="AS337" s="139">
        <v>128</v>
      </c>
      <c r="AT337" s="157">
        <v>41766</v>
      </c>
      <c r="BS337" s="140">
        <v>50.5</v>
      </c>
      <c r="BU337" s="140">
        <v>20.100000000000001</v>
      </c>
      <c r="BW337" s="140">
        <v>15.9</v>
      </c>
      <c r="BY337" s="140">
        <v>8.5</v>
      </c>
      <c r="CJ337" s="140" t="s">
        <v>8131</v>
      </c>
    </row>
    <row r="338" spans="1:91">
      <c r="A338" s="158" t="s">
        <v>7784</v>
      </c>
      <c r="B338" s="112" t="s">
        <v>269</v>
      </c>
      <c r="C338" s="112">
        <v>1</v>
      </c>
      <c r="D338">
        <v>169</v>
      </c>
      <c r="E338" s="113">
        <v>33</v>
      </c>
      <c r="F338" s="113">
        <v>1</v>
      </c>
      <c r="I338" s="112">
        <v>30</v>
      </c>
      <c r="J338" s="183">
        <v>41705</v>
      </c>
      <c r="M338" s="184">
        <v>1.85</v>
      </c>
      <c r="N338" s="157">
        <v>41853</v>
      </c>
      <c r="S338" s="139">
        <v>6.18</v>
      </c>
      <c r="T338" s="157">
        <v>41853</v>
      </c>
      <c r="U338" s="139">
        <v>15.3</v>
      </c>
      <c r="Y338" s="139">
        <f t="shared" si="5"/>
        <v>2.4078999999999997</v>
      </c>
      <c r="AA338" s="139">
        <v>28.14</v>
      </c>
      <c r="AE338" s="139">
        <v>12.1</v>
      </c>
      <c r="AG338" s="185">
        <v>4.3</v>
      </c>
      <c r="AI338" s="185">
        <v>125</v>
      </c>
      <c r="AJ338" s="157">
        <v>41803</v>
      </c>
      <c r="AO338" s="139">
        <v>92</v>
      </c>
      <c r="AP338" s="157">
        <v>41738</v>
      </c>
      <c r="AS338" s="139">
        <v>128</v>
      </c>
      <c r="AT338" s="157">
        <v>41766</v>
      </c>
      <c r="BS338" s="140">
        <v>51.1</v>
      </c>
      <c r="BU338" s="140">
        <v>19.899999999999999</v>
      </c>
      <c r="BW338" s="140">
        <v>16.100000000000001</v>
      </c>
      <c r="BY338" s="140">
        <v>8.9</v>
      </c>
      <c r="CJ338" s="140" t="s">
        <v>8140</v>
      </c>
    </row>
    <row r="339" spans="1:91">
      <c r="A339" s="158" t="s">
        <v>7639</v>
      </c>
      <c r="B339" s="112" t="s">
        <v>269</v>
      </c>
      <c r="C339" s="112">
        <v>1</v>
      </c>
      <c r="D339">
        <v>24</v>
      </c>
      <c r="E339" s="113">
        <v>33</v>
      </c>
      <c r="F339" s="113">
        <v>2</v>
      </c>
      <c r="I339" s="112">
        <v>18</v>
      </c>
      <c r="J339" s="183">
        <v>41705</v>
      </c>
      <c r="M339" s="184">
        <v>1.92</v>
      </c>
      <c r="N339" s="157">
        <v>41853</v>
      </c>
      <c r="S339" s="139">
        <v>6.28</v>
      </c>
      <c r="T339" s="157">
        <v>41853</v>
      </c>
      <c r="U339" s="139">
        <v>15.3</v>
      </c>
      <c r="Y339" s="139">
        <f t="shared" si="5"/>
        <v>2.6501600000000001</v>
      </c>
      <c r="AA339" s="139">
        <v>25.63</v>
      </c>
      <c r="AE339" s="139">
        <v>12.56</v>
      </c>
      <c r="AG339" s="185">
        <v>4.9000000000000004</v>
      </c>
      <c r="AI339" s="185">
        <v>135</v>
      </c>
      <c r="AJ339" s="157">
        <v>41803</v>
      </c>
      <c r="AO339" s="139">
        <v>93</v>
      </c>
      <c r="AP339" s="157">
        <v>41738</v>
      </c>
      <c r="AS339" s="139">
        <v>127</v>
      </c>
      <c r="AT339" s="157">
        <v>41766</v>
      </c>
      <c r="BS339" s="140">
        <v>50</v>
      </c>
      <c r="BU339" s="140">
        <v>21.1</v>
      </c>
      <c r="BW339" s="140">
        <v>54.4</v>
      </c>
      <c r="BY339" s="140">
        <v>8.9</v>
      </c>
      <c r="CJ339" s="140" t="s">
        <v>8140</v>
      </c>
    </row>
    <row r="340" spans="1:91">
      <c r="A340" s="158" t="s">
        <v>7814</v>
      </c>
      <c r="B340" s="112" t="s">
        <v>269</v>
      </c>
      <c r="C340" s="112">
        <v>1</v>
      </c>
      <c r="D340">
        <v>199</v>
      </c>
      <c r="E340" s="113">
        <v>33</v>
      </c>
      <c r="F340" s="113">
        <v>3</v>
      </c>
      <c r="I340" s="112">
        <v>29</v>
      </c>
      <c r="J340" s="183">
        <v>41705</v>
      </c>
      <c r="M340" s="184">
        <v>2.11</v>
      </c>
      <c r="N340" s="157">
        <v>41853</v>
      </c>
      <c r="S340" s="139">
        <v>7.14</v>
      </c>
      <c r="T340" s="157">
        <v>41853</v>
      </c>
      <c r="U340" s="139">
        <v>15.3</v>
      </c>
      <c r="Y340" s="139">
        <f t="shared" si="5"/>
        <v>2.5548500000000001</v>
      </c>
      <c r="AA340" s="139">
        <v>28.77</v>
      </c>
      <c r="AE340" s="139">
        <v>13.81</v>
      </c>
      <c r="AG340" s="185">
        <v>4.8</v>
      </c>
      <c r="AI340" s="185">
        <v>120</v>
      </c>
      <c r="AJ340" s="157">
        <v>41803</v>
      </c>
      <c r="AO340" s="139">
        <v>94</v>
      </c>
      <c r="AP340" s="157">
        <v>41738</v>
      </c>
      <c r="AS340" s="139">
        <v>127</v>
      </c>
      <c r="AT340" s="157">
        <v>41766</v>
      </c>
      <c r="BS340" s="140">
        <v>51.7</v>
      </c>
      <c r="BU340" s="140">
        <v>18.5</v>
      </c>
      <c r="BW340" s="140">
        <v>17.2</v>
      </c>
      <c r="BY340" s="140">
        <v>8.9</v>
      </c>
      <c r="CJ340" s="140" t="s">
        <v>8140</v>
      </c>
    </row>
    <row r="341" spans="1:91">
      <c r="A341" s="188" t="s">
        <v>7661</v>
      </c>
      <c r="B341" s="189" t="s">
        <v>269</v>
      </c>
      <c r="C341" s="189">
        <v>1</v>
      </c>
      <c r="D341" s="190">
        <v>46</v>
      </c>
      <c r="E341" s="191">
        <v>33</v>
      </c>
      <c r="F341" s="191">
        <v>4</v>
      </c>
      <c r="G341" s="191"/>
      <c r="H341" s="191"/>
      <c r="I341" s="189">
        <v>36</v>
      </c>
      <c r="J341" s="193">
        <v>41705</v>
      </c>
      <c r="K341" s="194"/>
      <c r="L341" s="195"/>
      <c r="M341" s="196">
        <v>1.1000000000000001</v>
      </c>
      <c r="N341" s="195">
        <v>41853</v>
      </c>
      <c r="O341" s="194"/>
      <c r="P341" s="195"/>
      <c r="Q341" s="194"/>
      <c r="R341" s="195"/>
      <c r="S341" s="194">
        <v>3.38</v>
      </c>
      <c r="T341" s="195">
        <v>41853</v>
      </c>
      <c r="U341" s="194">
        <v>15.3</v>
      </c>
      <c r="V341" s="195"/>
      <c r="W341" s="194"/>
      <c r="X341" s="195"/>
      <c r="Y341" s="139">
        <f t="shared" si="5"/>
        <v>1.6415999999999999</v>
      </c>
      <c r="Z341" s="195"/>
      <c r="AA341" s="194">
        <v>15.32</v>
      </c>
      <c r="AB341" s="195"/>
      <c r="AC341" s="194"/>
      <c r="AD341" s="195"/>
      <c r="AE341" s="194">
        <v>7.2</v>
      </c>
      <c r="AF341" s="195"/>
      <c r="AG341" s="197">
        <v>4.7</v>
      </c>
      <c r="AH341" s="195"/>
      <c r="AI341" s="197">
        <v>115</v>
      </c>
      <c r="AJ341" s="195">
        <v>41803</v>
      </c>
      <c r="AK341" s="194"/>
      <c r="AL341" s="195"/>
      <c r="AM341" s="194"/>
      <c r="AN341" s="195"/>
      <c r="AO341" s="194">
        <v>97</v>
      </c>
      <c r="AP341" s="195">
        <v>41738</v>
      </c>
      <c r="AQ341" s="194"/>
      <c r="AR341" s="194"/>
      <c r="AS341" s="194">
        <v>127</v>
      </c>
      <c r="AT341" s="195">
        <v>41766</v>
      </c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8"/>
      <c r="BF341" s="198"/>
      <c r="BG341" s="198"/>
      <c r="BH341" s="198"/>
      <c r="BI341" s="198"/>
      <c r="BJ341" s="198"/>
      <c r="BK341" s="198"/>
      <c r="BL341" s="198"/>
      <c r="BM341" s="198"/>
      <c r="BN341" s="198"/>
      <c r="BO341" s="198"/>
      <c r="BP341" s="198"/>
      <c r="BQ341" s="198"/>
      <c r="BR341" s="198"/>
      <c r="BS341" s="198">
        <v>46.9</v>
      </c>
      <c r="BT341" s="198"/>
      <c r="BU341" s="198">
        <v>22.8</v>
      </c>
      <c r="BV341" s="198"/>
      <c r="BW341" s="198">
        <v>66.400000000000006</v>
      </c>
      <c r="BX341" s="198"/>
      <c r="BY341" s="198">
        <v>8.9</v>
      </c>
      <c r="BZ341" s="198"/>
      <c r="CA341" s="198"/>
      <c r="CB341" s="198"/>
      <c r="CC341" s="198"/>
      <c r="CD341" s="198"/>
      <c r="CE341" s="198"/>
      <c r="CF341" s="198"/>
      <c r="CG341" s="198"/>
      <c r="CH341" s="198"/>
      <c r="CI341" s="198"/>
      <c r="CJ341" s="198" t="s">
        <v>8132</v>
      </c>
      <c r="CK341" s="198"/>
      <c r="CL341" s="198"/>
      <c r="CM341" s="198"/>
    </row>
    <row r="342" spans="1:91">
      <c r="A342" s="188" t="s">
        <v>7746</v>
      </c>
      <c r="B342" s="189" t="s">
        <v>269</v>
      </c>
      <c r="C342" s="189">
        <v>1</v>
      </c>
      <c r="D342" s="190">
        <v>131</v>
      </c>
      <c r="E342" s="191">
        <v>33</v>
      </c>
      <c r="F342" s="191">
        <v>5</v>
      </c>
      <c r="G342" s="191"/>
      <c r="H342" s="191"/>
      <c r="I342" s="189">
        <v>33</v>
      </c>
      <c r="J342" s="193">
        <v>41705</v>
      </c>
      <c r="K342" s="194"/>
      <c r="L342" s="195"/>
      <c r="M342" s="196">
        <v>0.22</v>
      </c>
      <c r="N342" s="195">
        <v>41853</v>
      </c>
      <c r="O342" s="194"/>
      <c r="P342" s="195"/>
      <c r="Q342" s="194"/>
      <c r="R342" s="195"/>
      <c r="S342" s="194">
        <v>0.69</v>
      </c>
      <c r="T342" s="195">
        <v>41853</v>
      </c>
      <c r="U342" s="194">
        <v>15.3</v>
      </c>
      <c r="V342" s="195"/>
      <c r="W342" s="194"/>
      <c r="X342" s="195"/>
      <c r="Y342" s="139">
        <f t="shared" si="5"/>
        <v>0.33551999999999998</v>
      </c>
      <c r="Z342" s="195"/>
      <c r="AA342" s="194">
        <v>2.88</v>
      </c>
      <c r="AB342" s="195"/>
      <c r="AC342" s="194"/>
      <c r="AD342" s="195"/>
      <c r="AE342" s="194">
        <v>1.44</v>
      </c>
      <c r="AF342" s="195"/>
      <c r="AG342" s="197">
        <v>5</v>
      </c>
      <c r="AH342" s="195"/>
      <c r="AI342" s="197">
        <v>105</v>
      </c>
      <c r="AJ342" s="195">
        <v>41803</v>
      </c>
      <c r="AK342" s="194"/>
      <c r="AL342" s="195"/>
      <c r="AM342" s="194"/>
      <c r="AN342" s="195"/>
      <c r="AO342" s="194">
        <v>75</v>
      </c>
      <c r="AP342" s="195">
        <v>41738</v>
      </c>
      <c r="AQ342" s="194"/>
      <c r="AR342" s="194"/>
      <c r="AS342" s="194">
        <v>126</v>
      </c>
      <c r="AT342" s="195">
        <v>41766</v>
      </c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8"/>
      <c r="BF342" s="198"/>
      <c r="BG342" s="198"/>
      <c r="BH342" s="198"/>
      <c r="BI342" s="198"/>
      <c r="BJ342" s="198"/>
      <c r="BK342" s="198"/>
      <c r="BL342" s="198"/>
      <c r="BM342" s="198"/>
      <c r="BN342" s="198"/>
      <c r="BO342" s="198"/>
      <c r="BP342" s="198"/>
      <c r="BQ342" s="198"/>
      <c r="BR342" s="198"/>
      <c r="BS342" s="198">
        <v>48.2</v>
      </c>
      <c r="BT342" s="198"/>
      <c r="BU342" s="198">
        <v>23.3</v>
      </c>
      <c r="BV342" s="198"/>
      <c r="BW342" s="198">
        <v>68.8</v>
      </c>
      <c r="BX342" s="198"/>
      <c r="BY342" s="198">
        <v>8.9</v>
      </c>
      <c r="BZ342" s="198"/>
      <c r="CA342" s="198"/>
      <c r="CB342" s="198"/>
      <c r="CC342" s="198"/>
      <c r="CD342" s="198"/>
      <c r="CE342" s="198"/>
      <c r="CF342" s="198"/>
      <c r="CG342" s="198"/>
      <c r="CH342" s="198"/>
      <c r="CI342" s="198"/>
      <c r="CJ342" s="198" t="s">
        <v>8146</v>
      </c>
      <c r="CK342" s="198"/>
      <c r="CL342" s="198"/>
      <c r="CM342" s="198"/>
    </row>
    <row r="343" spans="1:91">
      <c r="A343" s="158" t="s">
        <v>7803</v>
      </c>
      <c r="B343" s="112" t="s">
        <v>269</v>
      </c>
      <c r="C343" s="112">
        <v>1</v>
      </c>
      <c r="D343">
        <v>188</v>
      </c>
      <c r="E343" s="113">
        <v>33</v>
      </c>
      <c r="F343" s="113">
        <v>6</v>
      </c>
      <c r="I343" s="112">
        <v>23</v>
      </c>
      <c r="J343" s="183">
        <v>41705</v>
      </c>
      <c r="M343" s="184">
        <v>3.22</v>
      </c>
      <c r="N343" s="157">
        <v>41853</v>
      </c>
      <c r="S343" s="139">
        <v>11.15</v>
      </c>
      <c r="T343" s="157">
        <v>41853</v>
      </c>
      <c r="U343" s="139">
        <v>15.3</v>
      </c>
      <c r="Y343" s="139">
        <f t="shared" si="5"/>
        <v>3.6606800000000006</v>
      </c>
      <c r="AA343" s="139">
        <v>51.61</v>
      </c>
      <c r="AE343" s="139">
        <v>21.16</v>
      </c>
      <c r="AG343" s="185">
        <v>4.0999999999999996</v>
      </c>
      <c r="AI343" s="185">
        <v>120</v>
      </c>
      <c r="AJ343" s="157">
        <v>41803</v>
      </c>
      <c r="AO343" s="139">
        <v>89</v>
      </c>
      <c r="AP343" s="157">
        <v>41738</v>
      </c>
      <c r="AS343" s="139">
        <v>125</v>
      </c>
      <c r="AT343" s="157">
        <v>41766</v>
      </c>
      <c r="BS343" s="140">
        <v>52.7</v>
      </c>
      <c r="BU343" s="140">
        <v>17.3</v>
      </c>
      <c r="BW343" s="140">
        <v>13.6</v>
      </c>
      <c r="BY343" s="140">
        <v>8.5</v>
      </c>
      <c r="CJ343" s="140" t="s">
        <v>8140</v>
      </c>
    </row>
    <row r="344" spans="1:91">
      <c r="A344" s="158" t="s">
        <v>7665</v>
      </c>
      <c r="B344" s="112" t="s">
        <v>271</v>
      </c>
      <c r="C344" s="112">
        <v>2</v>
      </c>
      <c r="D344">
        <v>50</v>
      </c>
      <c r="E344" s="113">
        <v>33</v>
      </c>
      <c r="F344" s="113">
        <v>7</v>
      </c>
      <c r="I344" s="112">
        <v>26</v>
      </c>
      <c r="J344" s="183">
        <v>41705</v>
      </c>
      <c r="M344" s="184">
        <v>2.92</v>
      </c>
      <c r="N344" s="157">
        <v>41853</v>
      </c>
      <c r="S344" s="139">
        <v>9.14</v>
      </c>
      <c r="T344" s="157">
        <v>41853</v>
      </c>
      <c r="U344" s="139">
        <v>15.3</v>
      </c>
      <c r="Y344" s="139">
        <f t="shared" si="5"/>
        <v>4.5049500000000009</v>
      </c>
      <c r="AA344" s="139">
        <v>34.229999999999997</v>
      </c>
      <c r="AE344" s="139">
        <v>19.170000000000002</v>
      </c>
      <c r="AG344" s="185">
        <v>5.6</v>
      </c>
      <c r="AI344" s="185">
        <v>115</v>
      </c>
      <c r="AJ344" s="157">
        <v>41803</v>
      </c>
      <c r="AO344" s="139">
        <v>92</v>
      </c>
      <c r="AP344" s="157">
        <v>41738</v>
      </c>
      <c r="AS344" s="139">
        <v>127</v>
      </c>
      <c r="AT344" s="157">
        <v>41766</v>
      </c>
      <c r="BS344" s="140">
        <v>47.7</v>
      </c>
      <c r="BU344" s="140">
        <v>23.5</v>
      </c>
      <c r="BW344" s="140">
        <v>24.9</v>
      </c>
      <c r="BY344" s="140">
        <v>8.6</v>
      </c>
      <c r="CJ344" s="140" t="s">
        <v>8140</v>
      </c>
    </row>
    <row r="345" spans="1:91">
      <c r="A345" s="158" t="s">
        <v>7681</v>
      </c>
      <c r="B345" s="112" t="s">
        <v>271</v>
      </c>
      <c r="C345" s="112">
        <v>2</v>
      </c>
      <c r="D345">
        <v>66</v>
      </c>
      <c r="E345" s="113">
        <v>33</v>
      </c>
      <c r="F345" s="113">
        <v>8</v>
      </c>
      <c r="I345" s="112">
        <v>35</v>
      </c>
      <c r="J345" s="183">
        <v>41705</v>
      </c>
      <c r="M345" s="184">
        <v>4.03</v>
      </c>
      <c r="N345" s="157">
        <v>41853</v>
      </c>
      <c r="S345" s="139">
        <v>13.32</v>
      </c>
      <c r="T345" s="157">
        <v>41853</v>
      </c>
      <c r="U345" s="139">
        <v>15.3</v>
      </c>
      <c r="Y345" s="139">
        <f t="shared" si="5"/>
        <v>5.6932000000000009</v>
      </c>
      <c r="AA345" s="139">
        <v>55.17</v>
      </c>
      <c r="AE345" s="139">
        <v>26.48</v>
      </c>
      <c r="AG345" s="185">
        <v>4.8</v>
      </c>
      <c r="AI345" s="185">
        <v>110</v>
      </c>
      <c r="AJ345" s="157">
        <v>41803</v>
      </c>
      <c r="AO345" s="139">
        <v>89</v>
      </c>
      <c r="AP345" s="157">
        <v>41738</v>
      </c>
      <c r="AS345" s="139">
        <v>126</v>
      </c>
      <c r="AT345" s="157">
        <v>41766</v>
      </c>
      <c r="BS345" s="140">
        <v>50.3</v>
      </c>
      <c r="BU345" s="140">
        <v>21.5</v>
      </c>
      <c r="BW345" s="140">
        <v>13.7</v>
      </c>
      <c r="BY345" s="140">
        <v>8.5</v>
      </c>
      <c r="CJ345" s="140" t="s">
        <v>8140</v>
      </c>
    </row>
    <row r="346" spans="1:91">
      <c r="A346" s="158" t="s">
        <v>7688</v>
      </c>
      <c r="B346" s="112" t="s">
        <v>271</v>
      </c>
      <c r="C346" s="112">
        <v>2</v>
      </c>
      <c r="D346">
        <v>73</v>
      </c>
      <c r="E346" s="113">
        <v>33</v>
      </c>
      <c r="F346" s="113">
        <v>9</v>
      </c>
      <c r="I346" s="112">
        <v>32</v>
      </c>
      <c r="J346" s="183">
        <v>41705</v>
      </c>
      <c r="M346" s="184">
        <v>3.55</v>
      </c>
      <c r="N346" s="157">
        <v>41853</v>
      </c>
      <c r="S346" s="139">
        <v>11.66</v>
      </c>
      <c r="T346" s="157">
        <v>41853</v>
      </c>
      <c r="U346" s="139">
        <v>15.3</v>
      </c>
      <c r="Y346" s="139">
        <f t="shared" si="5"/>
        <v>4.7990500000000003</v>
      </c>
      <c r="AA346" s="139">
        <v>57.1</v>
      </c>
      <c r="AE346" s="139">
        <v>23.41</v>
      </c>
      <c r="AG346" s="185">
        <v>4.0999999999999996</v>
      </c>
      <c r="AI346" s="185">
        <v>110</v>
      </c>
      <c r="AJ346" s="157">
        <v>41803</v>
      </c>
      <c r="AO346" s="139">
        <v>92</v>
      </c>
      <c r="AP346" s="157">
        <v>41738</v>
      </c>
      <c r="AS346" s="139">
        <v>128</v>
      </c>
      <c r="AT346" s="157">
        <v>41766</v>
      </c>
      <c r="BS346" s="140">
        <v>49.8</v>
      </c>
      <c r="BU346" s="140">
        <v>20.5</v>
      </c>
      <c r="BW346" s="140">
        <v>17.8</v>
      </c>
      <c r="BY346" s="140">
        <v>8.1999999999999993</v>
      </c>
      <c r="CJ346" s="140" t="s">
        <v>8140</v>
      </c>
    </row>
    <row r="347" spans="1:91">
      <c r="A347" s="158" t="s">
        <v>7756</v>
      </c>
      <c r="B347" s="112" t="s">
        <v>271</v>
      </c>
      <c r="C347" s="112">
        <v>2</v>
      </c>
      <c r="D347">
        <v>141</v>
      </c>
      <c r="E347" s="113">
        <v>33</v>
      </c>
      <c r="F347" s="113">
        <v>10</v>
      </c>
      <c r="I347" s="112">
        <v>39</v>
      </c>
      <c r="J347" s="183">
        <v>41705</v>
      </c>
      <c r="M347" s="184">
        <v>2.5299999999999998</v>
      </c>
      <c r="N347" s="157">
        <v>41853</v>
      </c>
      <c r="S347" s="139">
        <v>8.01</v>
      </c>
      <c r="T347" s="157">
        <v>41853</v>
      </c>
      <c r="U347" s="139">
        <v>15.3</v>
      </c>
      <c r="Y347" s="139">
        <f t="shared" si="5"/>
        <v>3.8701299999999996</v>
      </c>
      <c r="AA347" s="139">
        <v>43.71</v>
      </c>
      <c r="AE347" s="139">
        <v>16.61</v>
      </c>
      <c r="AG347" s="185">
        <v>3.8</v>
      </c>
      <c r="AI347" s="185">
        <v>110</v>
      </c>
      <c r="AJ347" s="157">
        <v>41803</v>
      </c>
      <c r="AO347" s="139">
        <v>90</v>
      </c>
      <c r="AP347" s="157">
        <v>41738</v>
      </c>
      <c r="AS347" s="139">
        <v>127</v>
      </c>
      <c r="AT347" s="157">
        <v>41766</v>
      </c>
      <c r="BS347" s="140">
        <v>48.2</v>
      </c>
      <c r="BU347" s="140">
        <v>23.3</v>
      </c>
      <c r="BW347" s="140">
        <v>70</v>
      </c>
      <c r="BY347" s="140">
        <v>8.6</v>
      </c>
      <c r="CJ347" s="140" t="s">
        <v>8144</v>
      </c>
    </row>
    <row r="348" spans="1:91">
      <c r="A348" s="158" t="s">
        <v>7750</v>
      </c>
      <c r="B348" s="112" t="s">
        <v>271</v>
      </c>
      <c r="C348" s="112">
        <v>2</v>
      </c>
      <c r="D348">
        <v>135</v>
      </c>
      <c r="E348" s="113">
        <v>33</v>
      </c>
      <c r="F348" s="113">
        <v>11</v>
      </c>
      <c r="I348" s="112">
        <v>46</v>
      </c>
      <c r="J348" s="183">
        <v>41705</v>
      </c>
      <c r="M348" s="184">
        <v>2.4300000000000002</v>
      </c>
      <c r="N348" s="157">
        <v>41853</v>
      </c>
      <c r="S348" s="139">
        <v>7.62</v>
      </c>
      <c r="T348" s="157">
        <v>41853</v>
      </c>
      <c r="U348" s="139">
        <v>15.3</v>
      </c>
      <c r="Y348" s="139">
        <f t="shared" si="5"/>
        <v>3.6729000000000003</v>
      </c>
      <c r="AA348" s="139">
        <v>41.84</v>
      </c>
      <c r="AE348" s="139">
        <v>15.9</v>
      </c>
      <c r="AG348" s="185">
        <v>3.8</v>
      </c>
      <c r="AI348" s="185">
        <v>100</v>
      </c>
      <c r="AJ348" s="157">
        <v>41803</v>
      </c>
      <c r="AO348" s="139">
        <v>90</v>
      </c>
      <c r="AP348" s="157">
        <v>41738</v>
      </c>
      <c r="AS348" s="139">
        <v>128</v>
      </c>
      <c r="AT348" s="157">
        <v>41766</v>
      </c>
      <c r="BS348" s="140">
        <v>47.9</v>
      </c>
      <c r="BU348" s="140">
        <v>23.1</v>
      </c>
      <c r="BW348" s="140">
        <v>61.7</v>
      </c>
      <c r="BY348" s="140">
        <v>8.9</v>
      </c>
      <c r="CJ348" s="140" t="s">
        <v>8139</v>
      </c>
    </row>
    <row r="349" spans="1:91">
      <c r="A349" s="158" t="s">
        <v>7764</v>
      </c>
      <c r="B349" s="112" t="s">
        <v>271</v>
      </c>
      <c r="C349" s="112">
        <v>2</v>
      </c>
      <c r="D349">
        <v>149</v>
      </c>
      <c r="E349" s="113">
        <v>33</v>
      </c>
      <c r="F349" s="113">
        <v>12</v>
      </c>
      <c r="I349" s="112">
        <v>43</v>
      </c>
      <c r="J349" s="183">
        <v>41705</v>
      </c>
      <c r="M349" s="184">
        <v>4.0199999999999996</v>
      </c>
      <c r="N349" s="157">
        <v>41853</v>
      </c>
      <c r="S349" s="139">
        <v>13.4</v>
      </c>
      <c r="T349" s="157">
        <v>41853</v>
      </c>
      <c r="U349" s="139">
        <v>15.3</v>
      </c>
      <c r="Y349" s="139">
        <f t="shared" si="5"/>
        <v>4.9817999999999998</v>
      </c>
      <c r="AA349" s="139">
        <v>58.27</v>
      </c>
      <c r="AE349" s="139">
        <v>26.22</v>
      </c>
      <c r="AG349" s="185">
        <v>4.5</v>
      </c>
      <c r="AI349" s="185">
        <v>120</v>
      </c>
      <c r="AJ349" s="157">
        <v>41803</v>
      </c>
      <c r="AO349" s="139">
        <v>91</v>
      </c>
      <c r="AP349" s="157">
        <v>41738</v>
      </c>
      <c r="AS349" s="139">
        <v>127</v>
      </c>
      <c r="AT349" s="157">
        <v>41766</v>
      </c>
      <c r="BS349" s="140">
        <v>51.1</v>
      </c>
      <c r="BU349" s="140">
        <v>19</v>
      </c>
      <c r="BW349" s="140">
        <v>18</v>
      </c>
      <c r="BY349" s="140">
        <v>9.1999999999999993</v>
      </c>
      <c r="CJ349" s="140" t="s">
        <v>8140</v>
      </c>
    </row>
    <row r="350" spans="1:91">
      <c r="A350" s="158" t="s">
        <v>7797</v>
      </c>
      <c r="B350" s="112" t="s">
        <v>269</v>
      </c>
      <c r="C350" s="112">
        <v>1</v>
      </c>
      <c r="D350">
        <v>182</v>
      </c>
      <c r="E350" s="113">
        <v>34</v>
      </c>
      <c r="F350" s="113">
        <v>1</v>
      </c>
      <c r="I350" s="112">
        <v>30</v>
      </c>
      <c r="J350" s="183">
        <v>41705</v>
      </c>
      <c r="M350" s="184">
        <v>2.2200000000000002</v>
      </c>
      <c r="N350" s="157">
        <v>41853</v>
      </c>
      <c r="S350" s="139">
        <v>7.42</v>
      </c>
      <c r="T350" s="157">
        <v>41853</v>
      </c>
      <c r="U350" s="139">
        <v>15.3</v>
      </c>
      <c r="Y350" s="139">
        <f t="shared" si="5"/>
        <v>2.9269799999999999</v>
      </c>
      <c r="AA350" s="139">
        <v>26.83</v>
      </c>
      <c r="AE350" s="139">
        <v>14.49</v>
      </c>
      <c r="AG350" s="185">
        <v>5.4</v>
      </c>
      <c r="AI350" s="185">
        <v>125</v>
      </c>
      <c r="AJ350" s="157">
        <v>41803</v>
      </c>
      <c r="AO350" s="139">
        <v>91</v>
      </c>
      <c r="AP350" s="157">
        <v>41738</v>
      </c>
      <c r="AS350" s="139">
        <v>127</v>
      </c>
      <c r="AT350" s="157">
        <v>41766</v>
      </c>
      <c r="BS350" s="140">
        <v>51.2</v>
      </c>
      <c r="BU350" s="140">
        <v>20.2</v>
      </c>
      <c r="BW350" s="140">
        <v>14.7</v>
      </c>
      <c r="BY350" s="140">
        <v>9.1</v>
      </c>
      <c r="CJ350" s="140" t="s">
        <v>8140</v>
      </c>
    </row>
    <row r="351" spans="1:91">
      <c r="A351" s="158" t="s">
        <v>7621</v>
      </c>
      <c r="B351" s="112" t="s">
        <v>269</v>
      </c>
      <c r="C351" s="112">
        <v>1</v>
      </c>
      <c r="D351">
        <v>6</v>
      </c>
      <c r="E351" s="113">
        <v>34</v>
      </c>
      <c r="F351" s="113">
        <v>2</v>
      </c>
      <c r="I351" s="187">
        <v>50</v>
      </c>
      <c r="J351" s="183">
        <v>41705</v>
      </c>
      <c r="K351" s="142"/>
      <c r="M351" s="184">
        <v>1.36</v>
      </c>
      <c r="N351" s="157">
        <v>41853</v>
      </c>
      <c r="O351" s="141"/>
      <c r="Q351" s="142"/>
      <c r="S351" s="142">
        <v>4.3499999999999996</v>
      </c>
      <c r="T351" s="157">
        <v>41853</v>
      </c>
      <c r="U351" s="142">
        <v>15.3</v>
      </c>
      <c r="W351" s="142"/>
      <c r="Y351" s="139">
        <f t="shared" si="5"/>
        <v>2.0690400000000002</v>
      </c>
      <c r="AA351" s="142">
        <v>17.41</v>
      </c>
      <c r="AE351" s="142">
        <v>8.8800000000000008</v>
      </c>
      <c r="AG351" s="185">
        <v>5.0999999999999996</v>
      </c>
      <c r="AI351" s="185">
        <v>140</v>
      </c>
      <c r="AJ351" s="157">
        <v>41803</v>
      </c>
      <c r="AK351" s="142"/>
      <c r="AM351" s="142"/>
      <c r="AO351" s="139">
        <v>91</v>
      </c>
      <c r="AP351" s="157">
        <v>41738</v>
      </c>
      <c r="AS351" s="139">
        <v>128</v>
      </c>
      <c r="AT351" s="157">
        <v>41766</v>
      </c>
      <c r="BS351" s="140">
        <v>49</v>
      </c>
      <c r="BU351" s="140">
        <v>23.3</v>
      </c>
      <c r="BW351" s="140">
        <v>76.3</v>
      </c>
      <c r="BY351" s="140">
        <v>9.1</v>
      </c>
      <c r="CJ351" s="140" t="s">
        <v>8140</v>
      </c>
    </row>
    <row r="352" spans="1:91">
      <c r="A352" s="158" t="s">
        <v>7707</v>
      </c>
      <c r="B352" s="112" t="s">
        <v>269</v>
      </c>
      <c r="C352" s="112">
        <v>1</v>
      </c>
      <c r="D352">
        <v>92</v>
      </c>
      <c r="E352" s="113">
        <v>34</v>
      </c>
      <c r="F352" s="113">
        <v>3</v>
      </c>
      <c r="I352" s="112">
        <v>27</v>
      </c>
      <c r="J352" s="183">
        <v>41705</v>
      </c>
      <c r="M352" s="184">
        <v>1.25</v>
      </c>
      <c r="N352" s="157">
        <v>41853</v>
      </c>
      <c r="S352" s="139">
        <v>4.32</v>
      </c>
      <c r="T352" s="157">
        <v>41853</v>
      </c>
      <c r="U352" s="139">
        <v>15.3</v>
      </c>
      <c r="Y352" s="139">
        <f t="shared" si="5"/>
        <v>1.48512</v>
      </c>
      <c r="AA352" s="139">
        <v>17.36</v>
      </c>
      <c r="AE352" s="139">
        <v>8.16</v>
      </c>
      <c r="AG352" s="185">
        <v>4.7</v>
      </c>
      <c r="AI352" s="185">
        <v>120</v>
      </c>
      <c r="AJ352" s="157">
        <v>41803</v>
      </c>
      <c r="AO352" s="139">
        <v>96</v>
      </c>
      <c r="AP352" s="157">
        <v>41738</v>
      </c>
      <c r="AS352" s="139">
        <v>128</v>
      </c>
      <c r="AT352" s="157">
        <v>41766</v>
      </c>
      <c r="BS352" s="140">
        <v>53</v>
      </c>
      <c r="BU352" s="140">
        <v>18.2</v>
      </c>
      <c r="BW352" s="140">
        <v>14.1</v>
      </c>
      <c r="BY352" s="140">
        <v>9.1</v>
      </c>
      <c r="CJ352" s="140" t="s">
        <v>8131</v>
      </c>
    </row>
    <row r="353" spans="1:88">
      <c r="A353" s="158" t="s">
        <v>7775</v>
      </c>
      <c r="B353" s="112" t="s">
        <v>269</v>
      </c>
      <c r="C353" s="112">
        <v>1</v>
      </c>
      <c r="D353">
        <v>160</v>
      </c>
      <c r="E353" s="113">
        <v>34</v>
      </c>
      <c r="F353" s="113">
        <v>4</v>
      </c>
      <c r="I353" s="112">
        <v>38</v>
      </c>
      <c r="J353" s="183">
        <v>41705</v>
      </c>
      <c r="M353" s="184">
        <v>2.76</v>
      </c>
      <c r="N353" s="157">
        <v>41853</v>
      </c>
      <c r="S353" s="139">
        <v>9.35</v>
      </c>
      <c r="T353" s="157">
        <v>41853</v>
      </c>
      <c r="U353" s="139">
        <v>15.3</v>
      </c>
      <c r="Y353" s="139">
        <f t="shared" si="5"/>
        <v>3.4713599999999998</v>
      </c>
      <c r="AA353" s="139">
        <v>36.159999999999997</v>
      </c>
      <c r="AE353" s="139">
        <v>18.079999999999998</v>
      </c>
      <c r="AG353" s="185">
        <v>5</v>
      </c>
      <c r="AI353" s="185">
        <v>115</v>
      </c>
      <c r="AJ353" s="157">
        <v>41803</v>
      </c>
      <c r="AO353" s="139">
        <v>94</v>
      </c>
      <c r="AP353" s="157">
        <v>41738</v>
      </c>
      <c r="AS353" s="139">
        <v>125</v>
      </c>
      <c r="AT353" s="157">
        <v>41766</v>
      </c>
      <c r="BS353" s="140">
        <v>51.7</v>
      </c>
      <c r="BU353" s="140">
        <v>19.2</v>
      </c>
      <c r="BW353" s="140">
        <v>16.399999999999999</v>
      </c>
      <c r="BY353" s="140">
        <v>8.8000000000000007</v>
      </c>
      <c r="CJ353" s="140" t="s">
        <v>8140</v>
      </c>
    </row>
    <row r="354" spans="1:88">
      <c r="A354" s="158" t="s">
        <v>7683</v>
      </c>
      <c r="B354" s="112" t="s">
        <v>269</v>
      </c>
      <c r="C354" s="112">
        <v>1</v>
      </c>
      <c r="D354">
        <v>68</v>
      </c>
      <c r="E354" s="113">
        <v>34</v>
      </c>
      <c r="F354" s="113">
        <v>5</v>
      </c>
      <c r="I354" s="112">
        <v>31</v>
      </c>
      <c r="J354" s="183">
        <v>41705</v>
      </c>
      <c r="M354" s="184">
        <v>1.75</v>
      </c>
      <c r="N354" s="157">
        <v>41853</v>
      </c>
      <c r="S354" s="139">
        <v>5.92</v>
      </c>
      <c r="T354" s="157">
        <v>41853</v>
      </c>
      <c r="U354" s="139">
        <v>15.3</v>
      </c>
      <c r="Y354" s="139">
        <f t="shared" si="5"/>
        <v>2.1754900000000004</v>
      </c>
      <c r="AA354" s="139">
        <v>20.34</v>
      </c>
      <c r="AE354" s="139">
        <v>11.39</v>
      </c>
      <c r="AG354" s="185">
        <v>5.6</v>
      </c>
      <c r="AI354" s="185">
        <v>120</v>
      </c>
      <c r="AJ354" s="157">
        <v>41803</v>
      </c>
      <c r="AO354" s="139">
        <v>94</v>
      </c>
      <c r="AP354" s="157">
        <v>41738</v>
      </c>
      <c r="AS354" s="139">
        <v>126</v>
      </c>
      <c r="AT354" s="157">
        <v>41766</v>
      </c>
      <c r="BS354" s="140">
        <v>52</v>
      </c>
      <c r="BU354" s="140">
        <v>19.100000000000001</v>
      </c>
      <c r="BW354" s="140">
        <v>15.5</v>
      </c>
      <c r="BY354" s="140">
        <v>9.4</v>
      </c>
      <c r="CJ354" s="140" t="s">
        <v>8140</v>
      </c>
    </row>
    <row r="355" spans="1:88">
      <c r="A355" s="158" t="s">
        <v>7809</v>
      </c>
      <c r="B355" s="112" t="s">
        <v>269</v>
      </c>
      <c r="C355" s="112">
        <v>1</v>
      </c>
      <c r="D355">
        <v>194</v>
      </c>
      <c r="E355" s="113">
        <v>34</v>
      </c>
      <c r="F355" s="113">
        <v>6</v>
      </c>
      <c r="I355" s="112">
        <v>30</v>
      </c>
      <c r="J355" s="183">
        <v>41705</v>
      </c>
      <c r="M355" s="184">
        <v>3.06</v>
      </c>
      <c r="N355" s="157">
        <v>41853</v>
      </c>
      <c r="S355" s="139">
        <v>10.78</v>
      </c>
      <c r="T355" s="157">
        <v>41853</v>
      </c>
      <c r="U355" s="139">
        <v>15.3</v>
      </c>
      <c r="Y355" s="139">
        <f t="shared" si="5"/>
        <v>3.34</v>
      </c>
      <c r="AA355" s="139">
        <v>41.67</v>
      </c>
      <c r="AE355" s="139">
        <v>20</v>
      </c>
      <c r="AG355" s="185">
        <v>4.8</v>
      </c>
      <c r="AI355" s="185">
        <v>125</v>
      </c>
      <c r="AJ355" s="157">
        <v>41803</v>
      </c>
      <c r="AO355" s="139">
        <v>92</v>
      </c>
      <c r="AP355" s="157">
        <v>41738</v>
      </c>
      <c r="AS355" s="139">
        <v>126</v>
      </c>
      <c r="AT355" s="157">
        <v>41766</v>
      </c>
      <c r="BS355" s="140">
        <v>53.9</v>
      </c>
      <c r="BU355" s="140">
        <v>16.7</v>
      </c>
      <c r="BW355" s="140">
        <v>12.6</v>
      </c>
      <c r="BY355" s="140">
        <v>9</v>
      </c>
      <c r="CJ355" s="140" t="s">
        <v>8140</v>
      </c>
    </row>
    <row r="356" spans="1:88">
      <c r="A356" s="158" t="s">
        <v>7696</v>
      </c>
      <c r="B356" s="112" t="s">
        <v>271</v>
      </c>
      <c r="C356" s="112">
        <v>2</v>
      </c>
      <c r="D356">
        <v>81</v>
      </c>
      <c r="E356" s="113">
        <v>34</v>
      </c>
      <c r="F356" s="113">
        <v>7</v>
      </c>
      <c r="I356" s="112">
        <v>34</v>
      </c>
      <c r="J356" s="183">
        <v>41705</v>
      </c>
      <c r="M356" s="184">
        <v>4.4000000000000004</v>
      </c>
      <c r="N356" s="157">
        <v>41853</v>
      </c>
      <c r="S356" s="139">
        <v>14.16</v>
      </c>
      <c r="T356" s="157">
        <v>41853</v>
      </c>
      <c r="U356" s="139">
        <v>15.3</v>
      </c>
      <c r="Y356" s="139">
        <f t="shared" si="5"/>
        <v>6.1769500000000006</v>
      </c>
      <c r="AA356" s="139">
        <v>54.21</v>
      </c>
      <c r="AE356" s="139">
        <v>28.73</v>
      </c>
      <c r="AG356" s="185">
        <v>5.3</v>
      </c>
      <c r="AI356" s="185">
        <v>120</v>
      </c>
      <c r="AJ356" s="157">
        <v>41803</v>
      </c>
      <c r="AO356" s="139">
        <v>93</v>
      </c>
      <c r="AP356" s="157">
        <v>41738</v>
      </c>
      <c r="AS356" s="139">
        <v>127</v>
      </c>
      <c r="AT356" s="157">
        <v>41766</v>
      </c>
      <c r="BS356" s="140">
        <v>49.3</v>
      </c>
      <c r="BU356" s="140">
        <v>21.5</v>
      </c>
      <c r="BW356" s="140">
        <v>15.8</v>
      </c>
      <c r="BY356" s="140">
        <v>9.1</v>
      </c>
      <c r="CJ356" s="140" t="s">
        <v>8140</v>
      </c>
    </row>
    <row r="357" spans="1:88">
      <c r="A357" s="158" t="s">
        <v>7736</v>
      </c>
      <c r="B357" s="112" t="s">
        <v>271</v>
      </c>
      <c r="C357" s="112">
        <v>2</v>
      </c>
      <c r="D357">
        <v>121</v>
      </c>
      <c r="E357" s="113">
        <v>34</v>
      </c>
      <c r="F357" s="113">
        <v>8</v>
      </c>
      <c r="I357" s="112">
        <v>48</v>
      </c>
      <c r="J357" s="183">
        <v>41705</v>
      </c>
      <c r="M357" s="184">
        <v>5.3</v>
      </c>
      <c r="N357" s="157">
        <v>41853</v>
      </c>
      <c r="S357" s="139">
        <v>17.82</v>
      </c>
      <c r="T357" s="157">
        <v>41853</v>
      </c>
      <c r="U357" s="139">
        <v>15.3</v>
      </c>
      <c r="Y357" s="139">
        <f t="shared" si="5"/>
        <v>6.6432000000000002</v>
      </c>
      <c r="AA357" s="139">
        <v>82.38</v>
      </c>
      <c r="AE357" s="139">
        <v>34.6</v>
      </c>
      <c r="AG357" s="185">
        <v>4.2</v>
      </c>
      <c r="AI357" s="185">
        <v>110</v>
      </c>
      <c r="AJ357" s="157">
        <v>41803</v>
      </c>
      <c r="AO357" s="139">
        <v>93</v>
      </c>
      <c r="AP357" s="157">
        <v>41738</v>
      </c>
      <c r="AS357" s="139">
        <v>128</v>
      </c>
      <c r="AT357" s="157">
        <v>41766</v>
      </c>
      <c r="BS357" s="140">
        <v>51.5</v>
      </c>
      <c r="BU357" s="140">
        <v>19.2</v>
      </c>
      <c r="BW357" s="140">
        <v>15.8</v>
      </c>
      <c r="BY357" s="140">
        <v>9.1</v>
      </c>
      <c r="CJ357" s="140" t="s">
        <v>8140</v>
      </c>
    </row>
    <row r="358" spans="1:88">
      <c r="A358" s="158" t="s">
        <v>7671</v>
      </c>
      <c r="B358" s="112" t="s">
        <v>271</v>
      </c>
      <c r="C358" s="112">
        <v>2</v>
      </c>
      <c r="D358">
        <v>56</v>
      </c>
      <c r="E358" s="113">
        <v>34</v>
      </c>
      <c r="F358" s="113">
        <v>9</v>
      </c>
      <c r="I358" s="112">
        <v>90</v>
      </c>
      <c r="J358" s="183">
        <v>41705</v>
      </c>
      <c r="M358" s="184">
        <v>4.34</v>
      </c>
      <c r="N358" s="157">
        <v>41853</v>
      </c>
      <c r="S358" s="139">
        <v>14.25</v>
      </c>
      <c r="T358" s="157">
        <v>41853</v>
      </c>
      <c r="U358" s="139">
        <v>15.3</v>
      </c>
      <c r="Y358" s="139">
        <f t="shared" si="5"/>
        <v>5.73881</v>
      </c>
      <c r="AA358" s="139">
        <v>62.82</v>
      </c>
      <c r="AE358" s="139">
        <v>28.27</v>
      </c>
      <c r="AG358" s="185">
        <v>4.5</v>
      </c>
      <c r="AI358" s="185">
        <v>115</v>
      </c>
      <c r="AJ358" s="157">
        <v>41803</v>
      </c>
      <c r="AO358" s="139">
        <v>94</v>
      </c>
      <c r="AP358" s="157">
        <v>41738</v>
      </c>
      <c r="AS358" s="139">
        <v>127</v>
      </c>
      <c r="AT358" s="157">
        <v>41766</v>
      </c>
      <c r="BS358" s="140">
        <v>50.4</v>
      </c>
      <c r="BU358" s="140">
        <v>20.3</v>
      </c>
      <c r="BW358" s="140">
        <v>9.6999999999999993</v>
      </c>
      <c r="BY358" s="140">
        <v>9.3000000000000007</v>
      </c>
      <c r="CJ358" s="140" t="s">
        <v>8140</v>
      </c>
    </row>
    <row r="359" spans="1:88">
      <c r="A359" s="158" t="s">
        <v>7778</v>
      </c>
      <c r="B359" s="112" t="s">
        <v>271</v>
      </c>
      <c r="C359" s="112">
        <v>2</v>
      </c>
      <c r="D359">
        <v>163</v>
      </c>
      <c r="E359" s="113">
        <v>34</v>
      </c>
      <c r="F359" s="113">
        <v>10</v>
      </c>
      <c r="I359" s="112">
        <v>63</v>
      </c>
      <c r="J359" s="183">
        <v>41705</v>
      </c>
      <c r="M359" s="184">
        <v>5.09</v>
      </c>
      <c r="N359" s="157">
        <v>41853</v>
      </c>
      <c r="S359" s="139">
        <v>17.079999999999998</v>
      </c>
      <c r="T359" s="157">
        <v>41853</v>
      </c>
      <c r="U359" s="139">
        <v>15.3</v>
      </c>
      <c r="Y359" s="139">
        <f t="shared" si="5"/>
        <v>6.7599</v>
      </c>
      <c r="AA359" s="139">
        <v>69.38</v>
      </c>
      <c r="AE359" s="139">
        <v>33.299999999999997</v>
      </c>
      <c r="AG359" s="185">
        <v>4.8</v>
      </c>
      <c r="AI359" s="185">
        <v>120</v>
      </c>
      <c r="AJ359" s="157">
        <v>41803</v>
      </c>
      <c r="AO359" s="139">
        <v>91</v>
      </c>
      <c r="AP359" s="157">
        <v>41738</v>
      </c>
      <c r="AS359" s="139">
        <v>127</v>
      </c>
      <c r="AT359" s="157">
        <v>41766</v>
      </c>
      <c r="BS359" s="140">
        <v>51.3</v>
      </c>
      <c r="BU359" s="140">
        <v>20.3</v>
      </c>
      <c r="BW359" s="140">
        <v>12.6</v>
      </c>
      <c r="BY359" s="140">
        <v>8.9</v>
      </c>
      <c r="CJ359" s="140" t="s">
        <v>8140</v>
      </c>
    </row>
    <row r="360" spans="1:88">
      <c r="A360" s="158" t="s">
        <v>7642</v>
      </c>
      <c r="B360" s="112" t="s">
        <v>271</v>
      </c>
      <c r="C360" s="112">
        <v>2</v>
      </c>
      <c r="D360">
        <v>27</v>
      </c>
      <c r="E360" s="113">
        <v>34</v>
      </c>
      <c r="F360" s="113">
        <v>11</v>
      </c>
      <c r="I360" s="112">
        <v>28</v>
      </c>
      <c r="J360" s="183">
        <v>41705</v>
      </c>
      <c r="M360" s="184">
        <v>3.13</v>
      </c>
      <c r="N360" s="157">
        <v>41853</v>
      </c>
      <c r="S360" s="139">
        <v>9.4600000000000009</v>
      </c>
      <c r="T360" s="157">
        <v>41853</v>
      </c>
      <c r="U360" s="139">
        <v>15.3</v>
      </c>
      <c r="Y360" s="139">
        <f t="shared" si="5"/>
        <v>4.7211999999999996</v>
      </c>
      <c r="AA360" s="139">
        <v>42.4</v>
      </c>
      <c r="AE360" s="139">
        <v>20.350000000000001</v>
      </c>
      <c r="AG360" s="185">
        <v>4.8</v>
      </c>
      <c r="AI360" s="185">
        <v>115</v>
      </c>
      <c r="AJ360" s="157">
        <v>41803</v>
      </c>
      <c r="AO360" s="139">
        <v>94</v>
      </c>
      <c r="AP360" s="157">
        <v>41738</v>
      </c>
      <c r="AS360" s="139">
        <v>128</v>
      </c>
      <c r="AT360" s="157">
        <v>41766</v>
      </c>
      <c r="BS360" s="140">
        <v>46.5</v>
      </c>
      <c r="BU360" s="140">
        <v>23.2</v>
      </c>
      <c r="BW360" s="140">
        <v>57.5</v>
      </c>
      <c r="BY360" s="140">
        <v>9.5</v>
      </c>
      <c r="CJ360" s="140" t="s">
        <v>8140</v>
      </c>
    </row>
    <row r="361" spans="1:88">
      <c r="A361" s="158" t="s">
        <v>7805</v>
      </c>
      <c r="B361" s="112" t="s">
        <v>271</v>
      </c>
      <c r="C361" s="112">
        <v>2</v>
      </c>
      <c r="D361">
        <v>190</v>
      </c>
      <c r="E361" s="113">
        <v>34</v>
      </c>
      <c r="F361" s="113">
        <v>12</v>
      </c>
      <c r="I361" s="112">
        <v>28</v>
      </c>
      <c r="J361" s="183">
        <v>41705</v>
      </c>
      <c r="M361" s="184">
        <v>5.55</v>
      </c>
      <c r="N361" s="157">
        <v>41853</v>
      </c>
      <c r="S361" s="139">
        <v>19.329999999999998</v>
      </c>
      <c r="T361" s="157">
        <v>41853</v>
      </c>
      <c r="U361" s="139">
        <v>15.3</v>
      </c>
      <c r="Y361" s="139">
        <f t="shared" si="5"/>
        <v>6.45519</v>
      </c>
      <c r="AA361" s="139">
        <v>84.81</v>
      </c>
      <c r="AE361" s="139">
        <v>36.47</v>
      </c>
      <c r="AG361" s="185">
        <v>4.3</v>
      </c>
      <c r="AI361" s="185">
        <v>125</v>
      </c>
      <c r="AJ361" s="157">
        <v>41803</v>
      </c>
      <c r="AO361" s="139">
        <v>92</v>
      </c>
      <c r="AP361" s="157">
        <v>41738</v>
      </c>
      <c r="AS361" s="139">
        <v>128</v>
      </c>
      <c r="AT361" s="157">
        <v>41766</v>
      </c>
      <c r="BS361" s="140">
        <v>53</v>
      </c>
      <c r="BU361" s="140">
        <v>17.7</v>
      </c>
      <c r="BW361" s="140">
        <v>13.5</v>
      </c>
      <c r="BY361" s="140">
        <v>8.5</v>
      </c>
      <c r="CJ361" s="140" t="s">
        <v>8140</v>
      </c>
    </row>
    <row r="362" spans="1:88">
      <c r="A362" s="158" t="s">
        <v>7677</v>
      </c>
      <c r="B362" s="112" t="s">
        <v>269</v>
      </c>
      <c r="C362" s="112">
        <v>1</v>
      </c>
      <c r="D362">
        <v>62</v>
      </c>
      <c r="E362" s="113">
        <v>35</v>
      </c>
      <c r="F362" s="113">
        <v>1</v>
      </c>
      <c r="I362" s="112">
        <v>25</v>
      </c>
      <c r="J362" s="183">
        <v>41705</v>
      </c>
      <c r="M362" s="184">
        <v>1.6</v>
      </c>
      <c r="N362" s="157">
        <v>41853</v>
      </c>
      <c r="S362" s="139">
        <v>5.08</v>
      </c>
      <c r="T362" s="157">
        <v>41853</v>
      </c>
      <c r="U362" s="139">
        <v>15.3</v>
      </c>
      <c r="Y362" s="139">
        <f t="shared" si="5"/>
        <v>2.3254000000000001</v>
      </c>
      <c r="AA362" s="139">
        <v>24.02</v>
      </c>
      <c r="AE362" s="139">
        <v>10.57</v>
      </c>
      <c r="AG362" s="185">
        <v>4.4000000000000004</v>
      </c>
      <c r="AI362" s="185">
        <v>125</v>
      </c>
      <c r="AJ362" s="157">
        <v>41803</v>
      </c>
      <c r="AO362" s="139">
        <v>101</v>
      </c>
      <c r="AP362" s="157">
        <v>41738</v>
      </c>
      <c r="AS362" s="139">
        <v>128</v>
      </c>
      <c r="AT362" s="157">
        <v>41766</v>
      </c>
      <c r="BS362" s="140">
        <v>48.1</v>
      </c>
      <c r="BU362" s="140">
        <v>22</v>
      </c>
      <c r="BW362" s="140">
        <v>12.6</v>
      </c>
      <c r="BY362" s="140">
        <v>8</v>
      </c>
      <c r="CJ362" s="140" t="s">
        <v>8131</v>
      </c>
    </row>
    <row r="363" spans="1:88">
      <c r="A363" s="158" t="s">
        <v>7675</v>
      </c>
      <c r="B363" s="112" t="s">
        <v>269</v>
      </c>
      <c r="C363" s="112">
        <v>1</v>
      </c>
      <c r="D363">
        <v>60</v>
      </c>
      <c r="E363" s="113">
        <v>35</v>
      </c>
      <c r="F363" s="113">
        <v>2</v>
      </c>
      <c r="I363" s="112">
        <v>32</v>
      </c>
      <c r="J363" s="183">
        <v>41705</v>
      </c>
      <c r="M363" s="184">
        <v>2.1</v>
      </c>
      <c r="N363" s="157">
        <v>41853</v>
      </c>
      <c r="S363" s="139">
        <v>7.15</v>
      </c>
      <c r="T363" s="157">
        <v>41853</v>
      </c>
      <c r="U363" s="139">
        <v>15.3</v>
      </c>
      <c r="Y363" s="139">
        <f t="shared" si="5"/>
        <v>2.69272</v>
      </c>
      <c r="AA363" s="139">
        <v>31.55</v>
      </c>
      <c r="AE363" s="139">
        <v>13.88</v>
      </c>
      <c r="AG363" s="185">
        <v>4.4000000000000004</v>
      </c>
      <c r="AI363" s="185">
        <v>130</v>
      </c>
      <c r="AJ363" s="157">
        <v>41803</v>
      </c>
      <c r="AO363" s="139">
        <v>92</v>
      </c>
      <c r="AP363" s="157">
        <v>41738</v>
      </c>
      <c r="AS363" s="139">
        <v>125</v>
      </c>
      <c r="AT363" s="157">
        <v>41766</v>
      </c>
      <c r="BS363" s="140">
        <v>51.5</v>
      </c>
      <c r="BU363" s="140">
        <v>19.399999999999999</v>
      </c>
      <c r="BW363" s="140">
        <v>14.9</v>
      </c>
      <c r="BY363" s="140">
        <v>8</v>
      </c>
      <c r="CJ363" s="140" t="s">
        <v>8140</v>
      </c>
    </row>
    <row r="364" spans="1:88">
      <c r="A364" s="158" t="s">
        <v>7732</v>
      </c>
      <c r="B364" s="112" t="s">
        <v>269</v>
      </c>
      <c r="C364" s="112">
        <v>1</v>
      </c>
      <c r="D364">
        <v>117</v>
      </c>
      <c r="E364" s="113">
        <v>35</v>
      </c>
      <c r="F364" s="113">
        <v>3</v>
      </c>
      <c r="I364" s="112">
        <v>28</v>
      </c>
      <c r="J364" s="183">
        <v>41705</v>
      </c>
      <c r="M364" s="184">
        <v>2.54</v>
      </c>
      <c r="N364" s="157">
        <v>41853</v>
      </c>
      <c r="S364" s="139">
        <v>8.61</v>
      </c>
      <c r="T364" s="157">
        <v>41853</v>
      </c>
      <c r="U364" s="139">
        <v>15.3</v>
      </c>
      <c r="Y364" s="139">
        <f t="shared" si="5"/>
        <v>3.1957999999999998</v>
      </c>
      <c r="AA364" s="139">
        <v>31.15</v>
      </c>
      <c r="AE364" s="139">
        <v>16.82</v>
      </c>
      <c r="AG364" s="185">
        <v>5.4</v>
      </c>
      <c r="AI364" s="185">
        <v>125</v>
      </c>
      <c r="AJ364" s="157">
        <v>41803</v>
      </c>
      <c r="AO364" s="139">
        <v>95</v>
      </c>
      <c r="AP364" s="157">
        <v>41738</v>
      </c>
      <c r="AS364" s="139">
        <v>127</v>
      </c>
      <c r="AT364" s="157">
        <v>41766</v>
      </c>
      <c r="BS364" s="140">
        <v>51.2</v>
      </c>
      <c r="BU364" s="140">
        <v>19</v>
      </c>
      <c r="BW364" s="140">
        <v>16.8</v>
      </c>
      <c r="BY364" s="140">
        <v>7.8</v>
      </c>
      <c r="CJ364" s="140" t="s">
        <v>8140</v>
      </c>
    </row>
    <row r="365" spans="1:88">
      <c r="A365" s="158" t="s">
        <v>7783</v>
      </c>
      <c r="B365" s="112" t="s">
        <v>269</v>
      </c>
      <c r="C365" s="112">
        <v>1</v>
      </c>
      <c r="D365">
        <v>168</v>
      </c>
      <c r="E365" s="113">
        <v>35</v>
      </c>
      <c r="F365" s="113">
        <v>4</v>
      </c>
      <c r="I365" s="112">
        <v>34</v>
      </c>
      <c r="J365" s="183">
        <v>41705</v>
      </c>
      <c r="M365" s="184">
        <v>1.9</v>
      </c>
      <c r="N365" s="157">
        <v>41853</v>
      </c>
      <c r="S365" s="139">
        <v>6.71</v>
      </c>
      <c r="T365" s="157">
        <v>41853</v>
      </c>
      <c r="U365" s="139">
        <v>15.3</v>
      </c>
      <c r="Y365" s="139">
        <f t="shared" si="5"/>
        <v>2.1837</v>
      </c>
      <c r="AA365" s="139">
        <v>30.61</v>
      </c>
      <c r="AE365" s="139">
        <v>12.55</v>
      </c>
      <c r="AG365" s="185">
        <v>4.0999999999999996</v>
      </c>
      <c r="AI365" s="185">
        <v>115</v>
      </c>
      <c r="AJ365" s="157">
        <v>41803</v>
      </c>
      <c r="AO365" s="139">
        <v>90</v>
      </c>
      <c r="AP365" s="157">
        <v>41738</v>
      </c>
      <c r="AS365" s="139">
        <v>125</v>
      </c>
      <c r="AT365" s="157">
        <v>41766</v>
      </c>
      <c r="BS365" s="140">
        <v>53.5</v>
      </c>
      <c r="BU365" s="140">
        <v>17.399999999999999</v>
      </c>
      <c r="BW365" s="140">
        <v>14.3</v>
      </c>
      <c r="BY365" s="140">
        <v>8</v>
      </c>
      <c r="CJ365" s="140" t="s">
        <v>8140</v>
      </c>
    </row>
    <row r="366" spans="1:88">
      <c r="A366" s="158" t="s">
        <v>7636</v>
      </c>
      <c r="B366" s="112" t="s">
        <v>269</v>
      </c>
      <c r="C366" s="112">
        <v>1</v>
      </c>
      <c r="D366">
        <v>21</v>
      </c>
      <c r="E366" s="113">
        <v>35</v>
      </c>
      <c r="F366" s="113">
        <v>5</v>
      </c>
      <c r="I366" s="187">
        <v>27</v>
      </c>
      <c r="J366" s="183">
        <v>41705</v>
      </c>
      <c r="K366" s="142"/>
      <c r="M366" s="184">
        <v>2.21</v>
      </c>
      <c r="N366" s="157">
        <v>41853</v>
      </c>
      <c r="O366" s="141"/>
      <c r="Q366" s="142"/>
      <c r="S366" s="142">
        <v>7.05</v>
      </c>
      <c r="T366" s="157">
        <v>41853</v>
      </c>
      <c r="U366" s="142">
        <v>15.3</v>
      </c>
      <c r="W366" s="142"/>
      <c r="Y366" s="139">
        <f t="shared" si="5"/>
        <v>3.1828000000000003</v>
      </c>
      <c r="AA366" s="142">
        <v>28.08</v>
      </c>
      <c r="AE366" s="142">
        <v>14.6</v>
      </c>
      <c r="AG366" s="185">
        <v>5.2</v>
      </c>
      <c r="AI366" s="185">
        <v>115</v>
      </c>
      <c r="AJ366" s="157">
        <v>41803</v>
      </c>
      <c r="AK366" s="142"/>
      <c r="AM366" s="142"/>
      <c r="AO366" s="139">
        <v>90</v>
      </c>
      <c r="AP366" s="157">
        <v>41738</v>
      </c>
      <c r="AS366" s="139">
        <v>127</v>
      </c>
      <c r="AT366" s="157">
        <v>41766</v>
      </c>
      <c r="BS366" s="140">
        <v>48.3</v>
      </c>
      <c r="BU366" s="140">
        <v>21.8</v>
      </c>
      <c r="BW366" s="140">
        <v>68.900000000000006</v>
      </c>
      <c r="BY366" s="140">
        <v>8</v>
      </c>
      <c r="CJ366" s="140" t="s">
        <v>8140</v>
      </c>
    </row>
    <row r="367" spans="1:88">
      <c r="A367" s="158" t="s">
        <v>7747</v>
      </c>
      <c r="B367" s="112" t="s">
        <v>269</v>
      </c>
      <c r="C367" s="112">
        <v>1</v>
      </c>
      <c r="D367">
        <v>132</v>
      </c>
      <c r="E367" s="113">
        <v>35</v>
      </c>
      <c r="F367" s="113">
        <v>6</v>
      </c>
      <c r="I367" s="112">
        <v>36</v>
      </c>
      <c r="J367" s="183">
        <v>41705</v>
      </c>
      <c r="M367" s="184">
        <v>3.99</v>
      </c>
      <c r="N367" s="157">
        <v>41853</v>
      </c>
      <c r="S367" s="139">
        <v>13.61</v>
      </c>
      <c r="T367" s="157">
        <v>41853</v>
      </c>
      <c r="U367" s="139">
        <v>15.3</v>
      </c>
      <c r="Y367" s="139">
        <f t="shared" si="5"/>
        <v>5.35311</v>
      </c>
      <c r="AA367" s="139">
        <v>57.33</v>
      </c>
      <c r="AE367" s="139">
        <v>26.37</v>
      </c>
      <c r="AG367" s="185">
        <v>4.5999999999999996</v>
      </c>
      <c r="AI367" s="185">
        <v>120</v>
      </c>
      <c r="AJ367" s="157">
        <v>41803</v>
      </c>
      <c r="AO367" s="139">
        <v>96</v>
      </c>
      <c r="AP367" s="157">
        <v>41738</v>
      </c>
      <c r="AS367" s="139">
        <v>127</v>
      </c>
      <c r="AT367" s="157">
        <v>41766</v>
      </c>
      <c r="BS367" s="140">
        <v>51.6</v>
      </c>
      <c r="BU367" s="140">
        <v>20.3</v>
      </c>
      <c r="BW367" s="140">
        <v>60.1</v>
      </c>
      <c r="BY367" s="140">
        <v>8</v>
      </c>
      <c r="CJ367" s="140" t="s">
        <v>8131</v>
      </c>
    </row>
    <row r="368" spans="1:88">
      <c r="A368" s="158" t="s">
        <v>7780</v>
      </c>
      <c r="B368" s="112" t="s">
        <v>271</v>
      </c>
      <c r="C368" s="112">
        <v>2</v>
      </c>
      <c r="D368">
        <v>165</v>
      </c>
      <c r="E368" s="113">
        <v>35</v>
      </c>
      <c r="F368" s="113">
        <v>7</v>
      </c>
      <c r="I368" s="112">
        <v>44</v>
      </c>
      <c r="J368" s="183">
        <v>41705</v>
      </c>
      <c r="M368" s="184">
        <v>4.47</v>
      </c>
      <c r="N368" s="157">
        <v>41853</v>
      </c>
      <c r="S368" s="139">
        <v>15.16</v>
      </c>
      <c r="T368" s="157">
        <v>41853</v>
      </c>
      <c r="U368" s="139">
        <v>15.3</v>
      </c>
      <c r="Y368" s="139">
        <f t="shared" si="5"/>
        <v>5.6832000000000003</v>
      </c>
      <c r="AA368" s="139">
        <v>61.67</v>
      </c>
      <c r="AE368" s="139">
        <v>29.6</v>
      </c>
      <c r="AG368" s="185">
        <v>4.8</v>
      </c>
      <c r="AI368" s="185">
        <v>115</v>
      </c>
      <c r="AJ368" s="157">
        <v>41803</v>
      </c>
      <c r="AO368" s="139">
        <v>94</v>
      </c>
      <c r="AP368" s="157">
        <v>41738</v>
      </c>
      <c r="AS368" s="139">
        <v>128</v>
      </c>
      <c r="AT368" s="157">
        <v>41766</v>
      </c>
      <c r="BS368" s="140">
        <v>51.2</v>
      </c>
      <c r="BU368" s="140">
        <v>19.2</v>
      </c>
      <c r="BW368" s="140">
        <v>16.399999999999999</v>
      </c>
      <c r="BY368" s="140">
        <v>7.8</v>
      </c>
      <c r="CJ368" s="140" t="s">
        <v>8140</v>
      </c>
    </row>
    <row r="369" spans="1:88">
      <c r="A369" s="158" t="s">
        <v>7777</v>
      </c>
      <c r="B369" s="112" t="s">
        <v>271</v>
      </c>
      <c r="C369" s="112">
        <v>2</v>
      </c>
      <c r="D369">
        <v>162</v>
      </c>
      <c r="E369" s="113">
        <v>35</v>
      </c>
      <c r="F369" s="113">
        <v>8</v>
      </c>
      <c r="I369" s="112">
        <v>40</v>
      </c>
      <c r="J369" s="183">
        <v>41705</v>
      </c>
      <c r="M369" s="184">
        <v>4.1900000000000004</v>
      </c>
      <c r="N369" s="157">
        <v>41853</v>
      </c>
      <c r="S369" s="139">
        <v>14.52</v>
      </c>
      <c r="T369" s="157">
        <v>41853</v>
      </c>
      <c r="U369" s="139">
        <v>15.3</v>
      </c>
      <c r="Y369" s="139">
        <f t="shared" si="5"/>
        <v>5.0341199999999997</v>
      </c>
      <c r="AA369" s="139">
        <v>62.86</v>
      </c>
      <c r="AE369" s="139">
        <v>27.66</v>
      </c>
      <c r="AG369" s="185">
        <v>4.4000000000000004</v>
      </c>
      <c r="AI369" s="185">
        <v>105</v>
      </c>
      <c r="AJ369" s="157">
        <v>41803</v>
      </c>
      <c r="AO369" s="139">
        <v>96</v>
      </c>
      <c r="AP369" s="157">
        <v>41738</v>
      </c>
      <c r="AS369" s="139">
        <v>129</v>
      </c>
      <c r="AT369" s="157">
        <v>41766</v>
      </c>
      <c r="BS369" s="140">
        <v>52.5</v>
      </c>
      <c r="BU369" s="140">
        <v>18.2</v>
      </c>
      <c r="BW369" s="140">
        <v>16.5</v>
      </c>
      <c r="BY369" s="140">
        <v>8.1</v>
      </c>
      <c r="CJ369" s="140" t="s">
        <v>8131</v>
      </c>
    </row>
    <row r="370" spans="1:88">
      <c r="A370" s="158" t="s">
        <v>7788</v>
      </c>
      <c r="B370" s="112" t="s">
        <v>271</v>
      </c>
      <c r="C370" s="112">
        <v>2</v>
      </c>
      <c r="D370">
        <v>173</v>
      </c>
      <c r="E370" s="113">
        <v>35</v>
      </c>
      <c r="F370" s="113">
        <v>9</v>
      </c>
      <c r="I370" s="112">
        <v>32</v>
      </c>
      <c r="J370" s="183">
        <v>41705</v>
      </c>
      <c r="M370" s="184">
        <v>2.82</v>
      </c>
      <c r="N370" s="157">
        <v>41853</v>
      </c>
      <c r="S370" s="139">
        <v>9.4700000000000006</v>
      </c>
      <c r="T370" s="157">
        <v>41853</v>
      </c>
      <c r="U370" s="139">
        <v>15.3</v>
      </c>
      <c r="Y370" s="139">
        <f t="shared" si="5"/>
        <v>3.55776</v>
      </c>
      <c r="AA370" s="139">
        <v>41.18</v>
      </c>
      <c r="AE370" s="139">
        <v>18.53</v>
      </c>
      <c r="AG370" s="185">
        <v>4.5</v>
      </c>
      <c r="AI370" s="185">
        <v>115</v>
      </c>
      <c r="AJ370" s="157">
        <v>41803</v>
      </c>
      <c r="AO370" s="139">
        <v>94</v>
      </c>
      <c r="AP370" s="157">
        <v>41738</v>
      </c>
      <c r="AS370" s="139">
        <v>127</v>
      </c>
      <c r="AT370" s="157">
        <v>41766</v>
      </c>
      <c r="BS370" s="140">
        <v>51.1</v>
      </c>
      <c r="BU370" s="140">
        <v>19.2</v>
      </c>
      <c r="BW370" s="140">
        <v>13</v>
      </c>
      <c r="BY370" s="140">
        <v>8.5</v>
      </c>
      <c r="CJ370" s="140" t="s">
        <v>8140</v>
      </c>
    </row>
    <row r="371" spans="1:88">
      <c r="A371" s="158" t="s">
        <v>7625</v>
      </c>
      <c r="B371" s="112" t="s">
        <v>271</v>
      </c>
      <c r="C371" s="112">
        <v>2</v>
      </c>
      <c r="D371">
        <v>10</v>
      </c>
      <c r="E371" s="113">
        <v>35</v>
      </c>
      <c r="F371" s="113">
        <v>10</v>
      </c>
      <c r="I371" s="187">
        <v>44</v>
      </c>
      <c r="J371" s="183">
        <v>41705</v>
      </c>
      <c r="K371" s="142"/>
      <c r="M371" s="184">
        <v>2.35</v>
      </c>
      <c r="N371" s="157">
        <v>41853</v>
      </c>
      <c r="O371" s="141"/>
      <c r="Q371" s="142"/>
      <c r="S371" s="142">
        <v>7.64</v>
      </c>
      <c r="T371" s="157">
        <v>41853</v>
      </c>
      <c r="U371" s="142">
        <v>15.3</v>
      </c>
      <c r="W371" s="142"/>
      <c r="Y371" s="139">
        <f t="shared" si="5"/>
        <v>3.4676500000000003</v>
      </c>
      <c r="AA371" s="142">
        <v>31.73</v>
      </c>
      <c r="AE371" s="142">
        <v>15.55</v>
      </c>
      <c r="AG371" s="185">
        <v>4.9000000000000004</v>
      </c>
      <c r="AI371" s="185">
        <v>125</v>
      </c>
      <c r="AJ371" s="157">
        <v>41803</v>
      </c>
      <c r="AK371" s="142"/>
      <c r="AM371" s="142"/>
      <c r="AO371" s="139">
        <v>99</v>
      </c>
      <c r="AP371" s="157">
        <v>41738</v>
      </c>
      <c r="AS371" s="139">
        <v>128</v>
      </c>
      <c r="AT371" s="157">
        <v>41766</v>
      </c>
      <c r="BS371" s="140">
        <v>49.1</v>
      </c>
      <c r="BU371" s="140">
        <v>22.3</v>
      </c>
      <c r="BW371" s="140">
        <v>65.5</v>
      </c>
      <c r="BY371" s="140">
        <v>7.9</v>
      </c>
      <c r="CJ371" s="140" t="s">
        <v>8132</v>
      </c>
    </row>
    <row r="372" spans="1:88">
      <c r="A372" s="158" t="s">
        <v>7758</v>
      </c>
      <c r="B372" s="112" t="s">
        <v>271</v>
      </c>
      <c r="C372" s="112">
        <v>2</v>
      </c>
      <c r="D372">
        <v>143</v>
      </c>
      <c r="E372" s="113">
        <v>35</v>
      </c>
      <c r="F372" s="113">
        <v>11</v>
      </c>
      <c r="I372" s="112">
        <v>51</v>
      </c>
      <c r="J372" s="183">
        <v>41705</v>
      </c>
      <c r="M372" s="184">
        <v>1.91</v>
      </c>
      <c r="N372" s="157">
        <v>41853</v>
      </c>
      <c r="S372" s="139">
        <v>6.27</v>
      </c>
      <c r="T372" s="157">
        <v>41853</v>
      </c>
      <c r="U372" s="139">
        <v>15.3</v>
      </c>
      <c r="Y372" s="139">
        <f t="shared" si="5"/>
        <v>2.81426</v>
      </c>
      <c r="AA372" s="139">
        <v>26.85</v>
      </c>
      <c r="AE372" s="139">
        <v>12.62</v>
      </c>
      <c r="AG372" s="185">
        <v>4.7</v>
      </c>
      <c r="AI372" s="185">
        <v>105</v>
      </c>
      <c r="AJ372" s="157">
        <v>41803</v>
      </c>
      <c r="AO372" s="139">
        <v>91</v>
      </c>
      <c r="AP372" s="157">
        <v>41738</v>
      </c>
      <c r="AS372" s="139">
        <v>128</v>
      </c>
      <c r="AT372" s="157">
        <v>41766</v>
      </c>
      <c r="BS372" s="140">
        <v>49.7</v>
      </c>
      <c r="BU372" s="140">
        <v>22.3</v>
      </c>
      <c r="BW372" s="140">
        <v>69.5</v>
      </c>
      <c r="BY372" s="140">
        <v>8</v>
      </c>
      <c r="CJ372" s="140" t="s">
        <v>8143</v>
      </c>
    </row>
    <row r="373" spans="1:88">
      <c r="A373" s="158" t="s">
        <v>7761</v>
      </c>
      <c r="B373" s="112" t="s">
        <v>271</v>
      </c>
      <c r="C373" s="112">
        <v>2</v>
      </c>
      <c r="D373">
        <v>146</v>
      </c>
      <c r="E373" s="113">
        <v>35</v>
      </c>
      <c r="F373" s="113">
        <v>12</v>
      </c>
      <c r="I373" s="112">
        <v>57</v>
      </c>
      <c r="J373" s="183">
        <v>41705</v>
      </c>
      <c r="M373" s="184">
        <v>4.26</v>
      </c>
      <c r="N373" s="157">
        <v>41853</v>
      </c>
      <c r="S373" s="139">
        <v>13.26</v>
      </c>
      <c r="T373" s="157">
        <v>41853</v>
      </c>
      <c r="U373" s="139">
        <v>15.3</v>
      </c>
      <c r="Y373" s="139">
        <f t="shared" si="5"/>
        <v>6.7841499999999995</v>
      </c>
      <c r="AA373" s="139">
        <v>67.02</v>
      </c>
      <c r="AE373" s="139">
        <v>28.15</v>
      </c>
      <c r="AG373" s="185">
        <v>4.2</v>
      </c>
      <c r="AI373" s="185">
        <v>120</v>
      </c>
      <c r="AJ373" s="157">
        <v>41803</v>
      </c>
      <c r="AO373" s="139">
        <v>95</v>
      </c>
      <c r="AP373" s="157">
        <v>41738</v>
      </c>
      <c r="AS373" s="139">
        <v>128</v>
      </c>
      <c r="AT373" s="157">
        <v>41766</v>
      </c>
      <c r="BS373" s="140">
        <v>47.1</v>
      </c>
      <c r="BU373" s="140">
        <v>24.1</v>
      </c>
      <c r="BW373" s="140">
        <v>66.099999999999994</v>
      </c>
      <c r="BY373" s="140">
        <v>8</v>
      </c>
      <c r="CJ373" s="140" t="s">
        <v>8144</v>
      </c>
    </row>
    <row r="374" spans="1:88">
      <c r="A374" s="158" t="s">
        <v>7699</v>
      </c>
      <c r="B374" s="112" t="s">
        <v>269</v>
      </c>
      <c r="C374" s="112">
        <v>1</v>
      </c>
      <c r="D374">
        <v>84</v>
      </c>
      <c r="E374" s="113">
        <v>36</v>
      </c>
      <c r="F374" s="113">
        <v>1</v>
      </c>
      <c r="I374" s="112">
        <v>25</v>
      </c>
      <c r="J374" s="183">
        <v>41705</v>
      </c>
      <c r="M374" s="184">
        <v>1.56</v>
      </c>
      <c r="N374" s="157">
        <v>41853</v>
      </c>
      <c r="S374" s="139">
        <v>5.03</v>
      </c>
      <c r="T374" s="157">
        <v>41853</v>
      </c>
      <c r="U374" s="139">
        <v>15.3</v>
      </c>
      <c r="Y374" s="139">
        <f t="shared" si="5"/>
        <v>2.1857199999999999</v>
      </c>
      <c r="AA374" s="139">
        <v>21.94</v>
      </c>
      <c r="AE374" s="139">
        <v>10.31</v>
      </c>
      <c r="AG374" s="185">
        <v>4.7</v>
      </c>
      <c r="AI374" s="185">
        <v>125</v>
      </c>
      <c r="AJ374" s="157">
        <v>41803</v>
      </c>
      <c r="AO374" s="139">
        <v>89</v>
      </c>
      <c r="AP374" s="157">
        <v>41738</v>
      </c>
      <c r="AS374" s="139">
        <v>127</v>
      </c>
      <c r="AT374" s="157">
        <v>41766</v>
      </c>
      <c r="BS374" s="140">
        <v>48.8</v>
      </c>
      <c r="BU374" s="140">
        <v>21.2</v>
      </c>
      <c r="BW374" s="140">
        <v>17.8</v>
      </c>
      <c r="BY374" s="140">
        <v>8</v>
      </c>
      <c r="CJ374" s="140" t="s">
        <v>8140</v>
      </c>
    </row>
    <row r="375" spans="1:88">
      <c r="A375" s="158" t="s">
        <v>7705</v>
      </c>
      <c r="B375" s="112" t="s">
        <v>269</v>
      </c>
      <c r="C375" s="112">
        <v>1</v>
      </c>
      <c r="D375">
        <v>90</v>
      </c>
      <c r="E375" s="113">
        <v>36</v>
      </c>
      <c r="F375" s="113">
        <v>2</v>
      </c>
      <c r="I375" s="112">
        <v>50</v>
      </c>
      <c r="J375" s="183">
        <v>41705</v>
      </c>
      <c r="M375" s="184">
        <v>1.75</v>
      </c>
      <c r="N375" s="157">
        <v>41853</v>
      </c>
      <c r="S375" s="139">
        <v>5.81</v>
      </c>
      <c r="T375" s="157">
        <v>41853</v>
      </c>
      <c r="U375" s="139">
        <v>15.3</v>
      </c>
      <c r="Y375" s="139">
        <f t="shared" si="5"/>
        <v>2.3698000000000001</v>
      </c>
      <c r="AA375" s="139">
        <v>24.08</v>
      </c>
      <c r="AE375" s="139">
        <v>11.56</v>
      </c>
      <c r="AG375" s="185">
        <v>4.8</v>
      </c>
      <c r="AI375" s="185">
        <v>120</v>
      </c>
      <c r="AJ375" s="157">
        <v>41803</v>
      </c>
      <c r="AO375" s="139">
        <v>94</v>
      </c>
      <c r="AP375" s="157">
        <v>41738</v>
      </c>
      <c r="AS375" s="139">
        <v>128</v>
      </c>
      <c r="AT375" s="157">
        <v>41766</v>
      </c>
      <c r="BS375" s="140">
        <v>50.3</v>
      </c>
      <c r="BU375" s="140">
        <v>20.5</v>
      </c>
      <c r="BW375" s="140">
        <v>16.100000000000001</v>
      </c>
      <c r="BY375" s="140">
        <v>8</v>
      </c>
      <c r="CJ375" s="140" t="s">
        <v>8140</v>
      </c>
    </row>
    <row r="376" spans="1:88">
      <c r="A376" s="158" t="s">
        <v>7729</v>
      </c>
      <c r="B376" s="112" t="s">
        <v>269</v>
      </c>
      <c r="C376" s="112">
        <v>1</v>
      </c>
      <c r="D376">
        <v>114</v>
      </c>
      <c r="E376" s="113">
        <v>36</v>
      </c>
      <c r="F376" s="113">
        <v>3</v>
      </c>
      <c r="I376" s="112">
        <v>34</v>
      </c>
      <c r="J376" s="183">
        <v>41705</v>
      </c>
      <c r="M376" s="184">
        <v>2.17</v>
      </c>
      <c r="N376" s="157">
        <v>41853</v>
      </c>
      <c r="S376" s="139">
        <v>7.27</v>
      </c>
      <c r="T376" s="157">
        <v>41853</v>
      </c>
      <c r="U376" s="139">
        <v>15.3</v>
      </c>
      <c r="Y376" s="139">
        <f t="shared" si="5"/>
        <v>2.82498</v>
      </c>
      <c r="AA376" s="139">
        <v>29.27</v>
      </c>
      <c r="AE376" s="139">
        <v>14.34</v>
      </c>
      <c r="AG376" s="185">
        <v>4.9000000000000004</v>
      </c>
      <c r="AI376" s="185">
        <v>115</v>
      </c>
      <c r="AJ376" s="157">
        <v>41803</v>
      </c>
      <c r="AO376" s="139">
        <v>94</v>
      </c>
      <c r="AP376" s="157">
        <v>41738</v>
      </c>
      <c r="AS376" s="139">
        <v>128</v>
      </c>
      <c r="AT376" s="157">
        <v>41766</v>
      </c>
      <c r="BS376" s="140">
        <v>50.7</v>
      </c>
      <c r="BU376" s="140">
        <v>19.7</v>
      </c>
      <c r="BW376" s="140">
        <v>17.8</v>
      </c>
      <c r="BY376" s="140">
        <v>8</v>
      </c>
      <c r="CJ376" s="140" t="s">
        <v>8140</v>
      </c>
    </row>
    <row r="377" spans="1:88">
      <c r="A377" s="158" t="s">
        <v>7666</v>
      </c>
      <c r="B377" s="112" t="s">
        <v>269</v>
      </c>
      <c r="C377" s="112">
        <v>1</v>
      </c>
      <c r="D377">
        <v>51</v>
      </c>
      <c r="E377" s="113">
        <v>36</v>
      </c>
      <c r="F377" s="113">
        <v>4</v>
      </c>
      <c r="I377" s="112">
        <v>37</v>
      </c>
      <c r="J377" s="183">
        <v>41705</v>
      </c>
      <c r="M377" s="184">
        <v>2.4500000000000002</v>
      </c>
      <c r="N377" s="157">
        <v>41853</v>
      </c>
      <c r="S377" s="139">
        <v>8.0500000000000007</v>
      </c>
      <c r="T377" s="157">
        <v>41853</v>
      </c>
      <c r="U377" s="139">
        <v>15.3</v>
      </c>
      <c r="Y377" s="139">
        <f t="shared" si="5"/>
        <v>3.2178300000000002</v>
      </c>
      <c r="AE377" s="139">
        <v>16.170000000000002</v>
      </c>
      <c r="AG377" s="185"/>
      <c r="AI377" s="185">
        <v>115</v>
      </c>
      <c r="AJ377" s="157">
        <v>41803</v>
      </c>
      <c r="AO377" s="139">
        <v>94</v>
      </c>
      <c r="AP377" s="157">
        <v>41738</v>
      </c>
      <c r="AS377" s="139">
        <v>126</v>
      </c>
      <c r="AT377" s="157">
        <v>41766</v>
      </c>
      <c r="BS377" s="140">
        <v>49.8</v>
      </c>
      <c r="BU377" s="140">
        <v>19.899999999999999</v>
      </c>
      <c r="BW377" s="140">
        <v>60.1</v>
      </c>
      <c r="BY377" s="140">
        <v>8.1</v>
      </c>
      <c r="CJ377" s="140" t="s">
        <v>8140</v>
      </c>
    </row>
    <row r="378" spans="1:88">
      <c r="A378" s="158" t="s">
        <v>7798</v>
      </c>
      <c r="B378" s="112" t="s">
        <v>269</v>
      </c>
      <c r="C378" s="112">
        <v>1</v>
      </c>
      <c r="D378">
        <v>183</v>
      </c>
      <c r="E378" s="113">
        <v>36</v>
      </c>
      <c r="F378" s="113">
        <v>5</v>
      </c>
      <c r="I378" s="112">
        <v>20</v>
      </c>
      <c r="J378" s="183">
        <v>41705</v>
      </c>
      <c r="M378" s="184">
        <v>2.4900000000000002</v>
      </c>
      <c r="N378" s="157">
        <v>41853</v>
      </c>
      <c r="S378" s="139">
        <v>8.7799999999999994</v>
      </c>
      <c r="T378" s="157">
        <v>41853</v>
      </c>
      <c r="U378" s="139">
        <v>15.3</v>
      </c>
      <c r="Y378" s="139">
        <f t="shared" si="5"/>
        <v>3.0597000000000003</v>
      </c>
      <c r="AA378" s="139">
        <v>34.270000000000003</v>
      </c>
      <c r="AE378" s="139">
        <v>16.45</v>
      </c>
      <c r="AG378" s="185">
        <v>4.8</v>
      </c>
      <c r="AI378" s="185">
        <v>125</v>
      </c>
      <c r="AJ378" s="157">
        <v>41803</v>
      </c>
      <c r="AO378" s="139">
        <v>92</v>
      </c>
      <c r="AP378" s="157">
        <v>41738</v>
      </c>
      <c r="AS378" s="139">
        <v>128</v>
      </c>
      <c r="AT378" s="157">
        <v>41766</v>
      </c>
      <c r="BS378" s="140">
        <v>53.4</v>
      </c>
      <c r="BU378" s="140">
        <v>18.600000000000001</v>
      </c>
      <c r="BW378" s="140">
        <v>13.3</v>
      </c>
      <c r="BY378" s="140">
        <v>8</v>
      </c>
      <c r="CJ378" s="140" t="s">
        <v>8140</v>
      </c>
    </row>
    <row r="379" spans="1:88">
      <c r="A379" s="158" t="s">
        <v>7668</v>
      </c>
      <c r="B379" s="112" t="s">
        <v>269</v>
      </c>
      <c r="C379" s="112">
        <v>1</v>
      </c>
      <c r="D379">
        <v>53</v>
      </c>
      <c r="E379" s="113">
        <v>36</v>
      </c>
      <c r="F379" s="113">
        <v>6</v>
      </c>
      <c r="I379" s="112">
        <v>34</v>
      </c>
      <c r="J379" s="183">
        <v>41705</v>
      </c>
      <c r="M379" s="184">
        <v>3.43</v>
      </c>
      <c r="N379" s="157">
        <v>41853</v>
      </c>
      <c r="S379" s="139">
        <v>12.52</v>
      </c>
      <c r="T379" s="157">
        <v>41853</v>
      </c>
      <c r="U379" s="139">
        <v>15.3</v>
      </c>
      <c r="Y379" s="139">
        <f t="shared" si="5"/>
        <v>3.7438500000000006</v>
      </c>
      <c r="AA379" s="139">
        <v>43.63</v>
      </c>
      <c r="AE379" s="139">
        <v>22.69</v>
      </c>
      <c r="AG379" s="185">
        <v>5.2</v>
      </c>
      <c r="AI379" s="185">
        <v>125</v>
      </c>
      <c r="AJ379" s="157">
        <v>41803</v>
      </c>
      <c r="AO379" s="139">
        <v>94</v>
      </c>
      <c r="AP379" s="157">
        <v>41738</v>
      </c>
      <c r="AS379" s="139">
        <v>126</v>
      </c>
      <c r="AT379" s="157">
        <v>41766</v>
      </c>
      <c r="BS379" s="140">
        <v>55.2</v>
      </c>
      <c r="BU379" s="140">
        <v>16.5</v>
      </c>
      <c r="BW379" s="140">
        <v>11.3</v>
      </c>
      <c r="BY379" s="140">
        <v>7.9</v>
      </c>
      <c r="CJ379" s="140" t="s">
        <v>8140</v>
      </c>
    </row>
    <row r="380" spans="1:88">
      <c r="A380" s="158" t="s">
        <v>7720</v>
      </c>
      <c r="B380" s="112" t="s">
        <v>271</v>
      </c>
      <c r="C380" s="112">
        <v>2</v>
      </c>
      <c r="D380">
        <v>105</v>
      </c>
      <c r="E380" s="113">
        <v>36</v>
      </c>
      <c r="F380" s="113">
        <v>7</v>
      </c>
      <c r="I380" s="112">
        <v>72</v>
      </c>
      <c r="J380" s="183">
        <v>41705</v>
      </c>
      <c r="M380" s="184">
        <v>4.3</v>
      </c>
      <c r="N380" s="157">
        <v>41853</v>
      </c>
      <c r="S380" s="139">
        <v>13.95</v>
      </c>
      <c r="T380" s="157">
        <v>41853</v>
      </c>
      <c r="U380" s="139">
        <v>15.3</v>
      </c>
      <c r="Y380" s="139">
        <f t="shared" si="5"/>
        <v>5.4882599999999995</v>
      </c>
      <c r="AA380" s="139">
        <v>60.19</v>
      </c>
      <c r="AE380" s="139">
        <v>28.29</v>
      </c>
      <c r="AG380" s="185">
        <v>4.7</v>
      </c>
      <c r="AI380" s="185">
        <v>115</v>
      </c>
      <c r="AJ380" s="157">
        <v>41803</v>
      </c>
      <c r="AO380" s="139">
        <v>93</v>
      </c>
      <c r="AP380" s="157">
        <v>41738</v>
      </c>
      <c r="AS380" s="139">
        <v>127</v>
      </c>
      <c r="AT380" s="157">
        <v>41766</v>
      </c>
      <c r="BS380" s="140">
        <v>49.3</v>
      </c>
      <c r="BU380" s="140">
        <v>19.399999999999999</v>
      </c>
      <c r="BW380" s="140">
        <v>12.2</v>
      </c>
      <c r="BY380" s="140">
        <v>8.4</v>
      </c>
      <c r="CJ380" s="140" t="s">
        <v>8140</v>
      </c>
    </row>
    <row r="381" spans="1:88">
      <c r="A381" s="158" t="s">
        <v>7755</v>
      </c>
      <c r="B381" s="112" t="s">
        <v>271</v>
      </c>
      <c r="C381" s="112">
        <v>2</v>
      </c>
      <c r="D381">
        <v>140</v>
      </c>
      <c r="E381" s="113">
        <v>36</v>
      </c>
      <c r="F381" s="113">
        <v>8</v>
      </c>
      <c r="I381" s="112">
        <v>56</v>
      </c>
      <c r="J381" s="183">
        <v>41705</v>
      </c>
      <c r="M381" s="184">
        <v>2.59</v>
      </c>
      <c r="N381" s="157">
        <v>41853</v>
      </c>
      <c r="S381" s="139">
        <v>8.2200000000000006</v>
      </c>
      <c r="T381" s="157">
        <v>41853</v>
      </c>
      <c r="U381" s="139">
        <v>15.3</v>
      </c>
      <c r="Y381" s="139">
        <f t="shared" si="5"/>
        <v>4.0991999999999997</v>
      </c>
      <c r="AA381" s="139">
        <v>36.340000000000003</v>
      </c>
      <c r="AE381" s="139">
        <v>17.079999999999998</v>
      </c>
      <c r="AG381" s="185">
        <v>4.7</v>
      </c>
      <c r="AI381" s="185">
        <v>105</v>
      </c>
      <c r="AJ381" s="157">
        <v>41803</v>
      </c>
      <c r="AO381" s="139">
        <v>99</v>
      </c>
      <c r="AP381" s="157">
        <v>41738</v>
      </c>
      <c r="AS381" s="139">
        <v>128</v>
      </c>
      <c r="AT381" s="157">
        <v>41766</v>
      </c>
      <c r="BS381" s="140">
        <v>48.1</v>
      </c>
      <c r="BU381" s="140">
        <v>24</v>
      </c>
      <c r="BW381" s="140">
        <v>79.599999999999994</v>
      </c>
      <c r="BY381" s="140">
        <v>8.1999999999999993</v>
      </c>
      <c r="CJ381" s="140" t="s">
        <v>8132</v>
      </c>
    </row>
    <row r="382" spans="1:88">
      <c r="A382" s="158" t="s">
        <v>7680</v>
      </c>
      <c r="B382" s="112" t="s">
        <v>271</v>
      </c>
      <c r="C382" s="112">
        <v>2</v>
      </c>
      <c r="D382">
        <v>65</v>
      </c>
      <c r="E382" s="113">
        <v>36</v>
      </c>
      <c r="F382" s="113">
        <v>9</v>
      </c>
      <c r="I382" s="112">
        <v>49</v>
      </c>
      <c r="J382" s="183">
        <v>41705</v>
      </c>
      <c r="M382" s="184">
        <v>4.3600000000000003</v>
      </c>
      <c r="N382" s="157">
        <v>41853</v>
      </c>
      <c r="S382" s="139">
        <v>14.91</v>
      </c>
      <c r="T382" s="157">
        <v>41853</v>
      </c>
      <c r="U382" s="139">
        <v>15.3</v>
      </c>
      <c r="Y382" s="139">
        <f t="shared" si="5"/>
        <v>5.6121000000000008</v>
      </c>
      <c r="AA382" s="139">
        <v>57.56</v>
      </c>
      <c r="AE382" s="139">
        <v>28.78</v>
      </c>
      <c r="AG382" s="185">
        <v>5</v>
      </c>
      <c r="AI382" s="185">
        <v>120</v>
      </c>
      <c r="AJ382" s="157">
        <v>41803</v>
      </c>
      <c r="AO382" s="139">
        <v>94</v>
      </c>
      <c r="AP382" s="157">
        <v>41738</v>
      </c>
      <c r="AS382" s="139">
        <v>128</v>
      </c>
      <c r="AT382" s="157">
        <v>41766</v>
      </c>
      <c r="BS382" s="140">
        <v>51.8</v>
      </c>
      <c r="BU382" s="140">
        <v>19.5</v>
      </c>
      <c r="BW382" s="140">
        <v>13.1</v>
      </c>
      <c r="BY382" s="140">
        <v>8.1</v>
      </c>
      <c r="CJ382" s="140" t="s">
        <v>8140</v>
      </c>
    </row>
    <row r="383" spans="1:88">
      <c r="A383" s="158" t="s">
        <v>7633</v>
      </c>
      <c r="B383" s="112" t="s">
        <v>271</v>
      </c>
      <c r="C383" s="112">
        <v>2</v>
      </c>
      <c r="D383">
        <v>18</v>
      </c>
      <c r="E383" s="113">
        <v>36</v>
      </c>
      <c r="F383" s="113">
        <v>10</v>
      </c>
      <c r="I383" s="187">
        <v>34</v>
      </c>
      <c r="J383" s="183">
        <v>41705</v>
      </c>
      <c r="K383" s="142"/>
      <c r="M383" s="184">
        <v>3.65</v>
      </c>
      <c r="N383" s="157">
        <v>41853</v>
      </c>
      <c r="O383" s="141"/>
      <c r="Q383" s="142"/>
      <c r="S383" s="142">
        <v>11.89</v>
      </c>
      <c r="T383" s="157">
        <v>41853</v>
      </c>
      <c r="U383" s="142">
        <v>15.3</v>
      </c>
      <c r="W383" s="142"/>
      <c r="Y383" s="139">
        <f t="shared" si="5"/>
        <v>5.6199600000000007</v>
      </c>
      <c r="AA383" s="142">
        <v>51.32</v>
      </c>
      <c r="AE383" s="142">
        <v>24.12</v>
      </c>
      <c r="AG383" s="185">
        <v>4.7</v>
      </c>
      <c r="AI383" s="185">
        <v>110</v>
      </c>
      <c r="AJ383" s="157">
        <v>41803</v>
      </c>
      <c r="AK383" s="142"/>
      <c r="AM383" s="142"/>
      <c r="AO383" s="139">
        <v>90</v>
      </c>
      <c r="AP383" s="157">
        <v>41738</v>
      </c>
      <c r="AS383" s="139">
        <v>127</v>
      </c>
      <c r="AT383" s="157">
        <v>41766</v>
      </c>
      <c r="BS383" s="140">
        <v>49.3</v>
      </c>
      <c r="BU383" s="140">
        <v>23.3</v>
      </c>
      <c r="BW383" s="140">
        <v>57.9</v>
      </c>
      <c r="BY383" s="140">
        <v>8</v>
      </c>
      <c r="CJ383" s="140" t="s">
        <v>8140</v>
      </c>
    </row>
    <row r="384" spans="1:88">
      <c r="A384" s="158" t="s">
        <v>7796</v>
      </c>
      <c r="B384" s="112" t="s">
        <v>271</v>
      </c>
      <c r="C384" s="112">
        <v>2</v>
      </c>
      <c r="D384">
        <v>181</v>
      </c>
      <c r="E384" s="113">
        <v>36</v>
      </c>
      <c r="F384" s="113">
        <v>11</v>
      </c>
      <c r="I384" s="112">
        <v>41</v>
      </c>
      <c r="J384" s="183">
        <v>41705</v>
      </c>
      <c r="M384" s="184">
        <v>4.8</v>
      </c>
      <c r="N384" s="157">
        <v>41853</v>
      </c>
      <c r="S384" s="139">
        <v>16.149999999999999</v>
      </c>
      <c r="T384" s="157">
        <v>41853</v>
      </c>
      <c r="U384" s="139">
        <v>15.3</v>
      </c>
      <c r="Y384" s="139">
        <f t="shared" si="5"/>
        <v>6.1536799999999996</v>
      </c>
      <c r="AA384" s="139">
        <v>68.959999999999994</v>
      </c>
      <c r="AE384" s="139">
        <v>31.72</v>
      </c>
      <c r="AG384" s="185">
        <v>4.5999999999999996</v>
      </c>
      <c r="AI384" s="185">
        <v>110</v>
      </c>
      <c r="AJ384" s="157">
        <v>41803</v>
      </c>
      <c r="AO384" s="139">
        <v>93</v>
      </c>
      <c r="AP384" s="157">
        <v>41738</v>
      </c>
      <c r="AS384" s="139">
        <v>128</v>
      </c>
      <c r="AT384" s="157">
        <v>41766</v>
      </c>
      <c r="BS384" s="140">
        <v>50.9</v>
      </c>
      <c r="BU384" s="140">
        <v>19.399999999999999</v>
      </c>
      <c r="BW384" s="140">
        <v>15.7</v>
      </c>
      <c r="BY384" s="140">
        <v>8</v>
      </c>
      <c r="CJ384" s="140" t="s">
        <v>8140</v>
      </c>
    </row>
    <row r="385" spans="1:91">
      <c r="A385" s="158" t="s">
        <v>7748</v>
      </c>
      <c r="B385" s="112" t="s">
        <v>271</v>
      </c>
      <c r="C385" s="112">
        <v>2</v>
      </c>
      <c r="D385">
        <v>133</v>
      </c>
      <c r="E385" s="113">
        <v>36</v>
      </c>
      <c r="F385" s="113">
        <v>12</v>
      </c>
      <c r="I385" s="112">
        <v>41</v>
      </c>
      <c r="J385" s="183">
        <v>41705</v>
      </c>
      <c r="M385" s="184">
        <v>3.28</v>
      </c>
      <c r="N385" s="157">
        <v>41853</v>
      </c>
      <c r="S385" s="139">
        <v>10.52</v>
      </c>
      <c r="T385" s="157">
        <v>41853</v>
      </c>
      <c r="U385" s="139">
        <v>15.3</v>
      </c>
      <c r="Y385" s="139">
        <f t="shared" si="5"/>
        <v>4.8391000000000002</v>
      </c>
      <c r="AA385" s="139">
        <v>48.22</v>
      </c>
      <c r="AE385" s="139">
        <v>21.7</v>
      </c>
      <c r="AG385" s="185">
        <v>4.5</v>
      </c>
      <c r="AI385" s="185">
        <v>115</v>
      </c>
      <c r="AJ385" s="157">
        <v>41803</v>
      </c>
      <c r="AO385" s="139">
        <v>97</v>
      </c>
      <c r="AP385" s="157">
        <v>41738</v>
      </c>
      <c r="AS385" s="139">
        <v>128</v>
      </c>
      <c r="AT385" s="157">
        <v>41766</v>
      </c>
      <c r="BS385" s="140">
        <v>48.5</v>
      </c>
      <c r="BU385" s="140">
        <v>22.3</v>
      </c>
      <c r="BW385" s="140">
        <v>65</v>
      </c>
      <c r="BY385" s="140">
        <v>7.9</v>
      </c>
      <c r="CJ385" s="140" t="s">
        <v>8132</v>
      </c>
    </row>
    <row r="386" spans="1:91">
      <c r="A386" s="158" t="s">
        <v>7719</v>
      </c>
      <c r="B386" s="112" t="s">
        <v>269</v>
      </c>
      <c r="C386" s="112">
        <v>1</v>
      </c>
      <c r="D386">
        <v>104</v>
      </c>
      <c r="E386" s="113">
        <v>37</v>
      </c>
      <c r="F386" s="113">
        <v>1</v>
      </c>
      <c r="I386" s="112">
        <v>23</v>
      </c>
      <c r="J386" s="183">
        <v>41705</v>
      </c>
      <c r="M386" s="184">
        <v>1.8</v>
      </c>
      <c r="N386" s="157">
        <v>41853</v>
      </c>
      <c r="S386" s="139">
        <v>6.09</v>
      </c>
      <c r="T386" s="157">
        <v>41853</v>
      </c>
      <c r="U386" s="139">
        <v>15.3</v>
      </c>
      <c r="Y386" s="139">
        <f t="shared" ref="Y386:Y449" si="6">(AE386*BU386)/100</f>
        <v>2.4374500000000001</v>
      </c>
      <c r="AA386" s="139">
        <v>29</v>
      </c>
      <c r="AE386" s="139">
        <v>11.89</v>
      </c>
      <c r="AG386" s="185">
        <v>4.0999999999999996</v>
      </c>
      <c r="AI386" s="185">
        <v>125</v>
      </c>
      <c r="AJ386" s="157">
        <v>41803</v>
      </c>
      <c r="AO386" s="139">
        <v>90</v>
      </c>
      <c r="AP386" s="157">
        <v>41738</v>
      </c>
      <c r="AS386" s="139">
        <v>128</v>
      </c>
      <c r="AT386" s="157">
        <v>41766</v>
      </c>
      <c r="BS386" s="140">
        <v>51.2</v>
      </c>
      <c r="BU386" s="140">
        <v>20.5</v>
      </c>
      <c r="BW386" s="140">
        <v>12.9</v>
      </c>
      <c r="BY386" s="140">
        <v>8</v>
      </c>
      <c r="CJ386" s="140" t="s">
        <v>8140</v>
      </c>
    </row>
    <row r="387" spans="1:91">
      <c r="A387" s="188" t="s">
        <v>7754</v>
      </c>
      <c r="B387" s="189" t="s">
        <v>269</v>
      </c>
      <c r="C387" s="189">
        <v>1</v>
      </c>
      <c r="D387" s="190">
        <v>139</v>
      </c>
      <c r="E387" s="191">
        <v>37</v>
      </c>
      <c r="F387" s="191">
        <v>2</v>
      </c>
      <c r="G387" s="191"/>
      <c r="H387" s="191"/>
      <c r="I387" s="189">
        <v>29</v>
      </c>
      <c r="J387" s="193">
        <v>41705</v>
      </c>
      <c r="K387" s="194"/>
      <c r="L387" s="195"/>
      <c r="M387" s="196">
        <v>1.1399999999999999</v>
      </c>
      <c r="N387" s="195">
        <v>41853</v>
      </c>
      <c r="O387" s="194"/>
      <c r="P387" s="195"/>
      <c r="Q387" s="194"/>
      <c r="R387" s="195"/>
      <c r="S387" s="194">
        <v>3.59</v>
      </c>
      <c r="T387" s="195">
        <v>41853</v>
      </c>
      <c r="U387" s="194">
        <v>15.3</v>
      </c>
      <c r="V387" s="195"/>
      <c r="W387" s="194"/>
      <c r="X387" s="195"/>
      <c r="Y387" s="139">
        <f t="shared" si="6"/>
        <v>1.7996699999999999</v>
      </c>
      <c r="Z387" s="195"/>
      <c r="AA387" s="194">
        <v>16.73</v>
      </c>
      <c r="AB387" s="195"/>
      <c r="AC387" s="194"/>
      <c r="AD387" s="195"/>
      <c r="AE387" s="194">
        <v>7.53</v>
      </c>
      <c r="AF387" s="195"/>
      <c r="AG387" s="197">
        <v>4.5</v>
      </c>
      <c r="AH387" s="195"/>
      <c r="AI387" s="197">
        <v>120</v>
      </c>
      <c r="AJ387" s="195">
        <v>41803</v>
      </c>
      <c r="AK387" s="194"/>
      <c r="AL387" s="195"/>
      <c r="AM387" s="194"/>
      <c r="AN387" s="195"/>
      <c r="AO387" s="194">
        <v>97</v>
      </c>
      <c r="AP387" s="195">
        <v>41738</v>
      </c>
      <c r="AQ387" s="194"/>
      <c r="AR387" s="194"/>
      <c r="AS387" s="194">
        <v>128</v>
      </c>
      <c r="AT387" s="195">
        <v>41766</v>
      </c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8"/>
      <c r="BF387" s="198"/>
      <c r="BG387" s="198"/>
      <c r="BH387" s="198"/>
      <c r="BI387" s="198"/>
      <c r="BJ387" s="198"/>
      <c r="BK387" s="198"/>
      <c r="BL387" s="198"/>
      <c r="BM387" s="198"/>
      <c r="BN387" s="198"/>
      <c r="BO387" s="198"/>
      <c r="BP387" s="198"/>
      <c r="BQ387" s="198"/>
      <c r="BR387" s="198"/>
      <c r="BS387" s="198">
        <v>47.7</v>
      </c>
      <c r="BT387" s="198"/>
      <c r="BU387" s="198">
        <v>23.9</v>
      </c>
      <c r="BV387" s="198"/>
      <c r="BW387" s="198">
        <v>93</v>
      </c>
      <c r="BX387" s="198"/>
      <c r="BY387" s="198">
        <v>8</v>
      </c>
      <c r="BZ387" s="198"/>
      <c r="CA387" s="198"/>
      <c r="CB387" s="198"/>
      <c r="CC387" s="198"/>
      <c r="CD387" s="198"/>
      <c r="CE387" s="198"/>
      <c r="CF387" s="198"/>
      <c r="CG387" s="198"/>
      <c r="CH387" s="198"/>
      <c r="CI387" s="198"/>
      <c r="CJ387" s="198" t="s">
        <v>8132</v>
      </c>
      <c r="CK387" s="198"/>
      <c r="CL387" s="198"/>
      <c r="CM387" s="198"/>
    </row>
    <row r="388" spans="1:91">
      <c r="A388" s="158" t="s">
        <v>7807</v>
      </c>
      <c r="B388" s="112" t="s">
        <v>269</v>
      </c>
      <c r="C388" s="112">
        <v>1</v>
      </c>
      <c r="D388">
        <v>192</v>
      </c>
      <c r="E388" s="113">
        <v>37</v>
      </c>
      <c r="F388" s="113">
        <v>3</v>
      </c>
      <c r="I388" s="112">
        <v>33</v>
      </c>
      <c r="J388" s="183">
        <v>41705</v>
      </c>
      <c r="M388" s="184">
        <v>2.16</v>
      </c>
      <c r="N388" s="157">
        <v>41853</v>
      </c>
      <c r="S388" s="139">
        <v>7.38</v>
      </c>
      <c r="T388" s="157">
        <v>41853</v>
      </c>
      <c r="U388" s="139">
        <v>15.3</v>
      </c>
      <c r="Y388" s="139">
        <f t="shared" si="6"/>
        <v>2.59714</v>
      </c>
      <c r="AA388" s="139">
        <v>31.02</v>
      </c>
      <c r="AE388" s="139">
        <v>14.27</v>
      </c>
      <c r="AG388" s="185">
        <v>4.5999999999999996</v>
      </c>
      <c r="AI388" s="185">
        <v>115</v>
      </c>
      <c r="AJ388" s="157">
        <v>41803</v>
      </c>
      <c r="AO388" s="139">
        <v>94</v>
      </c>
      <c r="AP388" s="157">
        <v>41738</v>
      </c>
      <c r="AS388" s="139">
        <v>126</v>
      </c>
      <c r="AT388" s="157">
        <v>41766</v>
      </c>
      <c r="BS388" s="140">
        <v>51.7</v>
      </c>
      <c r="BU388" s="140">
        <v>18.2</v>
      </c>
      <c r="BW388" s="140">
        <v>11.6</v>
      </c>
      <c r="BY388" s="140">
        <v>8</v>
      </c>
      <c r="CJ388" s="140" t="s">
        <v>8140</v>
      </c>
    </row>
    <row r="389" spans="1:91">
      <c r="A389" s="158" t="s">
        <v>7684</v>
      </c>
      <c r="B389" s="112" t="s">
        <v>269</v>
      </c>
      <c r="C389" s="112">
        <v>1</v>
      </c>
      <c r="D389">
        <v>69</v>
      </c>
      <c r="E389" s="113">
        <v>37</v>
      </c>
      <c r="F389" s="113">
        <v>4</v>
      </c>
      <c r="I389" s="112">
        <v>21</v>
      </c>
      <c r="J389" s="183">
        <v>41705</v>
      </c>
      <c r="M389" s="184">
        <v>1.26</v>
      </c>
      <c r="N389" s="157">
        <v>41853</v>
      </c>
      <c r="S389" s="139">
        <v>4.29</v>
      </c>
      <c r="T389" s="157">
        <v>41853</v>
      </c>
      <c r="U389" s="139">
        <v>15.3</v>
      </c>
      <c r="Y389" s="139">
        <f t="shared" si="6"/>
        <v>1.62435</v>
      </c>
      <c r="AA389" s="139">
        <v>16.66</v>
      </c>
      <c r="AE389" s="139">
        <v>8.33</v>
      </c>
      <c r="AG389" s="185">
        <v>5</v>
      </c>
      <c r="AI389" s="185">
        <v>115</v>
      </c>
      <c r="AJ389" s="157">
        <v>41803</v>
      </c>
      <c r="AO389" s="139">
        <v>96</v>
      </c>
      <c r="AP389" s="157">
        <v>41738</v>
      </c>
      <c r="AS389" s="139">
        <v>126</v>
      </c>
      <c r="AT389" s="157">
        <v>41766</v>
      </c>
      <c r="BS389" s="140">
        <v>51.5</v>
      </c>
      <c r="BU389" s="140">
        <v>19.5</v>
      </c>
      <c r="BW389" s="140">
        <v>19.8</v>
      </c>
      <c r="BY389" s="140">
        <v>8</v>
      </c>
      <c r="CJ389" s="140" t="s">
        <v>8131</v>
      </c>
    </row>
    <row r="390" spans="1:91">
      <c r="A390" s="158" t="s">
        <v>7672</v>
      </c>
      <c r="B390" s="112" t="s">
        <v>269</v>
      </c>
      <c r="C390" s="112">
        <v>1</v>
      </c>
      <c r="D390">
        <v>57</v>
      </c>
      <c r="E390" s="113">
        <v>37</v>
      </c>
      <c r="F390" s="113">
        <v>5</v>
      </c>
      <c r="I390" s="112">
        <v>24</v>
      </c>
      <c r="J390" s="183">
        <v>41705</v>
      </c>
      <c r="M390" s="184">
        <v>2.06</v>
      </c>
      <c r="N390" s="157">
        <v>41853</v>
      </c>
      <c r="S390" s="139">
        <v>6.97</v>
      </c>
      <c r="T390" s="157">
        <v>41853</v>
      </c>
      <c r="U390" s="139">
        <v>15.3</v>
      </c>
      <c r="Y390" s="139">
        <f t="shared" si="6"/>
        <v>2.5722899999999997</v>
      </c>
      <c r="AA390" s="139">
        <v>29.59</v>
      </c>
      <c r="AE390" s="139">
        <v>13.61</v>
      </c>
      <c r="AG390" s="185">
        <v>4.5999999999999996</v>
      </c>
      <c r="AI390" s="185">
        <v>120</v>
      </c>
      <c r="AJ390" s="157">
        <v>41803</v>
      </c>
      <c r="AO390" s="139">
        <v>94</v>
      </c>
      <c r="AP390" s="157">
        <v>41738</v>
      </c>
      <c r="AS390" s="139">
        <v>127</v>
      </c>
      <c r="AT390" s="157">
        <v>41766</v>
      </c>
      <c r="BS390" s="140">
        <v>51.2</v>
      </c>
      <c r="BU390" s="140">
        <v>18.899999999999999</v>
      </c>
      <c r="BW390" s="140">
        <v>12.7</v>
      </c>
      <c r="BY390" s="140">
        <v>8</v>
      </c>
      <c r="CJ390" s="140" t="s">
        <v>8140</v>
      </c>
    </row>
    <row r="391" spans="1:91">
      <c r="A391" s="188" t="s">
        <v>7743</v>
      </c>
      <c r="B391" s="189" t="s">
        <v>269</v>
      </c>
      <c r="C391" s="189">
        <v>1</v>
      </c>
      <c r="D391" s="190">
        <v>128</v>
      </c>
      <c r="E391" s="191">
        <v>37</v>
      </c>
      <c r="F391" s="191">
        <v>6</v>
      </c>
      <c r="G391" s="191"/>
      <c r="H391" s="191"/>
      <c r="I391" s="189">
        <v>35</v>
      </c>
      <c r="J391" s="193">
        <v>41705</v>
      </c>
      <c r="K391" s="194"/>
      <c r="L391" s="195"/>
      <c r="M391" s="196">
        <v>1.46</v>
      </c>
      <c r="N391" s="195">
        <v>41853</v>
      </c>
      <c r="O391" s="194"/>
      <c r="P391" s="195"/>
      <c r="Q391" s="194"/>
      <c r="R391" s="195"/>
      <c r="S391" s="194">
        <v>4.74</v>
      </c>
      <c r="T391" s="195">
        <v>41853</v>
      </c>
      <c r="U391" s="194">
        <v>15.3</v>
      </c>
      <c r="V391" s="195"/>
      <c r="W391" s="194"/>
      <c r="X391" s="195"/>
      <c r="Y391" s="139">
        <f t="shared" si="6"/>
        <v>2.0747499999999999</v>
      </c>
      <c r="Z391" s="195"/>
      <c r="AA391" s="194">
        <v>23.54</v>
      </c>
      <c r="AB391" s="195"/>
      <c r="AC391" s="194"/>
      <c r="AD391" s="195"/>
      <c r="AE391" s="194">
        <v>9.65</v>
      </c>
      <c r="AF391" s="195"/>
      <c r="AG391" s="197">
        <v>4.0999999999999996</v>
      </c>
      <c r="AH391" s="195"/>
      <c r="AI391" s="197">
        <v>105</v>
      </c>
      <c r="AJ391" s="195">
        <v>41803</v>
      </c>
      <c r="AK391" s="194"/>
      <c r="AL391" s="195"/>
      <c r="AM391" s="194"/>
      <c r="AN391" s="195"/>
      <c r="AO391" s="194">
        <v>86</v>
      </c>
      <c r="AP391" s="195">
        <v>41738</v>
      </c>
      <c r="AQ391" s="194"/>
      <c r="AR391" s="194"/>
      <c r="AS391" s="194">
        <v>125</v>
      </c>
      <c r="AT391" s="195">
        <v>41766</v>
      </c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8"/>
      <c r="BF391" s="198"/>
      <c r="BG391" s="198"/>
      <c r="BH391" s="198"/>
      <c r="BI391" s="198"/>
      <c r="BJ391" s="198"/>
      <c r="BK391" s="198"/>
      <c r="BL391" s="198"/>
      <c r="BM391" s="198"/>
      <c r="BN391" s="198"/>
      <c r="BO391" s="198"/>
      <c r="BP391" s="198"/>
      <c r="BQ391" s="198"/>
      <c r="BR391" s="198"/>
      <c r="BS391" s="198">
        <v>49.1</v>
      </c>
      <c r="BT391" s="198"/>
      <c r="BU391" s="198">
        <v>21.5</v>
      </c>
      <c r="BV391" s="198"/>
      <c r="BW391" s="198">
        <v>61.8</v>
      </c>
      <c r="BX391" s="198"/>
      <c r="BY391" s="198">
        <v>8</v>
      </c>
      <c r="BZ391" s="198"/>
      <c r="CA391" s="198"/>
      <c r="CB391" s="198"/>
      <c r="CC391" s="198"/>
      <c r="CD391" s="198"/>
      <c r="CE391" s="198"/>
      <c r="CF391" s="198"/>
      <c r="CG391" s="198"/>
      <c r="CH391" s="198"/>
      <c r="CI391" s="198"/>
      <c r="CJ391" s="198" t="s">
        <v>8140</v>
      </c>
      <c r="CK391" s="198"/>
      <c r="CL391" s="198"/>
      <c r="CM391" s="198"/>
    </row>
    <row r="392" spans="1:91">
      <c r="A392" s="158" t="s">
        <v>7818</v>
      </c>
      <c r="B392" s="112" t="s">
        <v>271</v>
      </c>
      <c r="C392" s="112">
        <v>2</v>
      </c>
      <c r="D392">
        <v>203</v>
      </c>
      <c r="E392" s="113">
        <v>37</v>
      </c>
      <c r="F392" s="113">
        <v>7</v>
      </c>
      <c r="I392" s="112">
        <v>19</v>
      </c>
      <c r="J392" s="183">
        <v>41705</v>
      </c>
      <c r="M392" s="184">
        <v>4.57</v>
      </c>
      <c r="N392" s="157">
        <v>41853</v>
      </c>
      <c r="S392" s="139">
        <v>15.78</v>
      </c>
      <c r="T392" s="157">
        <v>41853</v>
      </c>
      <c r="U392" s="139">
        <v>15.3</v>
      </c>
      <c r="Y392" s="139">
        <f t="shared" si="6"/>
        <v>5.6530099999999992</v>
      </c>
      <c r="AA392" s="139">
        <v>58.13</v>
      </c>
      <c r="AE392" s="139">
        <v>30.23</v>
      </c>
      <c r="AG392" s="185">
        <v>5.2</v>
      </c>
      <c r="AI392" s="185">
        <v>115</v>
      </c>
      <c r="AJ392" s="157">
        <v>41803</v>
      </c>
      <c r="AO392" s="139">
        <v>93</v>
      </c>
      <c r="AP392" s="157">
        <v>41738</v>
      </c>
      <c r="AS392" s="139">
        <v>126</v>
      </c>
      <c r="AT392" s="157">
        <v>41766</v>
      </c>
      <c r="BS392" s="140">
        <v>52.2</v>
      </c>
      <c r="BU392" s="140">
        <v>18.7</v>
      </c>
      <c r="BW392" s="140">
        <v>19.3</v>
      </c>
      <c r="BY392" s="140">
        <v>7.9</v>
      </c>
      <c r="CJ392" s="140" t="s">
        <v>8140</v>
      </c>
    </row>
    <row r="393" spans="1:91">
      <c r="A393" s="158" t="s">
        <v>7812</v>
      </c>
      <c r="B393" s="112" t="s">
        <v>271</v>
      </c>
      <c r="C393" s="112">
        <v>2</v>
      </c>
      <c r="D393">
        <v>197</v>
      </c>
      <c r="E393" s="113">
        <v>37</v>
      </c>
      <c r="F393" s="113">
        <v>8</v>
      </c>
      <c r="I393" s="112">
        <v>29</v>
      </c>
      <c r="J393" s="183">
        <v>41705</v>
      </c>
      <c r="M393" s="184">
        <v>4.01</v>
      </c>
      <c r="N393" s="157">
        <v>41853</v>
      </c>
      <c r="S393" s="139">
        <v>13.62</v>
      </c>
      <c r="T393" s="157">
        <v>41853</v>
      </c>
      <c r="U393" s="139">
        <v>15.3</v>
      </c>
      <c r="Y393" s="139">
        <f t="shared" si="6"/>
        <v>5.1506999999999996</v>
      </c>
      <c r="AA393" s="139">
        <v>59</v>
      </c>
      <c r="AE393" s="139">
        <v>26.55</v>
      </c>
      <c r="AG393" s="185">
        <v>4.5</v>
      </c>
      <c r="AI393" s="185">
        <v>110</v>
      </c>
      <c r="AJ393" s="157">
        <v>41803</v>
      </c>
      <c r="AO393" s="139">
        <v>93</v>
      </c>
      <c r="AP393" s="157">
        <v>41738</v>
      </c>
      <c r="AS393" s="139">
        <v>128</v>
      </c>
      <c r="AT393" s="157">
        <v>41766</v>
      </c>
      <c r="BS393" s="140">
        <v>51.3</v>
      </c>
      <c r="BU393" s="140">
        <v>19.399999999999999</v>
      </c>
      <c r="BW393" s="140">
        <v>10.6</v>
      </c>
      <c r="BY393" s="140">
        <v>7.8</v>
      </c>
      <c r="CJ393" s="140" t="s">
        <v>8140</v>
      </c>
    </row>
    <row r="394" spans="1:91">
      <c r="A394" s="158" t="s">
        <v>7687</v>
      </c>
      <c r="B394" s="112" t="s">
        <v>271</v>
      </c>
      <c r="C394" s="112">
        <v>2</v>
      </c>
      <c r="D394">
        <v>72</v>
      </c>
      <c r="E394" s="113">
        <v>37</v>
      </c>
      <c r="F394" s="113">
        <v>9</v>
      </c>
      <c r="I394" s="112">
        <v>26</v>
      </c>
      <c r="J394" s="183">
        <v>41705</v>
      </c>
      <c r="M394" s="184">
        <v>4.0199999999999996</v>
      </c>
      <c r="N394" s="157">
        <v>41853</v>
      </c>
      <c r="S394" s="139">
        <v>13.4</v>
      </c>
      <c r="T394" s="157">
        <v>41853</v>
      </c>
      <c r="U394" s="139">
        <v>15.3</v>
      </c>
      <c r="Y394" s="139">
        <f t="shared" si="6"/>
        <v>5.4509500000000006</v>
      </c>
      <c r="AA394" s="139">
        <v>61.84</v>
      </c>
      <c r="AE394" s="139">
        <v>26.59</v>
      </c>
      <c r="AG394" s="185">
        <v>4.3</v>
      </c>
      <c r="AI394" s="185">
        <v>115</v>
      </c>
      <c r="AJ394" s="157">
        <v>41803</v>
      </c>
      <c r="AO394" s="139">
        <v>96</v>
      </c>
      <c r="AP394" s="157">
        <v>41738</v>
      </c>
      <c r="AS394" s="139">
        <v>128</v>
      </c>
      <c r="AT394" s="157">
        <v>41766</v>
      </c>
      <c r="BS394" s="140">
        <v>50.4</v>
      </c>
      <c r="BU394" s="140">
        <v>20.5</v>
      </c>
      <c r="BW394" s="140">
        <v>16.3</v>
      </c>
      <c r="BY394" s="140">
        <v>7.9</v>
      </c>
      <c r="CJ394" s="140" t="s">
        <v>8131</v>
      </c>
    </row>
    <row r="395" spans="1:91">
      <c r="A395" s="158" t="s">
        <v>7690</v>
      </c>
      <c r="B395" s="112" t="s">
        <v>271</v>
      </c>
      <c r="C395" s="112">
        <v>2</v>
      </c>
      <c r="D395">
        <v>75</v>
      </c>
      <c r="E395" s="113">
        <v>37</v>
      </c>
      <c r="F395" s="113">
        <v>10</v>
      </c>
      <c r="I395" s="112">
        <v>27</v>
      </c>
      <c r="J395" s="183">
        <v>41705</v>
      </c>
      <c r="M395" s="184">
        <v>3.72</v>
      </c>
      <c r="N395" s="157">
        <v>41853</v>
      </c>
      <c r="S395" s="139">
        <v>12.23</v>
      </c>
      <c r="T395" s="157">
        <v>41853</v>
      </c>
      <c r="U395" s="139">
        <v>15.3</v>
      </c>
      <c r="Y395" s="139">
        <f t="shared" si="6"/>
        <v>5.2429999999999994</v>
      </c>
      <c r="AA395" s="139">
        <v>51.04</v>
      </c>
      <c r="AE395" s="139">
        <v>24.5</v>
      </c>
      <c r="AG395" s="185">
        <v>4.8</v>
      </c>
      <c r="AI395" s="185">
        <v>120</v>
      </c>
      <c r="AJ395" s="157">
        <v>41803</v>
      </c>
      <c r="AO395" s="139">
        <v>92</v>
      </c>
      <c r="AP395" s="157">
        <v>41738</v>
      </c>
      <c r="AS395" s="139">
        <v>128</v>
      </c>
      <c r="AT395" s="157">
        <v>41766</v>
      </c>
      <c r="BS395" s="140">
        <v>49.9</v>
      </c>
      <c r="BU395" s="140">
        <v>21.4</v>
      </c>
      <c r="BW395" s="140">
        <v>20.399999999999999</v>
      </c>
      <c r="BY395" s="140">
        <v>8.3000000000000007</v>
      </c>
      <c r="CJ395" s="140" t="s">
        <v>8140</v>
      </c>
    </row>
    <row r="396" spans="1:91">
      <c r="A396" s="158" t="s">
        <v>7811</v>
      </c>
      <c r="B396" s="112" t="s">
        <v>271</v>
      </c>
      <c r="C396" s="112">
        <v>2</v>
      </c>
      <c r="D396">
        <v>196</v>
      </c>
      <c r="E396" s="113">
        <v>37</v>
      </c>
      <c r="F396" s="113">
        <v>11</v>
      </c>
      <c r="I396" s="112">
        <v>43</v>
      </c>
      <c r="J396" s="183">
        <v>41705</v>
      </c>
      <c r="M396" s="184">
        <v>4.12</v>
      </c>
      <c r="N396" s="157">
        <v>41853</v>
      </c>
      <c r="S396" s="139">
        <v>13.68</v>
      </c>
      <c r="T396" s="157">
        <v>41853</v>
      </c>
      <c r="U396" s="139">
        <v>15.3</v>
      </c>
      <c r="Y396" s="139">
        <f t="shared" si="6"/>
        <v>5.4227499999999997</v>
      </c>
      <c r="AA396" s="139">
        <v>53.43</v>
      </c>
      <c r="AE396" s="139">
        <v>27.25</v>
      </c>
      <c r="AG396" s="185">
        <v>5.0999999999999996</v>
      </c>
      <c r="AI396" s="185">
        <v>110</v>
      </c>
      <c r="AJ396" s="157">
        <v>41803</v>
      </c>
      <c r="AO396" s="139">
        <v>87</v>
      </c>
      <c r="AP396" s="157">
        <v>41738</v>
      </c>
      <c r="AS396" s="139">
        <v>127</v>
      </c>
      <c r="AT396" s="157">
        <v>41766</v>
      </c>
      <c r="BS396" s="140">
        <v>50.2</v>
      </c>
      <c r="BU396" s="140">
        <v>19.899999999999999</v>
      </c>
      <c r="BW396" s="140">
        <v>10.4</v>
      </c>
      <c r="BY396" s="140">
        <v>7.9</v>
      </c>
      <c r="CJ396" s="140" t="s">
        <v>8140</v>
      </c>
    </row>
    <row r="397" spans="1:91">
      <c r="A397" s="158" t="s">
        <v>7766</v>
      </c>
      <c r="B397" s="112" t="s">
        <v>271</v>
      </c>
      <c r="C397" s="112">
        <v>2</v>
      </c>
      <c r="D397">
        <v>151</v>
      </c>
      <c r="E397" s="113">
        <v>37</v>
      </c>
      <c r="F397" s="113">
        <v>12</v>
      </c>
      <c r="I397" s="112">
        <v>44</v>
      </c>
      <c r="J397" s="183">
        <v>41705</v>
      </c>
      <c r="M397" s="184">
        <v>4.34</v>
      </c>
      <c r="N397" s="157">
        <v>41853</v>
      </c>
      <c r="S397" s="139">
        <v>14.4</v>
      </c>
      <c r="T397" s="157">
        <v>41853</v>
      </c>
      <c r="U397" s="139">
        <v>15.3</v>
      </c>
      <c r="Y397" s="139">
        <f t="shared" si="6"/>
        <v>5.9941199999999988</v>
      </c>
      <c r="AA397" s="139">
        <v>61.02</v>
      </c>
      <c r="AE397" s="139">
        <v>28.68</v>
      </c>
      <c r="AG397" s="185">
        <v>4.7</v>
      </c>
      <c r="AI397" s="185">
        <v>120</v>
      </c>
      <c r="AJ397" s="157">
        <v>41803</v>
      </c>
      <c r="AO397" s="139">
        <v>93</v>
      </c>
      <c r="AP397" s="157">
        <v>41738</v>
      </c>
      <c r="AS397" s="139">
        <v>128</v>
      </c>
      <c r="AT397" s="157">
        <v>41766</v>
      </c>
      <c r="BS397" s="140">
        <v>50.2</v>
      </c>
      <c r="BU397" s="140">
        <v>20.9</v>
      </c>
      <c r="BW397" s="140">
        <v>13.1</v>
      </c>
      <c r="BY397" s="140">
        <v>8</v>
      </c>
      <c r="CJ397" s="140" t="s">
        <v>8140</v>
      </c>
    </row>
    <row r="398" spans="1:91">
      <c r="A398" s="158" t="s">
        <v>7651</v>
      </c>
      <c r="B398" s="112" t="s">
        <v>269</v>
      </c>
      <c r="C398" s="112">
        <v>1</v>
      </c>
      <c r="D398">
        <v>36</v>
      </c>
      <c r="E398" s="113">
        <v>38</v>
      </c>
      <c r="F398" s="113">
        <v>1</v>
      </c>
      <c r="I398" s="112">
        <v>14</v>
      </c>
      <c r="J398" s="183">
        <v>41705</v>
      </c>
      <c r="M398" s="184">
        <v>1.45</v>
      </c>
      <c r="N398" s="157">
        <v>41853</v>
      </c>
      <c r="S398" s="139">
        <v>4.8099999999999996</v>
      </c>
      <c r="T398" s="157">
        <v>41853</v>
      </c>
      <c r="U398" s="139">
        <v>15.3</v>
      </c>
      <c r="Y398" s="139">
        <f t="shared" si="6"/>
        <v>1.9255800000000003</v>
      </c>
      <c r="AA398" s="139">
        <v>23.95</v>
      </c>
      <c r="AE398" s="139">
        <v>9.58</v>
      </c>
      <c r="AG398" s="185">
        <v>4</v>
      </c>
      <c r="AI398" s="185">
        <v>135</v>
      </c>
      <c r="AJ398" s="157">
        <v>41803</v>
      </c>
      <c r="AO398" s="139">
        <v>90</v>
      </c>
      <c r="AP398" s="157">
        <v>41738</v>
      </c>
      <c r="AS398" s="139">
        <v>128</v>
      </c>
      <c r="AT398" s="157">
        <v>41766</v>
      </c>
      <c r="BS398" s="140">
        <v>50.2</v>
      </c>
      <c r="BU398" s="140">
        <v>20.100000000000001</v>
      </c>
      <c r="BW398" s="140">
        <v>49.9</v>
      </c>
      <c r="BY398" s="140">
        <v>8</v>
      </c>
      <c r="CJ398" s="140" t="s">
        <v>8140</v>
      </c>
    </row>
    <row r="399" spans="1:91">
      <c r="A399" s="158" t="s">
        <v>7703</v>
      </c>
      <c r="B399" s="112" t="s">
        <v>269</v>
      </c>
      <c r="C399" s="112">
        <v>1</v>
      </c>
      <c r="D399">
        <v>88</v>
      </c>
      <c r="E399" s="113">
        <v>38</v>
      </c>
      <c r="F399" s="113">
        <v>2</v>
      </c>
      <c r="I399" s="112">
        <v>46</v>
      </c>
      <c r="J399" s="183">
        <v>41705</v>
      </c>
      <c r="M399" s="184">
        <v>1.85</v>
      </c>
      <c r="N399" s="157">
        <v>41853</v>
      </c>
      <c r="S399" s="139">
        <v>6.4</v>
      </c>
      <c r="T399" s="157">
        <v>41853</v>
      </c>
      <c r="U399" s="139">
        <v>15.3</v>
      </c>
      <c r="Y399" s="139">
        <f t="shared" si="6"/>
        <v>2.3462399999999999</v>
      </c>
      <c r="AA399" s="139">
        <v>31.33</v>
      </c>
      <c r="AE399" s="139">
        <v>12.22</v>
      </c>
      <c r="AG399" s="185">
        <v>3.9</v>
      </c>
      <c r="AI399" s="185">
        <v>135</v>
      </c>
      <c r="AJ399" s="157">
        <v>41803</v>
      </c>
      <c r="AO399" s="139">
        <v>98</v>
      </c>
      <c r="AP399" s="157">
        <v>41738</v>
      </c>
      <c r="AS399" s="139">
        <v>128</v>
      </c>
      <c r="AT399" s="157">
        <v>41766</v>
      </c>
      <c r="BS399" s="140">
        <v>52.4</v>
      </c>
      <c r="BU399" s="140">
        <v>19.2</v>
      </c>
      <c r="BW399" s="140">
        <v>17.8</v>
      </c>
      <c r="BY399" s="140">
        <v>8</v>
      </c>
      <c r="CJ399" s="140" t="s">
        <v>8131</v>
      </c>
    </row>
    <row r="400" spans="1:91">
      <c r="A400" s="158" t="s">
        <v>7902</v>
      </c>
      <c r="B400" s="112" t="s">
        <v>269</v>
      </c>
      <c r="C400" s="112">
        <v>1</v>
      </c>
      <c r="D400">
        <v>209</v>
      </c>
      <c r="E400" s="113">
        <v>38</v>
      </c>
      <c r="F400" s="113">
        <v>3</v>
      </c>
      <c r="I400" s="112">
        <v>35</v>
      </c>
      <c r="J400" s="183">
        <v>41705</v>
      </c>
      <c r="M400" s="184">
        <v>2.13</v>
      </c>
      <c r="N400" s="157">
        <v>41853</v>
      </c>
      <c r="S400" s="139">
        <v>7.3</v>
      </c>
      <c r="T400" s="157">
        <v>41853</v>
      </c>
      <c r="U400" s="139">
        <v>15.3</v>
      </c>
      <c r="Y400" s="139">
        <f t="shared" si="6"/>
        <v>2.6451600000000002</v>
      </c>
      <c r="AA400" s="139">
        <v>30.59</v>
      </c>
      <c r="AE400" s="139">
        <v>14.07</v>
      </c>
      <c r="AG400" s="185">
        <v>4.5999999999999996</v>
      </c>
      <c r="AI400" s="185">
        <v>125</v>
      </c>
      <c r="AJ400" s="157">
        <v>41803</v>
      </c>
      <c r="AO400" s="139">
        <v>87</v>
      </c>
      <c r="AP400" s="157">
        <v>41738</v>
      </c>
      <c r="AS400" s="139">
        <v>124</v>
      </c>
      <c r="AT400" s="157">
        <v>41766</v>
      </c>
      <c r="BS400" s="140">
        <v>51.9</v>
      </c>
      <c r="BU400" s="140">
        <v>18.8</v>
      </c>
      <c r="BW400" s="140">
        <v>20.2</v>
      </c>
      <c r="BY400" s="140">
        <v>8</v>
      </c>
      <c r="CJ400" s="140" t="s">
        <v>8140</v>
      </c>
    </row>
    <row r="401" spans="1:88">
      <c r="A401" s="158" t="s">
        <v>7773</v>
      </c>
      <c r="B401" s="112" t="s">
        <v>269</v>
      </c>
      <c r="C401" s="112">
        <v>1</v>
      </c>
      <c r="D401">
        <v>158</v>
      </c>
      <c r="E401" s="113">
        <v>38</v>
      </c>
      <c r="F401" s="113">
        <v>4</v>
      </c>
      <c r="I401" s="112">
        <v>31</v>
      </c>
      <c r="J401" s="183">
        <v>41705</v>
      </c>
      <c r="M401" s="184">
        <v>3.07</v>
      </c>
      <c r="N401" s="157">
        <v>41853</v>
      </c>
      <c r="S401" s="139">
        <v>10.66</v>
      </c>
      <c r="T401" s="157">
        <v>41853</v>
      </c>
      <c r="U401" s="139">
        <v>15.3</v>
      </c>
      <c r="Y401" s="139">
        <f t="shared" si="6"/>
        <v>3.6873200000000002</v>
      </c>
      <c r="AA401" s="139">
        <v>46.05</v>
      </c>
      <c r="AE401" s="139">
        <v>20.260000000000002</v>
      </c>
      <c r="AG401" s="185">
        <v>4.4000000000000004</v>
      </c>
      <c r="AI401" s="185">
        <v>120</v>
      </c>
      <c r="AJ401" s="157">
        <v>41803</v>
      </c>
      <c r="AO401" s="139">
        <v>89</v>
      </c>
      <c r="AP401" s="157">
        <v>41738</v>
      </c>
      <c r="AS401" s="139">
        <v>125</v>
      </c>
      <c r="AT401" s="157">
        <v>41766</v>
      </c>
      <c r="BS401" s="140">
        <v>52.6</v>
      </c>
      <c r="BU401" s="140">
        <v>18.2</v>
      </c>
      <c r="BW401" s="140">
        <v>11.1</v>
      </c>
      <c r="BY401" s="140">
        <v>8.1</v>
      </c>
      <c r="CJ401" s="140" t="s">
        <v>8140</v>
      </c>
    </row>
    <row r="402" spans="1:88">
      <c r="A402" s="158" t="s">
        <v>7682</v>
      </c>
      <c r="B402" s="112" t="s">
        <v>269</v>
      </c>
      <c r="C402" s="112">
        <v>1</v>
      </c>
      <c r="D402">
        <v>67</v>
      </c>
      <c r="E402" s="113">
        <v>38</v>
      </c>
      <c r="F402" s="113">
        <v>5</v>
      </c>
      <c r="I402" s="112">
        <v>41</v>
      </c>
      <c r="J402" s="183">
        <v>41705</v>
      </c>
      <c r="M402" s="184">
        <v>2.25</v>
      </c>
      <c r="N402" s="157">
        <v>41853</v>
      </c>
      <c r="S402" s="139">
        <v>7.79</v>
      </c>
      <c r="T402" s="157">
        <v>41853</v>
      </c>
      <c r="U402" s="139">
        <v>15.3</v>
      </c>
      <c r="Y402" s="139">
        <f t="shared" si="6"/>
        <v>2.7212099999999997</v>
      </c>
      <c r="AA402" s="139">
        <v>32.33</v>
      </c>
      <c r="AE402" s="139">
        <v>14.87</v>
      </c>
      <c r="AG402" s="185">
        <v>4.5999999999999996</v>
      </c>
      <c r="AI402" s="185">
        <v>120</v>
      </c>
      <c r="AJ402" s="157">
        <v>41803</v>
      </c>
      <c r="AO402" s="139">
        <v>96</v>
      </c>
      <c r="AP402" s="157">
        <v>41738</v>
      </c>
      <c r="AS402" s="139">
        <v>128</v>
      </c>
      <c r="AT402" s="157">
        <v>41766</v>
      </c>
      <c r="BS402" s="140">
        <v>52.4</v>
      </c>
      <c r="BU402" s="140">
        <v>18.3</v>
      </c>
      <c r="BW402" s="140">
        <v>8.6999999999999993</v>
      </c>
      <c r="BY402" s="140">
        <v>8</v>
      </c>
      <c r="CJ402" s="140" t="s">
        <v>8131</v>
      </c>
    </row>
    <row r="403" spans="1:88">
      <c r="A403" s="158" t="s">
        <v>7810</v>
      </c>
      <c r="B403" s="112" t="s">
        <v>269</v>
      </c>
      <c r="C403" s="112">
        <v>1</v>
      </c>
      <c r="D403">
        <v>195</v>
      </c>
      <c r="E403" s="113">
        <v>38</v>
      </c>
      <c r="F403" s="113">
        <v>6</v>
      </c>
      <c r="I403" s="112">
        <v>40</v>
      </c>
      <c r="J403" s="183">
        <v>41705</v>
      </c>
      <c r="M403" s="184">
        <v>3.72</v>
      </c>
      <c r="N403" s="157">
        <v>41853</v>
      </c>
      <c r="S403" s="139">
        <v>12.67</v>
      </c>
      <c r="T403" s="157">
        <v>41853</v>
      </c>
      <c r="U403" s="139">
        <v>15.3</v>
      </c>
      <c r="Y403" s="139">
        <f t="shared" si="6"/>
        <v>4.3610000000000007</v>
      </c>
      <c r="AA403" s="139">
        <v>50</v>
      </c>
      <c r="AE403" s="139">
        <v>24.5</v>
      </c>
      <c r="AG403" s="185">
        <v>4.9000000000000004</v>
      </c>
      <c r="AI403" s="185">
        <v>130</v>
      </c>
      <c r="AJ403" s="157">
        <v>41803</v>
      </c>
      <c r="AO403" s="139">
        <v>93</v>
      </c>
      <c r="AP403" s="157">
        <v>41738</v>
      </c>
      <c r="AS403" s="139">
        <v>126</v>
      </c>
      <c r="AT403" s="157">
        <v>41766</v>
      </c>
      <c r="BS403" s="140">
        <v>51.7</v>
      </c>
      <c r="BU403" s="140">
        <v>17.8</v>
      </c>
      <c r="BW403" s="140">
        <v>15.6</v>
      </c>
      <c r="BY403" s="140">
        <v>8.3000000000000007</v>
      </c>
      <c r="CJ403" s="140" t="s">
        <v>8140</v>
      </c>
    </row>
    <row r="404" spans="1:88">
      <c r="A404" s="158" t="s">
        <v>7819</v>
      </c>
      <c r="B404" s="112" t="s">
        <v>271</v>
      </c>
      <c r="C404" s="112">
        <v>2</v>
      </c>
      <c r="D404">
        <v>204</v>
      </c>
      <c r="E404" s="113">
        <v>38</v>
      </c>
      <c r="F404" s="113">
        <v>7</v>
      </c>
      <c r="I404" s="112">
        <v>48</v>
      </c>
      <c r="J404" s="183">
        <v>41705</v>
      </c>
      <c r="M404" s="184">
        <v>4.49</v>
      </c>
      <c r="N404" s="157">
        <v>41853</v>
      </c>
      <c r="S404" s="139">
        <v>14.98</v>
      </c>
      <c r="T404" s="157">
        <v>41853</v>
      </c>
      <c r="U404" s="139">
        <v>15.3</v>
      </c>
      <c r="Y404" s="139">
        <f t="shared" si="6"/>
        <v>5.8746600000000004</v>
      </c>
      <c r="AA404" s="139">
        <v>65.930000000000007</v>
      </c>
      <c r="AE404" s="139">
        <v>29.67</v>
      </c>
      <c r="AG404" s="185">
        <v>4.5</v>
      </c>
      <c r="AI404" s="185">
        <v>115</v>
      </c>
      <c r="AJ404" s="157">
        <v>41803</v>
      </c>
      <c r="AO404" s="139">
        <v>94</v>
      </c>
      <c r="AP404" s="157">
        <v>41738</v>
      </c>
      <c r="AS404" s="139">
        <v>128</v>
      </c>
      <c r="AT404" s="157">
        <v>41766</v>
      </c>
      <c r="BS404" s="140">
        <v>50.5</v>
      </c>
      <c r="BU404" s="140">
        <v>19.8</v>
      </c>
      <c r="BW404" s="140">
        <v>13.2</v>
      </c>
      <c r="BY404" s="140">
        <v>8</v>
      </c>
      <c r="CJ404" s="140" t="s">
        <v>8140</v>
      </c>
    </row>
    <row r="405" spans="1:88">
      <c r="A405" s="158" t="s">
        <v>7749</v>
      </c>
      <c r="B405" s="112" t="s">
        <v>271</v>
      </c>
      <c r="C405" s="112">
        <v>2</v>
      </c>
      <c r="D405">
        <v>134</v>
      </c>
      <c r="E405" s="113">
        <v>38</v>
      </c>
      <c r="F405" s="113">
        <v>8</v>
      </c>
      <c r="I405" s="112">
        <v>39</v>
      </c>
      <c r="J405" s="183">
        <v>41705</v>
      </c>
      <c r="M405" s="184">
        <v>2.2400000000000002</v>
      </c>
      <c r="N405" s="157">
        <v>41853</v>
      </c>
      <c r="S405" s="139">
        <v>7.12</v>
      </c>
      <c r="T405" s="157">
        <v>41853</v>
      </c>
      <c r="U405" s="139">
        <v>15.3</v>
      </c>
      <c r="Y405" s="139">
        <f t="shared" si="6"/>
        <v>3.6260000000000003</v>
      </c>
      <c r="AA405" s="139">
        <v>26.91</v>
      </c>
      <c r="AE405" s="139">
        <v>14.8</v>
      </c>
      <c r="AG405" s="185">
        <v>5.5</v>
      </c>
      <c r="AI405" s="185">
        <v>110</v>
      </c>
      <c r="AJ405" s="157">
        <v>41803</v>
      </c>
      <c r="AO405" s="139">
        <v>100</v>
      </c>
      <c r="AP405" s="157">
        <v>41738</v>
      </c>
      <c r="AS405" s="139">
        <v>128</v>
      </c>
      <c r="AT405" s="157">
        <v>41766</v>
      </c>
      <c r="BS405" s="140">
        <v>48.1</v>
      </c>
      <c r="BU405" s="140">
        <v>24.5</v>
      </c>
      <c r="BW405" s="140">
        <v>69.7</v>
      </c>
      <c r="BY405" s="140">
        <v>8</v>
      </c>
      <c r="CJ405" s="140" t="s">
        <v>8131</v>
      </c>
    </row>
    <row r="406" spans="1:88">
      <c r="A406" s="158" t="s">
        <v>7744</v>
      </c>
      <c r="B406" s="112" t="s">
        <v>271</v>
      </c>
      <c r="C406" s="112">
        <v>2</v>
      </c>
      <c r="D406">
        <v>129</v>
      </c>
      <c r="E406" s="113">
        <v>38</v>
      </c>
      <c r="F406" s="113">
        <v>9</v>
      </c>
      <c r="I406" s="112">
        <v>39</v>
      </c>
      <c r="J406" s="183">
        <v>41705</v>
      </c>
      <c r="M406" s="184">
        <v>4.08</v>
      </c>
      <c r="N406" s="157">
        <v>41853</v>
      </c>
      <c r="S406" s="139">
        <v>14.02</v>
      </c>
      <c r="T406" s="157">
        <v>41853</v>
      </c>
      <c r="U406" s="139">
        <v>15.3</v>
      </c>
      <c r="Y406" s="139">
        <f t="shared" si="6"/>
        <v>4.9875999999999996</v>
      </c>
      <c r="AA406" s="139">
        <v>58.61</v>
      </c>
      <c r="AE406" s="139">
        <v>26.96</v>
      </c>
      <c r="AG406" s="185">
        <v>4.5999999999999996</v>
      </c>
      <c r="AI406" s="185">
        <v>115</v>
      </c>
      <c r="AJ406" s="157">
        <v>41803</v>
      </c>
      <c r="AO406" s="139">
        <v>93</v>
      </c>
      <c r="AP406" s="157">
        <v>41738</v>
      </c>
      <c r="AS406" s="139">
        <v>127</v>
      </c>
      <c r="AT406" s="157">
        <v>41766</v>
      </c>
      <c r="BS406" s="140">
        <v>52</v>
      </c>
      <c r="BU406" s="140">
        <v>18.5</v>
      </c>
      <c r="BW406" s="140">
        <v>14.3</v>
      </c>
      <c r="BY406" s="140">
        <v>8</v>
      </c>
      <c r="CJ406" s="140" t="s">
        <v>8140</v>
      </c>
    </row>
    <row r="407" spans="1:88">
      <c r="A407" s="158" t="s">
        <v>7759</v>
      </c>
      <c r="B407" s="112" t="s">
        <v>271</v>
      </c>
      <c r="C407" s="112">
        <v>2</v>
      </c>
      <c r="D407">
        <v>144</v>
      </c>
      <c r="E407" s="113">
        <v>38</v>
      </c>
      <c r="F407" s="113">
        <v>10</v>
      </c>
      <c r="I407" s="112">
        <v>34</v>
      </c>
      <c r="J407" s="183">
        <v>41705</v>
      </c>
      <c r="M407" s="184">
        <v>2.4</v>
      </c>
      <c r="N407" s="157">
        <v>41853</v>
      </c>
      <c r="S407" s="139">
        <v>7.78</v>
      </c>
      <c r="T407" s="157">
        <v>41853</v>
      </c>
      <c r="U407" s="139">
        <v>15.3</v>
      </c>
      <c r="Y407" s="139">
        <f t="shared" si="6"/>
        <v>3.6274799999999998</v>
      </c>
      <c r="AA407" s="139">
        <v>33.15</v>
      </c>
      <c r="AE407" s="139">
        <v>15.91</v>
      </c>
      <c r="AG407" s="185">
        <v>4.8</v>
      </c>
      <c r="AI407" s="185">
        <v>110</v>
      </c>
      <c r="AJ407" s="157">
        <v>41803</v>
      </c>
      <c r="AO407" s="139">
        <v>93</v>
      </c>
      <c r="AP407" s="157">
        <v>41738</v>
      </c>
      <c r="AS407" s="139">
        <v>127</v>
      </c>
      <c r="AT407" s="157">
        <v>41766</v>
      </c>
      <c r="BS407" s="140">
        <v>48.9</v>
      </c>
      <c r="BU407" s="140">
        <v>22.8</v>
      </c>
      <c r="BW407" s="140">
        <v>70.400000000000006</v>
      </c>
      <c r="BY407" s="140">
        <v>7.7</v>
      </c>
      <c r="CJ407" s="140" t="s">
        <v>8141</v>
      </c>
    </row>
    <row r="408" spans="1:88">
      <c r="A408" s="158" t="s">
        <v>7793</v>
      </c>
      <c r="B408" s="112" t="s">
        <v>271</v>
      </c>
      <c r="C408" s="112">
        <v>2</v>
      </c>
      <c r="D408">
        <v>178</v>
      </c>
      <c r="E408" s="113">
        <v>38</v>
      </c>
      <c r="F408" s="113">
        <v>11</v>
      </c>
      <c r="I408" s="112">
        <v>30</v>
      </c>
      <c r="J408" s="183">
        <v>41705</v>
      </c>
      <c r="M408" s="184">
        <v>4.83</v>
      </c>
      <c r="N408" s="157">
        <v>41853</v>
      </c>
      <c r="S408" s="139">
        <v>15.91</v>
      </c>
      <c r="T408" s="157">
        <v>41853</v>
      </c>
      <c r="U408" s="139">
        <v>15.3</v>
      </c>
      <c r="Y408" s="139">
        <f t="shared" si="6"/>
        <v>6.4259999999999993</v>
      </c>
      <c r="AA408" s="139">
        <v>59.43</v>
      </c>
      <c r="AE408" s="139">
        <v>31.5</v>
      </c>
      <c r="AG408" s="185">
        <v>5.3</v>
      </c>
      <c r="AI408" s="185">
        <v>110</v>
      </c>
      <c r="AJ408" s="157">
        <v>41803</v>
      </c>
      <c r="AO408" s="139">
        <v>90</v>
      </c>
      <c r="AP408" s="157">
        <v>41738</v>
      </c>
      <c r="AS408" s="139">
        <v>127</v>
      </c>
      <c r="AT408" s="157">
        <v>41766</v>
      </c>
      <c r="BS408" s="140">
        <v>50.5</v>
      </c>
      <c r="BU408" s="140">
        <v>20.399999999999999</v>
      </c>
      <c r="BW408" s="140">
        <v>12.6</v>
      </c>
      <c r="BY408" s="140">
        <v>9.1999999999999993</v>
      </c>
      <c r="CJ408" s="140" t="s">
        <v>8140</v>
      </c>
    </row>
    <row r="409" spans="1:88">
      <c r="A409" s="158" t="s">
        <v>7727</v>
      </c>
      <c r="B409" s="112" t="s">
        <v>271</v>
      </c>
      <c r="C409" s="112">
        <v>2</v>
      </c>
      <c r="D409">
        <v>112</v>
      </c>
      <c r="E409" s="113">
        <v>38</v>
      </c>
      <c r="F409" s="113">
        <v>12</v>
      </c>
      <c r="I409" s="112">
        <v>30</v>
      </c>
      <c r="J409" s="183">
        <v>41705</v>
      </c>
      <c r="M409" s="184">
        <v>4.8600000000000003</v>
      </c>
      <c r="N409" s="157">
        <v>41853</v>
      </c>
      <c r="S409" s="139">
        <v>16.170000000000002</v>
      </c>
      <c r="T409" s="157">
        <v>41853</v>
      </c>
      <c r="U409" s="139">
        <v>15.3</v>
      </c>
      <c r="Y409" s="139">
        <f t="shared" si="6"/>
        <v>6.1406500000000008</v>
      </c>
      <c r="AA409" s="139">
        <v>66.98</v>
      </c>
      <c r="AE409" s="139">
        <v>32.15</v>
      </c>
      <c r="AG409" s="185">
        <v>4.8</v>
      </c>
      <c r="AI409" s="185">
        <v>120</v>
      </c>
      <c r="AJ409" s="157">
        <v>41803</v>
      </c>
      <c r="AO409" s="139">
        <v>91</v>
      </c>
      <c r="AP409" s="157">
        <v>41738</v>
      </c>
      <c r="AS409" s="139">
        <v>127</v>
      </c>
      <c r="AT409" s="157">
        <v>41766</v>
      </c>
      <c r="BS409" s="140">
        <v>50.3</v>
      </c>
      <c r="BU409" s="140">
        <v>19.100000000000001</v>
      </c>
      <c r="BW409" s="140">
        <v>11.1</v>
      </c>
      <c r="BY409" s="140">
        <v>7.9</v>
      </c>
      <c r="CJ409" s="140" t="s">
        <v>8140</v>
      </c>
    </row>
    <row r="410" spans="1:88">
      <c r="A410" s="158" t="s">
        <v>7655</v>
      </c>
      <c r="B410" s="112" t="s">
        <v>269</v>
      </c>
      <c r="C410" s="112">
        <v>1</v>
      </c>
      <c r="D410">
        <v>40</v>
      </c>
      <c r="E410" s="113">
        <v>39</v>
      </c>
      <c r="F410" s="113">
        <v>1</v>
      </c>
      <c r="I410" s="112">
        <v>28</v>
      </c>
      <c r="J410" s="183">
        <v>41705</v>
      </c>
      <c r="M410" s="184">
        <v>1.7</v>
      </c>
      <c r="N410" s="157">
        <v>41853</v>
      </c>
      <c r="S410" s="139">
        <v>5.25</v>
      </c>
      <c r="T410" s="157">
        <v>41853</v>
      </c>
      <c r="U410" s="139">
        <v>15.3</v>
      </c>
      <c r="Y410" s="139">
        <f t="shared" si="6"/>
        <v>2.464</v>
      </c>
      <c r="AA410" s="139">
        <v>21.96</v>
      </c>
      <c r="AE410" s="139">
        <v>11.2</v>
      </c>
      <c r="AG410" s="185">
        <v>5.0999999999999996</v>
      </c>
      <c r="AI410" s="185">
        <v>125</v>
      </c>
      <c r="AJ410" s="157">
        <v>41803</v>
      </c>
      <c r="AO410" s="139">
        <v>92</v>
      </c>
      <c r="AP410" s="157">
        <v>41738</v>
      </c>
      <c r="AS410" s="139">
        <v>126</v>
      </c>
      <c r="AT410" s="157">
        <v>41766</v>
      </c>
      <c r="BS410" s="140">
        <v>46.9</v>
      </c>
      <c r="BU410" s="140">
        <v>22</v>
      </c>
      <c r="BW410" s="140">
        <v>55.2</v>
      </c>
      <c r="BY410" s="140">
        <v>8.3000000000000007</v>
      </c>
      <c r="CJ410" s="140" t="s">
        <v>8140</v>
      </c>
    </row>
    <row r="411" spans="1:88">
      <c r="A411" s="158" t="s">
        <v>7667</v>
      </c>
      <c r="B411" s="112" t="s">
        <v>269</v>
      </c>
      <c r="C411" s="112">
        <v>1</v>
      </c>
      <c r="D411">
        <v>52</v>
      </c>
      <c r="E411" s="113">
        <v>39</v>
      </c>
      <c r="F411" s="113">
        <v>2</v>
      </c>
      <c r="I411" s="112">
        <v>29</v>
      </c>
      <c r="J411" s="183">
        <v>41705</v>
      </c>
      <c r="M411" s="184">
        <v>2.0299999999999998</v>
      </c>
      <c r="N411" s="157">
        <v>41853</v>
      </c>
      <c r="S411" s="139">
        <v>6.48</v>
      </c>
      <c r="T411" s="157">
        <v>41853</v>
      </c>
      <c r="U411" s="139">
        <v>15.3</v>
      </c>
      <c r="Y411" s="139">
        <f t="shared" si="6"/>
        <v>3.1553199999999997</v>
      </c>
      <c r="AA411" s="139">
        <v>23.88</v>
      </c>
      <c r="AE411" s="139">
        <v>13.37</v>
      </c>
      <c r="AG411" s="185">
        <v>5.6</v>
      </c>
      <c r="AI411" s="185">
        <v>130</v>
      </c>
      <c r="AJ411" s="157">
        <v>41803</v>
      </c>
      <c r="AO411" s="139">
        <v>94</v>
      </c>
      <c r="AP411" s="157">
        <v>41738</v>
      </c>
      <c r="AS411" s="139">
        <v>127</v>
      </c>
      <c r="AT411" s="157">
        <v>41766</v>
      </c>
      <c r="BS411" s="140">
        <v>48.5</v>
      </c>
      <c r="BU411" s="140">
        <v>23.6</v>
      </c>
      <c r="BW411" s="140">
        <v>76</v>
      </c>
      <c r="BY411" s="140">
        <v>8.3000000000000007</v>
      </c>
      <c r="CJ411" s="140" t="s">
        <v>8140</v>
      </c>
    </row>
    <row r="412" spans="1:88">
      <c r="A412" s="158" t="s">
        <v>7710</v>
      </c>
      <c r="B412" s="112" t="s">
        <v>269</v>
      </c>
      <c r="C412" s="112">
        <v>1</v>
      </c>
      <c r="D412">
        <v>95</v>
      </c>
      <c r="E412" s="113">
        <v>39</v>
      </c>
      <c r="F412" s="113">
        <v>3</v>
      </c>
      <c r="I412" s="112">
        <v>31</v>
      </c>
      <c r="J412" s="183">
        <v>41705</v>
      </c>
      <c r="M412" s="184">
        <v>1.6</v>
      </c>
      <c r="N412" s="157">
        <v>41853</v>
      </c>
      <c r="S412" s="139">
        <v>5.32</v>
      </c>
      <c r="T412" s="157">
        <v>41853</v>
      </c>
      <c r="U412" s="139">
        <v>15.3</v>
      </c>
      <c r="Y412" s="139">
        <f t="shared" si="6"/>
        <v>2.1817799999999998</v>
      </c>
      <c r="AA412" s="139">
        <v>23.95</v>
      </c>
      <c r="AE412" s="139">
        <v>10.54</v>
      </c>
      <c r="AG412" s="185">
        <v>4.4000000000000004</v>
      </c>
      <c r="AI412" s="185">
        <v>125</v>
      </c>
      <c r="AJ412" s="157">
        <v>41803</v>
      </c>
      <c r="AO412" s="139">
        <v>95</v>
      </c>
      <c r="AP412" s="157">
        <v>41738</v>
      </c>
      <c r="AS412" s="139">
        <v>128</v>
      </c>
      <c r="AT412" s="157">
        <v>41766</v>
      </c>
      <c r="BS412" s="140">
        <v>50.5</v>
      </c>
      <c r="BU412" s="140">
        <v>20.7</v>
      </c>
      <c r="BW412" s="140">
        <v>23.9</v>
      </c>
      <c r="BY412" s="140">
        <v>8.3000000000000007</v>
      </c>
      <c r="CJ412" s="140" t="s">
        <v>8136</v>
      </c>
    </row>
    <row r="413" spans="1:88">
      <c r="A413" s="158" t="s">
        <v>7700</v>
      </c>
      <c r="B413" s="112" t="s">
        <v>269</v>
      </c>
      <c r="C413" s="112">
        <v>1</v>
      </c>
      <c r="D413">
        <v>85</v>
      </c>
      <c r="E413" s="113">
        <v>39</v>
      </c>
      <c r="F413" s="113">
        <v>4</v>
      </c>
      <c r="I413" s="112">
        <v>21</v>
      </c>
      <c r="J413" s="183">
        <v>41705</v>
      </c>
      <c r="M413" s="184">
        <v>1.97</v>
      </c>
      <c r="N413" s="157">
        <v>41853</v>
      </c>
      <c r="S413" s="139">
        <v>6.67</v>
      </c>
      <c r="T413" s="157">
        <v>41853</v>
      </c>
      <c r="U413" s="139">
        <v>15.3</v>
      </c>
      <c r="Y413" s="139">
        <f t="shared" si="6"/>
        <v>2.41242</v>
      </c>
      <c r="AA413" s="139">
        <v>30.16</v>
      </c>
      <c r="AE413" s="139">
        <v>12.97</v>
      </c>
      <c r="AG413" s="185">
        <v>4.3</v>
      </c>
      <c r="AI413" s="185">
        <v>120</v>
      </c>
      <c r="AJ413" s="157">
        <v>41803</v>
      </c>
      <c r="AO413" s="139">
        <v>93</v>
      </c>
      <c r="AP413" s="157">
        <v>41738</v>
      </c>
      <c r="AS413" s="139">
        <v>127</v>
      </c>
      <c r="AT413" s="157">
        <v>41766</v>
      </c>
      <c r="BS413" s="140">
        <v>51.4</v>
      </c>
      <c r="BU413" s="140">
        <v>18.600000000000001</v>
      </c>
      <c r="BW413" s="140">
        <v>20.6</v>
      </c>
      <c r="BY413" s="140">
        <v>8.3000000000000007</v>
      </c>
      <c r="CJ413" s="140" t="s">
        <v>8140</v>
      </c>
    </row>
    <row r="414" spans="1:88">
      <c r="A414" s="158" t="s">
        <v>7698</v>
      </c>
      <c r="B414" s="112" t="s">
        <v>269</v>
      </c>
      <c r="C414" s="112">
        <v>1</v>
      </c>
      <c r="D414">
        <v>83</v>
      </c>
      <c r="E414" s="113">
        <v>39</v>
      </c>
      <c r="F414" s="113">
        <v>5</v>
      </c>
      <c r="I414" s="112">
        <v>25</v>
      </c>
      <c r="J414" s="183">
        <v>41705</v>
      </c>
      <c r="M414" s="184">
        <v>2.36</v>
      </c>
      <c r="N414" s="157">
        <v>41853</v>
      </c>
      <c r="S414" s="139">
        <v>8.0500000000000007</v>
      </c>
      <c r="T414" s="157">
        <v>41853</v>
      </c>
      <c r="U414" s="139">
        <v>15.3</v>
      </c>
      <c r="Y414" s="139">
        <f t="shared" si="6"/>
        <v>2.9215199999999997</v>
      </c>
      <c r="AA414" s="139">
        <v>37.9</v>
      </c>
      <c r="AE414" s="139">
        <v>15.54</v>
      </c>
      <c r="AG414" s="185">
        <v>4.0999999999999996</v>
      </c>
      <c r="AI414" s="185">
        <v>115</v>
      </c>
      <c r="AJ414" s="157">
        <v>41803</v>
      </c>
      <c r="AO414" s="139">
        <v>88</v>
      </c>
      <c r="AP414" s="157">
        <v>41738</v>
      </c>
      <c r="AS414" s="139">
        <v>126</v>
      </c>
      <c r="AT414" s="157">
        <v>41766</v>
      </c>
      <c r="BS414" s="140">
        <v>51.8</v>
      </c>
      <c r="BU414" s="140">
        <v>18.8</v>
      </c>
      <c r="BW414" s="140">
        <v>14.9</v>
      </c>
      <c r="BY414" s="140">
        <v>8.3000000000000007</v>
      </c>
      <c r="CJ414" s="140" t="s">
        <v>8140</v>
      </c>
    </row>
    <row r="415" spans="1:88">
      <c r="A415" s="158" t="s">
        <v>7740</v>
      </c>
      <c r="B415" s="112" t="s">
        <v>269</v>
      </c>
      <c r="C415" s="112">
        <v>1</v>
      </c>
      <c r="D415">
        <v>125</v>
      </c>
      <c r="E415" s="113">
        <v>39</v>
      </c>
      <c r="F415" s="113">
        <v>6</v>
      </c>
      <c r="I415" s="112">
        <v>31</v>
      </c>
      <c r="J415" s="183">
        <v>41705</v>
      </c>
      <c r="M415" s="184">
        <v>3.19</v>
      </c>
      <c r="N415" s="157">
        <v>41853</v>
      </c>
      <c r="S415" s="139">
        <v>10.74</v>
      </c>
      <c r="T415" s="157">
        <v>41853</v>
      </c>
      <c r="U415" s="139">
        <v>15.3</v>
      </c>
      <c r="Y415" s="139">
        <f t="shared" si="6"/>
        <v>3.8750399999999998</v>
      </c>
      <c r="AA415" s="139">
        <v>45.78</v>
      </c>
      <c r="AE415" s="139">
        <v>21.06</v>
      </c>
      <c r="AG415" s="185">
        <v>4.5999999999999996</v>
      </c>
      <c r="AI415" s="185">
        <v>120</v>
      </c>
      <c r="AJ415" s="157">
        <v>41803</v>
      </c>
      <c r="AO415" s="139">
        <v>92</v>
      </c>
      <c r="AP415" s="157">
        <v>41738</v>
      </c>
      <c r="AS415" s="139">
        <v>125</v>
      </c>
      <c r="AT415" s="157">
        <v>41766</v>
      </c>
      <c r="BS415" s="140">
        <v>51</v>
      </c>
      <c r="BU415" s="140">
        <v>18.399999999999999</v>
      </c>
      <c r="BW415" s="140">
        <v>18.7</v>
      </c>
      <c r="BY415" s="140">
        <v>8.1</v>
      </c>
      <c r="CJ415" s="140" t="s">
        <v>8140</v>
      </c>
    </row>
    <row r="416" spans="1:88">
      <c r="A416" s="158" t="s">
        <v>7653</v>
      </c>
      <c r="B416" s="112" t="s">
        <v>271</v>
      </c>
      <c r="C416" s="112">
        <v>2</v>
      </c>
      <c r="D416">
        <v>38</v>
      </c>
      <c r="E416" s="113">
        <v>39</v>
      </c>
      <c r="F416" s="113">
        <v>7</v>
      </c>
      <c r="I416" s="112">
        <v>46</v>
      </c>
      <c r="J416" s="183">
        <v>41705</v>
      </c>
      <c r="M416" s="184">
        <v>2.41</v>
      </c>
      <c r="N416" s="157">
        <v>41853</v>
      </c>
      <c r="S416" s="139">
        <v>7.19</v>
      </c>
      <c r="T416" s="157">
        <v>41853</v>
      </c>
      <c r="U416" s="139">
        <v>15.3</v>
      </c>
      <c r="Y416" s="139">
        <f t="shared" si="6"/>
        <v>4.0468500000000001</v>
      </c>
      <c r="AA416" s="139">
        <v>23.69</v>
      </c>
      <c r="AE416" s="139">
        <v>15.87</v>
      </c>
      <c r="AG416" s="185">
        <v>6.7</v>
      </c>
      <c r="AI416" s="185">
        <v>110</v>
      </c>
      <c r="AJ416" s="157">
        <v>41803</v>
      </c>
      <c r="AO416" s="139">
        <v>89</v>
      </c>
      <c r="AP416" s="157">
        <v>41738</v>
      </c>
      <c r="AS416" s="139">
        <v>127</v>
      </c>
      <c r="AT416" s="157">
        <v>41766</v>
      </c>
      <c r="BS416" s="140">
        <v>45.3</v>
      </c>
      <c r="BU416" s="140">
        <v>25.5</v>
      </c>
      <c r="BW416" s="140">
        <v>81.2</v>
      </c>
      <c r="BY416" s="140">
        <v>8.3000000000000007</v>
      </c>
      <c r="CJ416" s="140" t="s">
        <v>8140</v>
      </c>
    </row>
    <row r="417" spans="1:91">
      <c r="A417" s="158" t="s">
        <v>7753</v>
      </c>
      <c r="B417" s="112" t="s">
        <v>271</v>
      </c>
      <c r="C417" s="112">
        <v>2</v>
      </c>
      <c r="D417">
        <v>138</v>
      </c>
      <c r="E417" s="113">
        <v>39</v>
      </c>
      <c r="F417" s="113">
        <v>8</v>
      </c>
      <c r="I417" s="112">
        <v>49</v>
      </c>
      <c r="J417" s="183">
        <v>41705</v>
      </c>
      <c r="M417" s="184">
        <v>2.86</v>
      </c>
      <c r="N417" s="157">
        <v>41853</v>
      </c>
      <c r="S417" s="139">
        <v>9.0399999999999991</v>
      </c>
      <c r="T417" s="157">
        <v>41853</v>
      </c>
      <c r="U417" s="139">
        <v>15.3</v>
      </c>
      <c r="Y417" s="139">
        <f t="shared" si="6"/>
        <v>4.4462400000000004</v>
      </c>
      <c r="AA417" s="139">
        <v>38.450000000000003</v>
      </c>
      <c r="AE417" s="139">
        <v>18.84</v>
      </c>
      <c r="AG417" s="185">
        <v>4.9000000000000004</v>
      </c>
      <c r="AI417" s="185">
        <v>110</v>
      </c>
      <c r="AJ417" s="157">
        <v>41803</v>
      </c>
      <c r="AO417" s="139">
        <v>90</v>
      </c>
      <c r="AP417" s="157">
        <v>41738</v>
      </c>
      <c r="AS417" s="139">
        <v>126</v>
      </c>
      <c r="AT417" s="157">
        <v>41766</v>
      </c>
      <c r="BS417" s="140">
        <v>48</v>
      </c>
      <c r="BU417" s="140">
        <v>23.6</v>
      </c>
      <c r="BW417" s="140">
        <v>81.2</v>
      </c>
      <c r="BY417" s="140">
        <v>8.3000000000000007</v>
      </c>
      <c r="CJ417" s="140" t="s">
        <v>8140</v>
      </c>
    </row>
    <row r="418" spans="1:91">
      <c r="A418" s="158" t="s">
        <v>7772</v>
      </c>
      <c r="B418" s="112" t="s">
        <v>271</v>
      </c>
      <c r="C418" s="112">
        <v>2</v>
      </c>
      <c r="D418">
        <v>157</v>
      </c>
      <c r="E418" s="113">
        <v>39</v>
      </c>
      <c r="F418" s="113">
        <v>9</v>
      </c>
      <c r="I418" s="112">
        <v>46</v>
      </c>
      <c r="J418" s="183">
        <v>41705</v>
      </c>
      <c r="M418" s="184">
        <v>4.1900000000000004</v>
      </c>
      <c r="N418" s="157">
        <v>41853</v>
      </c>
      <c r="S418" s="139">
        <v>13.9</v>
      </c>
      <c r="T418" s="157">
        <v>41853</v>
      </c>
      <c r="U418" s="139">
        <v>15.3</v>
      </c>
      <c r="Y418" s="139">
        <f t="shared" si="6"/>
        <v>5.5777500000000009</v>
      </c>
      <c r="AA418" s="139">
        <v>61.67</v>
      </c>
      <c r="AE418" s="139">
        <v>27.75</v>
      </c>
      <c r="AG418" s="185">
        <v>4.5</v>
      </c>
      <c r="AI418" s="185">
        <v>125</v>
      </c>
      <c r="AJ418" s="157">
        <v>41803</v>
      </c>
      <c r="AO418" s="139">
        <v>93</v>
      </c>
      <c r="AP418" s="157">
        <v>41738</v>
      </c>
      <c r="AS418" s="139">
        <v>128</v>
      </c>
      <c r="AT418" s="157">
        <v>41766</v>
      </c>
      <c r="BS418" s="140">
        <v>50.1</v>
      </c>
      <c r="BU418" s="140">
        <v>20.100000000000001</v>
      </c>
      <c r="BW418" s="140">
        <v>14.8</v>
      </c>
      <c r="BY418" s="140">
        <v>7.8</v>
      </c>
      <c r="CJ418" s="140" t="s">
        <v>8140</v>
      </c>
    </row>
    <row r="419" spans="1:91">
      <c r="A419" s="158" t="s">
        <v>7691</v>
      </c>
      <c r="B419" s="112" t="s">
        <v>271</v>
      </c>
      <c r="C419" s="112">
        <v>2</v>
      </c>
      <c r="D419">
        <v>76</v>
      </c>
      <c r="E419" s="113">
        <v>39</v>
      </c>
      <c r="F419" s="113">
        <v>10</v>
      </c>
      <c r="I419" s="112">
        <v>38</v>
      </c>
      <c r="J419" s="183">
        <v>41705</v>
      </c>
      <c r="M419" s="184">
        <v>5.12</v>
      </c>
      <c r="N419" s="157">
        <v>41853</v>
      </c>
      <c r="S419" s="139">
        <v>17.190000000000001</v>
      </c>
      <c r="T419" s="157">
        <v>41853</v>
      </c>
      <c r="U419" s="139">
        <v>15.3</v>
      </c>
      <c r="Y419" s="139">
        <f t="shared" si="6"/>
        <v>6.9013199999999992</v>
      </c>
      <c r="AA419" s="139">
        <v>82.51</v>
      </c>
      <c r="AE419" s="139">
        <v>33.83</v>
      </c>
      <c r="AG419" s="185">
        <v>4.0999999999999996</v>
      </c>
      <c r="AI419" s="185">
        <v>115</v>
      </c>
      <c r="AJ419" s="157">
        <v>41803</v>
      </c>
      <c r="AO419" s="139">
        <v>90</v>
      </c>
      <c r="AP419" s="157">
        <v>41738</v>
      </c>
      <c r="AS419" s="139">
        <v>126</v>
      </c>
      <c r="AT419" s="157">
        <v>41766</v>
      </c>
      <c r="BS419" s="140">
        <v>50.8</v>
      </c>
      <c r="BU419" s="140">
        <v>20.399999999999999</v>
      </c>
      <c r="BW419" s="140">
        <v>15.4</v>
      </c>
      <c r="BY419" s="140">
        <v>8</v>
      </c>
      <c r="CJ419" s="140" t="s">
        <v>8140</v>
      </c>
    </row>
    <row r="420" spans="1:91">
      <c r="A420" s="158" t="s">
        <v>7638</v>
      </c>
      <c r="B420" s="112" t="s">
        <v>271</v>
      </c>
      <c r="C420" s="112">
        <v>2</v>
      </c>
      <c r="D420">
        <v>23</v>
      </c>
      <c r="E420" s="113">
        <v>39</v>
      </c>
      <c r="F420" s="113">
        <v>11</v>
      </c>
      <c r="I420" s="112">
        <v>52</v>
      </c>
      <c r="J420" s="183">
        <v>41705</v>
      </c>
      <c r="M420" s="184">
        <v>3.28</v>
      </c>
      <c r="N420" s="157">
        <v>41853</v>
      </c>
      <c r="S420" s="139">
        <v>10.38</v>
      </c>
      <c r="T420" s="157">
        <v>41853</v>
      </c>
      <c r="U420" s="139">
        <v>15.3</v>
      </c>
      <c r="Y420" s="139">
        <f t="shared" si="6"/>
        <v>5.0824799999999994</v>
      </c>
      <c r="AA420" s="139">
        <v>40.98</v>
      </c>
      <c r="AE420" s="139">
        <v>21.72</v>
      </c>
      <c r="AG420" s="185">
        <v>5.3</v>
      </c>
      <c r="AI420" s="185">
        <v>110</v>
      </c>
      <c r="AJ420" s="157">
        <v>41803</v>
      </c>
      <c r="AO420" s="139">
        <v>91</v>
      </c>
      <c r="AP420" s="157">
        <v>41738</v>
      </c>
      <c r="AS420" s="139">
        <v>127</v>
      </c>
      <c r="AT420" s="157">
        <v>41766</v>
      </c>
      <c r="BS420" s="140">
        <v>47.8</v>
      </c>
      <c r="BU420" s="140">
        <v>23.4</v>
      </c>
      <c r="BW420" s="140">
        <v>48.2</v>
      </c>
      <c r="BY420" s="140">
        <v>7.8</v>
      </c>
      <c r="CJ420" s="140" t="s">
        <v>8140</v>
      </c>
    </row>
    <row r="421" spans="1:91">
      <c r="A421" s="158" t="s">
        <v>7685</v>
      </c>
      <c r="B421" s="112" t="s">
        <v>271</v>
      </c>
      <c r="C421" s="112">
        <v>2</v>
      </c>
      <c r="D421">
        <v>70</v>
      </c>
      <c r="E421" s="113">
        <v>39</v>
      </c>
      <c r="F421" s="113">
        <v>12</v>
      </c>
      <c r="I421" s="112">
        <v>43</v>
      </c>
      <c r="J421" s="183">
        <v>41705</v>
      </c>
      <c r="M421" s="184">
        <v>5.69</v>
      </c>
      <c r="N421" s="157">
        <v>41853</v>
      </c>
      <c r="S421" s="139">
        <v>19.46</v>
      </c>
      <c r="T421" s="157">
        <v>41853</v>
      </c>
      <c r="U421" s="139">
        <v>15.3</v>
      </c>
      <c r="Y421" s="139">
        <f t="shared" si="6"/>
        <v>7.3553999999999995</v>
      </c>
      <c r="AA421" s="139">
        <v>78.58</v>
      </c>
      <c r="AE421" s="139">
        <v>37.72</v>
      </c>
      <c r="AG421" s="185">
        <v>4.8</v>
      </c>
      <c r="AI421" s="185">
        <v>120</v>
      </c>
      <c r="AJ421" s="157">
        <v>41803</v>
      </c>
      <c r="AO421" s="139">
        <v>93</v>
      </c>
      <c r="AP421" s="157">
        <v>41738</v>
      </c>
      <c r="AS421" s="139">
        <v>128</v>
      </c>
      <c r="AT421" s="157">
        <v>41766</v>
      </c>
      <c r="BS421" s="140">
        <v>51.6</v>
      </c>
      <c r="BU421" s="140">
        <v>19.5</v>
      </c>
      <c r="BW421" s="140">
        <v>16.600000000000001</v>
      </c>
      <c r="BY421" s="140">
        <v>7.7</v>
      </c>
      <c r="CJ421" s="140" t="s">
        <v>8140</v>
      </c>
    </row>
    <row r="422" spans="1:91">
      <c r="A422" s="158" t="s">
        <v>7786</v>
      </c>
      <c r="B422" s="112" t="s">
        <v>269</v>
      </c>
      <c r="C422" s="112">
        <v>1</v>
      </c>
      <c r="D422">
        <v>171</v>
      </c>
      <c r="E422" s="113">
        <v>40</v>
      </c>
      <c r="F422" s="113">
        <v>1</v>
      </c>
      <c r="I422" s="112">
        <v>17</v>
      </c>
      <c r="J422" s="183">
        <v>41705</v>
      </c>
      <c r="M422" s="184">
        <v>1.71</v>
      </c>
      <c r="N422" s="157">
        <v>41853</v>
      </c>
      <c r="S422" s="139">
        <v>5.77</v>
      </c>
      <c r="T422" s="157">
        <v>41853</v>
      </c>
      <c r="U422" s="139">
        <v>15.3</v>
      </c>
      <c r="Y422" s="139">
        <f t="shared" si="6"/>
        <v>2.1844399999999999</v>
      </c>
      <c r="AA422" s="139">
        <v>19.41</v>
      </c>
      <c r="AE422" s="139">
        <v>11.26</v>
      </c>
      <c r="AG422" s="185">
        <v>5.8</v>
      </c>
      <c r="AI422" s="185">
        <v>130</v>
      </c>
      <c r="AJ422" s="157">
        <v>41803</v>
      </c>
      <c r="AO422" s="139">
        <v>92</v>
      </c>
      <c r="AP422" s="157">
        <v>41738</v>
      </c>
      <c r="AS422" s="139">
        <v>126</v>
      </c>
      <c r="AT422" s="157">
        <v>41766</v>
      </c>
      <c r="BS422" s="140">
        <v>51.2</v>
      </c>
      <c r="BU422" s="140">
        <v>19.399999999999999</v>
      </c>
      <c r="BW422" s="140">
        <v>16.2</v>
      </c>
      <c r="BY422" s="140">
        <v>8.3000000000000007</v>
      </c>
      <c r="CJ422" s="140" t="s">
        <v>8140</v>
      </c>
    </row>
    <row r="423" spans="1:91">
      <c r="A423" s="158" t="s">
        <v>7650</v>
      </c>
      <c r="B423" s="112" t="s">
        <v>269</v>
      </c>
      <c r="C423" s="112">
        <v>1</v>
      </c>
      <c r="D423">
        <v>35</v>
      </c>
      <c r="E423" s="113">
        <v>40</v>
      </c>
      <c r="F423" s="113">
        <v>2</v>
      </c>
      <c r="I423" s="112">
        <v>35</v>
      </c>
      <c r="J423" s="183">
        <v>41705</v>
      </c>
      <c r="M423" s="184">
        <v>1.3</v>
      </c>
      <c r="N423" s="157">
        <v>41853</v>
      </c>
      <c r="S423" s="139">
        <v>3.99</v>
      </c>
      <c r="T423" s="157">
        <v>41853</v>
      </c>
      <c r="U423" s="139">
        <v>15.3</v>
      </c>
      <c r="Y423" s="139">
        <f t="shared" si="6"/>
        <v>2.0543999999999998</v>
      </c>
      <c r="AA423" s="139">
        <v>13.17</v>
      </c>
      <c r="AE423" s="139">
        <v>8.56</v>
      </c>
      <c r="AG423" s="185">
        <v>6.5</v>
      </c>
      <c r="AI423" s="185">
        <v>135</v>
      </c>
      <c r="AJ423" s="157">
        <v>41803</v>
      </c>
      <c r="AO423" s="139">
        <v>97</v>
      </c>
      <c r="AP423" s="157">
        <v>41738</v>
      </c>
      <c r="AS423" s="139">
        <v>128</v>
      </c>
      <c r="AT423" s="157">
        <v>41766</v>
      </c>
      <c r="BS423" s="140">
        <v>46.6</v>
      </c>
      <c r="BU423" s="140">
        <v>24</v>
      </c>
      <c r="BW423" s="140">
        <v>72.5</v>
      </c>
      <c r="BY423" s="140">
        <v>8.3000000000000007</v>
      </c>
      <c r="CJ423" s="140" t="s">
        <v>8131</v>
      </c>
    </row>
    <row r="424" spans="1:91">
      <c r="A424" s="158" t="s">
        <v>7641</v>
      </c>
      <c r="B424" s="112" t="s">
        <v>269</v>
      </c>
      <c r="C424" s="112">
        <v>1</v>
      </c>
      <c r="D424">
        <v>26</v>
      </c>
      <c r="E424" s="113">
        <v>40</v>
      </c>
      <c r="F424" s="113">
        <v>3</v>
      </c>
      <c r="I424" s="112">
        <v>26</v>
      </c>
      <c r="J424" s="183">
        <v>41705</v>
      </c>
      <c r="M424" s="184">
        <v>1.17</v>
      </c>
      <c r="N424" s="157">
        <v>41853</v>
      </c>
      <c r="S424" s="139">
        <v>3.87</v>
      </c>
      <c r="T424" s="157">
        <v>41853</v>
      </c>
      <c r="U424" s="139">
        <v>15.3</v>
      </c>
      <c r="Y424" s="139">
        <f t="shared" si="6"/>
        <v>1.6884899999999998</v>
      </c>
      <c r="AA424" s="139">
        <v>16.760000000000002</v>
      </c>
      <c r="AE424" s="139">
        <v>7.71</v>
      </c>
      <c r="AG424" s="185">
        <v>4.5999999999999996</v>
      </c>
      <c r="AI424" s="185">
        <v>115</v>
      </c>
      <c r="AJ424" s="157">
        <v>41803</v>
      </c>
      <c r="AO424" s="139">
        <v>88</v>
      </c>
      <c r="AP424" s="157">
        <v>41738</v>
      </c>
      <c r="AS424" s="139">
        <v>123</v>
      </c>
      <c r="AT424" s="157">
        <v>41766</v>
      </c>
      <c r="BS424" s="140">
        <v>50.2</v>
      </c>
      <c r="BU424" s="140">
        <v>21.9</v>
      </c>
      <c r="BW424" s="140">
        <v>72.400000000000006</v>
      </c>
      <c r="BY424" s="140">
        <v>8.3000000000000007</v>
      </c>
      <c r="CJ424" s="140" t="s">
        <v>8140</v>
      </c>
    </row>
    <row r="425" spans="1:91">
      <c r="A425" s="158" t="s">
        <v>7648</v>
      </c>
      <c r="B425" s="112" t="s">
        <v>269</v>
      </c>
      <c r="C425" s="112">
        <v>1</v>
      </c>
      <c r="D425">
        <v>33</v>
      </c>
      <c r="E425" s="113">
        <v>40</v>
      </c>
      <c r="F425" s="113">
        <v>4</v>
      </c>
      <c r="I425" s="112">
        <v>24</v>
      </c>
      <c r="J425" s="183">
        <v>41705</v>
      </c>
      <c r="M425" s="184">
        <v>1.96</v>
      </c>
      <c r="N425" s="157">
        <v>41853</v>
      </c>
      <c r="S425" s="139">
        <v>6.17</v>
      </c>
      <c r="T425" s="157">
        <v>41853</v>
      </c>
      <c r="U425" s="139">
        <v>15.3</v>
      </c>
      <c r="Y425" s="139">
        <f t="shared" si="6"/>
        <v>3.0467600000000004</v>
      </c>
      <c r="AA425" s="139">
        <v>27.47</v>
      </c>
      <c r="AE425" s="139">
        <v>12.91</v>
      </c>
      <c r="AG425" s="185">
        <v>4.7</v>
      </c>
      <c r="AI425" s="185">
        <v>120</v>
      </c>
      <c r="AJ425" s="157">
        <v>41803</v>
      </c>
      <c r="AO425" s="139">
        <v>93</v>
      </c>
      <c r="AP425" s="157">
        <v>41738</v>
      </c>
      <c r="AS425" s="139">
        <v>125</v>
      </c>
      <c r="AT425" s="157">
        <v>41766</v>
      </c>
      <c r="BS425" s="140">
        <v>47.8</v>
      </c>
      <c r="BU425" s="140">
        <v>23.6</v>
      </c>
      <c r="BW425" s="140">
        <v>64.099999999999994</v>
      </c>
      <c r="BY425" s="140">
        <v>8.3000000000000007</v>
      </c>
      <c r="CJ425" s="140" t="s">
        <v>8140</v>
      </c>
    </row>
    <row r="426" spans="1:91">
      <c r="A426" s="158" t="s">
        <v>7815</v>
      </c>
      <c r="B426" s="112" t="s">
        <v>269</v>
      </c>
      <c r="C426" s="112">
        <v>1</v>
      </c>
      <c r="D426">
        <v>200</v>
      </c>
      <c r="E426" s="113">
        <v>40</v>
      </c>
      <c r="F426" s="113">
        <v>5</v>
      </c>
      <c r="I426" s="112">
        <v>25</v>
      </c>
      <c r="J426" s="183">
        <v>41705</v>
      </c>
      <c r="M426" s="184">
        <v>2.73</v>
      </c>
      <c r="N426" s="157">
        <v>41853</v>
      </c>
      <c r="S426" s="139">
        <v>9.61</v>
      </c>
      <c r="T426" s="157">
        <v>41853</v>
      </c>
      <c r="U426" s="139">
        <v>15.3</v>
      </c>
      <c r="Y426" s="139">
        <f t="shared" si="6"/>
        <v>3.2507999999999999</v>
      </c>
      <c r="AA426" s="139">
        <v>42</v>
      </c>
      <c r="AE426" s="139">
        <v>18.059999999999999</v>
      </c>
      <c r="AG426" s="185">
        <v>4.3</v>
      </c>
      <c r="AI426" s="185">
        <v>125</v>
      </c>
      <c r="AJ426" s="157">
        <v>41803</v>
      </c>
      <c r="AO426" s="139">
        <v>88</v>
      </c>
      <c r="AP426" s="157">
        <v>41738</v>
      </c>
      <c r="AS426" s="139">
        <v>125</v>
      </c>
      <c r="AT426" s="157">
        <v>41766</v>
      </c>
      <c r="BS426" s="140">
        <v>53.2</v>
      </c>
      <c r="BU426" s="140">
        <v>18</v>
      </c>
      <c r="BW426" s="140">
        <v>13.5</v>
      </c>
      <c r="BY426" s="140">
        <v>7.9</v>
      </c>
      <c r="CJ426" s="140" t="s">
        <v>8140</v>
      </c>
    </row>
    <row r="427" spans="1:91">
      <c r="A427" s="158" t="s">
        <v>7637</v>
      </c>
      <c r="B427" s="112" t="s">
        <v>269</v>
      </c>
      <c r="C427" s="112">
        <v>1</v>
      </c>
      <c r="D427">
        <v>22</v>
      </c>
      <c r="E427" s="113">
        <v>40</v>
      </c>
      <c r="F427" s="113">
        <v>6</v>
      </c>
      <c r="I427" s="187">
        <v>17</v>
      </c>
      <c r="J427" s="183">
        <v>41705</v>
      </c>
      <c r="K427" s="142"/>
      <c r="M427" s="184">
        <v>1.67</v>
      </c>
      <c r="N427" s="157">
        <v>41853</v>
      </c>
      <c r="O427" s="141"/>
      <c r="Q427" s="142"/>
      <c r="S427" s="142">
        <v>5.26</v>
      </c>
      <c r="T427" s="157">
        <v>41853</v>
      </c>
      <c r="U427" s="142">
        <v>15.3</v>
      </c>
      <c r="W427" s="142"/>
      <c r="Y427" s="139">
        <f t="shared" si="6"/>
        <v>2.4419999999999997</v>
      </c>
      <c r="AA427" s="142">
        <v>23.4</v>
      </c>
      <c r="AE427" s="142">
        <v>11</v>
      </c>
      <c r="AG427" s="185">
        <v>4.7</v>
      </c>
      <c r="AI427" s="185">
        <v>125</v>
      </c>
      <c r="AJ427" s="157">
        <v>41803</v>
      </c>
      <c r="AK427" s="142"/>
      <c r="AM427" s="142"/>
      <c r="AO427" s="139">
        <v>93</v>
      </c>
      <c r="AP427" s="157">
        <v>41738</v>
      </c>
      <c r="AS427" s="139">
        <v>128</v>
      </c>
      <c r="AT427" s="157">
        <v>41766</v>
      </c>
      <c r="BS427" s="140">
        <v>47.8</v>
      </c>
      <c r="BU427" s="140">
        <v>22.2</v>
      </c>
      <c r="BW427" s="140">
        <v>73.5</v>
      </c>
      <c r="BY427" s="140">
        <v>8.3000000000000007</v>
      </c>
      <c r="CJ427" s="140" t="s">
        <v>8140</v>
      </c>
    </row>
    <row r="428" spans="1:91">
      <c r="A428" s="158" t="s">
        <v>7724</v>
      </c>
      <c r="B428" s="112" t="s">
        <v>271</v>
      </c>
      <c r="C428" s="112">
        <v>2</v>
      </c>
      <c r="D428">
        <v>109</v>
      </c>
      <c r="E428" s="113">
        <v>40</v>
      </c>
      <c r="F428" s="113">
        <v>7</v>
      </c>
      <c r="I428" s="112">
        <v>32</v>
      </c>
      <c r="J428" s="183">
        <v>41705</v>
      </c>
      <c r="M428" s="184">
        <v>4.21</v>
      </c>
      <c r="N428" s="157">
        <v>41853</v>
      </c>
      <c r="S428" s="139">
        <v>14.22</v>
      </c>
      <c r="T428" s="157">
        <v>41853</v>
      </c>
      <c r="U428" s="139">
        <v>15.3</v>
      </c>
      <c r="Y428" s="139">
        <f t="shared" si="6"/>
        <v>5.7587400000000004</v>
      </c>
      <c r="AA428" s="139">
        <v>59.19</v>
      </c>
      <c r="AE428" s="139">
        <v>27.82</v>
      </c>
      <c r="AG428" s="185">
        <v>4.7</v>
      </c>
      <c r="AI428" s="185">
        <v>110</v>
      </c>
      <c r="AJ428" s="157">
        <v>41803</v>
      </c>
      <c r="AO428" s="139">
        <v>89</v>
      </c>
      <c r="AP428" s="157">
        <v>41738</v>
      </c>
      <c r="AS428" s="139">
        <v>127</v>
      </c>
      <c r="AT428" s="157">
        <v>41766</v>
      </c>
      <c r="BS428" s="140">
        <v>51.1</v>
      </c>
      <c r="BU428" s="140">
        <v>20.7</v>
      </c>
      <c r="BW428" s="140">
        <v>13.6</v>
      </c>
      <c r="BY428" s="140">
        <v>8</v>
      </c>
      <c r="CJ428" s="140" t="s">
        <v>8140</v>
      </c>
    </row>
    <row r="429" spans="1:91">
      <c r="A429" s="158" t="s">
        <v>7794</v>
      </c>
      <c r="B429" s="112" t="s">
        <v>271</v>
      </c>
      <c r="C429" s="112">
        <v>2</v>
      </c>
      <c r="D429">
        <v>179</v>
      </c>
      <c r="E429" s="113">
        <v>40</v>
      </c>
      <c r="F429" s="113">
        <v>8</v>
      </c>
      <c r="I429" s="112">
        <v>33</v>
      </c>
      <c r="J429" s="183">
        <v>41705</v>
      </c>
      <c r="M429" s="184">
        <v>4.62</v>
      </c>
      <c r="N429" s="157">
        <v>41853</v>
      </c>
      <c r="S429" s="139">
        <v>15.23</v>
      </c>
      <c r="T429" s="157">
        <v>41853</v>
      </c>
      <c r="U429" s="139">
        <v>15.3</v>
      </c>
      <c r="Y429" s="139">
        <f t="shared" si="6"/>
        <v>6.3015400000000001</v>
      </c>
      <c r="AA429" s="139">
        <v>69.52</v>
      </c>
      <c r="AE429" s="139">
        <v>30.59</v>
      </c>
      <c r="AG429" s="185">
        <v>4.4000000000000004</v>
      </c>
      <c r="AI429" s="185">
        <v>115</v>
      </c>
      <c r="AJ429" s="157">
        <v>41803</v>
      </c>
      <c r="AO429" s="139">
        <v>88</v>
      </c>
      <c r="AP429" s="157">
        <v>41738</v>
      </c>
      <c r="AS429" s="139">
        <v>127</v>
      </c>
      <c r="AT429" s="157">
        <v>41766</v>
      </c>
      <c r="BS429" s="140">
        <v>49.8</v>
      </c>
      <c r="BU429" s="140">
        <v>20.6</v>
      </c>
      <c r="BW429" s="140">
        <v>19.2</v>
      </c>
      <c r="BY429" s="140">
        <v>7.8</v>
      </c>
      <c r="CJ429" s="140" t="s">
        <v>8140</v>
      </c>
    </row>
    <row r="430" spans="1:91">
      <c r="A430" s="158" t="s">
        <v>7806</v>
      </c>
      <c r="B430" s="112" t="s">
        <v>271</v>
      </c>
      <c r="C430" s="112">
        <v>2</v>
      </c>
      <c r="D430">
        <v>191</v>
      </c>
      <c r="E430" s="113">
        <v>40</v>
      </c>
      <c r="F430" s="113">
        <v>9</v>
      </c>
      <c r="I430" s="112">
        <v>58</v>
      </c>
      <c r="J430" s="183">
        <v>41705</v>
      </c>
      <c r="M430" s="184">
        <v>4.25</v>
      </c>
      <c r="N430" s="157">
        <v>41853</v>
      </c>
      <c r="S430" s="139">
        <v>14.25</v>
      </c>
      <c r="T430" s="157">
        <v>41853</v>
      </c>
      <c r="U430" s="139">
        <v>15.3</v>
      </c>
      <c r="Y430" s="139">
        <f t="shared" si="6"/>
        <v>5.9874300000000007</v>
      </c>
      <c r="AA430" s="139">
        <v>66.930000000000007</v>
      </c>
      <c r="AE430" s="139">
        <v>28.11</v>
      </c>
      <c r="AG430" s="185">
        <v>4.2</v>
      </c>
      <c r="AI430" s="185">
        <v>125</v>
      </c>
      <c r="AJ430" s="157">
        <v>41803</v>
      </c>
      <c r="AO430" s="139">
        <v>93</v>
      </c>
      <c r="AP430" s="157">
        <v>41738</v>
      </c>
      <c r="AS430" s="139">
        <v>127</v>
      </c>
      <c r="AT430" s="157">
        <v>41766</v>
      </c>
      <c r="BS430" s="140">
        <v>50.7</v>
      </c>
      <c r="BU430" s="140">
        <v>21.3</v>
      </c>
      <c r="BW430" s="140">
        <v>16.5</v>
      </c>
      <c r="BY430" s="140">
        <v>7.9</v>
      </c>
      <c r="CJ430" s="140" t="s">
        <v>8140</v>
      </c>
    </row>
    <row r="431" spans="1:91">
      <c r="A431" s="158" t="s">
        <v>7902</v>
      </c>
      <c r="B431" s="112" t="s">
        <v>271</v>
      </c>
      <c r="C431" s="112">
        <v>2</v>
      </c>
      <c r="D431">
        <v>211</v>
      </c>
      <c r="E431" s="113">
        <v>40</v>
      </c>
      <c r="F431" s="113">
        <v>10</v>
      </c>
      <c r="I431" s="112">
        <v>43</v>
      </c>
      <c r="J431" s="183">
        <v>41705</v>
      </c>
      <c r="M431" s="184">
        <v>4.92</v>
      </c>
      <c r="N431" s="157">
        <v>41853</v>
      </c>
      <c r="S431" s="139">
        <v>16.45</v>
      </c>
      <c r="T431" s="157">
        <v>41853</v>
      </c>
      <c r="U431" s="139">
        <v>15.3</v>
      </c>
      <c r="Y431" s="139">
        <f t="shared" si="6"/>
        <v>6.4834199999999989</v>
      </c>
      <c r="AA431" s="139">
        <v>72.400000000000006</v>
      </c>
      <c r="AE431" s="139">
        <v>32.58</v>
      </c>
      <c r="AG431" s="185">
        <v>4.5</v>
      </c>
      <c r="AI431" s="185">
        <v>120</v>
      </c>
      <c r="AJ431" s="157">
        <v>41803</v>
      </c>
      <c r="AO431" s="139">
        <v>89</v>
      </c>
      <c r="AP431" s="157">
        <v>41738</v>
      </c>
      <c r="AS431" s="139">
        <v>126</v>
      </c>
      <c r="AT431" s="157">
        <v>41766</v>
      </c>
      <c r="BS431" s="140">
        <v>50.5</v>
      </c>
      <c r="BU431" s="140">
        <v>19.899999999999999</v>
      </c>
      <c r="BW431" s="140">
        <v>20</v>
      </c>
      <c r="BY431" s="140">
        <v>7.8</v>
      </c>
      <c r="CJ431" s="140" t="s">
        <v>8140</v>
      </c>
    </row>
    <row r="432" spans="1:91">
      <c r="A432" s="188" t="s">
        <v>7760</v>
      </c>
      <c r="B432" s="189" t="s">
        <v>271</v>
      </c>
      <c r="C432" s="189">
        <v>2</v>
      </c>
      <c r="D432" s="190">
        <v>145</v>
      </c>
      <c r="E432" s="191">
        <v>40</v>
      </c>
      <c r="F432" s="191">
        <v>11</v>
      </c>
      <c r="G432" s="191"/>
      <c r="H432" s="191"/>
      <c r="I432" s="189">
        <v>62</v>
      </c>
      <c r="J432" s="193">
        <v>41705</v>
      </c>
      <c r="K432" s="194"/>
      <c r="L432" s="195"/>
      <c r="M432" s="196">
        <v>3.15</v>
      </c>
      <c r="N432" s="195">
        <v>41853</v>
      </c>
      <c r="O432" s="194"/>
      <c r="P432" s="195"/>
      <c r="Q432" s="194"/>
      <c r="R432" s="195"/>
      <c r="S432" s="194">
        <v>9.74</v>
      </c>
      <c r="T432" s="195">
        <v>41853</v>
      </c>
      <c r="U432" s="194">
        <v>15.3</v>
      </c>
      <c r="V432" s="195"/>
      <c r="W432" s="194"/>
      <c r="X432" s="195"/>
      <c r="Y432" s="139">
        <f t="shared" si="6"/>
        <v>4.9527799999999997</v>
      </c>
      <c r="Z432" s="195"/>
      <c r="AA432" s="194">
        <v>61.21</v>
      </c>
      <c r="AB432" s="195"/>
      <c r="AC432" s="194"/>
      <c r="AD432" s="195"/>
      <c r="AE432" s="194">
        <v>20.81</v>
      </c>
      <c r="AF432" s="195"/>
      <c r="AG432" s="197">
        <v>3.4</v>
      </c>
      <c r="AH432" s="195"/>
      <c r="AI432" s="197">
        <v>110</v>
      </c>
      <c r="AJ432" s="195">
        <v>41803</v>
      </c>
      <c r="AK432" s="194"/>
      <c r="AL432" s="195"/>
      <c r="AM432" s="194"/>
      <c r="AN432" s="195"/>
      <c r="AO432" s="194">
        <v>99</v>
      </c>
      <c r="AP432" s="195">
        <v>41738</v>
      </c>
      <c r="AQ432" s="194"/>
      <c r="AR432" s="194"/>
      <c r="AS432" s="194">
        <v>128</v>
      </c>
      <c r="AT432" s="195">
        <v>41766</v>
      </c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8"/>
      <c r="BF432" s="198"/>
      <c r="BG432" s="198"/>
      <c r="BH432" s="198"/>
      <c r="BI432" s="198"/>
      <c r="BJ432" s="198"/>
      <c r="BK432" s="198"/>
      <c r="BL432" s="198"/>
      <c r="BM432" s="198"/>
      <c r="BN432" s="198"/>
      <c r="BO432" s="198"/>
      <c r="BP432" s="198"/>
      <c r="BQ432" s="198"/>
      <c r="BR432" s="198"/>
      <c r="BS432" s="198">
        <v>46.8</v>
      </c>
      <c r="BT432" s="198"/>
      <c r="BU432" s="198">
        <v>23.8</v>
      </c>
      <c r="BV432" s="198"/>
      <c r="BW432" s="198">
        <v>65.900000000000006</v>
      </c>
      <c r="BX432" s="198"/>
      <c r="BY432" s="198">
        <v>8</v>
      </c>
      <c r="BZ432" s="198"/>
      <c r="CA432" s="198"/>
      <c r="CB432" s="198"/>
      <c r="CC432" s="198"/>
      <c r="CD432" s="198"/>
      <c r="CE432" s="198"/>
      <c r="CF432" s="198"/>
      <c r="CG432" s="198"/>
      <c r="CH432" s="198"/>
      <c r="CI432" s="198"/>
      <c r="CJ432" s="198" t="s">
        <v>8132</v>
      </c>
      <c r="CK432" s="198"/>
      <c r="CL432" s="198"/>
      <c r="CM432" s="198"/>
    </row>
    <row r="433" spans="1:91">
      <c r="A433" s="158" t="s">
        <v>7800</v>
      </c>
      <c r="B433" s="112" t="s">
        <v>271</v>
      </c>
      <c r="C433" s="112">
        <v>2</v>
      </c>
      <c r="D433">
        <v>185</v>
      </c>
      <c r="E433" s="113">
        <v>40</v>
      </c>
      <c r="F433" s="113">
        <v>12</v>
      </c>
      <c r="I433" s="112">
        <v>27</v>
      </c>
      <c r="J433" s="183">
        <v>41705</v>
      </c>
      <c r="M433" s="184">
        <v>5.38</v>
      </c>
      <c r="N433" s="157">
        <v>41853</v>
      </c>
      <c r="S433" s="139">
        <v>18.47</v>
      </c>
      <c r="T433" s="157">
        <v>41853</v>
      </c>
      <c r="U433" s="139">
        <v>15.3</v>
      </c>
      <c r="Y433" s="139">
        <f t="shared" si="6"/>
        <v>6.619740000000002</v>
      </c>
      <c r="AA433" s="139">
        <v>72.63</v>
      </c>
      <c r="AE433" s="139">
        <v>35.590000000000003</v>
      </c>
      <c r="AG433" s="185">
        <v>4.9000000000000004</v>
      </c>
      <c r="AI433" s="185">
        <v>120</v>
      </c>
      <c r="AJ433" s="157">
        <v>41803</v>
      </c>
      <c r="AO433" s="139">
        <v>93</v>
      </c>
      <c r="AP433" s="157">
        <v>41738</v>
      </c>
      <c r="AS433" s="139">
        <v>127</v>
      </c>
      <c r="AT433" s="157">
        <v>41766</v>
      </c>
      <c r="BS433" s="140">
        <v>51.9</v>
      </c>
      <c r="BU433" s="140">
        <v>18.600000000000001</v>
      </c>
      <c r="BW433" s="140">
        <v>16.899999999999999</v>
      </c>
      <c r="BY433" s="140">
        <v>7.9</v>
      </c>
      <c r="CJ433" s="140" t="s">
        <v>8140</v>
      </c>
    </row>
    <row r="434" spans="1:91">
      <c r="A434" s="158" t="s">
        <v>7715</v>
      </c>
      <c r="B434" s="112" t="s">
        <v>271</v>
      </c>
      <c r="C434" s="112">
        <v>3</v>
      </c>
      <c r="D434">
        <v>100</v>
      </c>
      <c r="E434" s="113">
        <v>56</v>
      </c>
      <c r="F434" s="113">
        <v>1</v>
      </c>
      <c r="I434" s="112">
        <v>35</v>
      </c>
      <c r="J434" s="183">
        <v>41705</v>
      </c>
      <c r="M434" s="184">
        <v>2.87</v>
      </c>
      <c r="N434" s="157">
        <v>41853</v>
      </c>
      <c r="S434" s="139">
        <v>8.93</v>
      </c>
      <c r="T434" s="157">
        <v>41853</v>
      </c>
      <c r="U434" s="139">
        <v>15.3</v>
      </c>
      <c r="Y434" s="139">
        <f t="shared" si="6"/>
        <v>4.2433699999999996</v>
      </c>
      <c r="AA434" s="139">
        <v>37.06</v>
      </c>
      <c r="AE434" s="139">
        <v>18.53</v>
      </c>
      <c r="AG434" s="185">
        <v>5</v>
      </c>
      <c r="AI434" s="185">
        <v>130</v>
      </c>
      <c r="AJ434" s="157">
        <v>41803</v>
      </c>
      <c r="AO434" s="139">
        <v>98</v>
      </c>
      <c r="AP434" s="157">
        <v>41738</v>
      </c>
      <c r="AS434" s="139">
        <v>129</v>
      </c>
      <c r="AT434" s="157">
        <v>41766</v>
      </c>
      <c r="BS434" s="140">
        <v>48.2</v>
      </c>
      <c r="BU434" s="140">
        <v>22.9</v>
      </c>
      <c r="BW434" s="140">
        <v>17.2</v>
      </c>
      <c r="BY434" s="140">
        <v>10.1</v>
      </c>
      <c r="CJ434" s="140" t="s">
        <v>8131</v>
      </c>
    </row>
    <row r="435" spans="1:91">
      <c r="A435" s="158" t="s">
        <v>7729</v>
      </c>
      <c r="B435" s="112" t="s">
        <v>271</v>
      </c>
      <c r="C435" s="112">
        <v>3</v>
      </c>
      <c r="D435">
        <v>114</v>
      </c>
      <c r="E435" s="113">
        <v>56</v>
      </c>
      <c r="F435" s="113">
        <v>2</v>
      </c>
      <c r="I435" s="112">
        <v>25</v>
      </c>
      <c r="J435" s="183">
        <v>41705</v>
      </c>
      <c r="M435" s="184">
        <v>3.11</v>
      </c>
      <c r="N435" s="157">
        <v>41853</v>
      </c>
      <c r="S435" s="139">
        <v>9.6999999999999993</v>
      </c>
      <c r="T435" s="157">
        <v>41853</v>
      </c>
      <c r="U435" s="139">
        <v>15.3</v>
      </c>
      <c r="Y435" s="139">
        <f t="shared" si="6"/>
        <v>4.3778099999999993</v>
      </c>
      <c r="AA435" s="139">
        <v>40.799999999999997</v>
      </c>
      <c r="AE435" s="139">
        <v>19.989999999999998</v>
      </c>
      <c r="AG435" s="185">
        <v>4.9000000000000004</v>
      </c>
      <c r="AI435" s="185">
        <v>135</v>
      </c>
      <c r="AJ435" s="157">
        <v>41803</v>
      </c>
      <c r="AO435" s="139">
        <v>92</v>
      </c>
      <c r="AP435" s="157">
        <v>41738</v>
      </c>
      <c r="AS435" s="139">
        <v>128</v>
      </c>
      <c r="AT435" s="157">
        <v>41766</v>
      </c>
      <c r="BS435" s="140">
        <v>48.5</v>
      </c>
      <c r="BU435" s="140">
        <v>21.9</v>
      </c>
      <c r="BW435" s="140">
        <v>18.399999999999999</v>
      </c>
      <c r="BY435" s="140">
        <v>10.5</v>
      </c>
      <c r="CJ435" s="140" t="s">
        <v>8140</v>
      </c>
    </row>
    <row r="436" spans="1:91">
      <c r="A436" s="158" t="s">
        <v>7766</v>
      </c>
      <c r="B436" s="112" t="s">
        <v>271</v>
      </c>
      <c r="C436" s="112">
        <v>3</v>
      </c>
      <c r="D436">
        <v>151</v>
      </c>
      <c r="E436" s="113">
        <v>56</v>
      </c>
      <c r="F436" s="113">
        <v>3</v>
      </c>
      <c r="I436" s="112">
        <v>27</v>
      </c>
      <c r="J436" s="183">
        <v>41705</v>
      </c>
      <c r="M436" s="184">
        <v>3.69</v>
      </c>
      <c r="N436" s="157">
        <v>41853</v>
      </c>
      <c r="S436" s="139">
        <v>11.68</v>
      </c>
      <c r="T436" s="157">
        <v>41853</v>
      </c>
      <c r="U436" s="139">
        <v>15.3</v>
      </c>
      <c r="Y436" s="139">
        <f t="shared" si="6"/>
        <v>5.0459700000000005</v>
      </c>
      <c r="AA436" s="139">
        <v>51.5</v>
      </c>
      <c r="AE436" s="139">
        <v>23.69</v>
      </c>
      <c r="AG436" s="185">
        <v>4.5999999999999996</v>
      </c>
      <c r="AI436" s="185">
        <v>135</v>
      </c>
      <c r="AJ436" s="157">
        <v>41803</v>
      </c>
      <c r="AO436" s="139">
        <v>95</v>
      </c>
      <c r="AP436" s="157">
        <v>41738</v>
      </c>
      <c r="AS436" s="139">
        <v>129</v>
      </c>
      <c r="AT436" s="157">
        <v>41766</v>
      </c>
      <c r="BS436" s="140">
        <v>49.3</v>
      </c>
      <c r="BU436" s="140">
        <v>21.3</v>
      </c>
      <c r="BW436" s="140">
        <v>12.7</v>
      </c>
      <c r="BY436" s="140">
        <v>10.6</v>
      </c>
      <c r="CJ436" s="140" t="s">
        <v>8140</v>
      </c>
    </row>
    <row r="437" spans="1:91">
      <c r="A437" s="188" t="s">
        <v>7760</v>
      </c>
      <c r="B437" s="189" t="s">
        <v>271</v>
      </c>
      <c r="C437" s="189">
        <v>3</v>
      </c>
      <c r="D437" s="190">
        <v>145</v>
      </c>
      <c r="E437" s="191">
        <v>56</v>
      </c>
      <c r="F437" s="191">
        <v>4</v>
      </c>
      <c r="G437" s="191"/>
      <c r="H437" s="191"/>
      <c r="I437" s="189">
        <v>43</v>
      </c>
      <c r="J437" s="193">
        <v>41705</v>
      </c>
      <c r="K437" s="194"/>
      <c r="L437" s="195"/>
      <c r="M437" s="196">
        <v>3.4</v>
      </c>
      <c r="N437" s="195">
        <v>41853</v>
      </c>
      <c r="O437" s="194"/>
      <c r="P437" s="195"/>
      <c r="Q437" s="194"/>
      <c r="R437" s="195"/>
      <c r="S437" s="194">
        <v>10.130000000000001</v>
      </c>
      <c r="T437" s="195">
        <v>41853</v>
      </c>
      <c r="U437" s="194">
        <v>15.3</v>
      </c>
      <c r="V437" s="195"/>
      <c r="W437" s="194"/>
      <c r="X437" s="195"/>
      <c r="Y437" s="139">
        <f t="shared" si="6"/>
        <v>5.2751999999999999</v>
      </c>
      <c r="Z437" s="195"/>
      <c r="AA437" s="194">
        <v>66.61</v>
      </c>
      <c r="AB437" s="195"/>
      <c r="AC437" s="194"/>
      <c r="AD437" s="195"/>
      <c r="AE437" s="194">
        <v>21.98</v>
      </c>
      <c r="AF437" s="195"/>
      <c r="AG437" s="197">
        <v>3.3</v>
      </c>
      <c r="AH437" s="195"/>
      <c r="AI437" s="197">
        <v>135</v>
      </c>
      <c r="AJ437" s="195">
        <v>41803</v>
      </c>
      <c r="AK437" s="194"/>
      <c r="AL437" s="195"/>
      <c r="AM437" s="194"/>
      <c r="AN437" s="195"/>
      <c r="AO437" s="194">
        <v>97</v>
      </c>
      <c r="AP437" s="195">
        <v>41738</v>
      </c>
      <c r="AQ437" s="194"/>
      <c r="AR437" s="194"/>
      <c r="AS437" s="194">
        <v>128</v>
      </c>
      <c r="AT437" s="195">
        <v>41766</v>
      </c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8"/>
      <c r="BF437" s="198"/>
      <c r="BG437" s="198"/>
      <c r="BH437" s="198"/>
      <c r="BI437" s="198"/>
      <c r="BJ437" s="198"/>
      <c r="BK437" s="198"/>
      <c r="BL437" s="198"/>
      <c r="BM437" s="198"/>
      <c r="BN437" s="198"/>
      <c r="BO437" s="198"/>
      <c r="BP437" s="198"/>
      <c r="BQ437" s="198"/>
      <c r="BR437" s="198"/>
      <c r="BS437" s="198">
        <v>46.1</v>
      </c>
      <c r="BT437" s="198"/>
      <c r="BU437" s="198">
        <v>24</v>
      </c>
      <c r="BV437" s="198"/>
      <c r="BW437" s="198">
        <v>65.900000000000006</v>
      </c>
      <c r="BX437" s="198"/>
      <c r="BY437" s="198">
        <v>10</v>
      </c>
      <c r="BZ437" s="198"/>
      <c r="CA437" s="198"/>
      <c r="CB437" s="198"/>
      <c r="CC437" s="198"/>
      <c r="CD437" s="198"/>
      <c r="CE437" s="198"/>
      <c r="CF437" s="198"/>
      <c r="CG437" s="198"/>
      <c r="CH437" s="198"/>
      <c r="CI437" s="198"/>
      <c r="CJ437" s="198" t="s">
        <v>8131</v>
      </c>
      <c r="CK437" s="198"/>
      <c r="CL437" s="198"/>
      <c r="CM437" s="198"/>
    </row>
    <row r="438" spans="1:91">
      <c r="A438" s="158" t="s">
        <v>7797</v>
      </c>
      <c r="B438" s="112" t="s">
        <v>271</v>
      </c>
      <c r="C438" s="112">
        <v>3</v>
      </c>
      <c r="D438">
        <v>182</v>
      </c>
      <c r="E438" s="113">
        <v>56</v>
      </c>
      <c r="F438" s="113">
        <v>5</v>
      </c>
      <c r="I438" s="112">
        <v>35</v>
      </c>
      <c r="J438" s="183">
        <v>41705</v>
      </c>
      <c r="M438" s="184">
        <v>4.24</v>
      </c>
      <c r="N438" s="157">
        <v>41853</v>
      </c>
      <c r="S438" s="139">
        <v>13.45</v>
      </c>
      <c r="T438" s="157">
        <v>41853</v>
      </c>
      <c r="U438" s="139">
        <v>15.3</v>
      </c>
      <c r="Y438" s="139">
        <f t="shared" si="6"/>
        <v>5.9765099999999993</v>
      </c>
      <c r="AA438" s="139">
        <v>53.51</v>
      </c>
      <c r="AE438" s="139">
        <v>27.29</v>
      </c>
      <c r="AG438" s="185">
        <v>5.0999999999999996</v>
      </c>
      <c r="AI438" s="185">
        <v>125</v>
      </c>
      <c r="AJ438" s="157">
        <v>41803</v>
      </c>
      <c r="AO438" s="139">
        <v>90</v>
      </c>
      <c r="AP438" s="157">
        <v>41738</v>
      </c>
      <c r="AS438" s="139">
        <v>127</v>
      </c>
      <c r="AT438" s="157">
        <v>41766</v>
      </c>
      <c r="BS438" s="140">
        <v>49.3</v>
      </c>
      <c r="BU438" s="140">
        <v>21.9</v>
      </c>
      <c r="BW438" s="140">
        <v>14.9</v>
      </c>
      <c r="BY438" s="140">
        <v>10.4</v>
      </c>
      <c r="CJ438" s="140" t="s">
        <v>8140</v>
      </c>
    </row>
    <row r="439" spans="1:91">
      <c r="A439" s="158" t="s">
        <v>7781</v>
      </c>
      <c r="B439" s="112" t="s">
        <v>271</v>
      </c>
      <c r="C439" s="112">
        <v>3</v>
      </c>
      <c r="D439">
        <v>166</v>
      </c>
      <c r="E439" s="113">
        <v>56</v>
      </c>
      <c r="F439" s="113">
        <v>6</v>
      </c>
      <c r="I439" s="112">
        <v>61</v>
      </c>
      <c r="J439" s="183">
        <v>41705</v>
      </c>
      <c r="M439" s="184">
        <v>4.99</v>
      </c>
      <c r="N439" s="157">
        <v>41853</v>
      </c>
      <c r="S439" s="139">
        <v>15.81</v>
      </c>
      <c r="T439" s="157">
        <v>41853</v>
      </c>
      <c r="U439" s="139">
        <v>15.3</v>
      </c>
      <c r="Y439" s="139">
        <f t="shared" si="6"/>
        <v>6.6260699999999995</v>
      </c>
      <c r="AA439" s="139">
        <v>64.02</v>
      </c>
      <c r="AE439" s="139">
        <v>32.01</v>
      </c>
      <c r="AG439" s="185">
        <v>5</v>
      </c>
      <c r="AI439" s="185">
        <v>125</v>
      </c>
      <c r="AJ439" s="157">
        <v>41803</v>
      </c>
      <c r="AO439" s="139">
        <v>92</v>
      </c>
      <c r="AP439" s="157">
        <v>41738</v>
      </c>
      <c r="AS439" s="139">
        <v>128</v>
      </c>
      <c r="AT439" s="157">
        <v>41766</v>
      </c>
      <c r="BS439" s="140">
        <v>49.4</v>
      </c>
      <c r="BU439" s="140">
        <v>20.7</v>
      </c>
      <c r="BW439" s="140">
        <v>12.2</v>
      </c>
      <c r="BY439" s="140">
        <v>10.7</v>
      </c>
      <c r="CJ439" s="140" t="s">
        <v>8140</v>
      </c>
    </row>
    <row r="440" spans="1:91">
      <c r="A440" s="158" t="s">
        <v>7806</v>
      </c>
      <c r="B440" s="112" t="s">
        <v>269</v>
      </c>
      <c r="C440" s="112">
        <v>4</v>
      </c>
      <c r="D440">
        <v>191</v>
      </c>
      <c r="E440" s="113">
        <v>56</v>
      </c>
      <c r="F440" s="113">
        <v>7</v>
      </c>
      <c r="I440" s="112">
        <v>37</v>
      </c>
      <c r="J440" s="183">
        <v>41705</v>
      </c>
      <c r="M440" s="184">
        <v>2.35</v>
      </c>
      <c r="N440" s="157">
        <v>41853</v>
      </c>
      <c r="S440" s="139">
        <v>8.01</v>
      </c>
      <c r="T440" s="157">
        <v>41853</v>
      </c>
      <c r="U440" s="139">
        <v>15.3</v>
      </c>
      <c r="Y440" s="139">
        <f t="shared" si="6"/>
        <v>2.7971999999999997</v>
      </c>
      <c r="AA440" s="139">
        <v>39.79</v>
      </c>
      <c r="AE440" s="139">
        <v>15.12</v>
      </c>
      <c r="AG440" s="185">
        <v>3.8</v>
      </c>
      <c r="AI440" s="185">
        <v>115</v>
      </c>
      <c r="AJ440" s="157">
        <v>41803</v>
      </c>
      <c r="AO440" s="139">
        <v>93</v>
      </c>
      <c r="AP440" s="157">
        <v>41738</v>
      </c>
      <c r="AS440" s="139">
        <v>127</v>
      </c>
      <c r="AT440" s="157">
        <v>41766</v>
      </c>
      <c r="BS440" s="140">
        <v>53</v>
      </c>
      <c r="BU440" s="140">
        <v>18.5</v>
      </c>
      <c r="BW440" s="140">
        <v>11.6</v>
      </c>
      <c r="BY440" s="140">
        <v>10.4</v>
      </c>
      <c r="CJ440" s="140" t="s">
        <v>8140</v>
      </c>
    </row>
    <row r="441" spans="1:91">
      <c r="A441" s="158" t="s">
        <v>7740</v>
      </c>
      <c r="B441" s="112" t="s">
        <v>269</v>
      </c>
      <c r="C441" s="112">
        <v>4</v>
      </c>
      <c r="D441">
        <v>125</v>
      </c>
      <c r="E441" s="113">
        <v>56</v>
      </c>
      <c r="F441" s="113">
        <v>8</v>
      </c>
      <c r="I441" s="112">
        <v>43</v>
      </c>
      <c r="J441" s="183">
        <v>41705</v>
      </c>
      <c r="M441" s="184">
        <v>2.86</v>
      </c>
      <c r="N441" s="157">
        <v>41853</v>
      </c>
      <c r="S441" s="139">
        <v>9.68</v>
      </c>
      <c r="T441" s="157">
        <v>41853</v>
      </c>
      <c r="U441" s="139">
        <v>15.3</v>
      </c>
      <c r="Y441" s="139">
        <f t="shared" si="6"/>
        <v>3.1768399999999999</v>
      </c>
      <c r="AA441" s="139">
        <v>41.98</v>
      </c>
      <c r="AE441" s="139">
        <v>18.47</v>
      </c>
      <c r="AG441" s="185">
        <v>4.4000000000000004</v>
      </c>
      <c r="AI441" s="185">
        <v>115</v>
      </c>
      <c r="AJ441" s="157">
        <v>41803</v>
      </c>
      <c r="AO441" s="139">
        <v>88</v>
      </c>
      <c r="AP441" s="157">
        <v>41738</v>
      </c>
      <c r="AS441" s="139">
        <v>126</v>
      </c>
      <c r="AT441" s="157">
        <v>41766</v>
      </c>
      <c r="BS441" s="140">
        <v>52.4</v>
      </c>
      <c r="BU441" s="140">
        <v>17.2</v>
      </c>
      <c r="BW441" s="140">
        <v>19.3</v>
      </c>
      <c r="BY441" s="140">
        <v>10.1</v>
      </c>
      <c r="CJ441" s="140" t="s">
        <v>8140</v>
      </c>
    </row>
    <row r="442" spans="1:91">
      <c r="A442" s="158" t="s">
        <v>7737</v>
      </c>
      <c r="B442" s="112" t="s">
        <v>269</v>
      </c>
      <c r="C442" s="112">
        <v>4</v>
      </c>
      <c r="D442">
        <v>122</v>
      </c>
      <c r="E442" s="113">
        <v>56</v>
      </c>
      <c r="F442" s="113">
        <v>9</v>
      </c>
      <c r="I442" s="112">
        <v>36</v>
      </c>
      <c r="J442" s="183">
        <v>41705</v>
      </c>
      <c r="M442" s="184">
        <v>2.44</v>
      </c>
      <c r="N442" s="157">
        <v>41853</v>
      </c>
      <c r="S442" s="139">
        <v>8.15</v>
      </c>
      <c r="T442" s="157">
        <v>41853</v>
      </c>
      <c r="U442" s="139">
        <v>15.3</v>
      </c>
      <c r="Y442" s="139">
        <f t="shared" si="6"/>
        <v>2.7475000000000001</v>
      </c>
      <c r="AA442" s="139">
        <v>36.51</v>
      </c>
      <c r="AE442" s="139">
        <v>15.7</v>
      </c>
      <c r="AG442" s="185">
        <v>4.3</v>
      </c>
      <c r="AI442" s="185">
        <v>115</v>
      </c>
      <c r="AJ442" s="157">
        <v>41803</v>
      </c>
      <c r="AO442" s="139">
        <v>92</v>
      </c>
      <c r="AP442" s="157">
        <v>41738</v>
      </c>
      <c r="AS442" s="139">
        <v>126</v>
      </c>
      <c r="AT442" s="157">
        <v>41766</v>
      </c>
      <c r="BS442" s="140">
        <v>51.9</v>
      </c>
      <c r="BU442" s="140">
        <v>17.5</v>
      </c>
      <c r="BW442" s="140">
        <v>12</v>
      </c>
      <c r="BY442" s="140">
        <v>10.4</v>
      </c>
      <c r="CJ442" s="140" t="s">
        <v>8140</v>
      </c>
    </row>
    <row r="443" spans="1:91">
      <c r="A443" s="158" t="s">
        <v>7713</v>
      </c>
      <c r="B443" s="112" t="s">
        <v>269</v>
      </c>
      <c r="C443" s="112">
        <v>4</v>
      </c>
      <c r="D443">
        <v>98</v>
      </c>
      <c r="E443" s="113">
        <v>56</v>
      </c>
      <c r="F443" s="113">
        <v>10</v>
      </c>
      <c r="I443" s="112">
        <v>42</v>
      </c>
      <c r="J443" s="183">
        <v>41705</v>
      </c>
      <c r="M443" s="184">
        <v>2.0499999999999998</v>
      </c>
      <c r="N443" s="157">
        <v>41853</v>
      </c>
      <c r="S443" s="139">
        <v>6.79</v>
      </c>
      <c r="T443" s="157">
        <v>41853</v>
      </c>
      <c r="U443" s="139">
        <v>15.3</v>
      </c>
      <c r="Y443" s="139">
        <f t="shared" si="6"/>
        <v>2.3214399999999999</v>
      </c>
      <c r="AA443" s="139">
        <v>30.67</v>
      </c>
      <c r="AE443" s="139">
        <v>13.19</v>
      </c>
      <c r="AG443" s="185">
        <v>4.3</v>
      </c>
      <c r="AI443" s="185">
        <v>110</v>
      </c>
      <c r="AJ443" s="157">
        <v>41803</v>
      </c>
      <c r="AO443" s="139">
        <v>95</v>
      </c>
      <c r="AP443" s="157">
        <v>41738</v>
      </c>
      <c r="AS443" s="139">
        <v>126</v>
      </c>
      <c r="AT443" s="157">
        <v>41766</v>
      </c>
      <c r="BS443" s="140">
        <v>51.5</v>
      </c>
      <c r="BU443" s="140">
        <v>17.600000000000001</v>
      </c>
      <c r="BW443" s="140">
        <v>12.3</v>
      </c>
      <c r="BY443" s="140">
        <v>10.4</v>
      </c>
      <c r="CJ443" s="140" t="s">
        <v>8140</v>
      </c>
    </row>
    <row r="444" spans="1:91">
      <c r="A444" s="158" t="s">
        <v>7738</v>
      </c>
      <c r="B444" s="112" t="s">
        <v>269</v>
      </c>
      <c r="C444" s="112">
        <v>4</v>
      </c>
      <c r="D444">
        <v>123</v>
      </c>
      <c r="E444" s="113">
        <v>56</v>
      </c>
      <c r="F444" s="113">
        <v>11</v>
      </c>
      <c r="I444" s="112">
        <v>42</v>
      </c>
      <c r="J444" s="183">
        <v>41705</v>
      </c>
      <c r="M444" s="184">
        <v>2.82</v>
      </c>
      <c r="N444" s="157">
        <v>41853</v>
      </c>
      <c r="S444" s="139">
        <v>9.8000000000000007</v>
      </c>
      <c r="T444" s="157">
        <v>41853</v>
      </c>
      <c r="U444" s="139">
        <v>15.3</v>
      </c>
      <c r="Y444" s="139">
        <f t="shared" si="6"/>
        <v>3.3142200000000002</v>
      </c>
      <c r="AA444" s="139">
        <v>41.39</v>
      </c>
      <c r="AE444" s="139">
        <v>18.21</v>
      </c>
      <c r="AG444" s="185">
        <v>4.4000000000000004</v>
      </c>
      <c r="AI444" s="185">
        <v>115</v>
      </c>
      <c r="AJ444" s="157">
        <v>41803</v>
      </c>
      <c r="AO444" s="139">
        <v>91</v>
      </c>
      <c r="AP444" s="157">
        <v>41738</v>
      </c>
      <c r="AS444" s="139">
        <v>124</v>
      </c>
      <c r="AT444" s="157">
        <v>41766</v>
      </c>
      <c r="BS444" s="140">
        <v>53.8</v>
      </c>
      <c r="BU444" s="140">
        <v>18.2</v>
      </c>
      <c r="BW444" s="140">
        <v>16.7</v>
      </c>
      <c r="BY444" s="140">
        <v>10.1</v>
      </c>
      <c r="CJ444" s="140" t="s">
        <v>8140</v>
      </c>
    </row>
    <row r="445" spans="1:91">
      <c r="A445" s="158" t="s">
        <v>7691</v>
      </c>
      <c r="B445" s="112" t="s">
        <v>269</v>
      </c>
      <c r="C445" s="112">
        <v>4</v>
      </c>
      <c r="D445">
        <v>76</v>
      </c>
      <c r="E445" s="113">
        <v>56</v>
      </c>
      <c r="F445" s="113">
        <v>12</v>
      </c>
      <c r="I445" s="112">
        <v>37</v>
      </c>
      <c r="J445" s="183">
        <v>41705</v>
      </c>
      <c r="M445" s="184">
        <v>3.2</v>
      </c>
      <c r="N445" s="157">
        <v>41853</v>
      </c>
      <c r="S445" s="139">
        <v>11.04</v>
      </c>
      <c r="T445" s="157">
        <v>41853</v>
      </c>
      <c r="U445" s="139">
        <v>15.3</v>
      </c>
      <c r="Y445" s="139">
        <f t="shared" si="6"/>
        <v>3.34368</v>
      </c>
      <c r="AA445" s="139">
        <v>39.69</v>
      </c>
      <c r="AE445" s="139">
        <v>20.64</v>
      </c>
      <c r="AG445" s="185">
        <v>5.2</v>
      </c>
      <c r="AI445" s="185">
        <v>115</v>
      </c>
      <c r="AJ445" s="157">
        <v>41803</v>
      </c>
      <c r="AO445" s="139">
        <v>91</v>
      </c>
      <c r="AP445" s="157">
        <v>41738</v>
      </c>
      <c r="AS445" s="139">
        <v>126</v>
      </c>
      <c r="AT445" s="157">
        <v>41766</v>
      </c>
      <c r="BS445" s="140">
        <v>53.5</v>
      </c>
      <c r="BU445" s="140">
        <v>16.2</v>
      </c>
      <c r="BW445" s="140">
        <v>12.7</v>
      </c>
      <c r="BY445" s="140">
        <v>10.199999999999999</v>
      </c>
      <c r="CJ445" s="140" t="s">
        <v>8140</v>
      </c>
    </row>
    <row r="446" spans="1:91">
      <c r="A446" s="158" t="s">
        <v>7756</v>
      </c>
      <c r="B446" s="112" t="s">
        <v>271</v>
      </c>
      <c r="C446" s="112">
        <v>3</v>
      </c>
      <c r="D446">
        <v>141</v>
      </c>
      <c r="E446" s="113">
        <v>57</v>
      </c>
      <c r="F446" s="113">
        <v>1</v>
      </c>
      <c r="I446" s="112">
        <v>28</v>
      </c>
      <c r="J446" s="183">
        <v>41705</v>
      </c>
      <c r="M446" s="184">
        <v>0.86</v>
      </c>
      <c r="N446" s="157">
        <v>41853</v>
      </c>
      <c r="S446" s="139">
        <v>2.5499999999999998</v>
      </c>
      <c r="T446" s="157">
        <v>41853</v>
      </c>
      <c r="U446" s="139">
        <v>15.3</v>
      </c>
      <c r="Y446" s="139">
        <f t="shared" si="6"/>
        <v>1.3548500000000001</v>
      </c>
      <c r="AA446" s="139">
        <v>13.83</v>
      </c>
      <c r="AE446" s="139">
        <v>5.53</v>
      </c>
      <c r="AG446" s="185">
        <v>4</v>
      </c>
      <c r="AI446" s="185">
        <v>110</v>
      </c>
      <c r="AJ446" s="157">
        <v>41803</v>
      </c>
      <c r="AO446" s="139">
        <v>90</v>
      </c>
      <c r="AP446" s="157">
        <v>41738</v>
      </c>
      <c r="AS446" s="139">
        <v>128</v>
      </c>
      <c r="AT446" s="157">
        <v>41766</v>
      </c>
      <c r="BS446" s="140">
        <v>46.2</v>
      </c>
      <c r="BU446" s="140">
        <v>24.5</v>
      </c>
      <c r="BW446" s="140">
        <v>69.8</v>
      </c>
      <c r="BY446" s="140">
        <v>10.4</v>
      </c>
      <c r="CJ446" s="140" t="s">
        <v>8154</v>
      </c>
    </row>
    <row r="447" spans="1:91">
      <c r="A447" s="158" t="s">
        <v>7772</v>
      </c>
      <c r="B447" s="112" t="s">
        <v>271</v>
      </c>
      <c r="C447" s="112">
        <v>3</v>
      </c>
      <c r="D447">
        <v>157</v>
      </c>
      <c r="E447" s="113">
        <v>57</v>
      </c>
      <c r="F447" s="113">
        <v>2</v>
      </c>
      <c r="I447" s="112">
        <v>32</v>
      </c>
      <c r="J447" s="183">
        <v>41705</v>
      </c>
      <c r="M447" s="184">
        <v>4.8099999999999996</v>
      </c>
      <c r="N447" s="157">
        <v>41853</v>
      </c>
      <c r="S447" s="139">
        <v>15.51</v>
      </c>
      <c r="T447" s="157">
        <v>41853</v>
      </c>
      <c r="U447" s="139">
        <v>15.3</v>
      </c>
      <c r="Y447" s="139">
        <f t="shared" si="6"/>
        <v>6.19</v>
      </c>
      <c r="AA447" s="139">
        <v>70.34</v>
      </c>
      <c r="AE447" s="139">
        <v>30.95</v>
      </c>
      <c r="AG447" s="185">
        <v>4.4000000000000004</v>
      </c>
      <c r="AI447" s="185">
        <v>145</v>
      </c>
      <c r="AJ447" s="157">
        <v>41803</v>
      </c>
      <c r="AO447" s="139">
        <v>93</v>
      </c>
      <c r="AP447" s="157">
        <v>41738</v>
      </c>
      <c r="AS447" s="139">
        <v>128</v>
      </c>
      <c r="AT447" s="157">
        <v>41766</v>
      </c>
      <c r="BS447" s="140">
        <v>50.1</v>
      </c>
      <c r="BU447" s="140">
        <v>20</v>
      </c>
      <c r="BW447" s="140">
        <v>15.7</v>
      </c>
      <c r="BY447" s="140">
        <v>10.4</v>
      </c>
      <c r="CJ447" s="140" t="s">
        <v>8140</v>
      </c>
    </row>
    <row r="448" spans="1:91">
      <c r="A448" s="158" t="s">
        <v>7631</v>
      </c>
      <c r="B448" s="112" t="s">
        <v>271</v>
      </c>
      <c r="C448" s="112">
        <v>3</v>
      </c>
      <c r="D448">
        <v>16</v>
      </c>
      <c r="E448" s="113">
        <v>57</v>
      </c>
      <c r="F448" s="113">
        <v>3</v>
      </c>
      <c r="I448" s="187">
        <v>30</v>
      </c>
      <c r="J448" s="183">
        <v>41705</v>
      </c>
      <c r="K448" s="142"/>
      <c r="M448" s="184">
        <v>2.42</v>
      </c>
      <c r="N448" s="157">
        <v>41853</v>
      </c>
      <c r="O448" s="141"/>
      <c r="Q448" s="142"/>
      <c r="S448" s="142">
        <v>7.15</v>
      </c>
      <c r="T448" s="157">
        <v>41853</v>
      </c>
      <c r="U448" s="142">
        <v>15.3</v>
      </c>
      <c r="W448" s="142"/>
      <c r="Y448" s="139">
        <f t="shared" si="6"/>
        <v>3.7368000000000001</v>
      </c>
      <c r="AA448" s="142">
        <v>31.14</v>
      </c>
      <c r="AE448" s="142">
        <v>15.57</v>
      </c>
      <c r="AG448" s="185">
        <v>5</v>
      </c>
      <c r="AI448" s="185">
        <v>125</v>
      </c>
      <c r="AJ448" s="157">
        <v>41803</v>
      </c>
      <c r="AK448" s="142"/>
      <c r="AM448" s="142"/>
      <c r="AO448" s="139">
        <v>94</v>
      </c>
      <c r="AP448" s="157">
        <v>41738</v>
      </c>
      <c r="AS448" s="139">
        <v>129</v>
      </c>
      <c r="AT448" s="157">
        <v>41766</v>
      </c>
      <c r="BS448" s="140">
        <v>45.9</v>
      </c>
      <c r="BU448" s="140">
        <v>24</v>
      </c>
      <c r="BW448" s="140">
        <v>68.599999999999994</v>
      </c>
      <c r="BY448" s="140">
        <v>10.4</v>
      </c>
      <c r="CJ448" s="140" t="s">
        <v>8140</v>
      </c>
    </row>
    <row r="449" spans="1:91">
      <c r="A449" s="158" t="s">
        <v>7782</v>
      </c>
      <c r="B449" s="112" t="s">
        <v>271</v>
      </c>
      <c r="C449" s="112">
        <v>3</v>
      </c>
      <c r="D449">
        <v>167</v>
      </c>
      <c r="E449" s="113">
        <v>57</v>
      </c>
      <c r="F449" s="113">
        <v>4</v>
      </c>
      <c r="I449" s="112">
        <v>20</v>
      </c>
      <c r="J449" s="183">
        <v>41705</v>
      </c>
      <c r="M449" s="184">
        <v>4.16</v>
      </c>
      <c r="N449" s="157">
        <v>41853</v>
      </c>
      <c r="S449" s="139">
        <v>13.76</v>
      </c>
      <c r="T449" s="157">
        <v>41853</v>
      </c>
      <c r="U449" s="139">
        <v>15.3</v>
      </c>
      <c r="Y449" s="139">
        <f t="shared" si="6"/>
        <v>5.2707600000000001</v>
      </c>
      <c r="AA449" s="139">
        <v>53.24</v>
      </c>
      <c r="AE449" s="139">
        <v>26.62</v>
      </c>
      <c r="AG449" s="185">
        <v>5</v>
      </c>
      <c r="AI449" s="185">
        <v>135</v>
      </c>
      <c r="AJ449" s="157">
        <v>41803</v>
      </c>
      <c r="AO449" s="139">
        <v>94</v>
      </c>
      <c r="AP449" s="157">
        <v>41738</v>
      </c>
      <c r="AS449" s="139">
        <v>127</v>
      </c>
      <c r="AT449" s="157">
        <v>41766</v>
      </c>
      <c r="BS449" s="140">
        <v>51.7</v>
      </c>
      <c r="BU449" s="140">
        <v>19.8</v>
      </c>
      <c r="BW449" s="140">
        <v>14.9</v>
      </c>
      <c r="BY449" s="140">
        <v>10.9</v>
      </c>
      <c r="CJ449" s="140" t="s">
        <v>8140</v>
      </c>
    </row>
    <row r="450" spans="1:91">
      <c r="A450" s="158" t="s">
        <v>7735</v>
      </c>
      <c r="B450" s="112" t="s">
        <v>271</v>
      </c>
      <c r="C450" s="112">
        <v>3</v>
      </c>
      <c r="D450">
        <v>120</v>
      </c>
      <c r="E450" s="113">
        <v>57</v>
      </c>
      <c r="F450" s="113">
        <v>5</v>
      </c>
      <c r="I450" s="112">
        <v>22</v>
      </c>
      <c r="J450" s="183">
        <v>41705</v>
      </c>
      <c r="M450" s="184">
        <v>3.89</v>
      </c>
      <c r="N450" s="157">
        <v>41853</v>
      </c>
      <c r="S450" s="139">
        <v>12.34</v>
      </c>
      <c r="T450" s="157">
        <v>41853</v>
      </c>
      <c r="U450" s="139">
        <v>15.3</v>
      </c>
      <c r="Y450" s="139">
        <f t="shared" ref="Y450:Y513" si="7">(AE450*BU450)/100</f>
        <v>5.1086</v>
      </c>
      <c r="AA450" s="139">
        <v>50.86</v>
      </c>
      <c r="AE450" s="139">
        <v>24.92</v>
      </c>
      <c r="AG450" s="185">
        <v>4.9000000000000004</v>
      </c>
      <c r="AI450" s="185">
        <v>125</v>
      </c>
      <c r="AJ450" s="157">
        <v>41803</v>
      </c>
      <c r="AO450" s="139">
        <v>91</v>
      </c>
      <c r="AP450" s="157">
        <v>41738</v>
      </c>
      <c r="AS450" s="139">
        <v>128</v>
      </c>
      <c r="AT450" s="157">
        <v>41766</v>
      </c>
      <c r="BS450" s="140">
        <v>49.5</v>
      </c>
      <c r="BU450" s="140">
        <v>20.5</v>
      </c>
      <c r="BW450" s="140">
        <v>14.3</v>
      </c>
      <c r="BY450" s="140">
        <v>10.8</v>
      </c>
      <c r="CJ450" s="140" t="s">
        <v>8140</v>
      </c>
    </row>
    <row r="451" spans="1:91">
      <c r="A451" s="158" t="s">
        <v>7723</v>
      </c>
      <c r="B451" s="112" t="s">
        <v>271</v>
      </c>
      <c r="C451" s="112">
        <v>3</v>
      </c>
      <c r="D451">
        <v>108</v>
      </c>
      <c r="E451" s="113">
        <v>57</v>
      </c>
      <c r="F451" s="113">
        <v>6</v>
      </c>
      <c r="I451" s="112">
        <v>21</v>
      </c>
      <c r="J451" s="183">
        <v>41705</v>
      </c>
      <c r="M451" s="184">
        <v>2.48</v>
      </c>
      <c r="N451" s="157">
        <v>41853</v>
      </c>
      <c r="S451" s="139">
        <v>8.11</v>
      </c>
      <c r="T451" s="157">
        <v>41853</v>
      </c>
      <c r="U451" s="139">
        <v>15.3</v>
      </c>
      <c r="Y451" s="139">
        <f t="shared" si="7"/>
        <v>3.1122000000000001</v>
      </c>
      <c r="AA451" s="139">
        <v>38</v>
      </c>
      <c r="AE451" s="139">
        <v>15.96</v>
      </c>
      <c r="AG451" s="185">
        <v>4.2</v>
      </c>
      <c r="AI451" s="185">
        <v>140</v>
      </c>
      <c r="AJ451" s="157">
        <v>41803</v>
      </c>
      <c r="AO451" s="139">
        <v>95</v>
      </c>
      <c r="AP451" s="157">
        <v>41738</v>
      </c>
      <c r="AS451" s="139">
        <v>128</v>
      </c>
      <c r="AT451" s="157">
        <v>41766</v>
      </c>
      <c r="BS451" s="140">
        <v>50.8</v>
      </c>
      <c r="BU451" s="140">
        <v>19.5</v>
      </c>
      <c r="BW451" s="140">
        <v>13.9</v>
      </c>
      <c r="BY451" s="140">
        <v>10.4</v>
      </c>
      <c r="CJ451" s="140" t="s">
        <v>8131</v>
      </c>
    </row>
    <row r="452" spans="1:91">
      <c r="A452" s="158" t="s">
        <v>7758</v>
      </c>
      <c r="B452" s="112" t="s">
        <v>269</v>
      </c>
      <c r="C452" s="112">
        <v>4</v>
      </c>
      <c r="D452">
        <v>143</v>
      </c>
      <c r="E452" s="113">
        <v>57</v>
      </c>
      <c r="F452" s="113">
        <v>7</v>
      </c>
      <c r="I452" s="112">
        <v>54</v>
      </c>
      <c r="J452" s="183">
        <v>41705</v>
      </c>
      <c r="M452" s="184">
        <v>1.74</v>
      </c>
      <c r="N452" s="157">
        <v>41853</v>
      </c>
      <c r="S452" s="139">
        <v>5.86</v>
      </c>
      <c r="T452" s="157">
        <v>41853</v>
      </c>
      <c r="U452" s="139">
        <v>15.3</v>
      </c>
      <c r="Y452" s="139">
        <f t="shared" si="7"/>
        <v>2.2176</v>
      </c>
      <c r="AA452" s="139">
        <v>23.33</v>
      </c>
      <c r="AE452" s="139">
        <v>11.2</v>
      </c>
      <c r="AG452" s="185">
        <v>4.8</v>
      </c>
      <c r="AI452" s="185">
        <v>115</v>
      </c>
      <c r="AJ452" s="157">
        <v>41803</v>
      </c>
      <c r="AO452" s="139">
        <v>89</v>
      </c>
      <c r="AP452" s="157">
        <v>41738</v>
      </c>
      <c r="AS452" s="139">
        <v>126</v>
      </c>
      <c r="AT452" s="157">
        <v>41766</v>
      </c>
      <c r="BS452" s="140">
        <v>52.3</v>
      </c>
      <c r="BU452" s="140">
        <v>19.8</v>
      </c>
      <c r="BW452" s="140">
        <v>62.2</v>
      </c>
      <c r="BY452" s="140">
        <v>10.4</v>
      </c>
      <c r="CJ452" s="140" t="s">
        <v>8140</v>
      </c>
    </row>
    <row r="453" spans="1:91">
      <c r="A453" s="188" t="s">
        <v>7754</v>
      </c>
      <c r="B453" s="189" t="s">
        <v>269</v>
      </c>
      <c r="C453" s="189">
        <v>4</v>
      </c>
      <c r="D453" s="190">
        <v>139</v>
      </c>
      <c r="E453" s="191">
        <v>57</v>
      </c>
      <c r="F453" s="191">
        <v>8</v>
      </c>
      <c r="G453" s="191"/>
      <c r="H453" s="191"/>
      <c r="I453" s="189">
        <v>36</v>
      </c>
      <c r="J453" s="193">
        <v>41705</v>
      </c>
      <c r="K453" s="194"/>
      <c r="L453" s="195"/>
      <c r="M453" s="196">
        <v>1.4</v>
      </c>
      <c r="N453" s="195">
        <v>41853</v>
      </c>
      <c r="O453" s="194"/>
      <c r="P453" s="195"/>
      <c r="Q453" s="194"/>
      <c r="R453" s="195"/>
      <c r="S453" s="194">
        <v>4.49</v>
      </c>
      <c r="T453" s="195">
        <v>41853</v>
      </c>
      <c r="U453" s="194">
        <v>15.3</v>
      </c>
      <c r="V453" s="195"/>
      <c r="W453" s="194"/>
      <c r="X453" s="195"/>
      <c r="Y453" s="139">
        <f t="shared" si="7"/>
        <v>1.91012</v>
      </c>
      <c r="Z453" s="195"/>
      <c r="AA453" s="194">
        <v>21.98</v>
      </c>
      <c r="AB453" s="195"/>
      <c r="AC453" s="194"/>
      <c r="AD453" s="195"/>
      <c r="AE453" s="194">
        <v>9.01</v>
      </c>
      <c r="AF453" s="195"/>
      <c r="AG453" s="197">
        <v>4.0999999999999996</v>
      </c>
      <c r="AH453" s="195"/>
      <c r="AI453" s="197">
        <v>120</v>
      </c>
      <c r="AJ453" s="195">
        <v>41803</v>
      </c>
      <c r="AK453" s="194"/>
      <c r="AL453" s="195"/>
      <c r="AM453" s="194"/>
      <c r="AN453" s="195"/>
      <c r="AO453" s="194">
        <v>96</v>
      </c>
      <c r="AP453" s="195">
        <v>41738</v>
      </c>
      <c r="AQ453" s="194"/>
      <c r="AR453" s="194"/>
      <c r="AS453" s="194">
        <v>127</v>
      </c>
      <c r="AT453" s="195">
        <v>41766</v>
      </c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8"/>
      <c r="BF453" s="198"/>
      <c r="BG453" s="198"/>
      <c r="BH453" s="198"/>
      <c r="BI453" s="198"/>
      <c r="BJ453" s="198"/>
      <c r="BK453" s="198"/>
      <c r="BL453" s="198"/>
      <c r="BM453" s="198"/>
      <c r="BN453" s="198"/>
      <c r="BO453" s="198"/>
      <c r="BP453" s="198"/>
      <c r="BQ453" s="198"/>
      <c r="BR453" s="198"/>
      <c r="BS453" s="198">
        <v>49.8</v>
      </c>
      <c r="BT453" s="198"/>
      <c r="BU453" s="198">
        <v>21.2</v>
      </c>
      <c r="BV453" s="198"/>
      <c r="BW453" s="198">
        <v>80.8</v>
      </c>
      <c r="BX453" s="198"/>
      <c r="BY453" s="198">
        <v>10.4</v>
      </c>
      <c r="BZ453" s="198"/>
      <c r="CA453" s="198"/>
      <c r="CB453" s="198"/>
      <c r="CC453" s="198"/>
      <c r="CD453" s="198"/>
      <c r="CE453" s="198"/>
      <c r="CF453" s="198"/>
      <c r="CG453" s="198"/>
      <c r="CH453" s="198"/>
      <c r="CI453" s="198"/>
      <c r="CJ453" s="198" t="s">
        <v>8131</v>
      </c>
      <c r="CK453" s="198"/>
      <c r="CL453" s="198"/>
      <c r="CM453" s="198"/>
    </row>
    <row r="454" spans="1:91">
      <c r="A454" s="158" t="s">
        <v>7695</v>
      </c>
      <c r="B454" s="112" t="s">
        <v>269</v>
      </c>
      <c r="C454" s="112">
        <v>4</v>
      </c>
      <c r="D454">
        <v>80</v>
      </c>
      <c r="E454" s="113">
        <v>57</v>
      </c>
      <c r="F454" s="113">
        <v>9</v>
      </c>
      <c r="I454" s="112">
        <v>32</v>
      </c>
      <c r="J454" s="183">
        <v>41705</v>
      </c>
      <c r="M454" s="184">
        <v>2.0499999999999998</v>
      </c>
      <c r="N454" s="157">
        <v>41853</v>
      </c>
      <c r="S454" s="139">
        <v>7.02</v>
      </c>
      <c r="T454" s="157">
        <v>41853</v>
      </c>
      <c r="U454" s="139">
        <v>15.3</v>
      </c>
      <c r="Y454" s="139">
        <f t="shared" si="7"/>
        <v>2.3346299999999998</v>
      </c>
      <c r="AA454" s="139">
        <v>26.38</v>
      </c>
      <c r="AE454" s="139">
        <v>13.19</v>
      </c>
      <c r="AG454" s="185">
        <v>5</v>
      </c>
      <c r="AI454" s="185">
        <v>120</v>
      </c>
      <c r="AJ454" s="157">
        <v>41803</v>
      </c>
      <c r="AO454" s="139">
        <v>92</v>
      </c>
      <c r="AP454" s="157">
        <v>41738</v>
      </c>
      <c r="AS454" s="139">
        <v>127</v>
      </c>
      <c r="AT454" s="157">
        <v>41766</v>
      </c>
      <c r="BS454" s="140">
        <v>53.2</v>
      </c>
      <c r="BU454" s="140">
        <v>17.7</v>
      </c>
      <c r="BW454" s="140">
        <v>14.4</v>
      </c>
      <c r="BY454" s="140">
        <v>10.4</v>
      </c>
      <c r="CJ454" s="140" t="s">
        <v>8140</v>
      </c>
    </row>
    <row r="455" spans="1:91">
      <c r="A455" s="158" t="s">
        <v>7617</v>
      </c>
      <c r="B455" s="112" t="s">
        <v>269</v>
      </c>
      <c r="C455" s="112">
        <v>4</v>
      </c>
      <c r="D455">
        <v>2</v>
      </c>
      <c r="E455" s="113">
        <v>57</v>
      </c>
      <c r="F455" s="113">
        <v>10</v>
      </c>
      <c r="I455" s="187">
        <v>55</v>
      </c>
      <c r="J455" s="183">
        <v>41705</v>
      </c>
      <c r="K455" s="142"/>
      <c r="M455" s="184">
        <v>2.12</v>
      </c>
      <c r="N455" s="157">
        <v>41853</v>
      </c>
      <c r="O455" s="141"/>
      <c r="Q455" s="142"/>
      <c r="S455" s="142">
        <v>7.12</v>
      </c>
      <c r="T455" s="157">
        <v>41853</v>
      </c>
      <c r="U455" s="142">
        <v>15.3</v>
      </c>
      <c r="W455" s="142"/>
      <c r="Y455" s="139">
        <f t="shared" si="7"/>
        <v>2.3733599999999999</v>
      </c>
      <c r="AA455" s="142">
        <v>29.65</v>
      </c>
      <c r="AE455" s="142">
        <v>13.64</v>
      </c>
      <c r="AG455" s="185">
        <v>4.5999999999999996</v>
      </c>
      <c r="AI455" s="185">
        <v>120</v>
      </c>
      <c r="AJ455" s="157">
        <v>41803</v>
      </c>
      <c r="AK455" s="142"/>
      <c r="AM455" s="142"/>
      <c r="AO455" s="139">
        <v>92</v>
      </c>
      <c r="AP455" s="157">
        <v>41738</v>
      </c>
      <c r="AS455" s="139">
        <v>127</v>
      </c>
      <c r="AT455" s="157">
        <v>41766</v>
      </c>
      <c r="BS455" s="140">
        <v>52.2</v>
      </c>
      <c r="BU455" s="140">
        <v>17.399999999999999</v>
      </c>
      <c r="BW455" s="140">
        <v>50.4</v>
      </c>
      <c r="BY455" s="140">
        <v>10.4</v>
      </c>
      <c r="CJ455" s="140" t="s">
        <v>8140</v>
      </c>
    </row>
    <row r="456" spans="1:91">
      <c r="A456" s="158" t="s">
        <v>7712</v>
      </c>
      <c r="B456" s="112" t="s">
        <v>269</v>
      </c>
      <c r="C456" s="112">
        <v>4</v>
      </c>
      <c r="D456">
        <v>97</v>
      </c>
      <c r="E456" s="113">
        <v>57</v>
      </c>
      <c r="F456" s="113">
        <v>11</v>
      </c>
      <c r="I456" s="112">
        <v>62</v>
      </c>
      <c r="J456" s="183">
        <v>41705</v>
      </c>
      <c r="M456" s="184">
        <v>2.5299999999999998</v>
      </c>
      <c r="N456" s="157">
        <v>41853</v>
      </c>
      <c r="S456" s="139">
        <v>8.36</v>
      </c>
      <c r="T456" s="157">
        <v>41853</v>
      </c>
      <c r="U456" s="139">
        <v>15.3</v>
      </c>
      <c r="Y456" s="139">
        <f t="shared" si="7"/>
        <v>3.1544400000000001</v>
      </c>
      <c r="AA456" s="139">
        <v>35.35</v>
      </c>
      <c r="AE456" s="139">
        <v>16.260000000000002</v>
      </c>
      <c r="AG456" s="185">
        <v>4.5999999999999996</v>
      </c>
      <c r="AI456" s="185">
        <v>115</v>
      </c>
      <c r="AJ456" s="157">
        <v>41803</v>
      </c>
      <c r="AO456" s="139">
        <v>93</v>
      </c>
      <c r="AP456" s="157">
        <v>41738</v>
      </c>
      <c r="AS456" s="139">
        <v>125</v>
      </c>
      <c r="AT456" s="157">
        <v>41766</v>
      </c>
      <c r="BS456" s="140">
        <v>51.4</v>
      </c>
      <c r="BU456" s="140">
        <v>19.399999999999999</v>
      </c>
      <c r="BW456" s="140">
        <v>12.1</v>
      </c>
      <c r="BY456" s="140">
        <v>10.5</v>
      </c>
      <c r="CJ456" s="140" t="s">
        <v>8140</v>
      </c>
    </row>
    <row r="457" spans="1:91">
      <c r="A457" s="188" t="s">
        <v>7752</v>
      </c>
      <c r="B457" s="189" t="s">
        <v>269</v>
      </c>
      <c r="C457" s="189">
        <v>4</v>
      </c>
      <c r="D457" s="190">
        <v>137</v>
      </c>
      <c r="E457" s="191">
        <v>57</v>
      </c>
      <c r="F457" s="191">
        <v>12</v>
      </c>
      <c r="G457" s="191"/>
      <c r="H457" s="191"/>
      <c r="I457" s="189">
        <v>36</v>
      </c>
      <c r="J457" s="193">
        <v>41705</v>
      </c>
      <c r="K457" s="194"/>
      <c r="L457" s="195"/>
      <c r="M457" s="196">
        <v>1.03</v>
      </c>
      <c r="N457" s="195">
        <v>41853</v>
      </c>
      <c r="O457" s="194"/>
      <c r="P457" s="195"/>
      <c r="Q457" s="194"/>
      <c r="R457" s="195"/>
      <c r="S457" s="194">
        <v>3.25</v>
      </c>
      <c r="T457" s="195">
        <v>41853</v>
      </c>
      <c r="U457" s="194">
        <v>15.3</v>
      </c>
      <c r="V457" s="195"/>
      <c r="W457" s="194"/>
      <c r="X457" s="195"/>
      <c r="Y457" s="139">
        <f t="shared" si="7"/>
        <v>1.4718600000000002</v>
      </c>
      <c r="Z457" s="195"/>
      <c r="AA457" s="194">
        <v>10.050000000000001</v>
      </c>
      <c r="AB457" s="195"/>
      <c r="AC457" s="194"/>
      <c r="AD457" s="195"/>
      <c r="AE457" s="194">
        <v>6.63</v>
      </c>
      <c r="AF457" s="195"/>
      <c r="AG457" s="197">
        <v>6.6</v>
      </c>
      <c r="AH457" s="195"/>
      <c r="AI457" s="197">
        <v>125</v>
      </c>
      <c r="AJ457" s="195">
        <v>41803</v>
      </c>
      <c r="AK457" s="194"/>
      <c r="AL457" s="195"/>
      <c r="AM457" s="194"/>
      <c r="AN457" s="195"/>
      <c r="AO457" s="194">
        <v>91</v>
      </c>
      <c r="AP457" s="195">
        <v>41738</v>
      </c>
      <c r="AQ457" s="194"/>
      <c r="AR457" s="194"/>
      <c r="AS457" s="194">
        <v>127</v>
      </c>
      <c r="AT457" s="195">
        <v>41766</v>
      </c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8"/>
      <c r="BF457" s="198"/>
      <c r="BG457" s="198"/>
      <c r="BH457" s="198"/>
      <c r="BI457" s="198"/>
      <c r="BJ457" s="198"/>
      <c r="BK457" s="198"/>
      <c r="BL457" s="198"/>
      <c r="BM457" s="198"/>
      <c r="BN457" s="198"/>
      <c r="BO457" s="198"/>
      <c r="BP457" s="198"/>
      <c r="BQ457" s="198"/>
      <c r="BR457" s="198"/>
      <c r="BS457" s="198">
        <v>49</v>
      </c>
      <c r="BT457" s="198"/>
      <c r="BU457" s="198">
        <v>22.2</v>
      </c>
      <c r="BV457" s="198"/>
      <c r="BW457" s="198">
        <v>80</v>
      </c>
      <c r="BX457" s="198"/>
      <c r="BY457" s="198">
        <v>10.4</v>
      </c>
      <c r="BZ457" s="198"/>
      <c r="CA457" s="198"/>
      <c r="CB457" s="198"/>
      <c r="CC457" s="198"/>
      <c r="CD457" s="198"/>
      <c r="CE457" s="198"/>
      <c r="CF457" s="198"/>
      <c r="CG457" s="198"/>
      <c r="CH457" s="198"/>
      <c r="CI457" s="198"/>
      <c r="CJ457" s="198" t="s">
        <v>8153</v>
      </c>
      <c r="CK457" s="198"/>
      <c r="CL457" s="198"/>
      <c r="CM457" s="198"/>
    </row>
    <row r="458" spans="1:91">
      <c r="A458" s="158" t="s">
        <v>7721</v>
      </c>
      <c r="B458" s="112" t="s">
        <v>271</v>
      </c>
      <c r="C458" s="112">
        <v>3</v>
      </c>
      <c r="D458">
        <v>106</v>
      </c>
      <c r="E458" s="113">
        <v>58</v>
      </c>
      <c r="F458" s="113">
        <v>1</v>
      </c>
      <c r="I458" s="112">
        <v>17</v>
      </c>
      <c r="J458" s="183">
        <v>41705</v>
      </c>
      <c r="M458" s="184">
        <v>2.71</v>
      </c>
      <c r="N458" s="157">
        <v>41853</v>
      </c>
      <c r="S458" s="139">
        <v>7.97</v>
      </c>
      <c r="T458" s="157">
        <v>41853</v>
      </c>
      <c r="U458" s="139">
        <v>15.3</v>
      </c>
      <c r="Y458" s="139">
        <f t="shared" si="7"/>
        <v>3.83616</v>
      </c>
      <c r="AA458" s="139">
        <v>41.14</v>
      </c>
      <c r="AE458" s="139">
        <v>17.28</v>
      </c>
      <c r="AG458" s="185">
        <v>4.2</v>
      </c>
      <c r="AI458" s="185">
        <v>140</v>
      </c>
      <c r="AJ458" s="157">
        <v>41803</v>
      </c>
      <c r="AO458" s="139">
        <v>96</v>
      </c>
      <c r="AP458" s="157">
        <v>41738</v>
      </c>
      <c r="AS458" s="139">
        <v>129</v>
      </c>
      <c r="AT458" s="157">
        <v>41766</v>
      </c>
      <c r="BS458" s="140">
        <v>46.1</v>
      </c>
      <c r="BU458" s="140">
        <v>22.2</v>
      </c>
      <c r="BW458" s="140">
        <v>20.399999999999999</v>
      </c>
      <c r="BY458" s="140">
        <v>11.2</v>
      </c>
      <c r="CJ458" s="140" t="s">
        <v>8131</v>
      </c>
    </row>
    <row r="459" spans="1:91">
      <c r="A459" s="158" t="s">
        <v>7664</v>
      </c>
      <c r="B459" s="112" t="s">
        <v>271</v>
      </c>
      <c r="C459" s="112">
        <v>3</v>
      </c>
      <c r="D459">
        <v>49</v>
      </c>
      <c r="E459" s="113">
        <v>58</v>
      </c>
      <c r="F459" s="113">
        <v>2</v>
      </c>
      <c r="I459" s="112">
        <v>34</v>
      </c>
      <c r="J459" s="183">
        <v>41705</v>
      </c>
      <c r="M459" s="184">
        <v>2.8</v>
      </c>
      <c r="N459" s="157">
        <v>41853</v>
      </c>
      <c r="S459" s="139">
        <v>8.18</v>
      </c>
      <c r="T459" s="157">
        <v>41853</v>
      </c>
      <c r="U459" s="139">
        <v>15.3</v>
      </c>
      <c r="Y459" s="139">
        <f t="shared" si="7"/>
        <v>4.2780999999999993</v>
      </c>
      <c r="AA459" s="139">
        <v>33.770000000000003</v>
      </c>
      <c r="AE459" s="139">
        <v>17.899999999999999</v>
      </c>
      <c r="AG459" s="185">
        <v>5.3</v>
      </c>
      <c r="AI459" s="185">
        <v>135</v>
      </c>
      <c r="AJ459" s="157">
        <v>41803</v>
      </c>
      <c r="AO459" s="139">
        <v>92</v>
      </c>
      <c r="AP459" s="157">
        <v>41738</v>
      </c>
      <c r="AS459" s="139">
        <v>126</v>
      </c>
      <c r="AT459" s="157">
        <v>41766</v>
      </c>
      <c r="BS459" s="140">
        <v>45.7</v>
      </c>
      <c r="BU459" s="140">
        <v>23.9</v>
      </c>
      <c r="BW459" s="140">
        <v>65</v>
      </c>
      <c r="BY459" s="140">
        <v>11</v>
      </c>
      <c r="CJ459" s="140" t="s">
        <v>8140</v>
      </c>
    </row>
    <row r="460" spans="1:91">
      <c r="A460" s="158" t="s">
        <v>7741</v>
      </c>
      <c r="B460" s="112" t="s">
        <v>271</v>
      </c>
      <c r="C460" s="112">
        <v>3</v>
      </c>
      <c r="D460">
        <v>126</v>
      </c>
      <c r="E460" s="113">
        <v>58</v>
      </c>
      <c r="F460" s="113">
        <v>3</v>
      </c>
      <c r="I460" s="112">
        <v>24</v>
      </c>
      <c r="J460" s="183">
        <v>41705</v>
      </c>
      <c r="M460" s="184">
        <v>3.64</v>
      </c>
      <c r="N460" s="157">
        <v>41853</v>
      </c>
      <c r="S460" s="139">
        <v>11.54</v>
      </c>
      <c r="T460" s="157">
        <v>41853</v>
      </c>
      <c r="U460" s="139">
        <v>15.3</v>
      </c>
      <c r="Y460" s="139">
        <f t="shared" si="7"/>
        <v>4.9778100000000007</v>
      </c>
      <c r="AA460" s="139">
        <v>43.28</v>
      </c>
      <c r="AE460" s="139">
        <v>23.37</v>
      </c>
      <c r="AG460" s="185">
        <v>5.4</v>
      </c>
      <c r="AI460" s="185">
        <v>140</v>
      </c>
      <c r="AJ460" s="157">
        <v>41803</v>
      </c>
      <c r="AO460" s="139">
        <v>94</v>
      </c>
      <c r="AP460" s="157">
        <v>41738</v>
      </c>
      <c r="AS460" s="139">
        <v>128</v>
      </c>
      <c r="AT460" s="157">
        <v>41766</v>
      </c>
      <c r="BS460" s="140">
        <v>49.4</v>
      </c>
      <c r="BU460" s="140">
        <v>21.3</v>
      </c>
      <c r="BW460" s="140">
        <v>17.899999999999999</v>
      </c>
      <c r="BY460" s="140">
        <v>10.6</v>
      </c>
      <c r="CJ460" s="140" t="s">
        <v>8140</v>
      </c>
    </row>
    <row r="461" spans="1:91">
      <c r="A461" s="158" t="s">
        <v>7791</v>
      </c>
      <c r="B461" s="112" t="s">
        <v>271</v>
      </c>
      <c r="C461" s="112">
        <v>3</v>
      </c>
      <c r="D461">
        <v>176</v>
      </c>
      <c r="E461" s="113">
        <v>58</v>
      </c>
      <c r="F461" s="113">
        <v>4</v>
      </c>
      <c r="I461" s="112">
        <v>28</v>
      </c>
      <c r="J461" s="183">
        <v>41705</v>
      </c>
      <c r="M461" s="184">
        <v>4.42</v>
      </c>
      <c r="N461" s="157">
        <v>41853</v>
      </c>
      <c r="S461" s="139">
        <v>14.36</v>
      </c>
      <c r="T461" s="157">
        <v>41853</v>
      </c>
      <c r="U461" s="139">
        <v>15.3</v>
      </c>
      <c r="Y461" s="139">
        <f t="shared" si="7"/>
        <v>5.7206399999999995</v>
      </c>
      <c r="AA461" s="139">
        <v>67.430000000000007</v>
      </c>
      <c r="AE461" s="139">
        <v>28.32</v>
      </c>
      <c r="AG461" s="185">
        <v>4.2</v>
      </c>
      <c r="AI461" s="185">
        <v>135</v>
      </c>
      <c r="AJ461" s="157">
        <v>41803</v>
      </c>
      <c r="AO461" s="139">
        <v>94</v>
      </c>
      <c r="AP461" s="157">
        <v>41738</v>
      </c>
      <c r="AS461" s="139">
        <v>128</v>
      </c>
      <c r="AT461" s="157">
        <v>41766</v>
      </c>
      <c r="BS461" s="140">
        <v>50.7</v>
      </c>
      <c r="BU461" s="140">
        <v>20.2</v>
      </c>
      <c r="BW461" s="140">
        <v>9.4</v>
      </c>
      <c r="BY461" s="140">
        <v>10.8</v>
      </c>
      <c r="CJ461" s="140" t="s">
        <v>8140</v>
      </c>
    </row>
    <row r="462" spans="1:91">
      <c r="A462" s="158" t="s">
        <v>7753</v>
      </c>
      <c r="B462" s="112" t="s">
        <v>271</v>
      </c>
      <c r="C462" s="112">
        <v>3</v>
      </c>
      <c r="D462">
        <v>138</v>
      </c>
      <c r="E462" s="113">
        <v>58</v>
      </c>
      <c r="F462" s="113">
        <v>5</v>
      </c>
      <c r="I462" s="112">
        <v>32</v>
      </c>
      <c r="J462" s="183">
        <v>41705</v>
      </c>
      <c r="M462" s="184">
        <v>2.72</v>
      </c>
      <c r="N462" s="157">
        <v>41853</v>
      </c>
      <c r="S462" s="139">
        <v>8.2899999999999991</v>
      </c>
      <c r="T462" s="157">
        <v>41853</v>
      </c>
      <c r="U462" s="139">
        <v>15.3</v>
      </c>
      <c r="Y462" s="139">
        <f t="shared" si="7"/>
        <v>4.0739400000000003</v>
      </c>
      <c r="AA462" s="139">
        <v>35.53</v>
      </c>
      <c r="AE462" s="139">
        <v>17.41</v>
      </c>
      <c r="AG462" s="185">
        <v>4.9000000000000004</v>
      </c>
      <c r="AI462" s="185">
        <v>120</v>
      </c>
      <c r="AJ462" s="157">
        <v>41803</v>
      </c>
      <c r="AO462" s="139">
        <v>91</v>
      </c>
      <c r="AP462" s="157">
        <v>41738</v>
      </c>
      <c r="AS462" s="139">
        <v>127</v>
      </c>
      <c r="AT462" s="157">
        <v>41766</v>
      </c>
      <c r="BS462" s="140">
        <v>47.6</v>
      </c>
      <c r="BU462" s="140">
        <v>23.4</v>
      </c>
      <c r="BW462" s="140">
        <v>74.2</v>
      </c>
      <c r="BY462" s="140">
        <v>10.9</v>
      </c>
      <c r="CJ462" s="140" t="s">
        <v>8140</v>
      </c>
    </row>
    <row r="463" spans="1:91">
      <c r="A463" s="158" t="s">
        <v>7810</v>
      </c>
      <c r="B463" s="112" t="s">
        <v>271</v>
      </c>
      <c r="C463" s="112">
        <v>3</v>
      </c>
      <c r="D463">
        <v>195</v>
      </c>
      <c r="E463" s="113">
        <v>58</v>
      </c>
      <c r="F463" s="113">
        <v>6</v>
      </c>
      <c r="I463" s="112">
        <v>30</v>
      </c>
      <c r="J463" s="183">
        <v>41705</v>
      </c>
      <c r="M463" s="184">
        <v>5.1100000000000003</v>
      </c>
      <c r="N463" s="157">
        <v>41853</v>
      </c>
      <c r="S463" s="139">
        <v>16.170000000000002</v>
      </c>
      <c r="T463" s="157">
        <v>41853</v>
      </c>
      <c r="U463" s="139">
        <v>15.3</v>
      </c>
      <c r="Y463" s="139">
        <f t="shared" si="7"/>
        <v>6.4825200000000009</v>
      </c>
      <c r="AA463" s="139">
        <v>66.819999999999993</v>
      </c>
      <c r="AE463" s="139">
        <v>32.74</v>
      </c>
      <c r="AG463" s="185">
        <v>4.9000000000000004</v>
      </c>
      <c r="AI463" s="185">
        <v>130</v>
      </c>
      <c r="AJ463" s="157">
        <v>41803</v>
      </c>
      <c r="AO463" s="139">
        <v>93</v>
      </c>
      <c r="AP463" s="157">
        <v>41738</v>
      </c>
      <c r="AS463" s="139">
        <v>128</v>
      </c>
      <c r="AT463" s="157">
        <v>41766</v>
      </c>
      <c r="BS463" s="140">
        <v>49.4</v>
      </c>
      <c r="BU463" s="140">
        <v>19.8</v>
      </c>
      <c r="BW463" s="140">
        <v>16.899999999999999</v>
      </c>
      <c r="BY463" s="140">
        <v>10.8</v>
      </c>
      <c r="CJ463" s="140" t="s">
        <v>8140</v>
      </c>
    </row>
    <row r="464" spans="1:91">
      <c r="A464" s="158" t="s">
        <v>7792</v>
      </c>
      <c r="B464" s="112" t="s">
        <v>269</v>
      </c>
      <c r="C464" s="112">
        <v>4</v>
      </c>
      <c r="D464">
        <v>177</v>
      </c>
      <c r="E464" s="113">
        <v>58</v>
      </c>
      <c r="F464" s="113">
        <v>7</v>
      </c>
      <c r="I464" s="112">
        <v>36</v>
      </c>
      <c r="J464" s="183">
        <v>41705</v>
      </c>
      <c r="M464" s="184">
        <v>2.36</v>
      </c>
      <c r="N464" s="157">
        <v>41853</v>
      </c>
      <c r="S464" s="139">
        <v>7.74</v>
      </c>
      <c r="T464" s="157">
        <v>41853</v>
      </c>
      <c r="U464" s="139">
        <v>15.3</v>
      </c>
      <c r="Y464" s="139">
        <f t="shared" si="7"/>
        <v>2.8972800000000003</v>
      </c>
      <c r="AA464" s="139">
        <v>35.090000000000003</v>
      </c>
      <c r="AE464" s="139">
        <v>15.09</v>
      </c>
      <c r="AG464" s="185">
        <v>4.3</v>
      </c>
      <c r="AI464" s="185">
        <v>115</v>
      </c>
      <c r="AJ464" s="157">
        <v>41803</v>
      </c>
      <c r="AO464" s="139">
        <v>91</v>
      </c>
      <c r="AP464" s="157">
        <v>41738</v>
      </c>
      <c r="AS464" s="139">
        <v>127</v>
      </c>
      <c r="AT464" s="157">
        <v>41766</v>
      </c>
      <c r="BS464" s="140">
        <v>51.3</v>
      </c>
      <c r="BU464" s="140">
        <v>19.2</v>
      </c>
      <c r="BW464" s="140">
        <v>10.8</v>
      </c>
      <c r="BY464" s="140">
        <v>11</v>
      </c>
      <c r="CJ464" s="140" t="s">
        <v>8140</v>
      </c>
    </row>
    <row r="465" spans="1:88">
      <c r="A465" s="158" t="s">
        <v>7643</v>
      </c>
      <c r="B465" s="112" t="s">
        <v>269</v>
      </c>
      <c r="C465" s="112">
        <v>4</v>
      </c>
      <c r="D465">
        <v>28</v>
      </c>
      <c r="E465" s="113">
        <v>58</v>
      </c>
      <c r="F465" s="113">
        <v>8</v>
      </c>
      <c r="I465" s="112">
        <v>43</v>
      </c>
      <c r="J465" s="183">
        <v>41705</v>
      </c>
      <c r="M465" s="184">
        <v>2.33</v>
      </c>
      <c r="N465" s="157">
        <v>41853</v>
      </c>
      <c r="S465" s="139">
        <v>7.42</v>
      </c>
      <c r="T465" s="157">
        <v>41853</v>
      </c>
      <c r="U465" s="139">
        <v>15.3</v>
      </c>
      <c r="Y465" s="139">
        <f t="shared" si="7"/>
        <v>3.07558</v>
      </c>
      <c r="AA465" s="139">
        <v>29.86</v>
      </c>
      <c r="AE465" s="139">
        <v>14.93</v>
      </c>
      <c r="AG465" s="185">
        <v>5</v>
      </c>
      <c r="AI465" s="185">
        <v>115</v>
      </c>
      <c r="AJ465" s="157">
        <v>41803</v>
      </c>
      <c r="AO465" s="139">
        <v>95</v>
      </c>
      <c r="AP465" s="157">
        <v>41738</v>
      </c>
      <c r="AS465" s="139">
        <v>127</v>
      </c>
      <c r="AT465" s="157">
        <v>41766</v>
      </c>
      <c r="BS465" s="140">
        <v>49.7</v>
      </c>
      <c r="BU465" s="140">
        <v>20.6</v>
      </c>
      <c r="BW465" s="140">
        <v>62.6</v>
      </c>
      <c r="BY465" s="140">
        <v>10.8</v>
      </c>
      <c r="CJ465" s="140" t="s">
        <v>8140</v>
      </c>
    </row>
    <row r="466" spans="1:88">
      <c r="A466" s="158" t="s">
        <v>7692</v>
      </c>
      <c r="B466" s="112" t="s">
        <v>269</v>
      </c>
      <c r="C466" s="112">
        <v>4</v>
      </c>
      <c r="D466">
        <v>77</v>
      </c>
      <c r="E466" s="113">
        <v>58</v>
      </c>
      <c r="F466" s="113">
        <v>9</v>
      </c>
      <c r="I466" s="112">
        <v>41</v>
      </c>
      <c r="J466" s="183">
        <v>41705</v>
      </c>
      <c r="M466" s="184">
        <v>2</v>
      </c>
      <c r="N466" s="157">
        <v>41853</v>
      </c>
      <c r="S466" s="139">
        <v>6.61</v>
      </c>
      <c r="T466" s="157">
        <v>41853</v>
      </c>
      <c r="U466" s="139">
        <v>15.3</v>
      </c>
      <c r="Y466" s="139">
        <f t="shared" si="7"/>
        <v>2.3442300000000005</v>
      </c>
      <c r="AA466" s="139">
        <v>27.85</v>
      </c>
      <c r="AE466" s="139">
        <v>12.81</v>
      </c>
      <c r="AG466" s="185">
        <v>4.5999999999999996</v>
      </c>
      <c r="AI466" s="185">
        <v>120</v>
      </c>
      <c r="AJ466" s="157">
        <v>41803</v>
      </c>
      <c r="AO466" s="139">
        <v>93</v>
      </c>
      <c r="AP466" s="157">
        <v>41738</v>
      </c>
      <c r="AS466" s="139">
        <v>127</v>
      </c>
      <c r="AT466" s="157">
        <v>41766</v>
      </c>
      <c r="BS466" s="140">
        <v>51.6</v>
      </c>
      <c r="BU466" s="140">
        <v>18.3</v>
      </c>
      <c r="BW466" s="140">
        <v>26.7</v>
      </c>
      <c r="BY466" s="140">
        <v>10.8</v>
      </c>
      <c r="CJ466" s="140" t="s">
        <v>8140</v>
      </c>
    </row>
    <row r="467" spans="1:88">
      <c r="A467" s="158" t="s">
        <v>7626</v>
      </c>
      <c r="B467" s="112" t="s">
        <v>269</v>
      </c>
      <c r="C467" s="112">
        <v>4</v>
      </c>
      <c r="D467">
        <v>11</v>
      </c>
      <c r="E467" s="113">
        <v>58</v>
      </c>
      <c r="F467" s="113">
        <v>10</v>
      </c>
      <c r="I467" s="187">
        <v>21</v>
      </c>
      <c r="J467" s="183">
        <v>41705</v>
      </c>
      <c r="K467" s="142"/>
      <c r="M467" s="184">
        <v>2.13</v>
      </c>
      <c r="N467" s="157">
        <v>41853</v>
      </c>
      <c r="O467" s="141"/>
      <c r="Q467" s="142"/>
      <c r="S467" s="142">
        <v>7.06</v>
      </c>
      <c r="T467" s="157">
        <v>41853</v>
      </c>
      <c r="U467" s="142">
        <v>15.3</v>
      </c>
      <c r="W467" s="142"/>
      <c r="Y467" s="139">
        <f t="shared" si="7"/>
        <v>2.6208</v>
      </c>
      <c r="AA467" s="142">
        <v>30.33</v>
      </c>
      <c r="AE467" s="142">
        <v>13.65</v>
      </c>
      <c r="AG467" s="185">
        <v>4.5</v>
      </c>
      <c r="AI467" s="185">
        <v>110</v>
      </c>
      <c r="AJ467" s="157">
        <v>41803</v>
      </c>
      <c r="AK467" s="142"/>
      <c r="AM467" s="142"/>
      <c r="AO467" s="139">
        <v>92</v>
      </c>
      <c r="AP467" s="157">
        <v>41738</v>
      </c>
      <c r="AS467" s="139">
        <v>127</v>
      </c>
      <c r="AT467" s="157">
        <v>41766</v>
      </c>
      <c r="BS467" s="140">
        <v>51.7</v>
      </c>
      <c r="BU467" s="140">
        <v>19.2</v>
      </c>
      <c r="BW467" s="140">
        <v>64.8</v>
      </c>
      <c r="BY467" s="140">
        <v>10.8</v>
      </c>
      <c r="CJ467" s="140" t="s">
        <v>8140</v>
      </c>
    </row>
    <row r="468" spans="1:88">
      <c r="A468" s="158" t="s">
        <v>7622</v>
      </c>
      <c r="B468" s="112" t="s">
        <v>269</v>
      </c>
      <c r="C468" s="112">
        <v>4</v>
      </c>
      <c r="D468">
        <v>7</v>
      </c>
      <c r="E468" s="113">
        <v>58</v>
      </c>
      <c r="F468" s="113">
        <v>11</v>
      </c>
      <c r="I468" s="187">
        <v>58</v>
      </c>
      <c r="J468" s="183">
        <v>41705</v>
      </c>
      <c r="K468" s="142"/>
      <c r="M468" s="184">
        <v>1.82</v>
      </c>
      <c r="N468" s="157">
        <v>41853</v>
      </c>
      <c r="O468" s="141"/>
      <c r="Q468" s="142"/>
      <c r="S468" s="142">
        <v>5.67</v>
      </c>
      <c r="T468" s="157">
        <v>41853</v>
      </c>
      <c r="U468" s="142">
        <v>15.3</v>
      </c>
      <c r="W468" s="142"/>
      <c r="Y468" s="139">
        <f t="shared" si="7"/>
        <v>2.4835799999999999</v>
      </c>
      <c r="AA468" s="142">
        <v>22.86</v>
      </c>
      <c r="AE468" s="142">
        <v>11.66</v>
      </c>
      <c r="AG468" s="185">
        <v>5.0999999999999996</v>
      </c>
      <c r="AI468" s="185">
        <v>110</v>
      </c>
      <c r="AJ468" s="157">
        <v>41803</v>
      </c>
      <c r="AK468" s="142"/>
      <c r="AM468" s="142"/>
      <c r="AO468" s="139">
        <v>83</v>
      </c>
      <c r="AP468" s="157">
        <v>41738</v>
      </c>
      <c r="AS468" s="139">
        <v>126</v>
      </c>
      <c r="AT468" s="157">
        <v>41766</v>
      </c>
      <c r="BS468" s="140">
        <v>48.6</v>
      </c>
      <c r="BU468" s="140">
        <v>21.3</v>
      </c>
      <c r="BW468" s="140">
        <v>64.2</v>
      </c>
      <c r="BY468" s="140">
        <v>10.8</v>
      </c>
      <c r="CJ468" s="140" t="s">
        <v>8140</v>
      </c>
    </row>
    <row r="469" spans="1:88">
      <c r="A469" s="158" t="s">
        <v>7903</v>
      </c>
      <c r="B469" s="112" t="s">
        <v>269</v>
      </c>
      <c r="C469" s="112">
        <v>4</v>
      </c>
      <c r="D469">
        <v>214</v>
      </c>
      <c r="E469" s="113">
        <v>58</v>
      </c>
      <c r="F469" s="113">
        <v>12</v>
      </c>
      <c r="I469" s="112">
        <v>26</v>
      </c>
      <c r="J469" s="183">
        <v>41705</v>
      </c>
      <c r="M469" s="184">
        <v>2.63</v>
      </c>
      <c r="N469" s="157">
        <v>41853</v>
      </c>
      <c r="S469" s="139">
        <v>9.08</v>
      </c>
      <c r="T469" s="157">
        <v>41853</v>
      </c>
      <c r="U469" s="139">
        <v>15.3</v>
      </c>
      <c r="Y469" s="139">
        <f t="shared" si="7"/>
        <v>2.7901499999999997</v>
      </c>
      <c r="AA469" s="139">
        <v>37.58</v>
      </c>
      <c r="AE469" s="139">
        <v>16.91</v>
      </c>
      <c r="AG469" s="185">
        <v>4.5</v>
      </c>
      <c r="AI469" s="185">
        <v>120</v>
      </c>
      <c r="AJ469" s="157">
        <v>41803</v>
      </c>
      <c r="AO469" s="139">
        <v>93</v>
      </c>
      <c r="AP469" s="157">
        <v>41738</v>
      </c>
      <c r="AS469" s="139">
        <v>126</v>
      </c>
      <c r="AT469" s="157">
        <v>41766</v>
      </c>
      <c r="BS469" s="140">
        <v>53.7</v>
      </c>
      <c r="BU469" s="140">
        <v>16.5</v>
      </c>
      <c r="BW469" s="140">
        <v>12</v>
      </c>
      <c r="BY469" s="140">
        <v>10.5</v>
      </c>
      <c r="CJ469" s="140" t="s">
        <v>8140</v>
      </c>
    </row>
    <row r="470" spans="1:88">
      <c r="A470" s="158" t="s">
        <v>7679</v>
      </c>
      <c r="B470" s="112" t="s">
        <v>271</v>
      </c>
      <c r="C470" s="112">
        <v>3</v>
      </c>
      <c r="D470">
        <v>64</v>
      </c>
      <c r="E470" s="113">
        <v>59</v>
      </c>
      <c r="F470" s="113">
        <v>1</v>
      </c>
      <c r="I470" s="112">
        <v>32</v>
      </c>
      <c r="J470" s="183">
        <v>41705</v>
      </c>
      <c r="M470" s="184">
        <v>2.13</v>
      </c>
      <c r="N470" s="157">
        <v>41853</v>
      </c>
      <c r="S470" s="139">
        <v>6.33</v>
      </c>
      <c r="T470" s="157">
        <v>41853</v>
      </c>
      <c r="U470" s="139">
        <v>15.3</v>
      </c>
      <c r="Y470" s="139">
        <f t="shared" si="7"/>
        <v>3.2214000000000005</v>
      </c>
      <c r="AA470" s="139">
        <v>28.44</v>
      </c>
      <c r="AE470" s="139">
        <v>13.65</v>
      </c>
      <c r="AG470" s="185">
        <v>4.8</v>
      </c>
      <c r="AI470" s="185">
        <v>140</v>
      </c>
      <c r="AJ470" s="157">
        <v>41803</v>
      </c>
      <c r="AO470" s="139">
        <v>89</v>
      </c>
      <c r="AP470" s="157">
        <v>41738</v>
      </c>
      <c r="AS470" s="139">
        <v>129</v>
      </c>
      <c r="AT470" s="157">
        <v>41766</v>
      </c>
      <c r="BS470" s="140">
        <v>46.4</v>
      </c>
      <c r="BU470" s="140">
        <v>23.6</v>
      </c>
      <c r="BW470" s="140">
        <v>35</v>
      </c>
      <c r="BY470" s="140">
        <v>10.8</v>
      </c>
      <c r="CJ470" s="140" t="s">
        <v>8139</v>
      </c>
    </row>
    <row r="471" spans="1:88">
      <c r="A471" s="158" t="s">
        <v>7730</v>
      </c>
      <c r="B471" s="112" t="s">
        <v>271</v>
      </c>
      <c r="C471" s="112">
        <v>3</v>
      </c>
      <c r="D471">
        <v>115</v>
      </c>
      <c r="E471" s="113">
        <v>59</v>
      </c>
      <c r="F471" s="113">
        <v>2</v>
      </c>
      <c r="I471" s="112">
        <v>32</v>
      </c>
      <c r="J471" s="183">
        <v>41705</v>
      </c>
      <c r="M471" s="184">
        <v>4.1900000000000004</v>
      </c>
      <c r="N471" s="157">
        <v>41853</v>
      </c>
      <c r="S471" s="139">
        <v>12.84</v>
      </c>
      <c r="T471" s="157">
        <v>41853</v>
      </c>
      <c r="U471" s="139">
        <v>15.3</v>
      </c>
      <c r="Y471" s="139">
        <f t="shared" si="7"/>
        <v>5.84511</v>
      </c>
      <c r="AA471" s="139">
        <v>50.36</v>
      </c>
      <c r="AE471" s="139">
        <v>26.69</v>
      </c>
      <c r="AG471" s="185">
        <v>5.3</v>
      </c>
      <c r="AI471" s="185">
        <v>140</v>
      </c>
      <c r="AJ471" s="157">
        <v>41803</v>
      </c>
      <c r="AO471" s="139">
        <v>92</v>
      </c>
      <c r="AP471" s="157">
        <v>41738</v>
      </c>
      <c r="AS471" s="139">
        <v>127</v>
      </c>
      <c r="AT471" s="157">
        <v>41766</v>
      </c>
      <c r="BS471" s="140">
        <v>48.1</v>
      </c>
      <c r="BU471" s="140">
        <v>21.9</v>
      </c>
      <c r="BW471" s="140">
        <v>16.3</v>
      </c>
      <c r="BY471" s="140">
        <v>11.3</v>
      </c>
      <c r="CJ471" s="140" t="s">
        <v>8140</v>
      </c>
    </row>
    <row r="472" spans="1:88">
      <c r="A472" s="158" t="s">
        <v>7627</v>
      </c>
      <c r="B472" s="112" t="s">
        <v>271</v>
      </c>
      <c r="C472" s="112">
        <v>3</v>
      </c>
      <c r="D472">
        <v>12</v>
      </c>
      <c r="E472" s="113">
        <v>59</v>
      </c>
      <c r="F472" s="113">
        <v>3</v>
      </c>
      <c r="I472" s="187">
        <v>41</v>
      </c>
      <c r="J472" s="183">
        <v>41705</v>
      </c>
      <c r="K472" s="142"/>
      <c r="M472" s="184">
        <v>2.83</v>
      </c>
      <c r="N472" s="157">
        <v>41853</v>
      </c>
      <c r="O472" s="141"/>
      <c r="Q472" s="142"/>
      <c r="S472" s="142">
        <v>9.27</v>
      </c>
      <c r="T472" s="157">
        <v>41853</v>
      </c>
      <c r="U472" s="142">
        <v>15.3</v>
      </c>
      <c r="W472" s="142"/>
      <c r="Y472" s="139">
        <f t="shared" si="7"/>
        <v>3.8212100000000002</v>
      </c>
      <c r="AA472" s="142">
        <v>39.369999999999997</v>
      </c>
      <c r="AE472" s="142">
        <v>18.11</v>
      </c>
      <c r="AG472" s="185">
        <v>4.5999999999999996</v>
      </c>
      <c r="AI472" s="185">
        <v>145</v>
      </c>
      <c r="AJ472" s="157">
        <v>41803</v>
      </c>
      <c r="AK472" s="142"/>
      <c r="AM472" s="142"/>
      <c r="AO472" s="139">
        <v>101</v>
      </c>
      <c r="AP472" s="157">
        <v>41738</v>
      </c>
      <c r="AS472" s="139">
        <v>129</v>
      </c>
      <c r="AT472" s="157">
        <v>41766</v>
      </c>
      <c r="BS472" s="140">
        <v>51.2</v>
      </c>
      <c r="BU472" s="140">
        <v>21.1</v>
      </c>
      <c r="BW472" s="140">
        <v>55.2</v>
      </c>
      <c r="BY472" s="140">
        <v>10.9</v>
      </c>
      <c r="CJ472" s="140" t="s">
        <v>8131</v>
      </c>
    </row>
    <row r="473" spans="1:88">
      <c r="A473" s="158" t="s">
        <v>7783</v>
      </c>
      <c r="B473" s="112" t="s">
        <v>271</v>
      </c>
      <c r="C473" s="112">
        <v>3</v>
      </c>
      <c r="D473">
        <v>168</v>
      </c>
      <c r="E473" s="113">
        <v>59</v>
      </c>
      <c r="F473" s="113">
        <v>4</v>
      </c>
      <c r="I473" s="112">
        <v>33</v>
      </c>
      <c r="J473" s="183">
        <v>41705</v>
      </c>
      <c r="M473" s="184">
        <v>4.8099999999999996</v>
      </c>
      <c r="N473" s="157">
        <v>41853</v>
      </c>
      <c r="S473" s="139">
        <v>15.9</v>
      </c>
      <c r="T473" s="157">
        <v>41853</v>
      </c>
      <c r="U473" s="139">
        <v>15.3</v>
      </c>
      <c r="Y473" s="139">
        <f t="shared" si="7"/>
        <v>5.9189400000000001</v>
      </c>
      <c r="AA473" s="139">
        <v>76.28</v>
      </c>
      <c r="AE473" s="139">
        <v>30.51</v>
      </c>
      <c r="AG473" s="185">
        <v>4</v>
      </c>
      <c r="AI473" s="185">
        <v>125</v>
      </c>
      <c r="AJ473" s="157">
        <v>41803</v>
      </c>
      <c r="AO473" s="139">
        <v>91</v>
      </c>
      <c r="AP473" s="157">
        <v>41738</v>
      </c>
      <c r="AS473" s="139">
        <v>127</v>
      </c>
      <c r="AT473" s="157">
        <v>41766</v>
      </c>
      <c r="BS473" s="140">
        <v>52.1</v>
      </c>
      <c r="BU473" s="140">
        <v>19.399999999999999</v>
      </c>
      <c r="BW473" s="140">
        <v>13.9</v>
      </c>
      <c r="BY473" s="140">
        <v>11.7</v>
      </c>
      <c r="CJ473" s="140" t="s">
        <v>8140</v>
      </c>
    </row>
    <row r="474" spans="1:88">
      <c r="A474" s="158" t="s">
        <v>7682</v>
      </c>
      <c r="B474" s="112" t="s">
        <v>271</v>
      </c>
      <c r="C474" s="112">
        <v>3</v>
      </c>
      <c r="D474">
        <v>67</v>
      </c>
      <c r="E474" s="113">
        <v>59</v>
      </c>
      <c r="F474" s="113">
        <v>5</v>
      </c>
      <c r="I474" s="112">
        <v>40</v>
      </c>
      <c r="J474" s="183">
        <v>41705</v>
      </c>
      <c r="M474" s="184">
        <v>3.51</v>
      </c>
      <c r="N474" s="157">
        <v>41853</v>
      </c>
      <c r="S474" s="139">
        <v>11.33</v>
      </c>
      <c r="T474" s="157">
        <v>41853</v>
      </c>
      <c r="U474" s="139">
        <v>15.3</v>
      </c>
      <c r="Y474" s="139">
        <f t="shared" si="7"/>
        <v>4.468</v>
      </c>
      <c r="AA474" s="139">
        <v>53.19</v>
      </c>
      <c r="AE474" s="139">
        <v>22.34</v>
      </c>
      <c r="AG474" s="185">
        <v>4.2</v>
      </c>
      <c r="AI474" s="185">
        <v>135</v>
      </c>
      <c r="AJ474" s="157">
        <v>41803</v>
      </c>
      <c r="AO474" s="139">
        <v>97</v>
      </c>
      <c r="AP474" s="157">
        <v>41738</v>
      </c>
      <c r="AS474" s="139">
        <v>129</v>
      </c>
      <c r="AT474" s="157">
        <v>41766</v>
      </c>
      <c r="BS474" s="140">
        <v>50.7</v>
      </c>
      <c r="BU474" s="140">
        <v>20</v>
      </c>
      <c r="BW474" s="140">
        <v>12.6</v>
      </c>
      <c r="BY474" s="140">
        <v>11.4</v>
      </c>
      <c r="CJ474" s="140" t="s">
        <v>8135</v>
      </c>
    </row>
    <row r="475" spans="1:88">
      <c r="A475" s="158" t="s">
        <v>7902</v>
      </c>
      <c r="B475" s="112" t="s">
        <v>271</v>
      </c>
      <c r="C475" s="112">
        <v>3</v>
      </c>
      <c r="D475">
        <v>211</v>
      </c>
      <c r="E475" s="113">
        <v>59</v>
      </c>
      <c r="F475" s="113">
        <v>6</v>
      </c>
      <c r="I475" s="112">
        <v>26</v>
      </c>
      <c r="J475" s="183">
        <v>41705</v>
      </c>
      <c r="M475" s="184">
        <v>5.09</v>
      </c>
      <c r="N475" s="157">
        <v>41853</v>
      </c>
      <c r="S475" s="139">
        <v>16.48</v>
      </c>
      <c r="T475" s="157">
        <v>41853</v>
      </c>
      <c r="U475" s="139">
        <v>15.3</v>
      </c>
      <c r="Y475" s="139">
        <f t="shared" si="7"/>
        <v>6.4024999999999999</v>
      </c>
      <c r="AA475" s="139">
        <v>73.86</v>
      </c>
      <c r="AE475" s="139">
        <v>32.5</v>
      </c>
      <c r="AG475" s="185">
        <v>4.4000000000000004</v>
      </c>
      <c r="AI475" s="185">
        <v>125</v>
      </c>
      <c r="AJ475" s="157">
        <v>41803</v>
      </c>
      <c r="AO475" s="139">
        <v>87</v>
      </c>
      <c r="AP475" s="157">
        <v>41738</v>
      </c>
      <c r="AS475" s="139">
        <v>126</v>
      </c>
      <c r="AT475" s="157">
        <v>41766</v>
      </c>
      <c r="BS475" s="140">
        <v>50.7</v>
      </c>
      <c r="BU475" s="140">
        <v>19.7</v>
      </c>
      <c r="BW475" s="140">
        <v>18.899999999999999</v>
      </c>
      <c r="BY475" s="140">
        <v>11.1</v>
      </c>
      <c r="CJ475" s="140" t="s">
        <v>8140</v>
      </c>
    </row>
    <row r="476" spans="1:88">
      <c r="A476" s="158" t="s">
        <v>7722</v>
      </c>
      <c r="B476" s="112" t="s">
        <v>269</v>
      </c>
      <c r="C476" s="112">
        <v>4</v>
      </c>
      <c r="D476">
        <v>107</v>
      </c>
      <c r="E476" s="113">
        <v>59</v>
      </c>
      <c r="F476" s="113">
        <v>7</v>
      </c>
      <c r="I476" s="112">
        <v>66</v>
      </c>
      <c r="J476" s="183">
        <v>41705</v>
      </c>
      <c r="M476" s="184">
        <v>2.76</v>
      </c>
      <c r="N476" s="157">
        <v>41853</v>
      </c>
      <c r="S476" s="139">
        <v>9.61</v>
      </c>
      <c r="T476" s="157">
        <v>41853</v>
      </c>
      <c r="U476" s="139">
        <v>15.3</v>
      </c>
      <c r="Y476" s="139">
        <f t="shared" si="7"/>
        <v>2.9149599999999998</v>
      </c>
      <c r="AA476" s="139">
        <v>40.840000000000003</v>
      </c>
      <c r="AE476" s="139">
        <v>17.559999999999999</v>
      </c>
      <c r="AG476" s="185">
        <v>4.3</v>
      </c>
      <c r="AI476" s="185">
        <v>115</v>
      </c>
      <c r="AJ476" s="157">
        <v>41803</v>
      </c>
      <c r="AO476" s="139">
        <v>91</v>
      </c>
      <c r="AP476" s="157">
        <v>41738</v>
      </c>
      <c r="AS476" s="139">
        <v>126</v>
      </c>
      <c r="AT476" s="157">
        <v>41766</v>
      </c>
      <c r="BS476" s="140">
        <v>54.7</v>
      </c>
      <c r="BU476" s="140">
        <v>16.600000000000001</v>
      </c>
      <c r="BW476" s="140">
        <v>10.9</v>
      </c>
      <c r="BY476" s="140">
        <v>11.4</v>
      </c>
      <c r="CJ476" s="140" t="s">
        <v>8140</v>
      </c>
    </row>
    <row r="477" spans="1:88">
      <c r="A477" s="158" t="s">
        <v>7638</v>
      </c>
      <c r="B477" s="112" t="s">
        <v>269</v>
      </c>
      <c r="C477" s="112">
        <v>4</v>
      </c>
      <c r="D477">
        <v>23</v>
      </c>
      <c r="E477" s="113">
        <v>59</v>
      </c>
      <c r="F477" s="113">
        <v>8</v>
      </c>
      <c r="I477" s="112">
        <v>33</v>
      </c>
      <c r="J477" s="183">
        <v>41705</v>
      </c>
      <c r="M477" s="184">
        <v>1.94</v>
      </c>
      <c r="N477" s="157">
        <v>41853</v>
      </c>
      <c r="S477" s="139">
        <v>6.16</v>
      </c>
      <c r="T477" s="157">
        <v>41853</v>
      </c>
      <c r="U477" s="139">
        <v>15.3</v>
      </c>
      <c r="Y477" s="139">
        <f t="shared" si="7"/>
        <v>2.6164000000000005</v>
      </c>
      <c r="AA477" s="139">
        <v>24.8</v>
      </c>
      <c r="AE477" s="139">
        <v>12.4</v>
      </c>
      <c r="AG477" s="185">
        <v>5</v>
      </c>
      <c r="AI477" s="185">
        <v>115</v>
      </c>
      <c r="AJ477" s="157">
        <v>41803</v>
      </c>
      <c r="AO477" s="139">
        <v>94</v>
      </c>
      <c r="AP477" s="157">
        <v>41738</v>
      </c>
      <c r="AS477" s="139">
        <v>125</v>
      </c>
      <c r="AT477" s="157">
        <v>41766</v>
      </c>
      <c r="BS477" s="140">
        <v>49.7</v>
      </c>
      <c r="BU477" s="140">
        <v>21.1</v>
      </c>
      <c r="BW477" s="140">
        <v>43.5</v>
      </c>
      <c r="BY477" s="140">
        <v>11</v>
      </c>
      <c r="CJ477" s="140" t="s">
        <v>8140</v>
      </c>
    </row>
    <row r="478" spans="1:88">
      <c r="A478" s="158" t="s">
        <v>7659</v>
      </c>
      <c r="B478" s="112" t="s">
        <v>269</v>
      </c>
      <c r="C478" s="112">
        <v>4</v>
      </c>
      <c r="D478">
        <v>44</v>
      </c>
      <c r="E478" s="113">
        <v>59</v>
      </c>
      <c r="F478" s="113">
        <v>9</v>
      </c>
      <c r="I478" s="112">
        <v>49</v>
      </c>
      <c r="J478" s="183">
        <v>41705</v>
      </c>
      <c r="M478" s="184">
        <v>2.0699999999999998</v>
      </c>
      <c r="N478" s="157">
        <v>41853</v>
      </c>
      <c r="S478" s="139">
        <v>6.54</v>
      </c>
      <c r="T478" s="157">
        <v>41853</v>
      </c>
      <c r="U478" s="139">
        <v>15.3</v>
      </c>
      <c r="Y478" s="139">
        <f t="shared" si="7"/>
        <v>2.5533900000000003</v>
      </c>
      <c r="AA478" s="139">
        <v>33.08</v>
      </c>
      <c r="AE478" s="139">
        <v>13.23</v>
      </c>
      <c r="AG478" s="185">
        <v>4</v>
      </c>
      <c r="AI478" s="185">
        <v>120</v>
      </c>
      <c r="AJ478" s="157">
        <v>41803</v>
      </c>
      <c r="AO478" s="139">
        <v>92</v>
      </c>
      <c r="AP478" s="157">
        <v>41738</v>
      </c>
      <c r="AS478" s="139">
        <v>128</v>
      </c>
      <c r="AT478" s="157">
        <v>41766</v>
      </c>
      <c r="BS478" s="140">
        <v>49.4</v>
      </c>
      <c r="BU478" s="140">
        <v>19.3</v>
      </c>
      <c r="BW478" s="140">
        <v>51.8</v>
      </c>
      <c r="BY478" s="140">
        <v>11</v>
      </c>
      <c r="CJ478" s="140" t="s">
        <v>8140</v>
      </c>
    </row>
    <row r="479" spans="1:88">
      <c r="A479" s="158" t="s">
        <v>7808</v>
      </c>
      <c r="B479" s="112" t="s">
        <v>269</v>
      </c>
      <c r="C479" s="112">
        <v>4</v>
      </c>
      <c r="D479">
        <v>193</v>
      </c>
      <c r="E479" s="113">
        <v>59</v>
      </c>
      <c r="F479" s="113">
        <v>10</v>
      </c>
      <c r="I479" s="112">
        <v>29</v>
      </c>
      <c r="J479" s="183">
        <v>41705</v>
      </c>
      <c r="M479" s="184">
        <v>3</v>
      </c>
      <c r="N479" s="157">
        <v>41853</v>
      </c>
      <c r="S479" s="139">
        <v>10.31</v>
      </c>
      <c r="T479" s="157">
        <v>41853</v>
      </c>
      <c r="U479" s="139">
        <v>15.3</v>
      </c>
      <c r="Y479" s="139">
        <f t="shared" si="7"/>
        <v>3.1805600000000003</v>
      </c>
      <c r="AA479" s="139">
        <v>38.32</v>
      </c>
      <c r="AE479" s="139">
        <v>19.16</v>
      </c>
      <c r="AG479" s="185">
        <v>5</v>
      </c>
      <c r="AI479" s="185">
        <v>115</v>
      </c>
      <c r="AJ479" s="157">
        <v>41803</v>
      </c>
      <c r="AO479" s="139">
        <v>91</v>
      </c>
      <c r="AP479" s="157">
        <v>41738</v>
      </c>
      <c r="AS479" s="139">
        <v>126</v>
      </c>
      <c r="AT479" s="157">
        <v>41766</v>
      </c>
      <c r="BS479" s="140">
        <v>53.8</v>
      </c>
      <c r="BU479" s="140">
        <v>16.600000000000001</v>
      </c>
      <c r="BW479" s="140">
        <v>14.5</v>
      </c>
      <c r="BY479" s="140">
        <v>11.1</v>
      </c>
      <c r="CJ479" s="140" t="s">
        <v>8140</v>
      </c>
    </row>
    <row r="480" spans="1:88">
      <c r="A480" s="158" t="s">
        <v>7747</v>
      </c>
      <c r="B480" s="112" t="s">
        <v>269</v>
      </c>
      <c r="C480" s="112">
        <v>4</v>
      </c>
      <c r="D480">
        <v>132</v>
      </c>
      <c r="E480" s="113">
        <v>59</v>
      </c>
      <c r="F480" s="113">
        <v>11</v>
      </c>
      <c r="I480" s="112">
        <v>51</v>
      </c>
      <c r="J480" s="183">
        <v>41705</v>
      </c>
      <c r="M480" s="184">
        <v>2.1800000000000002</v>
      </c>
      <c r="N480" s="157">
        <v>41853</v>
      </c>
      <c r="S480" s="139">
        <v>7.32</v>
      </c>
      <c r="T480" s="157">
        <v>41853</v>
      </c>
      <c r="U480" s="139">
        <v>15.3</v>
      </c>
      <c r="Y480" s="139">
        <f t="shared" si="7"/>
        <v>2.5510199999999998</v>
      </c>
      <c r="AA480" s="139">
        <v>33.19</v>
      </c>
      <c r="AE480" s="139">
        <v>13.94</v>
      </c>
      <c r="AG480" s="185">
        <v>4.2</v>
      </c>
      <c r="AI480" s="185">
        <v>115</v>
      </c>
      <c r="AJ480" s="157">
        <v>41803</v>
      </c>
      <c r="AO480" s="139">
        <v>94</v>
      </c>
      <c r="AP480" s="157">
        <v>41738</v>
      </c>
      <c r="AS480" s="139">
        <v>127</v>
      </c>
      <c r="AT480" s="157">
        <v>41766</v>
      </c>
      <c r="BS480" s="140">
        <v>52.5</v>
      </c>
      <c r="BU480" s="140">
        <v>18.3</v>
      </c>
      <c r="BW480" s="140">
        <v>54.3</v>
      </c>
      <c r="BY480" s="140">
        <v>11</v>
      </c>
      <c r="CJ480" s="140" t="s">
        <v>8140</v>
      </c>
    </row>
    <row r="481" spans="1:91">
      <c r="A481" s="158" t="s">
        <v>7780</v>
      </c>
      <c r="B481" s="112" t="s">
        <v>269</v>
      </c>
      <c r="C481" s="112">
        <v>4</v>
      </c>
      <c r="D481">
        <v>165</v>
      </c>
      <c r="E481" s="113">
        <v>59</v>
      </c>
      <c r="F481" s="113">
        <v>12</v>
      </c>
      <c r="I481" s="112">
        <v>55</v>
      </c>
      <c r="J481" s="183">
        <v>41705</v>
      </c>
      <c r="M481" s="184">
        <v>3.3</v>
      </c>
      <c r="N481" s="157">
        <v>41853</v>
      </c>
      <c r="S481" s="139">
        <v>11.25</v>
      </c>
      <c r="T481" s="157">
        <v>41853</v>
      </c>
      <c r="U481" s="139">
        <v>15.3</v>
      </c>
      <c r="Y481" s="139">
        <f t="shared" si="7"/>
        <v>3.5175400000000008</v>
      </c>
      <c r="AA481" s="139">
        <v>47.09</v>
      </c>
      <c r="AE481" s="139">
        <v>21.19</v>
      </c>
      <c r="AG481" s="185">
        <v>4.5</v>
      </c>
      <c r="AI481" s="185">
        <v>115</v>
      </c>
      <c r="AJ481" s="157">
        <v>41803</v>
      </c>
      <c r="AO481" s="139">
        <v>93</v>
      </c>
      <c r="AP481" s="157">
        <v>41738</v>
      </c>
      <c r="AS481" s="139">
        <v>127</v>
      </c>
      <c r="AT481" s="157">
        <v>41766</v>
      </c>
      <c r="BS481" s="140">
        <v>53.1</v>
      </c>
      <c r="BU481" s="140">
        <v>16.600000000000001</v>
      </c>
      <c r="BW481" s="140">
        <v>14.8</v>
      </c>
      <c r="BY481" s="140">
        <v>10.6</v>
      </c>
      <c r="CJ481" s="140" t="s">
        <v>8140</v>
      </c>
    </row>
    <row r="482" spans="1:91">
      <c r="A482" s="158" t="s">
        <v>7639</v>
      </c>
      <c r="B482" s="112" t="s">
        <v>271</v>
      </c>
      <c r="C482" s="112">
        <v>3</v>
      </c>
      <c r="D482">
        <v>24</v>
      </c>
      <c r="E482" s="113">
        <v>60</v>
      </c>
      <c r="F482" s="113">
        <v>1</v>
      </c>
      <c r="I482" s="112">
        <v>31</v>
      </c>
      <c r="J482" s="183">
        <v>41705</v>
      </c>
      <c r="M482" s="184">
        <v>2.83</v>
      </c>
      <c r="N482" s="157">
        <v>41853</v>
      </c>
      <c r="S482" s="139">
        <v>8.67</v>
      </c>
      <c r="T482" s="157">
        <v>41853</v>
      </c>
      <c r="U482" s="139">
        <v>15.3</v>
      </c>
      <c r="Y482" s="139">
        <f t="shared" si="7"/>
        <v>4.0928100000000001</v>
      </c>
      <c r="AA482" s="139">
        <v>35.35</v>
      </c>
      <c r="AE482" s="139">
        <v>18.03</v>
      </c>
      <c r="AG482" s="185">
        <v>5.0999999999999996</v>
      </c>
      <c r="AI482" s="185">
        <v>145</v>
      </c>
      <c r="AJ482" s="157">
        <v>41803</v>
      </c>
      <c r="AO482" s="139">
        <v>98</v>
      </c>
      <c r="AP482" s="157">
        <v>41738</v>
      </c>
      <c r="AS482" s="139">
        <v>129</v>
      </c>
      <c r="AT482" s="157">
        <v>41766</v>
      </c>
      <c r="BS482" s="140">
        <v>48.1</v>
      </c>
      <c r="BU482" s="140">
        <v>22.7</v>
      </c>
      <c r="BW482" s="140">
        <v>55.8</v>
      </c>
      <c r="BY482" s="140">
        <v>11.3</v>
      </c>
      <c r="CJ482" s="140" t="s">
        <v>8131</v>
      </c>
    </row>
    <row r="483" spans="1:91">
      <c r="A483" s="158" t="s">
        <v>7805</v>
      </c>
      <c r="B483" s="112" t="s">
        <v>271</v>
      </c>
      <c r="C483" s="112">
        <v>3</v>
      </c>
      <c r="D483">
        <v>190</v>
      </c>
      <c r="E483" s="113">
        <v>60</v>
      </c>
      <c r="F483" s="113">
        <v>2</v>
      </c>
      <c r="I483" s="112">
        <v>30</v>
      </c>
      <c r="J483" s="183">
        <v>41705</v>
      </c>
      <c r="M483" s="184">
        <v>4.09</v>
      </c>
      <c r="N483" s="157">
        <v>41853</v>
      </c>
      <c r="S483" s="139">
        <v>13.12</v>
      </c>
      <c r="T483" s="157">
        <v>41853</v>
      </c>
      <c r="U483" s="139">
        <v>15.3</v>
      </c>
      <c r="Y483" s="139">
        <f t="shared" si="7"/>
        <v>5.0724799999999997</v>
      </c>
      <c r="AA483" s="139">
        <v>53.92</v>
      </c>
      <c r="AE483" s="139">
        <v>25.88</v>
      </c>
      <c r="AG483" s="185">
        <v>4.8</v>
      </c>
      <c r="AI483" s="185">
        <v>140</v>
      </c>
      <c r="AJ483" s="157">
        <v>41803</v>
      </c>
      <c r="AO483" s="139">
        <v>92</v>
      </c>
      <c r="AP483" s="157">
        <v>41738</v>
      </c>
      <c r="AS483" s="139">
        <v>128</v>
      </c>
      <c r="AT483" s="157">
        <v>41766</v>
      </c>
      <c r="BS483" s="140">
        <v>50.7</v>
      </c>
      <c r="BU483" s="140">
        <v>19.600000000000001</v>
      </c>
      <c r="BW483" s="140">
        <v>14.5</v>
      </c>
      <c r="BY483" s="140">
        <v>11.9</v>
      </c>
      <c r="CJ483" s="140" t="s">
        <v>8140</v>
      </c>
    </row>
    <row r="484" spans="1:91">
      <c r="A484" s="158" t="s">
        <v>7788</v>
      </c>
      <c r="B484" s="112" t="s">
        <v>271</v>
      </c>
      <c r="C484" s="112">
        <v>3</v>
      </c>
      <c r="D484">
        <v>173</v>
      </c>
      <c r="E484" s="113">
        <v>60</v>
      </c>
      <c r="F484" s="113">
        <v>3</v>
      </c>
      <c r="I484" s="112">
        <v>31</v>
      </c>
      <c r="J484" s="183">
        <v>41705</v>
      </c>
      <c r="M484" s="184">
        <v>3.84</v>
      </c>
      <c r="N484" s="157">
        <v>41853</v>
      </c>
      <c r="S484" s="139">
        <v>12.32</v>
      </c>
      <c r="T484" s="157">
        <v>41853</v>
      </c>
      <c r="U484" s="139">
        <v>15.3</v>
      </c>
      <c r="Y484" s="139">
        <f t="shared" si="7"/>
        <v>4.9345500000000007</v>
      </c>
      <c r="AA484" s="139">
        <v>53.37</v>
      </c>
      <c r="AE484" s="139">
        <v>24.55</v>
      </c>
      <c r="AG484" s="185">
        <v>4.5999999999999996</v>
      </c>
      <c r="AI484" s="185">
        <v>130</v>
      </c>
      <c r="AJ484" s="157">
        <v>41803</v>
      </c>
      <c r="AO484" s="139">
        <v>94</v>
      </c>
      <c r="AP484" s="157">
        <v>41738</v>
      </c>
      <c r="AS484" s="139">
        <v>128</v>
      </c>
      <c r="AT484" s="157">
        <v>41766</v>
      </c>
      <c r="BS484" s="140">
        <v>50.2</v>
      </c>
      <c r="BU484" s="140">
        <v>20.100000000000001</v>
      </c>
      <c r="BW484" s="140">
        <v>14.9</v>
      </c>
      <c r="BY484" s="140">
        <v>11</v>
      </c>
      <c r="CJ484" s="140" t="s">
        <v>8140</v>
      </c>
    </row>
    <row r="485" spans="1:91">
      <c r="A485" s="188" t="s">
        <v>7661</v>
      </c>
      <c r="B485" s="189" t="s">
        <v>271</v>
      </c>
      <c r="C485" s="189">
        <v>3</v>
      </c>
      <c r="D485" s="190">
        <v>46</v>
      </c>
      <c r="E485" s="191">
        <v>60</v>
      </c>
      <c r="F485" s="191">
        <v>4</v>
      </c>
      <c r="G485" s="191"/>
      <c r="H485" s="191"/>
      <c r="I485" s="189">
        <v>34</v>
      </c>
      <c r="J485" s="193">
        <v>41705</v>
      </c>
      <c r="K485" s="194"/>
      <c r="L485" s="195"/>
      <c r="M485" s="196">
        <v>1.96</v>
      </c>
      <c r="N485" s="195">
        <v>41853</v>
      </c>
      <c r="O485" s="194"/>
      <c r="P485" s="195"/>
      <c r="Q485" s="194"/>
      <c r="R485" s="195"/>
      <c r="S485" s="194">
        <v>5.76</v>
      </c>
      <c r="T485" s="195">
        <v>41853</v>
      </c>
      <c r="U485" s="194">
        <v>15.3</v>
      </c>
      <c r="V485" s="195"/>
      <c r="W485" s="194"/>
      <c r="X485" s="195"/>
      <c r="Y485" s="139">
        <f t="shared" si="7"/>
        <v>2.94455</v>
      </c>
      <c r="Z485" s="195"/>
      <c r="AA485" s="194">
        <v>27.24</v>
      </c>
      <c r="AB485" s="195"/>
      <c r="AC485" s="194"/>
      <c r="AD485" s="195"/>
      <c r="AE485" s="194">
        <v>12.53</v>
      </c>
      <c r="AF485" s="195"/>
      <c r="AG485" s="197">
        <v>4.5999999999999996</v>
      </c>
      <c r="AH485" s="195"/>
      <c r="AI485" s="197">
        <v>120</v>
      </c>
      <c r="AJ485" s="195">
        <v>41803</v>
      </c>
      <c r="AK485" s="194"/>
      <c r="AL485" s="195"/>
      <c r="AM485" s="194"/>
      <c r="AN485" s="195"/>
      <c r="AO485" s="194">
        <v>93</v>
      </c>
      <c r="AP485" s="195">
        <v>41738</v>
      </c>
      <c r="AQ485" s="194"/>
      <c r="AR485" s="194"/>
      <c r="AS485" s="194">
        <v>127</v>
      </c>
      <c r="AT485" s="195">
        <v>41766</v>
      </c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8"/>
      <c r="BF485" s="198"/>
      <c r="BG485" s="198"/>
      <c r="BH485" s="198"/>
      <c r="BI485" s="198"/>
      <c r="BJ485" s="198"/>
      <c r="BK485" s="198"/>
      <c r="BL485" s="198"/>
      <c r="BM485" s="198"/>
      <c r="BN485" s="198"/>
      <c r="BO485" s="198"/>
      <c r="BP485" s="198"/>
      <c r="BQ485" s="198"/>
      <c r="BR485" s="198"/>
      <c r="BS485" s="198">
        <v>46</v>
      </c>
      <c r="BT485" s="198"/>
      <c r="BU485" s="198">
        <v>23.5</v>
      </c>
      <c r="BV485" s="198"/>
      <c r="BW485" s="198">
        <v>66.099999999999994</v>
      </c>
      <c r="BX485" s="198"/>
      <c r="BY485" s="198">
        <v>11</v>
      </c>
      <c r="BZ485" s="198"/>
      <c r="CA485" s="198"/>
      <c r="CB485" s="198"/>
      <c r="CC485" s="198"/>
      <c r="CD485" s="198"/>
      <c r="CE485" s="198"/>
      <c r="CF485" s="198"/>
      <c r="CG485" s="198"/>
      <c r="CH485" s="198"/>
      <c r="CI485" s="198"/>
      <c r="CJ485" s="198" t="s">
        <v>8140</v>
      </c>
      <c r="CK485" s="198"/>
      <c r="CL485" s="198"/>
      <c r="CM485" s="198"/>
    </row>
    <row r="486" spans="1:91">
      <c r="A486" s="158" t="s">
        <v>7628</v>
      </c>
      <c r="B486" s="112" t="s">
        <v>271</v>
      </c>
      <c r="C486" s="112">
        <v>3</v>
      </c>
      <c r="D486">
        <v>13</v>
      </c>
      <c r="E486" s="113">
        <v>60</v>
      </c>
      <c r="F486" s="113">
        <v>5</v>
      </c>
      <c r="I486" s="187">
        <v>44</v>
      </c>
      <c r="J486" s="183">
        <v>41705</v>
      </c>
      <c r="K486" s="142"/>
      <c r="M486" s="184">
        <v>2.33</v>
      </c>
      <c r="N486" s="157">
        <v>41853</v>
      </c>
      <c r="O486" s="141"/>
      <c r="Q486" s="142"/>
      <c r="S486" s="142">
        <v>7.19</v>
      </c>
      <c r="T486" s="157">
        <v>41853</v>
      </c>
      <c r="U486" s="142">
        <v>15.3</v>
      </c>
      <c r="W486" s="142"/>
      <c r="Y486" s="139">
        <f t="shared" si="7"/>
        <v>3.4098099999999998</v>
      </c>
      <c r="AA486" s="142">
        <v>33.090000000000003</v>
      </c>
      <c r="AE486" s="142">
        <v>14.89</v>
      </c>
      <c r="AG486" s="185">
        <v>4.5</v>
      </c>
      <c r="AI486" s="185">
        <v>120</v>
      </c>
      <c r="AJ486" s="157">
        <v>41803</v>
      </c>
      <c r="AK486" s="142"/>
      <c r="AM486" s="142"/>
      <c r="AO486" s="139">
        <v>92</v>
      </c>
      <c r="AP486" s="157">
        <v>41738</v>
      </c>
      <c r="AS486" s="139">
        <v>126</v>
      </c>
      <c r="AT486" s="157">
        <v>41766</v>
      </c>
      <c r="BS486" s="140">
        <v>48.3</v>
      </c>
      <c r="BU486" s="140">
        <v>22.9</v>
      </c>
      <c r="BW486" s="140">
        <v>64.7</v>
      </c>
      <c r="BY486" s="140">
        <v>11</v>
      </c>
      <c r="CJ486" s="140" t="s">
        <v>8139</v>
      </c>
    </row>
    <row r="487" spans="1:91">
      <c r="A487" s="158" t="s">
        <v>7616</v>
      </c>
      <c r="B487" s="112" t="s">
        <v>271</v>
      </c>
      <c r="C487" s="112">
        <v>3</v>
      </c>
      <c r="D487">
        <v>1</v>
      </c>
      <c r="E487" s="113">
        <v>60</v>
      </c>
      <c r="F487" s="113">
        <v>6</v>
      </c>
      <c r="I487" s="187">
        <v>37</v>
      </c>
      <c r="J487" s="183">
        <v>41705</v>
      </c>
      <c r="K487" s="142"/>
      <c r="M487" s="184">
        <v>3.68</v>
      </c>
      <c r="N487" s="157">
        <v>41853</v>
      </c>
      <c r="O487" s="141"/>
      <c r="Q487" s="142"/>
      <c r="S487" s="142">
        <v>11.25</v>
      </c>
      <c r="T487" s="157">
        <v>41853</v>
      </c>
      <c r="U487" s="142">
        <v>15.3</v>
      </c>
      <c r="W487" s="142"/>
      <c r="Y487" s="139">
        <f t="shared" si="7"/>
        <v>5.3215200000000005</v>
      </c>
      <c r="AA487" s="142">
        <v>54.28</v>
      </c>
      <c r="AE487" s="142">
        <v>23.34</v>
      </c>
      <c r="AG487" s="185">
        <v>4.3</v>
      </c>
      <c r="AI487" s="185">
        <v>120</v>
      </c>
      <c r="AJ487" s="157">
        <v>41803</v>
      </c>
      <c r="AK487" s="142"/>
      <c r="AM487" s="142"/>
      <c r="AO487" s="139">
        <v>95</v>
      </c>
      <c r="AP487" s="157">
        <v>41738</v>
      </c>
      <c r="AS487" s="139">
        <v>127</v>
      </c>
      <c r="AT487" s="157">
        <v>41766</v>
      </c>
      <c r="BS487" s="140">
        <v>48.2</v>
      </c>
      <c r="BU487" s="140">
        <v>22.8</v>
      </c>
      <c r="BW487" s="140">
        <v>54.2</v>
      </c>
      <c r="BY487" s="140">
        <v>11.7</v>
      </c>
      <c r="CJ487" s="140" t="s">
        <v>8139</v>
      </c>
    </row>
    <row r="488" spans="1:91">
      <c r="A488" s="158" t="s">
        <v>7787</v>
      </c>
      <c r="B488" s="112" t="s">
        <v>269</v>
      </c>
      <c r="C488" s="112">
        <v>4</v>
      </c>
      <c r="D488">
        <v>172</v>
      </c>
      <c r="E488" s="113">
        <v>60</v>
      </c>
      <c r="F488" s="113">
        <v>7</v>
      </c>
      <c r="I488" s="112">
        <v>30</v>
      </c>
      <c r="J488" s="183">
        <v>41705</v>
      </c>
      <c r="M488" s="184">
        <v>2.8</v>
      </c>
      <c r="N488" s="157">
        <v>41853</v>
      </c>
      <c r="S488" s="139">
        <v>9.1300000000000008</v>
      </c>
      <c r="T488" s="157">
        <v>41853</v>
      </c>
      <c r="U488" s="139">
        <v>15.3</v>
      </c>
      <c r="Y488" s="139">
        <f t="shared" si="7"/>
        <v>3.1612199999999997</v>
      </c>
      <c r="AA488" s="139">
        <v>34.35</v>
      </c>
      <c r="AE488" s="139">
        <v>17.86</v>
      </c>
      <c r="AG488" s="185">
        <v>5.2</v>
      </c>
      <c r="AI488" s="185">
        <v>115</v>
      </c>
      <c r="AJ488" s="157">
        <v>41803</v>
      </c>
      <c r="AO488" s="139">
        <v>92</v>
      </c>
      <c r="AP488" s="157">
        <v>41738</v>
      </c>
      <c r="AS488" s="139">
        <v>126</v>
      </c>
      <c r="AT488" s="157">
        <v>41766</v>
      </c>
      <c r="BS488" s="140">
        <v>51.1</v>
      </c>
      <c r="BU488" s="140">
        <v>17.7</v>
      </c>
      <c r="BW488" s="140">
        <v>13.5</v>
      </c>
      <c r="BY488" s="140">
        <v>11.2</v>
      </c>
      <c r="CJ488" s="140" t="s">
        <v>8140</v>
      </c>
    </row>
    <row r="489" spans="1:91">
      <c r="A489" s="158" t="s">
        <v>7629</v>
      </c>
      <c r="B489" s="112" t="s">
        <v>269</v>
      </c>
      <c r="C489" s="112">
        <v>4</v>
      </c>
      <c r="D489">
        <v>14</v>
      </c>
      <c r="E489" s="113">
        <v>60</v>
      </c>
      <c r="F489" s="113">
        <v>8</v>
      </c>
      <c r="I489" s="187">
        <v>46</v>
      </c>
      <c r="J489" s="183">
        <v>41705</v>
      </c>
      <c r="K489" s="142"/>
      <c r="M489" s="184">
        <v>2.84</v>
      </c>
      <c r="N489" s="157">
        <v>41853</v>
      </c>
      <c r="O489" s="141"/>
      <c r="Q489" s="142"/>
      <c r="S489" s="142">
        <v>9.1199999999999992</v>
      </c>
      <c r="T489" s="157">
        <v>41853</v>
      </c>
      <c r="U489" s="142">
        <v>15.3</v>
      </c>
      <c r="W489" s="142"/>
      <c r="Y489" s="139">
        <f t="shared" si="7"/>
        <v>3.6357300000000006</v>
      </c>
      <c r="AA489" s="142">
        <v>47.13</v>
      </c>
      <c r="AE489" s="142">
        <v>17.91</v>
      </c>
      <c r="AG489" s="185">
        <v>3.8</v>
      </c>
      <c r="AI489" s="185">
        <v>110</v>
      </c>
      <c r="AJ489" s="157">
        <v>41803</v>
      </c>
      <c r="AK489" s="142"/>
      <c r="AM489" s="142"/>
      <c r="AO489" s="139">
        <v>88</v>
      </c>
      <c r="AP489" s="157">
        <v>41738</v>
      </c>
      <c r="AS489" s="139">
        <v>123</v>
      </c>
      <c r="AT489" s="157">
        <v>41766</v>
      </c>
      <c r="BS489" s="140">
        <v>50.9</v>
      </c>
      <c r="BU489" s="140">
        <v>20.3</v>
      </c>
      <c r="BW489" s="140">
        <v>58.6</v>
      </c>
      <c r="BY489" s="140">
        <v>12.2</v>
      </c>
      <c r="CJ489" s="140" t="s">
        <v>8140</v>
      </c>
    </row>
    <row r="490" spans="1:91">
      <c r="A490" s="158" t="s">
        <v>7636</v>
      </c>
      <c r="B490" s="112" t="s">
        <v>269</v>
      </c>
      <c r="C490" s="112">
        <v>4</v>
      </c>
      <c r="D490">
        <v>21</v>
      </c>
      <c r="E490" s="113">
        <v>60</v>
      </c>
      <c r="F490" s="113">
        <v>9</v>
      </c>
      <c r="I490" s="187">
        <v>34</v>
      </c>
      <c r="J490" s="183">
        <v>41705</v>
      </c>
      <c r="K490" s="142"/>
      <c r="M490" s="184">
        <v>1.84</v>
      </c>
      <c r="N490" s="157">
        <v>41853</v>
      </c>
      <c r="O490" s="141"/>
      <c r="Q490" s="142"/>
      <c r="S490" s="142">
        <v>5.84</v>
      </c>
      <c r="T490" s="157">
        <v>41853</v>
      </c>
      <c r="U490" s="142">
        <v>15.3</v>
      </c>
      <c r="W490" s="142"/>
      <c r="Y490" s="139">
        <f t="shared" si="7"/>
        <v>2.3519999999999999</v>
      </c>
      <c r="AA490" s="142">
        <v>22.62</v>
      </c>
      <c r="AE490" s="142">
        <v>11.76</v>
      </c>
      <c r="AG490" s="185">
        <v>5.2</v>
      </c>
      <c r="AI490" s="185">
        <v>120</v>
      </c>
      <c r="AJ490" s="157">
        <v>41803</v>
      </c>
      <c r="AK490" s="142"/>
      <c r="AM490" s="142"/>
      <c r="AO490" s="139">
        <v>89</v>
      </c>
      <c r="AP490" s="157">
        <v>41738</v>
      </c>
      <c r="AS490" s="139">
        <v>126</v>
      </c>
      <c r="AT490" s="157">
        <v>41766</v>
      </c>
      <c r="BS490" s="140">
        <v>49.7</v>
      </c>
      <c r="BU490" s="140">
        <v>20</v>
      </c>
      <c r="BW490" s="140">
        <v>64.099999999999994</v>
      </c>
      <c r="BY490" s="140">
        <v>11</v>
      </c>
      <c r="CJ490" s="140" t="s">
        <v>8140</v>
      </c>
    </row>
    <row r="491" spans="1:91">
      <c r="A491" s="158" t="s">
        <v>7903</v>
      </c>
      <c r="B491" s="112" t="s">
        <v>269</v>
      </c>
      <c r="C491" s="112">
        <v>4</v>
      </c>
      <c r="D491">
        <v>213</v>
      </c>
      <c r="E491" s="113">
        <v>60</v>
      </c>
      <c r="F491" s="113">
        <v>10</v>
      </c>
      <c r="I491" s="112">
        <v>28</v>
      </c>
      <c r="J491" s="183">
        <v>41705</v>
      </c>
      <c r="M491" s="184"/>
      <c r="N491" s="157">
        <v>41853</v>
      </c>
      <c r="T491" s="157">
        <v>41853</v>
      </c>
      <c r="U491" s="139">
        <v>15.3</v>
      </c>
      <c r="Y491" s="139">
        <f t="shared" si="7"/>
        <v>0</v>
      </c>
      <c r="AG491" s="185"/>
      <c r="AI491" s="185">
        <v>120</v>
      </c>
      <c r="AJ491" s="157">
        <v>41803</v>
      </c>
      <c r="AO491" s="139">
        <v>93</v>
      </c>
      <c r="AP491" s="157">
        <v>41738</v>
      </c>
      <c r="AS491" s="139">
        <v>126</v>
      </c>
      <c r="AT491" s="157">
        <v>41766</v>
      </c>
      <c r="CJ491" s="140" t="s">
        <v>8156</v>
      </c>
    </row>
    <row r="492" spans="1:91">
      <c r="A492" s="158" t="s">
        <v>7675</v>
      </c>
      <c r="B492" s="112" t="s">
        <v>269</v>
      </c>
      <c r="C492" s="112">
        <v>4</v>
      </c>
      <c r="D492">
        <v>60</v>
      </c>
      <c r="E492" s="113">
        <v>60</v>
      </c>
      <c r="F492" s="113">
        <v>11</v>
      </c>
      <c r="I492" s="112">
        <v>54</v>
      </c>
      <c r="J492" s="183">
        <v>41705</v>
      </c>
      <c r="M492" s="184">
        <v>2.6</v>
      </c>
      <c r="N492" s="157">
        <v>41853</v>
      </c>
      <c r="S492" s="139">
        <v>8.6</v>
      </c>
      <c r="T492" s="157">
        <v>41853</v>
      </c>
      <c r="U492" s="139">
        <v>15.3</v>
      </c>
      <c r="Y492" s="139">
        <f t="shared" si="7"/>
        <v>2.8815599999999999</v>
      </c>
      <c r="AA492" s="139">
        <v>41.74</v>
      </c>
      <c r="AE492" s="139">
        <v>16.28</v>
      </c>
      <c r="AG492" s="185">
        <v>3.9</v>
      </c>
      <c r="AI492" s="185">
        <v>110</v>
      </c>
      <c r="AJ492" s="157">
        <v>41803</v>
      </c>
      <c r="AO492" s="139">
        <v>92</v>
      </c>
      <c r="AP492" s="157">
        <v>41738</v>
      </c>
      <c r="AS492" s="139">
        <v>125</v>
      </c>
      <c r="AT492" s="157">
        <v>41766</v>
      </c>
      <c r="BS492" s="140">
        <v>52.8</v>
      </c>
      <c r="BU492" s="140">
        <v>17.7</v>
      </c>
      <c r="BW492" s="140">
        <v>13.2</v>
      </c>
      <c r="BY492" s="140">
        <v>12.8</v>
      </c>
      <c r="CJ492" s="140" t="s">
        <v>8140</v>
      </c>
    </row>
    <row r="493" spans="1:91">
      <c r="A493" s="158" t="s">
        <v>7651</v>
      </c>
      <c r="B493" s="112" t="s">
        <v>269</v>
      </c>
      <c r="C493" s="112">
        <v>4</v>
      </c>
      <c r="D493">
        <v>36</v>
      </c>
      <c r="E493" s="113">
        <v>60</v>
      </c>
      <c r="F493" s="113">
        <v>12</v>
      </c>
      <c r="I493" s="112">
        <v>13</v>
      </c>
      <c r="J493" s="183">
        <v>41705</v>
      </c>
      <c r="M493" s="184">
        <v>1.92</v>
      </c>
      <c r="N493" s="157">
        <v>41853</v>
      </c>
      <c r="S493" s="139">
        <v>6.33</v>
      </c>
      <c r="T493" s="157">
        <v>41853</v>
      </c>
      <c r="U493" s="139">
        <v>15.3</v>
      </c>
      <c r="Y493" s="139">
        <f t="shared" si="7"/>
        <v>2.1717899999999997</v>
      </c>
      <c r="AA493" s="139">
        <v>34.08</v>
      </c>
      <c r="AE493" s="139">
        <v>12.27</v>
      </c>
      <c r="AG493" s="185">
        <v>3.6</v>
      </c>
      <c r="AI493" s="185">
        <v>130</v>
      </c>
      <c r="AJ493" s="157">
        <v>41803</v>
      </c>
      <c r="AO493" s="139">
        <v>89</v>
      </c>
      <c r="AP493" s="157">
        <v>41738</v>
      </c>
      <c r="AS493" s="139">
        <v>127</v>
      </c>
      <c r="AT493" s="157">
        <v>41766</v>
      </c>
      <c r="BS493" s="140">
        <v>51.6</v>
      </c>
      <c r="BU493" s="140">
        <v>17.7</v>
      </c>
      <c r="BW493" s="140">
        <v>43.3</v>
      </c>
      <c r="BY493" s="140">
        <v>11</v>
      </c>
      <c r="CJ493" s="140" t="s">
        <v>8148</v>
      </c>
    </row>
    <row r="494" spans="1:91">
      <c r="A494" s="158" t="s">
        <v>7775</v>
      </c>
      <c r="B494" s="112" t="s">
        <v>271</v>
      </c>
      <c r="C494" s="112">
        <v>3</v>
      </c>
      <c r="D494">
        <v>160</v>
      </c>
      <c r="E494" s="113">
        <v>61</v>
      </c>
      <c r="F494" s="113">
        <v>1</v>
      </c>
      <c r="I494" s="112">
        <v>15</v>
      </c>
      <c r="J494" s="183">
        <v>41705</v>
      </c>
      <c r="M494" s="184">
        <v>3.91</v>
      </c>
      <c r="N494" s="157">
        <v>41853</v>
      </c>
      <c r="S494" s="139">
        <v>12.27</v>
      </c>
      <c r="T494" s="157">
        <v>41853</v>
      </c>
      <c r="U494" s="139">
        <v>15.3</v>
      </c>
      <c r="Y494" s="139">
        <f t="shared" si="7"/>
        <v>5.3881099999999993</v>
      </c>
      <c r="AA494" s="139">
        <v>46.85</v>
      </c>
      <c r="AE494" s="139">
        <v>24.83</v>
      </c>
      <c r="AG494" s="185">
        <v>5.3</v>
      </c>
      <c r="AI494" s="185">
        <v>140</v>
      </c>
      <c r="AJ494" s="157">
        <v>41803</v>
      </c>
      <c r="AO494" s="139">
        <v>91</v>
      </c>
      <c r="AP494" s="157">
        <v>41738</v>
      </c>
      <c r="AS494" s="139">
        <v>128</v>
      </c>
      <c r="AT494" s="157">
        <v>41766</v>
      </c>
      <c r="BS494" s="140">
        <v>49.4</v>
      </c>
      <c r="BU494" s="140">
        <v>21.7</v>
      </c>
      <c r="BW494" s="140">
        <v>20.2</v>
      </c>
      <c r="BY494" s="140">
        <v>11.6</v>
      </c>
      <c r="CJ494" s="140" t="s">
        <v>8140</v>
      </c>
    </row>
    <row r="495" spans="1:91">
      <c r="A495" s="158" t="s">
        <v>7755</v>
      </c>
      <c r="B495" s="112" t="s">
        <v>271</v>
      </c>
      <c r="C495" s="112">
        <v>3</v>
      </c>
      <c r="D495">
        <v>140</v>
      </c>
      <c r="E495" s="113">
        <v>61</v>
      </c>
      <c r="F495" s="113">
        <v>2</v>
      </c>
      <c r="I495" s="112">
        <v>36</v>
      </c>
      <c r="J495" s="183">
        <v>41705</v>
      </c>
      <c r="M495" s="184">
        <v>2.2000000000000002</v>
      </c>
      <c r="N495" s="157">
        <v>41853</v>
      </c>
      <c r="S495" s="139">
        <v>6.69</v>
      </c>
      <c r="T495" s="157">
        <v>41853</v>
      </c>
      <c r="U495" s="139">
        <v>15.3</v>
      </c>
      <c r="Y495" s="139">
        <f t="shared" si="7"/>
        <v>3.3884600000000002</v>
      </c>
      <c r="AA495" s="139">
        <v>30.57</v>
      </c>
      <c r="AE495" s="139">
        <v>14.06</v>
      </c>
      <c r="AG495" s="185">
        <v>4.5999999999999996</v>
      </c>
      <c r="AI495" s="185">
        <v>130</v>
      </c>
      <c r="AJ495" s="157">
        <v>41803</v>
      </c>
      <c r="AO495" s="139">
        <v>100</v>
      </c>
      <c r="AP495" s="157">
        <v>41738</v>
      </c>
      <c r="AS495" s="139">
        <v>128</v>
      </c>
      <c r="AT495" s="157">
        <v>41766</v>
      </c>
      <c r="BS495" s="140">
        <v>47.6</v>
      </c>
      <c r="BU495" s="140">
        <v>24.1</v>
      </c>
      <c r="BW495" s="140">
        <v>76.599999999999994</v>
      </c>
      <c r="BY495" s="140">
        <v>11</v>
      </c>
      <c r="CJ495" s="140" t="s">
        <v>8131</v>
      </c>
    </row>
    <row r="496" spans="1:91">
      <c r="A496" s="158" t="s">
        <v>7798</v>
      </c>
      <c r="B496" s="112" t="s">
        <v>271</v>
      </c>
      <c r="C496" s="112">
        <v>3</v>
      </c>
      <c r="D496">
        <v>183</v>
      </c>
      <c r="E496" s="113">
        <v>61</v>
      </c>
      <c r="F496" s="113">
        <v>3</v>
      </c>
      <c r="I496" s="112">
        <v>29</v>
      </c>
      <c r="J496" s="183">
        <v>41705</v>
      </c>
      <c r="M496" s="184">
        <v>3.79</v>
      </c>
      <c r="N496" s="157">
        <v>41853</v>
      </c>
      <c r="S496" s="139">
        <v>12.59</v>
      </c>
      <c r="T496" s="157">
        <v>41853</v>
      </c>
      <c r="U496" s="139">
        <v>15.3</v>
      </c>
      <c r="Y496" s="139">
        <f t="shared" si="7"/>
        <v>4.8340000000000005</v>
      </c>
      <c r="AA496" s="139">
        <v>54.93</v>
      </c>
      <c r="AE496" s="139">
        <v>24.17</v>
      </c>
      <c r="AG496" s="185">
        <v>4.4000000000000004</v>
      </c>
      <c r="AI496" s="185">
        <v>135</v>
      </c>
      <c r="AJ496" s="157">
        <v>41803</v>
      </c>
      <c r="AO496" s="139">
        <v>94</v>
      </c>
      <c r="AP496" s="157">
        <v>41738</v>
      </c>
      <c r="AS496" s="139">
        <v>129</v>
      </c>
      <c r="AT496" s="157">
        <v>41766</v>
      </c>
      <c r="BS496" s="140">
        <v>52.1</v>
      </c>
      <c r="BU496" s="140">
        <v>20</v>
      </c>
      <c r="BW496" s="140">
        <v>11.9</v>
      </c>
      <c r="BY496" s="140">
        <v>11.2</v>
      </c>
      <c r="CJ496" s="140" t="s">
        <v>8140</v>
      </c>
    </row>
    <row r="497" spans="1:88">
      <c r="A497" s="158" t="s">
        <v>7784</v>
      </c>
      <c r="B497" s="112" t="s">
        <v>271</v>
      </c>
      <c r="C497" s="112">
        <v>3</v>
      </c>
      <c r="D497">
        <v>169</v>
      </c>
      <c r="E497" s="113">
        <v>61</v>
      </c>
      <c r="F497" s="113">
        <v>4</v>
      </c>
      <c r="I497" s="112">
        <v>27</v>
      </c>
      <c r="J497" s="183">
        <v>41705</v>
      </c>
      <c r="M497" s="184">
        <v>4.55</v>
      </c>
      <c r="N497" s="157">
        <v>41853</v>
      </c>
      <c r="S497" s="139">
        <v>14.32</v>
      </c>
      <c r="T497" s="157">
        <v>41853</v>
      </c>
      <c r="U497" s="139">
        <v>15.3</v>
      </c>
      <c r="Y497" s="139">
        <f t="shared" si="7"/>
        <v>6.0522</v>
      </c>
      <c r="AA497" s="139">
        <v>67.02</v>
      </c>
      <c r="AE497" s="139">
        <v>28.82</v>
      </c>
      <c r="AG497" s="185">
        <v>4.3</v>
      </c>
      <c r="AI497" s="185">
        <v>130</v>
      </c>
      <c r="AJ497" s="157">
        <v>41803</v>
      </c>
      <c r="AO497" s="139">
        <v>93</v>
      </c>
      <c r="AP497" s="157">
        <v>41738</v>
      </c>
      <c r="AS497" s="139">
        <v>127</v>
      </c>
      <c r="AT497" s="157">
        <v>41766</v>
      </c>
      <c r="BS497" s="140">
        <v>49.7</v>
      </c>
      <c r="BU497" s="140">
        <v>21</v>
      </c>
      <c r="BW497" s="140">
        <v>15.4</v>
      </c>
      <c r="BY497" s="140">
        <v>11.8</v>
      </c>
      <c r="CJ497" s="140" t="s">
        <v>8140</v>
      </c>
    </row>
    <row r="498" spans="1:88">
      <c r="A498" s="158" t="s">
        <v>7690</v>
      </c>
      <c r="B498" s="112" t="s">
        <v>271</v>
      </c>
      <c r="C498" s="112">
        <v>3</v>
      </c>
      <c r="D498">
        <v>75</v>
      </c>
      <c r="E498" s="113">
        <v>61</v>
      </c>
      <c r="F498" s="113">
        <v>5</v>
      </c>
      <c r="I498" s="112">
        <v>25</v>
      </c>
      <c r="J498" s="183">
        <v>41705</v>
      </c>
      <c r="M498" s="184">
        <v>2.99</v>
      </c>
      <c r="N498" s="157">
        <v>41853</v>
      </c>
      <c r="S498" s="139">
        <v>9.26</v>
      </c>
      <c r="T498" s="157">
        <v>41853</v>
      </c>
      <c r="U498" s="139">
        <v>15.3</v>
      </c>
      <c r="Y498" s="139">
        <f t="shared" si="7"/>
        <v>4.3334299999999999</v>
      </c>
      <c r="AA498" s="139">
        <v>36.020000000000003</v>
      </c>
      <c r="AE498" s="139">
        <v>19.09</v>
      </c>
      <c r="AG498" s="185">
        <v>5.3</v>
      </c>
      <c r="AI498" s="185">
        <v>130</v>
      </c>
      <c r="AJ498" s="157">
        <v>41803</v>
      </c>
      <c r="AO498" s="139">
        <v>91</v>
      </c>
      <c r="AP498" s="157">
        <v>41738</v>
      </c>
      <c r="AS498" s="139">
        <v>128</v>
      </c>
      <c r="AT498" s="157">
        <v>41766</v>
      </c>
      <c r="BS498" s="140">
        <v>48.5</v>
      </c>
      <c r="BU498" s="140">
        <v>22.7</v>
      </c>
      <c r="BW498" s="140">
        <v>20.7</v>
      </c>
      <c r="BY498" s="140">
        <v>11.1</v>
      </c>
      <c r="CJ498" s="140" t="s">
        <v>8140</v>
      </c>
    </row>
    <row r="499" spans="1:88">
      <c r="A499" s="158" t="s">
        <v>7818</v>
      </c>
      <c r="B499" s="112" t="s">
        <v>271</v>
      </c>
      <c r="C499" s="112">
        <v>3</v>
      </c>
      <c r="D499">
        <v>203</v>
      </c>
      <c r="E499" s="113">
        <v>61</v>
      </c>
      <c r="F499" s="113">
        <v>6</v>
      </c>
      <c r="I499" s="112">
        <v>26</v>
      </c>
      <c r="J499" s="183">
        <v>41705</v>
      </c>
      <c r="M499" s="184">
        <v>4.38</v>
      </c>
      <c r="N499" s="157">
        <v>41853</v>
      </c>
      <c r="S499" s="139">
        <v>14.31</v>
      </c>
      <c r="T499" s="157">
        <v>41853</v>
      </c>
      <c r="U499" s="139">
        <v>15.3</v>
      </c>
      <c r="Y499" s="139">
        <f t="shared" si="7"/>
        <v>5.3289</v>
      </c>
      <c r="AA499" s="139">
        <v>56.94</v>
      </c>
      <c r="AE499" s="139">
        <v>27.9</v>
      </c>
      <c r="AG499" s="185">
        <v>4.9000000000000004</v>
      </c>
      <c r="AI499" s="185">
        <v>120</v>
      </c>
      <c r="AJ499" s="157">
        <v>41803</v>
      </c>
      <c r="AO499" s="139">
        <v>94</v>
      </c>
      <c r="AP499" s="157">
        <v>41738</v>
      </c>
      <c r="AS499" s="139">
        <v>127</v>
      </c>
      <c r="AT499" s="157">
        <v>41766</v>
      </c>
      <c r="BS499" s="140">
        <v>51.3</v>
      </c>
      <c r="BU499" s="140">
        <v>19.100000000000001</v>
      </c>
      <c r="BW499" s="140">
        <v>19</v>
      </c>
      <c r="BY499" s="140">
        <v>11.3</v>
      </c>
      <c r="CJ499" s="140" t="s">
        <v>8140</v>
      </c>
    </row>
    <row r="500" spans="1:88">
      <c r="A500" s="158" t="s">
        <v>7776</v>
      </c>
      <c r="B500" s="112" t="s">
        <v>269</v>
      </c>
      <c r="C500" s="112">
        <v>4</v>
      </c>
      <c r="D500">
        <v>161</v>
      </c>
      <c r="E500" s="113">
        <v>61</v>
      </c>
      <c r="F500" s="113">
        <v>7</v>
      </c>
      <c r="I500" s="112">
        <v>48</v>
      </c>
      <c r="J500" s="183">
        <v>41705</v>
      </c>
      <c r="M500" s="184">
        <v>2.57</v>
      </c>
      <c r="N500" s="157">
        <v>41853</v>
      </c>
      <c r="S500" s="139">
        <v>8.51</v>
      </c>
      <c r="T500" s="157">
        <v>41853</v>
      </c>
      <c r="U500" s="139">
        <v>15.3</v>
      </c>
      <c r="Y500" s="139">
        <f t="shared" si="7"/>
        <v>2.9955200000000004</v>
      </c>
      <c r="AA500" s="139">
        <v>36.18</v>
      </c>
      <c r="AE500" s="139">
        <v>16.28</v>
      </c>
      <c r="AG500" s="185">
        <v>4.5</v>
      </c>
      <c r="AI500" s="185">
        <v>110</v>
      </c>
      <c r="AJ500" s="157">
        <v>41803</v>
      </c>
      <c r="AO500" s="139">
        <v>91</v>
      </c>
      <c r="AP500" s="157">
        <v>41738</v>
      </c>
      <c r="AS500" s="139">
        <v>126</v>
      </c>
      <c r="AT500" s="157">
        <v>41766</v>
      </c>
      <c r="BS500" s="140">
        <v>52.3</v>
      </c>
      <c r="BU500" s="140">
        <v>18.399999999999999</v>
      </c>
      <c r="BW500" s="140">
        <v>12.4</v>
      </c>
      <c r="BY500" s="140">
        <v>11.8</v>
      </c>
      <c r="CJ500" s="140" t="s">
        <v>8140</v>
      </c>
    </row>
    <row r="501" spans="1:88">
      <c r="A501" s="158" t="s">
        <v>7669</v>
      </c>
      <c r="B501" s="112" t="s">
        <v>269</v>
      </c>
      <c r="C501" s="112">
        <v>4</v>
      </c>
      <c r="D501">
        <v>54</v>
      </c>
      <c r="E501" s="113">
        <v>61</v>
      </c>
      <c r="F501" s="113">
        <v>8</v>
      </c>
      <c r="I501" s="112">
        <v>25</v>
      </c>
      <c r="J501" s="183">
        <v>41705</v>
      </c>
      <c r="M501" s="184">
        <v>2.1800000000000002</v>
      </c>
      <c r="N501" s="157">
        <v>41853</v>
      </c>
      <c r="S501" s="139">
        <v>7.23</v>
      </c>
      <c r="T501" s="157">
        <v>41853</v>
      </c>
      <c r="U501" s="139">
        <v>15.3</v>
      </c>
      <c r="Y501" s="139">
        <f t="shared" si="7"/>
        <v>2.5510199999999998</v>
      </c>
      <c r="AA501" s="139">
        <v>33.19</v>
      </c>
      <c r="AE501" s="139">
        <v>13.94</v>
      </c>
      <c r="AG501" s="185">
        <v>4.2</v>
      </c>
      <c r="AI501" s="185">
        <v>125</v>
      </c>
      <c r="AJ501" s="157">
        <v>41803</v>
      </c>
      <c r="AO501" s="139">
        <v>93</v>
      </c>
      <c r="AP501" s="157">
        <v>41738</v>
      </c>
      <c r="AS501" s="139">
        <v>128</v>
      </c>
      <c r="AT501" s="157">
        <v>41766</v>
      </c>
      <c r="BS501" s="140">
        <v>51.9</v>
      </c>
      <c r="BU501" s="140">
        <v>18.3</v>
      </c>
      <c r="BW501" s="140">
        <v>32.6</v>
      </c>
      <c r="BY501" s="140">
        <v>11</v>
      </c>
      <c r="CJ501" s="140" t="s">
        <v>8140</v>
      </c>
    </row>
    <row r="502" spans="1:88">
      <c r="A502" s="158" t="s">
        <v>7789</v>
      </c>
      <c r="B502" s="112" t="s">
        <v>269</v>
      </c>
      <c r="C502" s="112">
        <v>4</v>
      </c>
      <c r="D502">
        <v>174</v>
      </c>
      <c r="E502" s="113">
        <v>61</v>
      </c>
      <c r="F502" s="113">
        <v>9</v>
      </c>
      <c r="I502" s="112">
        <v>17</v>
      </c>
      <c r="J502" s="183">
        <v>41705</v>
      </c>
      <c r="M502" s="184">
        <v>2.57</v>
      </c>
      <c r="N502" s="157">
        <v>41853</v>
      </c>
      <c r="S502" s="139">
        <v>8.4600000000000009</v>
      </c>
      <c r="T502" s="157">
        <v>41853</v>
      </c>
      <c r="U502" s="139">
        <v>15.3</v>
      </c>
      <c r="Y502" s="139">
        <f t="shared" si="7"/>
        <v>2.9957100000000003</v>
      </c>
      <c r="AA502" s="139">
        <v>38.07</v>
      </c>
      <c r="AE502" s="139">
        <v>16.37</v>
      </c>
      <c r="AG502" s="185">
        <v>4.3</v>
      </c>
      <c r="AI502" s="185">
        <v>125</v>
      </c>
      <c r="AJ502" s="157">
        <v>41803</v>
      </c>
      <c r="AO502" s="139">
        <v>90</v>
      </c>
      <c r="AP502" s="157">
        <v>41738</v>
      </c>
      <c r="AS502" s="139">
        <v>126</v>
      </c>
      <c r="AT502" s="157">
        <v>41766</v>
      </c>
      <c r="BS502" s="140">
        <v>51.7</v>
      </c>
      <c r="BU502" s="140">
        <v>18.3</v>
      </c>
      <c r="BW502" s="140">
        <v>12.9</v>
      </c>
      <c r="BY502" s="140">
        <v>11.3</v>
      </c>
      <c r="CJ502" s="140" t="s">
        <v>8140</v>
      </c>
    </row>
    <row r="503" spans="1:88">
      <c r="A503" s="158" t="s">
        <v>7785</v>
      </c>
      <c r="B503" s="112" t="s">
        <v>269</v>
      </c>
      <c r="C503" s="112">
        <v>4</v>
      </c>
      <c r="D503">
        <v>170</v>
      </c>
      <c r="E503" s="113">
        <v>61</v>
      </c>
      <c r="F503" s="113">
        <v>10</v>
      </c>
      <c r="I503" s="112">
        <v>19</v>
      </c>
      <c r="J503" s="183">
        <v>41705</v>
      </c>
      <c r="M503" s="184">
        <v>2.76</v>
      </c>
      <c r="N503" s="157">
        <v>41853</v>
      </c>
      <c r="S503" s="139">
        <v>9.2200000000000006</v>
      </c>
      <c r="T503" s="157">
        <v>41853</v>
      </c>
      <c r="U503" s="139">
        <v>15.3</v>
      </c>
      <c r="Y503" s="139">
        <f t="shared" si="7"/>
        <v>3.0482600000000004</v>
      </c>
      <c r="AA503" s="139">
        <v>39.159999999999997</v>
      </c>
      <c r="AE503" s="139">
        <v>17.62</v>
      </c>
      <c r="AG503" s="185">
        <v>4.5</v>
      </c>
      <c r="AI503" s="185">
        <v>120</v>
      </c>
      <c r="AJ503" s="157">
        <v>41803</v>
      </c>
      <c r="AO503" s="139">
        <v>92</v>
      </c>
      <c r="AP503" s="157">
        <v>41738</v>
      </c>
      <c r="AS503" s="139">
        <v>125</v>
      </c>
      <c r="AT503" s="157">
        <v>41766</v>
      </c>
      <c r="BS503" s="140">
        <v>52.3</v>
      </c>
      <c r="BU503" s="140">
        <v>17.3</v>
      </c>
      <c r="BW503" s="140">
        <v>9.4</v>
      </c>
      <c r="BY503" s="140">
        <v>11.1</v>
      </c>
      <c r="CJ503" s="140" t="s">
        <v>8140</v>
      </c>
    </row>
    <row r="504" spans="1:88">
      <c r="A504" s="158" t="s">
        <v>7697</v>
      </c>
      <c r="B504" s="112" t="s">
        <v>269</v>
      </c>
      <c r="C504" s="112">
        <v>4</v>
      </c>
      <c r="D504">
        <v>82</v>
      </c>
      <c r="E504" s="113">
        <v>61</v>
      </c>
      <c r="F504" s="113">
        <v>11</v>
      </c>
      <c r="I504" s="112">
        <v>40</v>
      </c>
      <c r="J504" s="183">
        <v>41705</v>
      </c>
      <c r="M504" s="184">
        <v>3.05</v>
      </c>
      <c r="N504" s="157">
        <v>41853</v>
      </c>
      <c r="S504" s="139">
        <v>9.83</v>
      </c>
      <c r="T504" s="157">
        <v>41853</v>
      </c>
      <c r="U504" s="139">
        <v>15.3</v>
      </c>
      <c r="Y504" s="139">
        <f t="shared" si="7"/>
        <v>3.72288</v>
      </c>
      <c r="AA504" s="139">
        <v>40.4</v>
      </c>
      <c r="AE504" s="139">
        <v>19.39</v>
      </c>
      <c r="AG504" s="185">
        <v>4.8</v>
      </c>
      <c r="AI504" s="185">
        <v>120</v>
      </c>
      <c r="AJ504" s="157">
        <v>41803</v>
      </c>
      <c r="AO504" s="139">
        <v>90</v>
      </c>
      <c r="AP504" s="157">
        <v>41738</v>
      </c>
      <c r="AS504" s="139">
        <v>125</v>
      </c>
      <c r="AT504" s="157">
        <v>41766</v>
      </c>
      <c r="BS504" s="140">
        <v>50.7</v>
      </c>
      <c r="BU504" s="140">
        <v>19.2</v>
      </c>
      <c r="BW504" s="140">
        <v>16.600000000000001</v>
      </c>
      <c r="BY504" s="140">
        <v>11.5</v>
      </c>
      <c r="CJ504" s="140" t="s">
        <v>8140</v>
      </c>
    </row>
    <row r="505" spans="1:88">
      <c r="A505" s="158" t="s">
        <v>7819</v>
      </c>
      <c r="B505" s="112" t="s">
        <v>269</v>
      </c>
      <c r="C505" s="112">
        <v>4</v>
      </c>
      <c r="D505">
        <v>204</v>
      </c>
      <c r="E505" s="113">
        <v>61</v>
      </c>
      <c r="F505" s="113">
        <v>12</v>
      </c>
      <c r="I505" s="112">
        <v>31</v>
      </c>
      <c r="J505" s="183">
        <v>41705</v>
      </c>
      <c r="M505" s="184">
        <v>3.76</v>
      </c>
      <c r="N505" s="157">
        <v>41853</v>
      </c>
      <c r="S505" s="139">
        <v>12.69</v>
      </c>
      <c r="T505" s="157">
        <v>41853</v>
      </c>
      <c r="U505" s="139">
        <v>15.3</v>
      </c>
      <c r="Y505" s="139">
        <f t="shared" si="7"/>
        <v>4.0629999999999997</v>
      </c>
      <c r="AA505" s="139">
        <v>56.9</v>
      </c>
      <c r="AE505" s="139">
        <v>23.9</v>
      </c>
      <c r="AG505" s="185">
        <v>4.2</v>
      </c>
      <c r="AI505" s="185">
        <v>105</v>
      </c>
      <c r="AJ505" s="157">
        <v>41803</v>
      </c>
      <c r="AO505" s="139">
        <v>94</v>
      </c>
      <c r="AP505" s="157">
        <v>41738</v>
      </c>
      <c r="AS505" s="139">
        <v>128</v>
      </c>
      <c r="AT505" s="157">
        <v>41766</v>
      </c>
      <c r="BS505" s="140">
        <v>53.1</v>
      </c>
      <c r="BU505" s="140">
        <v>17</v>
      </c>
      <c r="BW505" s="140">
        <v>11</v>
      </c>
      <c r="BY505" s="140">
        <v>11.5</v>
      </c>
      <c r="CJ505" s="140" t="s">
        <v>8140</v>
      </c>
    </row>
    <row r="506" spans="1:88">
      <c r="A506" s="158" t="s">
        <v>7688</v>
      </c>
      <c r="B506" s="112" t="s">
        <v>271</v>
      </c>
      <c r="C506" s="112">
        <v>3</v>
      </c>
      <c r="D506">
        <v>73</v>
      </c>
      <c r="E506" s="113">
        <v>62</v>
      </c>
      <c r="F506" s="113">
        <v>1</v>
      </c>
      <c r="I506" s="112">
        <v>27</v>
      </c>
      <c r="J506" s="183">
        <v>41705</v>
      </c>
      <c r="M506" s="184">
        <v>2.33</v>
      </c>
      <c r="N506" s="157">
        <v>41853</v>
      </c>
      <c r="S506" s="139">
        <v>7.53</v>
      </c>
      <c r="T506" s="157">
        <v>41853</v>
      </c>
      <c r="U506" s="139">
        <v>15.3</v>
      </c>
      <c r="Y506" s="139">
        <f t="shared" si="7"/>
        <v>2.8967400000000003</v>
      </c>
      <c r="AA506" s="139">
        <v>31.13</v>
      </c>
      <c r="AE506" s="139">
        <v>14.63</v>
      </c>
      <c r="AG506" s="185">
        <v>4.7</v>
      </c>
      <c r="AI506" s="185">
        <v>145</v>
      </c>
      <c r="AJ506" s="157">
        <v>41803</v>
      </c>
      <c r="AO506" s="139">
        <v>90</v>
      </c>
      <c r="AP506" s="157">
        <v>41738</v>
      </c>
      <c r="AS506" s="139">
        <v>129</v>
      </c>
      <c r="AT506" s="157">
        <v>41766</v>
      </c>
      <c r="BS506" s="140">
        <v>51.5</v>
      </c>
      <c r="BU506" s="140">
        <v>19.8</v>
      </c>
      <c r="BW506" s="140">
        <v>13.2</v>
      </c>
      <c r="BY506" s="140">
        <v>12.6</v>
      </c>
      <c r="CJ506" s="140" t="s">
        <v>8140</v>
      </c>
    </row>
    <row r="507" spans="1:88">
      <c r="A507" s="158" t="s">
        <v>7903</v>
      </c>
      <c r="B507" s="112" t="s">
        <v>271</v>
      </c>
      <c r="C507" s="112">
        <v>3</v>
      </c>
      <c r="D507">
        <v>212</v>
      </c>
      <c r="E507" s="113">
        <v>62</v>
      </c>
      <c r="F507" s="113">
        <v>2</v>
      </c>
      <c r="I507" s="112">
        <v>23</v>
      </c>
      <c r="J507" s="183">
        <v>41705</v>
      </c>
      <c r="M507" s="184">
        <v>3.96</v>
      </c>
      <c r="N507" s="157">
        <v>41853</v>
      </c>
      <c r="S507" s="139">
        <v>12.27</v>
      </c>
      <c r="T507" s="157">
        <v>41853</v>
      </c>
      <c r="U507" s="139">
        <v>15.3</v>
      </c>
      <c r="Y507" s="139">
        <f t="shared" si="7"/>
        <v>5.4935999999999998</v>
      </c>
      <c r="AA507" s="139">
        <v>60</v>
      </c>
      <c r="AE507" s="139">
        <v>25.2</v>
      </c>
      <c r="AG507" s="185">
        <v>4.2</v>
      </c>
      <c r="AI507" s="185">
        <v>145</v>
      </c>
      <c r="AJ507" s="157">
        <v>41803</v>
      </c>
      <c r="AO507" s="139">
        <v>94</v>
      </c>
      <c r="AP507" s="157">
        <v>41738</v>
      </c>
      <c r="AS507" s="139">
        <v>128</v>
      </c>
      <c r="AT507" s="157">
        <v>41766</v>
      </c>
      <c r="BS507" s="140">
        <v>48.7</v>
      </c>
      <c r="BU507" s="140">
        <v>21.8</v>
      </c>
      <c r="BW507" s="140">
        <v>17.100000000000001</v>
      </c>
      <c r="BY507" s="140">
        <v>11.4</v>
      </c>
      <c r="CJ507" s="140" t="s">
        <v>8140</v>
      </c>
    </row>
    <row r="508" spans="1:88">
      <c r="A508" s="158" t="s">
        <v>7727</v>
      </c>
      <c r="B508" s="112" t="s">
        <v>271</v>
      </c>
      <c r="C508" s="112">
        <v>3</v>
      </c>
      <c r="D508">
        <v>112</v>
      </c>
      <c r="E508" s="113">
        <v>62</v>
      </c>
      <c r="F508" s="113">
        <v>3</v>
      </c>
      <c r="I508" s="112">
        <v>27</v>
      </c>
      <c r="J508" s="183">
        <v>41705</v>
      </c>
      <c r="M508" s="184">
        <v>3.89</v>
      </c>
      <c r="N508" s="157">
        <v>41853</v>
      </c>
      <c r="S508" s="139">
        <v>12.32</v>
      </c>
      <c r="T508" s="157">
        <v>41853</v>
      </c>
      <c r="U508" s="139">
        <v>15.3</v>
      </c>
      <c r="Y508" s="139">
        <f t="shared" si="7"/>
        <v>4.9807800000000002</v>
      </c>
      <c r="AA508" s="139">
        <v>53.87</v>
      </c>
      <c r="AE508" s="139">
        <v>24.78</v>
      </c>
      <c r="AG508" s="185">
        <v>4.5999999999999996</v>
      </c>
      <c r="AI508" s="185">
        <v>135</v>
      </c>
      <c r="AJ508" s="157">
        <v>41803</v>
      </c>
      <c r="AO508" s="139">
        <v>93</v>
      </c>
      <c r="AP508" s="157">
        <v>41738</v>
      </c>
      <c r="AS508" s="139">
        <v>128</v>
      </c>
      <c r="AT508" s="157">
        <v>41766</v>
      </c>
      <c r="BS508" s="140">
        <v>49.7</v>
      </c>
      <c r="BU508" s="140">
        <v>20.100000000000001</v>
      </c>
      <c r="BW508" s="140">
        <v>12.4</v>
      </c>
      <c r="BY508" s="140">
        <v>11.3</v>
      </c>
      <c r="CJ508" s="140" t="s">
        <v>8140</v>
      </c>
    </row>
    <row r="509" spans="1:88">
      <c r="A509" s="158" t="s">
        <v>7658</v>
      </c>
      <c r="B509" s="112" t="s">
        <v>271</v>
      </c>
      <c r="C509" s="112">
        <v>3</v>
      </c>
      <c r="D509">
        <v>43</v>
      </c>
      <c r="E509" s="113">
        <v>62</v>
      </c>
      <c r="F509" s="113">
        <v>4</v>
      </c>
      <c r="I509" s="112">
        <v>38</v>
      </c>
      <c r="J509" s="183">
        <v>41705</v>
      </c>
      <c r="M509" s="184">
        <v>2.61</v>
      </c>
      <c r="N509" s="157">
        <v>41853</v>
      </c>
      <c r="S509" s="139">
        <v>8.1300000000000008</v>
      </c>
      <c r="T509" s="157">
        <v>41853</v>
      </c>
      <c r="U509" s="139">
        <v>15.3</v>
      </c>
      <c r="Y509" s="139">
        <f t="shared" si="7"/>
        <v>3.5718200000000002</v>
      </c>
      <c r="AA509" s="139">
        <v>33.590000000000003</v>
      </c>
      <c r="AE509" s="139">
        <v>16.46</v>
      </c>
      <c r="AG509" s="185">
        <v>4.9000000000000004</v>
      </c>
      <c r="AI509" s="185">
        <v>120</v>
      </c>
      <c r="AJ509" s="157">
        <v>41803</v>
      </c>
      <c r="AO509" s="139">
        <v>93</v>
      </c>
      <c r="AP509" s="157">
        <v>41738</v>
      </c>
      <c r="AS509" s="139">
        <v>126</v>
      </c>
      <c r="AT509" s="157">
        <v>41766</v>
      </c>
      <c r="BS509" s="140">
        <v>49.4</v>
      </c>
      <c r="BU509" s="140">
        <v>21.7</v>
      </c>
      <c r="BW509" s="140">
        <v>55.4</v>
      </c>
      <c r="BY509" s="140">
        <v>12.2</v>
      </c>
      <c r="CJ509" s="140" t="s">
        <v>8139</v>
      </c>
    </row>
    <row r="510" spans="1:88">
      <c r="A510" s="158" t="s">
        <v>7796</v>
      </c>
      <c r="B510" s="112" t="s">
        <v>271</v>
      </c>
      <c r="C510" s="112">
        <v>3</v>
      </c>
      <c r="D510">
        <v>181</v>
      </c>
      <c r="E510" s="113">
        <v>62</v>
      </c>
      <c r="F510" s="113">
        <v>5</v>
      </c>
      <c r="I510" s="112">
        <v>44</v>
      </c>
      <c r="J510" s="183">
        <v>41705</v>
      </c>
      <c r="M510" s="184">
        <v>5.12</v>
      </c>
      <c r="N510" s="157">
        <v>41853</v>
      </c>
      <c r="S510" s="139">
        <v>16.39</v>
      </c>
      <c r="T510" s="157">
        <v>41853</v>
      </c>
      <c r="U510" s="139">
        <v>15.3</v>
      </c>
      <c r="Y510" s="139">
        <f t="shared" si="7"/>
        <v>6.6463199999999993</v>
      </c>
      <c r="AA510" s="139">
        <v>69.319999999999993</v>
      </c>
      <c r="AE510" s="139">
        <v>32.58</v>
      </c>
      <c r="AG510" s="185">
        <v>4.7</v>
      </c>
      <c r="AI510" s="185">
        <v>120</v>
      </c>
      <c r="AJ510" s="157">
        <v>41803</v>
      </c>
      <c r="AO510" s="139">
        <v>93</v>
      </c>
      <c r="AP510" s="157">
        <v>41738</v>
      </c>
      <c r="AS510" s="139">
        <v>128</v>
      </c>
      <c r="AT510" s="157">
        <v>41766</v>
      </c>
      <c r="BS510" s="140">
        <v>50.3</v>
      </c>
      <c r="BU510" s="140">
        <v>20.399999999999999</v>
      </c>
      <c r="BW510" s="140">
        <v>16.600000000000001</v>
      </c>
      <c r="BY510" s="140">
        <v>11.4</v>
      </c>
      <c r="CJ510" s="140" t="s">
        <v>8140</v>
      </c>
    </row>
    <row r="511" spans="1:88">
      <c r="A511" s="158" t="s">
        <v>7620</v>
      </c>
      <c r="B511" s="112" t="s">
        <v>271</v>
      </c>
      <c r="C511" s="112">
        <v>3</v>
      </c>
      <c r="D511">
        <v>5</v>
      </c>
      <c r="E511" s="113">
        <v>62</v>
      </c>
      <c r="F511" s="113">
        <v>6</v>
      </c>
      <c r="I511" s="187">
        <v>38</v>
      </c>
      <c r="J511" s="183">
        <v>41705</v>
      </c>
      <c r="K511" s="142"/>
      <c r="M511" s="184">
        <v>3.18</v>
      </c>
      <c r="N511" s="157">
        <v>41853</v>
      </c>
      <c r="O511" s="141"/>
      <c r="Q511" s="142"/>
      <c r="S511" s="142">
        <v>9.61</v>
      </c>
      <c r="T511" s="157">
        <v>41853</v>
      </c>
      <c r="U511" s="142">
        <v>15.3</v>
      </c>
      <c r="W511" s="142"/>
      <c r="Y511" s="139">
        <f t="shared" si="7"/>
        <v>4.7252400000000003</v>
      </c>
      <c r="AA511" s="142">
        <v>41.39</v>
      </c>
      <c r="AE511" s="142">
        <v>20.28</v>
      </c>
      <c r="AG511" s="185">
        <v>4.9000000000000004</v>
      </c>
      <c r="AI511" s="185">
        <v>120</v>
      </c>
      <c r="AJ511" s="157">
        <v>41803</v>
      </c>
      <c r="AK511" s="142"/>
      <c r="AM511" s="142"/>
      <c r="AO511" s="139">
        <v>95</v>
      </c>
      <c r="AP511" s="157">
        <v>41738</v>
      </c>
      <c r="AS511" s="139">
        <v>128</v>
      </c>
      <c r="AT511" s="157">
        <v>41766</v>
      </c>
      <c r="BS511" s="140">
        <v>47.4</v>
      </c>
      <c r="BU511" s="140">
        <v>23.3</v>
      </c>
      <c r="BW511" s="140">
        <v>75.5</v>
      </c>
      <c r="BY511" s="140">
        <v>11.2</v>
      </c>
      <c r="CJ511" s="140" t="s">
        <v>8140</v>
      </c>
    </row>
    <row r="512" spans="1:88">
      <c r="A512" s="158" t="s">
        <v>7795</v>
      </c>
      <c r="B512" s="112" t="s">
        <v>269</v>
      </c>
      <c r="C512" s="112">
        <v>4</v>
      </c>
      <c r="D512">
        <v>180</v>
      </c>
      <c r="E512" s="113">
        <v>62</v>
      </c>
      <c r="F512" s="113">
        <v>7</v>
      </c>
      <c r="I512" s="112">
        <v>32</v>
      </c>
      <c r="J512" s="183">
        <v>41705</v>
      </c>
      <c r="M512" s="184">
        <v>3.3</v>
      </c>
      <c r="N512" s="157">
        <v>41853</v>
      </c>
      <c r="S512" s="139">
        <v>11.15</v>
      </c>
      <c r="T512" s="157">
        <v>41853</v>
      </c>
      <c r="U512" s="139">
        <v>15.3</v>
      </c>
      <c r="Y512" s="139">
        <f t="shared" si="7"/>
        <v>3.5481600000000002</v>
      </c>
      <c r="AA512" s="139">
        <v>43.1</v>
      </c>
      <c r="AE512" s="139">
        <v>21.12</v>
      </c>
      <c r="AG512" s="185">
        <v>4.9000000000000004</v>
      </c>
      <c r="AI512" s="185">
        <v>115</v>
      </c>
      <c r="AJ512" s="157">
        <v>41803</v>
      </c>
      <c r="AO512" s="139">
        <v>92</v>
      </c>
      <c r="AP512" s="157">
        <v>41738</v>
      </c>
      <c r="AS512" s="139">
        <v>126</v>
      </c>
      <c r="AT512" s="157">
        <v>41766</v>
      </c>
      <c r="BS512" s="140">
        <v>52.8</v>
      </c>
      <c r="BU512" s="140">
        <v>16.8</v>
      </c>
      <c r="BW512" s="140">
        <v>13.5</v>
      </c>
      <c r="BY512" s="140">
        <v>10.9</v>
      </c>
      <c r="CJ512" s="140" t="s">
        <v>8140</v>
      </c>
    </row>
    <row r="513" spans="1:88">
      <c r="A513" s="158" t="s">
        <v>8129</v>
      </c>
      <c r="B513" s="112" t="s">
        <v>269</v>
      </c>
      <c r="C513" s="112">
        <v>4</v>
      </c>
      <c r="D513">
        <v>215</v>
      </c>
      <c r="E513" s="113">
        <v>62</v>
      </c>
      <c r="F513" s="113">
        <v>8</v>
      </c>
      <c r="I513" s="112">
        <v>27</v>
      </c>
      <c r="J513" s="183">
        <v>41705</v>
      </c>
      <c r="M513" s="184"/>
      <c r="N513" s="157">
        <v>41853</v>
      </c>
      <c r="T513" s="157">
        <v>41853</v>
      </c>
      <c r="U513" s="139">
        <v>15.3</v>
      </c>
      <c r="Y513" s="139">
        <f t="shared" si="7"/>
        <v>0</v>
      </c>
      <c r="AG513" s="185"/>
      <c r="AI513" s="185">
        <v>125</v>
      </c>
      <c r="AJ513" s="157">
        <v>41803</v>
      </c>
      <c r="AO513" s="139">
        <v>92</v>
      </c>
      <c r="AP513" s="157">
        <v>41738</v>
      </c>
      <c r="AS513" s="139">
        <v>124</v>
      </c>
      <c r="AT513" s="157">
        <v>41766</v>
      </c>
      <c r="CJ513" s="140" t="s">
        <v>8156</v>
      </c>
    </row>
    <row r="514" spans="1:88">
      <c r="A514" s="158" t="s">
        <v>7793</v>
      </c>
      <c r="B514" s="112" t="s">
        <v>269</v>
      </c>
      <c r="C514" s="112">
        <v>4</v>
      </c>
      <c r="D514">
        <v>178</v>
      </c>
      <c r="E514" s="113">
        <v>62</v>
      </c>
      <c r="F514" s="113">
        <v>9</v>
      </c>
      <c r="I514" s="112">
        <v>29</v>
      </c>
      <c r="J514" s="183">
        <v>41705</v>
      </c>
      <c r="M514" s="184">
        <v>3.1</v>
      </c>
      <c r="N514" s="157">
        <v>41853</v>
      </c>
      <c r="S514" s="139">
        <v>10.45</v>
      </c>
      <c r="T514" s="157">
        <v>41853</v>
      </c>
      <c r="U514" s="139">
        <v>15.3</v>
      </c>
      <c r="Y514" s="139">
        <f t="shared" ref="Y514:Y577" si="8">(AE514*BU514)/100</f>
        <v>3.52407</v>
      </c>
      <c r="AA514" s="139">
        <v>39.04</v>
      </c>
      <c r="AE514" s="139">
        <v>19.91</v>
      </c>
      <c r="AG514" s="185">
        <v>5.0999999999999996</v>
      </c>
      <c r="AI514" s="185">
        <v>125</v>
      </c>
      <c r="AJ514" s="157">
        <v>41803</v>
      </c>
      <c r="AO514" s="139">
        <v>90</v>
      </c>
      <c r="AP514" s="157">
        <v>41738</v>
      </c>
      <c r="AS514" s="139">
        <v>127</v>
      </c>
      <c r="AT514" s="157">
        <v>41766</v>
      </c>
      <c r="BS514" s="140">
        <v>52.5</v>
      </c>
      <c r="BU514" s="140">
        <v>17.7</v>
      </c>
      <c r="BW514" s="140">
        <v>9.9</v>
      </c>
      <c r="BY514" s="140">
        <v>10.6</v>
      </c>
      <c r="CJ514" s="140" t="s">
        <v>8140</v>
      </c>
    </row>
    <row r="515" spans="1:88">
      <c r="A515" s="158" t="s">
        <v>7642</v>
      </c>
      <c r="B515" s="112" t="s">
        <v>269</v>
      </c>
      <c r="C515" s="112">
        <v>4</v>
      </c>
      <c r="D515">
        <v>27</v>
      </c>
      <c r="E515" s="113">
        <v>62</v>
      </c>
      <c r="F515" s="113">
        <v>10</v>
      </c>
      <c r="I515" s="112">
        <v>26</v>
      </c>
      <c r="J515" s="183">
        <v>41705</v>
      </c>
      <c r="M515" s="184">
        <v>2.35</v>
      </c>
      <c r="N515" s="157">
        <v>41853</v>
      </c>
      <c r="S515" s="139">
        <v>7.28</v>
      </c>
      <c r="T515" s="157">
        <v>41853</v>
      </c>
      <c r="U515" s="139">
        <v>15.3</v>
      </c>
      <c r="Y515" s="139">
        <f t="shared" si="8"/>
        <v>3.2293000000000003</v>
      </c>
      <c r="AA515" s="139">
        <v>31.29</v>
      </c>
      <c r="AE515" s="139">
        <v>15.02</v>
      </c>
      <c r="AG515" s="185">
        <v>4.8</v>
      </c>
      <c r="AI515" s="185">
        <v>120</v>
      </c>
      <c r="AJ515" s="157">
        <v>41803</v>
      </c>
      <c r="AO515" s="139">
        <v>94</v>
      </c>
      <c r="AP515" s="157">
        <v>41738</v>
      </c>
      <c r="AS515" s="139">
        <v>126</v>
      </c>
      <c r="AT515" s="157">
        <v>41766</v>
      </c>
      <c r="BS515" s="140">
        <v>48.5</v>
      </c>
      <c r="BU515" s="140">
        <v>21.5</v>
      </c>
      <c r="BW515" s="140">
        <v>52.4</v>
      </c>
      <c r="BY515" s="140">
        <v>11</v>
      </c>
      <c r="CJ515" s="140" t="s">
        <v>8140</v>
      </c>
    </row>
    <row r="516" spans="1:88">
      <c r="A516" s="158" t="s">
        <v>7630</v>
      </c>
      <c r="B516" s="112" t="s">
        <v>269</v>
      </c>
      <c r="C516" s="112">
        <v>4</v>
      </c>
      <c r="D516">
        <v>15</v>
      </c>
      <c r="E516" s="113">
        <v>62</v>
      </c>
      <c r="F516" s="113">
        <v>11</v>
      </c>
      <c r="I516" s="187">
        <v>59</v>
      </c>
      <c r="J516" s="183">
        <v>41705</v>
      </c>
      <c r="K516" s="142"/>
      <c r="M516" s="184">
        <v>1.95</v>
      </c>
      <c r="N516" s="157">
        <v>41853</v>
      </c>
      <c r="O516" s="141"/>
      <c r="Q516" s="142"/>
      <c r="S516" s="142">
        <v>6.22</v>
      </c>
      <c r="T516" s="157">
        <v>41853</v>
      </c>
      <c r="U516" s="142">
        <v>15.3</v>
      </c>
      <c r="W516" s="142"/>
      <c r="Y516" s="139">
        <f t="shared" si="8"/>
        <v>2.7785799999999998</v>
      </c>
      <c r="AA516" s="142">
        <v>35.6</v>
      </c>
      <c r="AE516" s="142">
        <v>12.46</v>
      </c>
      <c r="AG516" s="185">
        <v>3.5</v>
      </c>
      <c r="AI516" s="185">
        <v>115</v>
      </c>
      <c r="AJ516" s="157">
        <v>41803</v>
      </c>
      <c r="AK516" s="142"/>
      <c r="AM516" s="142"/>
      <c r="AO516" s="139">
        <v>88</v>
      </c>
      <c r="AP516" s="157">
        <v>41738</v>
      </c>
      <c r="AS516" s="139">
        <v>124</v>
      </c>
      <c r="AT516" s="157">
        <v>41766</v>
      </c>
      <c r="BS516" s="140">
        <v>49.9</v>
      </c>
      <c r="BU516" s="140">
        <v>22.3</v>
      </c>
      <c r="BW516" s="140">
        <v>58.5</v>
      </c>
      <c r="BY516" s="140">
        <v>11</v>
      </c>
      <c r="CJ516" s="140" t="s">
        <v>8140</v>
      </c>
    </row>
    <row r="517" spans="1:88">
      <c r="A517" s="158" t="s">
        <v>7732</v>
      </c>
      <c r="B517" s="112" t="s">
        <v>269</v>
      </c>
      <c r="C517" s="112">
        <v>4</v>
      </c>
      <c r="D517">
        <v>117</v>
      </c>
      <c r="E517" s="113">
        <v>62</v>
      </c>
      <c r="F517" s="113">
        <v>12</v>
      </c>
      <c r="I517" s="112">
        <v>37</v>
      </c>
      <c r="J517" s="183">
        <v>41705</v>
      </c>
      <c r="M517" s="184">
        <v>3.1</v>
      </c>
      <c r="N517" s="157">
        <v>41853</v>
      </c>
      <c r="S517" s="139">
        <v>10.26</v>
      </c>
      <c r="T517" s="157">
        <v>41853</v>
      </c>
      <c r="U517" s="139">
        <v>15.3</v>
      </c>
      <c r="Y517" s="139">
        <f t="shared" si="8"/>
        <v>3.5119400000000001</v>
      </c>
      <c r="AA517" s="139">
        <v>38.69</v>
      </c>
      <c r="AE517" s="139">
        <v>19.73</v>
      </c>
      <c r="AG517" s="185">
        <v>5.0999999999999996</v>
      </c>
      <c r="AI517" s="185">
        <v>115</v>
      </c>
      <c r="AJ517" s="157">
        <v>41803</v>
      </c>
      <c r="AO517" s="139">
        <v>92</v>
      </c>
      <c r="AP517" s="157">
        <v>41738</v>
      </c>
      <c r="AS517" s="139">
        <v>127</v>
      </c>
      <c r="AT517" s="157">
        <v>41766</v>
      </c>
      <c r="BS517" s="140">
        <v>52</v>
      </c>
      <c r="BU517" s="140">
        <v>17.8</v>
      </c>
      <c r="BW517" s="140">
        <v>17.7</v>
      </c>
      <c r="BY517" s="140">
        <v>11.4</v>
      </c>
      <c r="CJ517" s="140" t="s">
        <v>8140</v>
      </c>
    </row>
    <row r="518" spans="1:88">
      <c r="A518" s="158" t="s">
        <v>7745</v>
      </c>
      <c r="B518" s="112" t="s">
        <v>271</v>
      </c>
      <c r="C518" s="112">
        <v>3</v>
      </c>
      <c r="D518">
        <v>130</v>
      </c>
      <c r="E518" s="113">
        <v>63</v>
      </c>
      <c r="F518" s="113">
        <v>1</v>
      </c>
      <c r="I518" s="112">
        <v>27</v>
      </c>
      <c r="J518" s="183">
        <v>41705</v>
      </c>
      <c r="M518" s="184">
        <v>3.52</v>
      </c>
      <c r="N518" s="157">
        <v>41853</v>
      </c>
      <c r="S518" s="139">
        <v>11.08</v>
      </c>
      <c r="T518" s="157">
        <v>41853</v>
      </c>
      <c r="U518" s="139">
        <v>15.3</v>
      </c>
      <c r="Y518" s="139">
        <f t="shared" si="8"/>
        <v>4.6878700000000002</v>
      </c>
      <c r="AA518" s="139">
        <v>43.98</v>
      </c>
      <c r="AE518" s="139">
        <v>22.43</v>
      </c>
      <c r="AG518" s="185">
        <v>5.0999999999999996</v>
      </c>
      <c r="AI518" s="185">
        <v>140</v>
      </c>
      <c r="AJ518" s="157">
        <v>41803</v>
      </c>
      <c r="AO518" s="139">
        <v>89</v>
      </c>
      <c r="AP518" s="157">
        <v>41738</v>
      </c>
      <c r="AS518" s="139">
        <v>129</v>
      </c>
      <c r="AT518" s="157">
        <v>41766</v>
      </c>
      <c r="BS518" s="140">
        <v>49.4</v>
      </c>
      <c r="BU518" s="140">
        <v>20.9</v>
      </c>
      <c r="BW518" s="140">
        <v>19.600000000000001</v>
      </c>
      <c r="BY518" s="140">
        <v>11.3</v>
      </c>
      <c r="CJ518" s="140" t="s">
        <v>8140</v>
      </c>
    </row>
    <row r="519" spans="1:88">
      <c r="A519" s="158" t="s">
        <v>7757</v>
      </c>
      <c r="B519" s="112" t="s">
        <v>271</v>
      </c>
      <c r="C519" s="112">
        <v>3</v>
      </c>
      <c r="D519">
        <v>142</v>
      </c>
      <c r="E519" s="113">
        <v>63</v>
      </c>
      <c r="F519" s="113">
        <v>2</v>
      </c>
      <c r="I519" s="112">
        <v>33</v>
      </c>
      <c r="J519" s="183">
        <v>41705</v>
      </c>
      <c r="M519" s="184">
        <v>1.1499999999999999</v>
      </c>
      <c r="N519" s="157">
        <v>41853</v>
      </c>
      <c r="S519" s="139">
        <v>3.32</v>
      </c>
      <c r="T519" s="157">
        <v>41853</v>
      </c>
      <c r="U519" s="139">
        <v>15.3</v>
      </c>
      <c r="Y519" s="139">
        <f t="shared" si="8"/>
        <v>1.8130200000000003</v>
      </c>
      <c r="AA519" s="139">
        <v>13.91</v>
      </c>
      <c r="AE519" s="139">
        <v>7.37</v>
      </c>
      <c r="AG519" s="185">
        <v>5.3</v>
      </c>
      <c r="AI519" s="185">
        <v>120</v>
      </c>
      <c r="AJ519" s="157">
        <v>41803</v>
      </c>
      <c r="AO519" s="139">
        <v>92</v>
      </c>
      <c r="AP519" s="157">
        <v>41738</v>
      </c>
      <c r="AS519" s="139">
        <v>128</v>
      </c>
      <c r="AT519" s="157">
        <v>41766</v>
      </c>
      <c r="BS519" s="140">
        <v>45</v>
      </c>
      <c r="BU519" s="140">
        <v>24.6</v>
      </c>
      <c r="BW519" s="140">
        <v>71.599999999999994</v>
      </c>
      <c r="BY519" s="140">
        <v>10.8</v>
      </c>
      <c r="CJ519" s="140" t="s">
        <v>8143</v>
      </c>
    </row>
    <row r="520" spans="1:88">
      <c r="A520" s="158" t="s">
        <v>7663</v>
      </c>
      <c r="B520" s="112" t="s">
        <v>271</v>
      </c>
      <c r="C520" s="112">
        <v>3</v>
      </c>
      <c r="D520">
        <v>48</v>
      </c>
      <c r="E520" s="113">
        <v>63</v>
      </c>
      <c r="F520" s="113">
        <v>3</v>
      </c>
      <c r="I520" s="112">
        <v>46</v>
      </c>
      <c r="J520" s="183">
        <v>41705</v>
      </c>
      <c r="M520" s="184">
        <v>2.57</v>
      </c>
      <c r="N520" s="157">
        <v>41853</v>
      </c>
      <c r="S520" s="139">
        <v>7.74</v>
      </c>
      <c r="T520" s="157">
        <v>41853</v>
      </c>
      <c r="U520" s="139">
        <v>15.3</v>
      </c>
      <c r="Y520" s="139">
        <f t="shared" si="8"/>
        <v>3.7235399999999998</v>
      </c>
      <c r="AA520" s="139">
        <v>37.81</v>
      </c>
      <c r="AE520" s="139">
        <v>16.260000000000002</v>
      </c>
      <c r="AG520" s="185">
        <v>4.3</v>
      </c>
      <c r="AI520" s="185">
        <v>120</v>
      </c>
      <c r="AJ520" s="157">
        <v>41803</v>
      </c>
      <c r="AO520" s="139">
        <v>94</v>
      </c>
      <c r="AP520" s="157">
        <v>41738</v>
      </c>
      <c r="AS520" s="139">
        <v>128</v>
      </c>
      <c r="AT520" s="157">
        <v>41766</v>
      </c>
      <c r="BS520" s="140">
        <v>47.6</v>
      </c>
      <c r="BU520" s="140">
        <v>22.9</v>
      </c>
      <c r="BW520" s="140">
        <v>65.5</v>
      </c>
      <c r="BY520" s="140">
        <v>11.9</v>
      </c>
      <c r="CJ520" s="140" t="s">
        <v>8140</v>
      </c>
    </row>
    <row r="521" spans="1:88">
      <c r="A521" s="158" t="s">
        <v>7759</v>
      </c>
      <c r="B521" s="112" t="s">
        <v>271</v>
      </c>
      <c r="C521" s="112">
        <v>3</v>
      </c>
      <c r="D521">
        <v>144</v>
      </c>
      <c r="E521" s="113">
        <v>63</v>
      </c>
      <c r="F521" s="113">
        <v>4</v>
      </c>
      <c r="I521" s="112">
        <v>14</v>
      </c>
      <c r="J521" s="183">
        <v>41705</v>
      </c>
      <c r="M521" s="184">
        <v>1.81</v>
      </c>
      <c r="N521" s="157">
        <v>41853</v>
      </c>
      <c r="S521" s="139">
        <v>5.38</v>
      </c>
      <c r="T521" s="157">
        <v>41853</v>
      </c>
      <c r="U521" s="139">
        <v>15.3</v>
      </c>
      <c r="Y521" s="139">
        <f t="shared" si="8"/>
        <v>2.8536000000000001</v>
      </c>
      <c r="AA521" s="139">
        <v>23.67</v>
      </c>
      <c r="AE521" s="139">
        <v>11.6</v>
      </c>
      <c r="AG521" s="185">
        <v>4.9000000000000004</v>
      </c>
      <c r="AI521" s="185">
        <v>120</v>
      </c>
      <c r="AJ521" s="157">
        <v>41803</v>
      </c>
      <c r="AO521" s="139">
        <v>93</v>
      </c>
      <c r="AP521" s="157">
        <v>41738</v>
      </c>
      <c r="AS521" s="139">
        <v>127</v>
      </c>
      <c r="AT521" s="157">
        <v>41766</v>
      </c>
      <c r="BS521" s="140">
        <v>46.4</v>
      </c>
      <c r="BU521" s="140">
        <v>24.6</v>
      </c>
      <c r="BW521" s="140">
        <v>65.099999999999994</v>
      </c>
      <c r="BY521" s="140">
        <v>10.8</v>
      </c>
      <c r="CJ521" s="140" t="s">
        <v>8143</v>
      </c>
    </row>
    <row r="522" spans="1:88">
      <c r="A522" s="158" t="s">
        <v>7902</v>
      </c>
      <c r="B522" s="112" t="s">
        <v>271</v>
      </c>
      <c r="C522" s="112">
        <v>3</v>
      </c>
      <c r="D522">
        <v>210</v>
      </c>
      <c r="E522" s="113">
        <v>63</v>
      </c>
      <c r="F522" s="113">
        <v>5</v>
      </c>
      <c r="I522" s="112">
        <v>37</v>
      </c>
      <c r="J522" s="183">
        <v>41705</v>
      </c>
      <c r="M522" s="184">
        <v>4.6500000000000004</v>
      </c>
      <c r="N522" s="157">
        <v>41853</v>
      </c>
      <c r="S522" s="139">
        <v>14.98</v>
      </c>
      <c r="T522" s="157">
        <v>41853</v>
      </c>
      <c r="U522" s="139">
        <v>15.3</v>
      </c>
      <c r="Y522" s="139">
        <f t="shared" si="8"/>
        <v>5.944</v>
      </c>
      <c r="AA522" s="139">
        <v>67.55</v>
      </c>
      <c r="AE522" s="139">
        <v>29.72</v>
      </c>
      <c r="AG522" s="185">
        <v>4.4000000000000004</v>
      </c>
      <c r="AI522" s="185">
        <v>115</v>
      </c>
      <c r="AJ522" s="157">
        <v>41803</v>
      </c>
      <c r="AO522" s="139">
        <v>88</v>
      </c>
      <c r="AP522" s="157">
        <v>41738</v>
      </c>
      <c r="AS522" s="139">
        <v>127</v>
      </c>
      <c r="AT522" s="157">
        <v>41766</v>
      </c>
      <c r="BS522" s="140">
        <v>50.4</v>
      </c>
      <c r="BU522" s="140">
        <v>20</v>
      </c>
      <c r="BW522" s="140">
        <v>19.600000000000001</v>
      </c>
      <c r="BY522" s="140">
        <v>11</v>
      </c>
      <c r="CJ522" s="140" t="s">
        <v>8140</v>
      </c>
    </row>
    <row r="523" spans="1:88">
      <c r="A523" s="158" t="s">
        <v>7687</v>
      </c>
      <c r="B523" s="112" t="s">
        <v>271</v>
      </c>
      <c r="C523" s="112">
        <v>3</v>
      </c>
      <c r="D523">
        <v>72</v>
      </c>
      <c r="E523" s="113">
        <v>63</v>
      </c>
      <c r="F523" s="113">
        <v>6</v>
      </c>
      <c r="I523" s="112">
        <v>34</v>
      </c>
      <c r="J523" s="183">
        <v>41705</v>
      </c>
      <c r="M523" s="184">
        <v>4.47</v>
      </c>
      <c r="N523" s="157">
        <v>41853</v>
      </c>
      <c r="S523" s="139">
        <v>14.29</v>
      </c>
      <c r="T523" s="157">
        <v>41853</v>
      </c>
      <c r="U523" s="139">
        <v>15.3</v>
      </c>
      <c r="Y523" s="139">
        <f t="shared" si="8"/>
        <v>5.9425599999999994</v>
      </c>
      <c r="AA523" s="139">
        <v>63.49</v>
      </c>
      <c r="AE523" s="139">
        <v>28.57</v>
      </c>
      <c r="AG523" s="185">
        <v>4.5</v>
      </c>
      <c r="AI523" s="185">
        <v>125</v>
      </c>
      <c r="AJ523" s="157">
        <v>41803</v>
      </c>
      <c r="AO523" s="139">
        <v>95</v>
      </c>
      <c r="AP523" s="157">
        <v>41738</v>
      </c>
      <c r="AS523" s="139">
        <v>128</v>
      </c>
      <c r="AT523" s="157">
        <v>41766</v>
      </c>
      <c r="BS523" s="140">
        <v>50</v>
      </c>
      <c r="BU523" s="140">
        <v>20.8</v>
      </c>
      <c r="BW523" s="140">
        <v>14.4</v>
      </c>
      <c r="BY523" s="140">
        <v>11</v>
      </c>
      <c r="CJ523" s="140" t="s">
        <v>8140</v>
      </c>
    </row>
    <row r="524" spans="1:88">
      <c r="A524" s="158" t="s">
        <v>7794</v>
      </c>
      <c r="B524" s="112" t="s">
        <v>269</v>
      </c>
      <c r="C524" s="112">
        <v>4</v>
      </c>
      <c r="D524">
        <v>179</v>
      </c>
      <c r="E524" s="113">
        <v>63</v>
      </c>
      <c r="F524" s="113">
        <v>7</v>
      </c>
      <c r="I524" s="112">
        <v>45</v>
      </c>
      <c r="J524" s="183">
        <v>41705</v>
      </c>
      <c r="M524" s="184">
        <v>2.83</v>
      </c>
      <c r="N524" s="157">
        <v>41853</v>
      </c>
      <c r="S524" s="139">
        <v>9.5399999999999991</v>
      </c>
      <c r="T524" s="157">
        <v>41853</v>
      </c>
      <c r="U524" s="139">
        <v>15.3</v>
      </c>
      <c r="Y524" s="139">
        <f t="shared" si="8"/>
        <v>3.2595900000000002</v>
      </c>
      <c r="AA524" s="139">
        <v>41.39</v>
      </c>
      <c r="AE524" s="139">
        <v>18.21</v>
      </c>
      <c r="AG524" s="185">
        <v>4.4000000000000004</v>
      </c>
      <c r="AI524" s="185">
        <v>115</v>
      </c>
      <c r="AJ524" s="157">
        <v>41803</v>
      </c>
      <c r="AO524" s="139">
        <v>91</v>
      </c>
      <c r="AP524" s="157">
        <v>41738</v>
      </c>
      <c r="AS524" s="139">
        <v>125</v>
      </c>
      <c r="AT524" s="157">
        <v>41766</v>
      </c>
      <c r="BS524" s="140">
        <v>52.4</v>
      </c>
      <c r="BU524" s="140">
        <v>17.899999999999999</v>
      </c>
      <c r="BW524" s="140">
        <v>18.2</v>
      </c>
      <c r="BY524" s="140">
        <v>10.4</v>
      </c>
      <c r="CJ524" s="140" t="s">
        <v>8140</v>
      </c>
    </row>
    <row r="525" spans="1:88">
      <c r="A525" s="158" t="s">
        <v>7673</v>
      </c>
      <c r="B525" s="112" t="s">
        <v>269</v>
      </c>
      <c r="C525" s="112">
        <v>4</v>
      </c>
      <c r="D525">
        <v>58</v>
      </c>
      <c r="E525" s="113">
        <v>63</v>
      </c>
      <c r="F525" s="113">
        <v>8</v>
      </c>
      <c r="I525" s="112">
        <v>45</v>
      </c>
      <c r="J525" s="183">
        <v>41705</v>
      </c>
      <c r="M525" s="184">
        <v>2.66</v>
      </c>
      <c r="N525" s="157">
        <v>41853</v>
      </c>
      <c r="S525" s="139">
        <v>8.44</v>
      </c>
      <c r="T525" s="157">
        <v>41853</v>
      </c>
      <c r="U525" s="139">
        <v>15.3</v>
      </c>
      <c r="Y525" s="139">
        <f t="shared" si="8"/>
        <v>3.3778800000000002</v>
      </c>
      <c r="AA525" s="139">
        <v>39.67</v>
      </c>
      <c r="AE525" s="139">
        <v>17.059999999999999</v>
      </c>
      <c r="AG525" s="185">
        <v>4.3</v>
      </c>
      <c r="AI525" s="185">
        <v>125</v>
      </c>
      <c r="AJ525" s="157">
        <v>41803</v>
      </c>
      <c r="AO525" s="139">
        <v>99</v>
      </c>
      <c r="AP525" s="157">
        <v>41738</v>
      </c>
      <c r="AS525" s="139">
        <v>127</v>
      </c>
      <c r="AT525" s="157">
        <v>41766</v>
      </c>
      <c r="BS525" s="140">
        <v>49.5</v>
      </c>
      <c r="BU525" s="140">
        <v>19.8</v>
      </c>
      <c r="BW525" s="140">
        <v>16.3</v>
      </c>
      <c r="BY525" s="140">
        <v>10.7</v>
      </c>
      <c r="CJ525" s="140" t="s">
        <v>8131</v>
      </c>
    </row>
    <row r="526" spans="1:88">
      <c r="A526" s="158" t="s">
        <v>7650</v>
      </c>
      <c r="B526" s="112" t="s">
        <v>269</v>
      </c>
      <c r="C526" s="112">
        <v>4</v>
      </c>
      <c r="D526">
        <v>35</v>
      </c>
      <c r="E526" s="113">
        <v>63</v>
      </c>
      <c r="F526" s="113">
        <v>9</v>
      </c>
      <c r="I526" s="112">
        <v>31</v>
      </c>
      <c r="J526" s="183">
        <v>41705</v>
      </c>
      <c r="M526" s="184">
        <v>1.48</v>
      </c>
      <c r="N526" s="157">
        <v>41853</v>
      </c>
      <c r="S526" s="139">
        <v>4.5199999999999996</v>
      </c>
      <c r="T526" s="157">
        <v>41853</v>
      </c>
      <c r="U526" s="139">
        <v>15.3</v>
      </c>
      <c r="Y526" s="139">
        <f t="shared" si="8"/>
        <v>2.1709199999999997</v>
      </c>
      <c r="AA526" s="139">
        <v>15.05</v>
      </c>
      <c r="AE526" s="139">
        <v>9.48</v>
      </c>
      <c r="AG526" s="185">
        <v>6.3</v>
      </c>
      <c r="AI526" s="185">
        <v>120</v>
      </c>
      <c r="AJ526" s="157">
        <v>41803</v>
      </c>
      <c r="AO526" s="139">
        <v>92</v>
      </c>
      <c r="AP526" s="157">
        <v>41738</v>
      </c>
      <c r="AS526" s="139">
        <v>127</v>
      </c>
      <c r="AT526" s="157">
        <v>41766</v>
      </c>
      <c r="BS526" s="140">
        <v>47.7</v>
      </c>
      <c r="BU526" s="140">
        <v>22.9</v>
      </c>
      <c r="BW526" s="140">
        <v>68.400000000000006</v>
      </c>
      <c r="BY526" s="140">
        <v>10.8</v>
      </c>
      <c r="CJ526" s="140" t="s">
        <v>8140</v>
      </c>
    </row>
    <row r="527" spans="1:88">
      <c r="A527" s="158" t="s">
        <v>7814</v>
      </c>
      <c r="B527" s="112" t="s">
        <v>269</v>
      </c>
      <c r="C527" s="112">
        <v>4</v>
      </c>
      <c r="D527">
        <v>199</v>
      </c>
      <c r="E527" s="113">
        <v>63</v>
      </c>
      <c r="F527" s="113">
        <v>10</v>
      </c>
      <c r="I527" s="112">
        <v>78</v>
      </c>
      <c r="J527" s="183">
        <v>41705</v>
      </c>
      <c r="M527" s="184">
        <v>2.97</v>
      </c>
      <c r="N527" s="157">
        <v>41853</v>
      </c>
      <c r="S527" s="139">
        <v>10.02</v>
      </c>
      <c r="T527" s="157">
        <v>41853</v>
      </c>
      <c r="U527" s="139">
        <v>15.3</v>
      </c>
      <c r="Y527" s="139">
        <f t="shared" si="8"/>
        <v>3.3286199999999995</v>
      </c>
      <c r="AA527" s="139">
        <v>40.700000000000003</v>
      </c>
      <c r="AE527" s="139">
        <v>19.13</v>
      </c>
      <c r="AG527" s="185">
        <v>4.7</v>
      </c>
      <c r="AI527" s="185">
        <v>115</v>
      </c>
      <c r="AJ527" s="157">
        <v>41803</v>
      </c>
      <c r="AO527" s="139">
        <v>94</v>
      </c>
      <c r="AP527" s="157">
        <v>41738</v>
      </c>
      <c r="AS527" s="139">
        <v>126</v>
      </c>
      <c r="AT527" s="157">
        <v>41766</v>
      </c>
      <c r="BS527" s="140">
        <v>52.4</v>
      </c>
      <c r="BU527" s="140">
        <v>17.399999999999999</v>
      </c>
      <c r="BW527" s="140">
        <v>16.100000000000001</v>
      </c>
      <c r="BY527" s="140">
        <v>10.3</v>
      </c>
      <c r="CJ527" s="140" t="s">
        <v>8140</v>
      </c>
    </row>
    <row r="528" spans="1:88">
      <c r="A528" s="158" t="s">
        <v>7686</v>
      </c>
      <c r="B528" s="112" t="s">
        <v>269</v>
      </c>
      <c r="C528" s="112">
        <v>4</v>
      </c>
      <c r="D528">
        <v>71</v>
      </c>
      <c r="E528" s="113">
        <v>63</v>
      </c>
      <c r="F528" s="113">
        <v>11</v>
      </c>
      <c r="I528" s="112">
        <v>66</v>
      </c>
      <c r="J528" s="183">
        <v>41705</v>
      </c>
      <c r="M528" s="184">
        <v>2.96</v>
      </c>
      <c r="N528" s="157">
        <v>41853</v>
      </c>
      <c r="S528" s="139">
        <v>9.86</v>
      </c>
      <c r="T528" s="157">
        <v>41853</v>
      </c>
      <c r="U528" s="139">
        <v>15.3</v>
      </c>
      <c r="Y528" s="139">
        <f t="shared" si="8"/>
        <v>3.1974800000000001</v>
      </c>
      <c r="AA528" s="139">
        <v>43</v>
      </c>
      <c r="AE528" s="139">
        <v>18.920000000000002</v>
      </c>
      <c r="AG528" s="185">
        <v>4.4000000000000004</v>
      </c>
      <c r="AI528" s="185">
        <v>110</v>
      </c>
      <c r="AJ528" s="157">
        <v>41803</v>
      </c>
      <c r="AO528" s="139">
        <v>92</v>
      </c>
      <c r="AP528" s="157">
        <v>41738</v>
      </c>
      <c r="AS528" s="139">
        <v>126</v>
      </c>
      <c r="AT528" s="157">
        <v>41766</v>
      </c>
      <c r="BS528" s="140">
        <v>52.1</v>
      </c>
      <c r="BU528" s="140">
        <v>16.899999999999999</v>
      </c>
      <c r="BW528" s="140">
        <v>10.8</v>
      </c>
      <c r="BY528" s="140">
        <v>11</v>
      </c>
      <c r="CJ528" s="140" t="s">
        <v>8140</v>
      </c>
    </row>
    <row r="529" spans="1:88">
      <c r="A529" s="158" t="s">
        <v>7762</v>
      </c>
      <c r="B529" s="112" t="s">
        <v>269</v>
      </c>
      <c r="C529" s="112">
        <v>4</v>
      </c>
      <c r="D529">
        <v>147</v>
      </c>
      <c r="E529" s="113">
        <v>63</v>
      </c>
      <c r="F529" s="113">
        <v>12</v>
      </c>
      <c r="I529" s="112">
        <v>33</v>
      </c>
      <c r="J529" s="183">
        <v>41705</v>
      </c>
      <c r="M529" s="184">
        <v>1.79</v>
      </c>
      <c r="N529" s="157">
        <v>41853</v>
      </c>
      <c r="S529" s="139">
        <v>5.75</v>
      </c>
      <c r="T529" s="157">
        <v>41853</v>
      </c>
      <c r="U529" s="139">
        <v>15.3</v>
      </c>
      <c r="Y529" s="139">
        <f t="shared" si="8"/>
        <v>2.3284099999999999</v>
      </c>
      <c r="AA529" s="139">
        <v>26.07</v>
      </c>
      <c r="AE529" s="139">
        <v>11.47</v>
      </c>
      <c r="AG529" s="185">
        <v>4.4000000000000004</v>
      </c>
      <c r="AI529" s="185">
        <v>125</v>
      </c>
      <c r="AJ529" s="157">
        <v>41803</v>
      </c>
      <c r="AO529" s="139">
        <v>90</v>
      </c>
      <c r="AP529" s="157">
        <v>41738</v>
      </c>
      <c r="AS529" s="139">
        <v>127</v>
      </c>
      <c r="AT529" s="157">
        <v>41766</v>
      </c>
      <c r="BS529" s="140">
        <v>50.1</v>
      </c>
      <c r="BU529" s="140">
        <v>20.3</v>
      </c>
      <c r="BW529" s="140">
        <v>54.4</v>
      </c>
      <c r="BY529" s="140">
        <v>10.8</v>
      </c>
      <c r="CJ529" s="140" t="s">
        <v>8140</v>
      </c>
    </row>
    <row r="530" spans="1:88">
      <c r="A530" s="158" t="s">
        <v>7676</v>
      </c>
      <c r="B530" s="112" t="s">
        <v>271</v>
      </c>
      <c r="C530" s="112">
        <v>3</v>
      </c>
      <c r="D530">
        <v>61</v>
      </c>
      <c r="E530" s="113">
        <v>64</v>
      </c>
      <c r="F530" s="113">
        <v>1</v>
      </c>
      <c r="I530" s="112">
        <v>23</v>
      </c>
      <c r="J530" s="183">
        <v>41705</v>
      </c>
      <c r="M530" s="184">
        <v>2.4700000000000002</v>
      </c>
      <c r="N530" s="157">
        <v>41853</v>
      </c>
      <c r="S530" s="139">
        <v>7.88</v>
      </c>
      <c r="T530" s="157">
        <v>41853</v>
      </c>
      <c r="U530" s="139">
        <v>15.3</v>
      </c>
      <c r="Y530" s="139">
        <f t="shared" si="8"/>
        <v>3.3538399999999999</v>
      </c>
      <c r="AA530" s="139">
        <v>32.96</v>
      </c>
      <c r="AE530" s="139">
        <v>15.82</v>
      </c>
      <c r="AG530" s="185">
        <v>4.8</v>
      </c>
      <c r="AI530" s="185">
        <v>140</v>
      </c>
      <c r="AJ530" s="157">
        <v>41803</v>
      </c>
      <c r="AO530" s="139">
        <v>89</v>
      </c>
      <c r="AP530" s="157">
        <v>41738</v>
      </c>
      <c r="AS530" s="139">
        <v>129</v>
      </c>
      <c r="AT530" s="157">
        <v>41766</v>
      </c>
      <c r="BS530" s="140">
        <v>49.8</v>
      </c>
      <c r="BU530" s="140">
        <v>21.2</v>
      </c>
      <c r="BW530" s="140">
        <v>22.8</v>
      </c>
      <c r="BY530" s="140">
        <v>10.8</v>
      </c>
      <c r="CJ530" s="140" t="s">
        <v>8140</v>
      </c>
    </row>
    <row r="531" spans="1:88">
      <c r="A531" s="158" t="s">
        <v>7652</v>
      </c>
      <c r="B531" s="112" t="s">
        <v>271</v>
      </c>
      <c r="C531" s="112">
        <v>3</v>
      </c>
      <c r="D531">
        <v>37</v>
      </c>
      <c r="E531" s="113">
        <v>64</v>
      </c>
      <c r="F531" s="113">
        <v>2</v>
      </c>
      <c r="I531" s="112">
        <v>47</v>
      </c>
      <c r="J531" s="183">
        <v>41705</v>
      </c>
      <c r="M531" s="184">
        <v>2.73</v>
      </c>
      <c r="N531" s="157">
        <v>41853</v>
      </c>
      <c r="S531" s="139">
        <v>8.27</v>
      </c>
      <c r="T531" s="157">
        <v>41853</v>
      </c>
      <c r="U531" s="139">
        <v>15.3</v>
      </c>
      <c r="Y531" s="139">
        <f t="shared" si="8"/>
        <v>3.80403</v>
      </c>
      <c r="AA531" s="139">
        <v>37.76</v>
      </c>
      <c r="AE531" s="139">
        <v>17.37</v>
      </c>
      <c r="AG531" s="185">
        <v>4.5999999999999996</v>
      </c>
      <c r="AI531" s="185">
        <v>120</v>
      </c>
      <c r="AJ531" s="157">
        <v>41803</v>
      </c>
      <c r="AO531" s="139">
        <v>89</v>
      </c>
      <c r="AP531" s="157">
        <v>41738</v>
      </c>
      <c r="AS531" s="139">
        <v>126</v>
      </c>
      <c r="AT531" s="157">
        <v>41766</v>
      </c>
      <c r="BS531" s="140">
        <v>47.6</v>
      </c>
      <c r="BU531" s="140">
        <v>21.9</v>
      </c>
      <c r="BW531" s="140">
        <v>59.8</v>
      </c>
      <c r="BY531" s="140">
        <v>11.4</v>
      </c>
      <c r="CJ531" s="140" t="s">
        <v>8139</v>
      </c>
    </row>
    <row r="532" spans="1:88">
      <c r="A532" s="158" t="s">
        <v>7786</v>
      </c>
      <c r="B532" s="112" t="s">
        <v>271</v>
      </c>
      <c r="C532" s="112">
        <v>3</v>
      </c>
      <c r="D532">
        <v>171</v>
      </c>
      <c r="E532" s="113">
        <v>64</v>
      </c>
      <c r="F532" s="113">
        <v>3</v>
      </c>
      <c r="I532" s="112">
        <v>30</v>
      </c>
      <c r="J532" s="183">
        <v>41705</v>
      </c>
      <c r="M532" s="184">
        <v>3.49</v>
      </c>
      <c r="N532" s="157">
        <v>41853</v>
      </c>
      <c r="S532" s="139">
        <v>11.27</v>
      </c>
      <c r="T532" s="157">
        <v>41853</v>
      </c>
      <c r="U532" s="139">
        <v>15.3</v>
      </c>
      <c r="Y532" s="139">
        <f t="shared" si="8"/>
        <v>4.4396899999999997</v>
      </c>
      <c r="AA532" s="139">
        <v>41.31</v>
      </c>
      <c r="AE532" s="139">
        <v>22.31</v>
      </c>
      <c r="AG532" s="185">
        <v>5.4</v>
      </c>
      <c r="AI532" s="185">
        <v>125</v>
      </c>
      <c r="AJ532" s="157">
        <v>41803</v>
      </c>
      <c r="AO532" s="139">
        <v>94</v>
      </c>
      <c r="AP532" s="157">
        <v>41738</v>
      </c>
      <c r="AS532" s="139">
        <v>127</v>
      </c>
      <c r="AT532" s="157">
        <v>41766</v>
      </c>
      <c r="BS532" s="140">
        <v>50.5</v>
      </c>
      <c r="BU532" s="140">
        <v>19.899999999999999</v>
      </c>
      <c r="BW532" s="140">
        <v>16.399999999999999</v>
      </c>
      <c r="BY532" s="140">
        <v>11</v>
      </c>
      <c r="CJ532" s="140" t="s">
        <v>8140</v>
      </c>
    </row>
    <row r="533" spans="1:88">
      <c r="A533" s="158" t="s">
        <v>7815</v>
      </c>
      <c r="B533" s="112" t="s">
        <v>271</v>
      </c>
      <c r="C533" s="112">
        <v>3</v>
      </c>
      <c r="D533">
        <v>200</v>
      </c>
      <c r="E533" s="113">
        <v>64</v>
      </c>
      <c r="F533" s="113">
        <v>4</v>
      </c>
      <c r="I533" s="112">
        <v>48</v>
      </c>
      <c r="J533" s="183">
        <v>41705</v>
      </c>
      <c r="M533" s="184">
        <v>4.78</v>
      </c>
      <c r="N533" s="157">
        <v>41853</v>
      </c>
      <c r="S533" s="139">
        <v>15.65</v>
      </c>
      <c r="T533" s="157">
        <v>41853</v>
      </c>
      <c r="U533" s="139">
        <v>15.3</v>
      </c>
      <c r="Y533" s="139">
        <f t="shared" si="8"/>
        <v>6.1546200000000013</v>
      </c>
      <c r="AA533" s="139">
        <v>72.900000000000006</v>
      </c>
      <c r="AE533" s="139">
        <v>30.62</v>
      </c>
      <c r="AG533" s="185">
        <v>4.2</v>
      </c>
      <c r="AI533" s="185">
        <v>130</v>
      </c>
      <c r="AJ533" s="157">
        <v>41803</v>
      </c>
      <c r="AO533" s="139">
        <v>91</v>
      </c>
      <c r="AP533" s="157">
        <v>41738</v>
      </c>
      <c r="AS533" s="139">
        <v>126</v>
      </c>
      <c r="AT533" s="157">
        <v>41766</v>
      </c>
      <c r="BS533" s="140">
        <v>51.1</v>
      </c>
      <c r="BU533" s="140">
        <v>20.100000000000001</v>
      </c>
      <c r="BW533" s="140">
        <v>15</v>
      </c>
      <c r="BY533" s="140">
        <v>10.8</v>
      </c>
      <c r="CJ533" s="140" t="s">
        <v>8140</v>
      </c>
    </row>
    <row r="534" spans="1:88">
      <c r="A534" s="158" t="s">
        <v>7656</v>
      </c>
      <c r="B534" s="112" t="s">
        <v>271</v>
      </c>
      <c r="C534" s="112">
        <v>3</v>
      </c>
      <c r="D534">
        <v>41</v>
      </c>
      <c r="E534" s="113">
        <v>64</v>
      </c>
      <c r="F534" s="113">
        <v>5</v>
      </c>
      <c r="I534" s="112">
        <v>37</v>
      </c>
      <c r="J534" s="183">
        <v>41705</v>
      </c>
      <c r="M534" s="184">
        <v>2.84</v>
      </c>
      <c r="N534" s="157">
        <v>41853</v>
      </c>
      <c r="S534" s="139">
        <v>8.25</v>
      </c>
      <c r="T534" s="157">
        <v>41853</v>
      </c>
      <c r="U534" s="139">
        <v>15.3</v>
      </c>
      <c r="Y534" s="139">
        <f t="shared" si="8"/>
        <v>4.3415999999999997</v>
      </c>
      <c r="AA534" s="139">
        <v>34.130000000000003</v>
      </c>
      <c r="AE534" s="139">
        <v>18.09</v>
      </c>
      <c r="AG534" s="185">
        <v>5.3</v>
      </c>
      <c r="AI534" s="185">
        <v>120</v>
      </c>
      <c r="AJ534" s="157">
        <v>41803</v>
      </c>
      <c r="AO534" s="139">
        <v>90</v>
      </c>
      <c r="AP534" s="157">
        <v>41738</v>
      </c>
      <c r="AS534" s="139">
        <v>128</v>
      </c>
      <c r="AT534" s="157">
        <v>41766</v>
      </c>
      <c r="BS534" s="140">
        <v>45.6</v>
      </c>
      <c r="BU534" s="140">
        <v>24</v>
      </c>
      <c r="BW534" s="140">
        <v>23.8</v>
      </c>
      <c r="BY534" s="140">
        <v>11.3</v>
      </c>
      <c r="CJ534" s="140" t="s">
        <v>8140</v>
      </c>
    </row>
    <row r="535" spans="1:88">
      <c r="A535" s="158" t="s">
        <v>7634</v>
      </c>
      <c r="B535" s="112" t="s">
        <v>271</v>
      </c>
      <c r="C535" s="112">
        <v>3</v>
      </c>
      <c r="D535">
        <v>19</v>
      </c>
      <c r="E535" s="113">
        <v>64</v>
      </c>
      <c r="F535" s="113">
        <v>6</v>
      </c>
      <c r="I535" s="187">
        <v>34</v>
      </c>
      <c r="J535" s="183">
        <v>41705</v>
      </c>
      <c r="K535" s="142"/>
      <c r="M535" s="184">
        <v>2.74</v>
      </c>
      <c r="N535" s="157">
        <v>41853</v>
      </c>
      <c r="O535" s="141"/>
      <c r="Q535" s="142"/>
      <c r="S535" s="142">
        <v>8.2899999999999991</v>
      </c>
      <c r="T535" s="157">
        <v>41853</v>
      </c>
      <c r="U535" s="142">
        <v>15.3</v>
      </c>
      <c r="W535" s="142"/>
      <c r="Y535" s="139">
        <f t="shared" si="8"/>
        <v>4.0507200000000001</v>
      </c>
      <c r="AA535" s="142">
        <v>32.33</v>
      </c>
      <c r="AE535" s="142">
        <v>17.46</v>
      </c>
      <c r="AG535" s="185">
        <v>5.4</v>
      </c>
      <c r="AI535" s="185">
        <v>130</v>
      </c>
      <c r="AJ535" s="157">
        <v>41803</v>
      </c>
      <c r="AK535" s="142"/>
      <c r="AM535" s="142"/>
      <c r="AO535" s="139">
        <v>95</v>
      </c>
      <c r="AP535" s="157">
        <v>41738</v>
      </c>
      <c r="AS535" s="139">
        <v>128</v>
      </c>
      <c r="AT535" s="157">
        <v>41766</v>
      </c>
      <c r="BS535" s="140">
        <v>47.5</v>
      </c>
      <c r="BU535" s="140">
        <v>23.2</v>
      </c>
      <c r="BW535" s="140">
        <v>61.4</v>
      </c>
      <c r="BY535" s="140">
        <v>11.3</v>
      </c>
      <c r="CJ535" s="140" t="s">
        <v>8140</v>
      </c>
    </row>
    <row r="536" spans="1:88">
      <c r="A536" s="158" t="s">
        <v>7751</v>
      </c>
      <c r="B536" s="112" t="s">
        <v>269</v>
      </c>
      <c r="C536" s="112">
        <v>4</v>
      </c>
      <c r="D536">
        <v>136</v>
      </c>
      <c r="E536" s="113">
        <v>64</v>
      </c>
      <c r="F536" s="113">
        <v>7</v>
      </c>
      <c r="I536" s="112">
        <v>32</v>
      </c>
      <c r="J536" s="183">
        <v>41705</v>
      </c>
      <c r="M536" s="184">
        <v>1.54</v>
      </c>
      <c r="N536" s="157">
        <v>41853</v>
      </c>
      <c r="S536" s="139">
        <v>4.96</v>
      </c>
      <c r="T536" s="157">
        <v>41853</v>
      </c>
      <c r="U536" s="139">
        <v>15.3</v>
      </c>
      <c r="Y536" s="139">
        <f t="shared" si="8"/>
        <v>2.0811000000000002</v>
      </c>
      <c r="AA536" s="139">
        <v>23.6</v>
      </c>
      <c r="AE536" s="139">
        <v>9.91</v>
      </c>
      <c r="AG536" s="185">
        <v>4.2</v>
      </c>
      <c r="AI536" s="185">
        <v>125</v>
      </c>
      <c r="AJ536" s="157">
        <v>41803</v>
      </c>
      <c r="AO536" s="139">
        <v>95</v>
      </c>
      <c r="AP536" s="157">
        <v>41738</v>
      </c>
      <c r="AS536" s="139">
        <v>127</v>
      </c>
      <c r="AT536" s="157">
        <v>41766</v>
      </c>
      <c r="BS536" s="140">
        <v>50</v>
      </c>
      <c r="BU536" s="140">
        <v>21</v>
      </c>
      <c r="BW536" s="140">
        <v>60.9</v>
      </c>
      <c r="BY536" s="140">
        <v>10.4</v>
      </c>
      <c r="CJ536" s="140" t="s">
        <v>8140</v>
      </c>
    </row>
    <row r="537" spans="1:88">
      <c r="A537" s="158" t="s">
        <v>7724</v>
      </c>
      <c r="B537" s="112" t="s">
        <v>269</v>
      </c>
      <c r="C537" s="112">
        <v>4</v>
      </c>
      <c r="D537">
        <v>109</v>
      </c>
      <c r="E537" s="113">
        <v>64</v>
      </c>
      <c r="F537" s="113">
        <v>8</v>
      </c>
      <c r="I537" s="112">
        <v>26</v>
      </c>
      <c r="J537" s="183">
        <v>41705</v>
      </c>
      <c r="M537" s="184">
        <v>2.85</v>
      </c>
      <c r="N537" s="157">
        <v>41853</v>
      </c>
      <c r="S537" s="139">
        <v>9.75</v>
      </c>
      <c r="T537" s="157">
        <v>41853</v>
      </c>
      <c r="U537" s="139">
        <v>15.3</v>
      </c>
      <c r="Y537" s="139">
        <f t="shared" si="8"/>
        <v>3.1772399999999998</v>
      </c>
      <c r="AA537" s="139">
        <v>44.54</v>
      </c>
      <c r="AE537" s="139">
        <v>18.260000000000002</v>
      </c>
      <c r="AG537" s="185">
        <v>4.0999999999999996</v>
      </c>
      <c r="AI537" s="185">
        <v>120</v>
      </c>
      <c r="AJ537" s="157">
        <v>41803</v>
      </c>
      <c r="AO537" s="139">
        <v>89</v>
      </c>
      <c r="AP537" s="157">
        <v>41738</v>
      </c>
      <c r="AS537" s="139">
        <v>125</v>
      </c>
      <c r="AT537" s="157">
        <v>41766</v>
      </c>
      <c r="BS537" s="140">
        <v>53.4</v>
      </c>
      <c r="BU537" s="140">
        <v>17.399999999999999</v>
      </c>
      <c r="BW537" s="140">
        <v>11.9</v>
      </c>
      <c r="BY537" s="140">
        <v>10.8</v>
      </c>
      <c r="CJ537" s="140" t="s">
        <v>8140</v>
      </c>
    </row>
    <row r="538" spans="1:88">
      <c r="A538" s="158" t="s">
        <v>7769</v>
      </c>
      <c r="B538" s="112" t="s">
        <v>269</v>
      </c>
      <c r="C538" s="112">
        <v>4</v>
      </c>
      <c r="D538">
        <v>154</v>
      </c>
      <c r="E538" s="113">
        <v>64</v>
      </c>
      <c r="F538" s="113">
        <v>9</v>
      </c>
      <c r="I538" s="112">
        <v>51</v>
      </c>
      <c r="J538" s="183">
        <v>41705</v>
      </c>
      <c r="M538" s="184">
        <v>1.32</v>
      </c>
      <c r="N538" s="157">
        <v>41853</v>
      </c>
      <c r="S538" s="139">
        <v>4.47</v>
      </c>
      <c r="T538" s="157">
        <v>41853</v>
      </c>
      <c r="U538" s="139">
        <v>15.3</v>
      </c>
      <c r="Y538" s="139">
        <f t="shared" si="8"/>
        <v>1.7404500000000001</v>
      </c>
      <c r="AA538" s="139">
        <v>19.3</v>
      </c>
      <c r="AE538" s="139">
        <v>8.49</v>
      </c>
      <c r="AG538" s="185">
        <v>4.4000000000000004</v>
      </c>
      <c r="AI538" s="185">
        <v>130</v>
      </c>
      <c r="AJ538" s="157">
        <v>41803</v>
      </c>
      <c r="AO538" s="139">
        <v>96</v>
      </c>
      <c r="AP538" s="157">
        <v>41738</v>
      </c>
      <c r="AS538" s="139">
        <v>129</v>
      </c>
      <c r="AT538" s="157">
        <v>41766</v>
      </c>
      <c r="BS538" s="140">
        <v>52.7</v>
      </c>
      <c r="BU538" s="140">
        <v>20.5</v>
      </c>
      <c r="BW538" s="140">
        <v>58.9</v>
      </c>
      <c r="BY538" s="140">
        <v>10.4</v>
      </c>
      <c r="CJ538" s="140" t="s">
        <v>8131</v>
      </c>
    </row>
    <row r="539" spans="1:88">
      <c r="A539" s="158" t="s">
        <v>7790</v>
      </c>
      <c r="B539" s="112" t="s">
        <v>269</v>
      </c>
      <c r="C539" s="112">
        <v>4</v>
      </c>
      <c r="D539">
        <v>175</v>
      </c>
      <c r="E539" s="113">
        <v>64</v>
      </c>
      <c r="F539" s="113">
        <v>10</v>
      </c>
      <c r="I539" s="112">
        <v>37</v>
      </c>
      <c r="J539" s="183">
        <v>41705</v>
      </c>
      <c r="M539" s="184">
        <v>2.19</v>
      </c>
      <c r="N539" s="157">
        <v>41853</v>
      </c>
      <c r="S539" s="139">
        <v>7.47</v>
      </c>
      <c r="T539" s="157">
        <v>41853</v>
      </c>
      <c r="U539" s="139">
        <v>15.3</v>
      </c>
      <c r="Y539" s="139">
        <f t="shared" si="8"/>
        <v>2.4516599999999995</v>
      </c>
      <c r="AA539" s="139">
        <v>27.63</v>
      </c>
      <c r="AE539" s="139">
        <v>14.09</v>
      </c>
      <c r="AG539" s="185">
        <v>5.0999999999999996</v>
      </c>
      <c r="AI539" s="185">
        <v>115</v>
      </c>
      <c r="AJ539" s="157">
        <v>41803</v>
      </c>
      <c r="AO539" s="139">
        <v>93</v>
      </c>
      <c r="AP539" s="157">
        <v>41738</v>
      </c>
      <c r="AS539" s="139">
        <v>124</v>
      </c>
      <c r="AT539" s="157">
        <v>41766</v>
      </c>
      <c r="BS539" s="140">
        <v>53</v>
      </c>
      <c r="BU539" s="140">
        <v>17.399999999999999</v>
      </c>
      <c r="BW539" s="140">
        <v>15.1</v>
      </c>
      <c r="BY539" s="140">
        <v>10.4</v>
      </c>
      <c r="CJ539" s="140" t="s">
        <v>8140</v>
      </c>
    </row>
    <row r="540" spans="1:88">
      <c r="A540" s="158" t="s">
        <v>7681</v>
      </c>
      <c r="B540" s="112" t="s">
        <v>269</v>
      </c>
      <c r="C540" s="112">
        <v>4</v>
      </c>
      <c r="D540">
        <v>66</v>
      </c>
      <c r="E540" s="113">
        <v>64</v>
      </c>
      <c r="F540" s="113">
        <v>11</v>
      </c>
      <c r="I540" s="112">
        <v>33</v>
      </c>
      <c r="J540" s="183">
        <v>41705</v>
      </c>
      <c r="M540" s="184">
        <v>3.55</v>
      </c>
      <c r="N540" s="157">
        <v>41853</v>
      </c>
      <c r="S540" s="139">
        <v>11.93</v>
      </c>
      <c r="T540" s="157">
        <v>41853</v>
      </c>
      <c r="U540" s="139">
        <v>15.3</v>
      </c>
      <c r="Y540" s="139">
        <f t="shared" si="8"/>
        <v>4.3414999999999999</v>
      </c>
      <c r="AA540" s="139">
        <v>49.67</v>
      </c>
      <c r="AE540" s="139">
        <v>22.85</v>
      </c>
      <c r="AG540" s="185">
        <v>4.5999999999999996</v>
      </c>
      <c r="AI540" s="185">
        <v>115</v>
      </c>
      <c r="AJ540" s="157">
        <v>41803</v>
      </c>
      <c r="AO540" s="139">
        <v>91</v>
      </c>
      <c r="AP540" s="157">
        <v>41738</v>
      </c>
      <c r="AS540" s="139">
        <v>125</v>
      </c>
      <c r="AT540" s="157">
        <v>41766</v>
      </c>
      <c r="BS540" s="140">
        <v>52.2</v>
      </c>
      <c r="BU540" s="140">
        <v>19</v>
      </c>
      <c r="BW540" s="140">
        <v>11.3</v>
      </c>
      <c r="BY540" s="140">
        <v>10.4</v>
      </c>
      <c r="CJ540" s="140" t="s">
        <v>8140</v>
      </c>
    </row>
    <row r="541" spans="1:88">
      <c r="A541" s="158" t="s">
        <v>7804</v>
      </c>
      <c r="B541" s="112" t="s">
        <v>269</v>
      </c>
      <c r="C541" s="112">
        <v>4</v>
      </c>
      <c r="D541">
        <v>189</v>
      </c>
      <c r="E541" s="113">
        <v>64</v>
      </c>
      <c r="F541" s="113">
        <v>12</v>
      </c>
      <c r="I541" s="112">
        <v>43</v>
      </c>
      <c r="J541" s="183">
        <v>41705</v>
      </c>
      <c r="M541" s="184">
        <v>3.24</v>
      </c>
      <c r="N541" s="157">
        <v>41853</v>
      </c>
      <c r="S541" s="139">
        <v>11.1</v>
      </c>
      <c r="T541" s="157">
        <v>41853</v>
      </c>
      <c r="U541" s="139">
        <v>15.3</v>
      </c>
      <c r="Y541" s="139">
        <f t="shared" si="8"/>
        <v>3.5410999999999997</v>
      </c>
      <c r="AA541" s="139">
        <v>50.8</v>
      </c>
      <c r="AE541" s="139">
        <v>20.83</v>
      </c>
      <c r="AG541" s="185">
        <v>4.0999999999999996</v>
      </c>
      <c r="AI541" s="185">
        <v>120</v>
      </c>
      <c r="AJ541" s="157">
        <v>41803</v>
      </c>
      <c r="AO541" s="139">
        <v>93</v>
      </c>
      <c r="AP541" s="157">
        <v>41738</v>
      </c>
      <c r="AS541" s="139">
        <v>126</v>
      </c>
      <c r="AT541" s="157">
        <v>41766</v>
      </c>
      <c r="BS541" s="140">
        <v>53.3</v>
      </c>
      <c r="BU541" s="140">
        <v>17</v>
      </c>
      <c r="BW541" s="140">
        <v>15.5</v>
      </c>
      <c r="BY541" s="140">
        <v>10.5</v>
      </c>
      <c r="CJ541" s="140" t="s">
        <v>8140</v>
      </c>
    </row>
    <row r="542" spans="1:88">
      <c r="A542" s="158" t="s">
        <v>7644</v>
      </c>
      <c r="B542" s="112" t="s">
        <v>271</v>
      </c>
      <c r="C542" s="112">
        <v>3</v>
      </c>
      <c r="D542">
        <v>29</v>
      </c>
      <c r="E542" s="113">
        <v>65</v>
      </c>
      <c r="F542" s="113">
        <v>1</v>
      </c>
      <c r="I542" s="112">
        <v>39</v>
      </c>
      <c r="J542" s="183">
        <v>41705</v>
      </c>
      <c r="M542" s="184">
        <v>2</v>
      </c>
      <c r="N542" s="157">
        <v>41853</v>
      </c>
      <c r="S542" s="139">
        <v>6</v>
      </c>
      <c r="T542" s="157">
        <v>41853</v>
      </c>
      <c r="U542" s="139">
        <v>15.3</v>
      </c>
      <c r="Y542" s="139">
        <f t="shared" si="8"/>
        <v>3.2303699999999997</v>
      </c>
      <c r="AA542" s="139">
        <v>25.24</v>
      </c>
      <c r="AE542" s="139">
        <v>12.87</v>
      </c>
      <c r="AG542" s="185">
        <v>5.0999999999999996</v>
      </c>
      <c r="AI542" s="185">
        <v>115</v>
      </c>
      <c r="AJ542" s="157">
        <v>41803</v>
      </c>
      <c r="AO542" s="139">
        <v>96</v>
      </c>
      <c r="AP542" s="157">
        <v>41738</v>
      </c>
      <c r="AS542" s="139">
        <v>129</v>
      </c>
      <c r="AT542" s="157">
        <v>41766</v>
      </c>
      <c r="BS542" s="140">
        <v>46.6</v>
      </c>
      <c r="BU542" s="140">
        <v>25.1</v>
      </c>
      <c r="BW542" s="140">
        <v>83.2</v>
      </c>
      <c r="BY542" s="140">
        <v>10.4</v>
      </c>
      <c r="CJ542" s="140" t="s">
        <v>8133</v>
      </c>
    </row>
    <row r="543" spans="1:88">
      <c r="A543" s="158" t="s">
        <v>7813</v>
      </c>
      <c r="B543" s="112" t="s">
        <v>271</v>
      </c>
      <c r="C543" s="112">
        <v>3</v>
      </c>
      <c r="D543">
        <v>198</v>
      </c>
      <c r="E543" s="113">
        <v>65</v>
      </c>
      <c r="F543" s="113">
        <v>2</v>
      </c>
      <c r="I543" s="112">
        <v>28</v>
      </c>
      <c r="J543" s="183">
        <v>41705</v>
      </c>
      <c r="M543" s="184">
        <v>4.34</v>
      </c>
      <c r="N543" s="157">
        <v>41853</v>
      </c>
      <c r="S543" s="139">
        <v>14.06</v>
      </c>
      <c r="T543" s="157">
        <v>41853</v>
      </c>
      <c r="U543" s="139">
        <v>15.3</v>
      </c>
      <c r="Y543" s="139">
        <f t="shared" si="8"/>
        <v>5.8531399999999998</v>
      </c>
      <c r="AA543" s="139">
        <v>49.54</v>
      </c>
      <c r="AE543" s="139">
        <v>27.74</v>
      </c>
      <c r="AG543" s="185">
        <v>5.6</v>
      </c>
      <c r="AI543" s="185">
        <v>140</v>
      </c>
      <c r="AJ543" s="157">
        <v>41803</v>
      </c>
      <c r="AO543" s="139">
        <v>94</v>
      </c>
      <c r="AP543" s="157">
        <v>41738</v>
      </c>
      <c r="AS543" s="139">
        <v>129</v>
      </c>
      <c r="AT543" s="157">
        <v>41766</v>
      </c>
      <c r="BS543" s="140">
        <v>50.7</v>
      </c>
      <c r="BU543" s="140">
        <v>21.1</v>
      </c>
      <c r="BW543" s="140">
        <v>17.600000000000001</v>
      </c>
      <c r="BY543" s="140">
        <v>11</v>
      </c>
      <c r="CJ543" s="140" t="s">
        <v>8140</v>
      </c>
    </row>
    <row r="544" spans="1:88">
      <c r="A544" s="158" t="s">
        <v>7684</v>
      </c>
      <c r="B544" s="112" t="s">
        <v>271</v>
      </c>
      <c r="C544" s="112">
        <v>3</v>
      </c>
      <c r="D544">
        <v>69</v>
      </c>
      <c r="E544" s="113">
        <v>65</v>
      </c>
      <c r="F544" s="113">
        <v>3</v>
      </c>
      <c r="I544" s="112">
        <v>36</v>
      </c>
      <c r="J544" s="183">
        <v>41705</v>
      </c>
      <c r="M544" s="184">
        <v>2.46</v>
      </c>
      <c r="N544" s="157">
        <v>41853</v>
      </c>
      <c r="S544" s="139">
        <v>7.77</v>
      </c>
      <c r="T544" s="157">
        <v>41853</v>
      </c>
      <c r="U544" s="139">
        <v>15.3</v>
      </c>
      <c r="Y544" s="139">
        <f t="shared" si="8"/>
        <v>3.4317299999999999</v>
      </c>
      <c r="AA544" s="139">
        <v>29.02</v>
      </c>
      <c r="AE544" s="139">
        <v>15.67</v>
      </c>
      <c r="AG544" s="185">
        <v>5.4</v>
      </c>
      <c r="AI544" s="185">
        <v>125</v>
      </c>
      <c r="AJ544" s="157">
        <v>41803</v>
      </c>
      <c r="AO544" s="139">
        <v>98</v>
      </c>
      <c r="AP544" s="157">
        <v>41738</v>
      </c>
      <c r="AS544" s="139">
        <v>128</v>
      </c>
      <c r="AT544" s="157">
        <v>41766</v>
      </c>
      <c r="BS544" s="140">
        <v>49.6</v>
      </c>
      <c r="BU544" s="140">
        <v>21.9</v>
      </c>
      <c r="BW544" s="140">
        <v>19.7</v>
      </c>
      <c r="BY544" s="140">
        <v>11.3</v>
      </c>
      <c r="CJ544" s="140" t="s">
        <v>8131</v>
      </c>
    </row>
    <row r="545" spans="1:91">
      <c r="A545" s="188" t="s">
        <v>7746</v>
      </c>
      <c r="B545" s="189" t="s">
        <v>271</v>
      </c>
      <c r="C545" s="189">
        <v>3</v>
      </c>
      <c r="D545" s="190">
        <v>131</v>
      </c>
      <c r="E545" s="191">
        <v>65</v>
      </c>
      <c r="F545" s="191">
        <v>4</v>
      </c>
      <c r="G545" s="191"/>
      <c r="H545" s="191"/>
      <c r="I545" s="189">
        <v>42</v>
      </c>
      <c r="J545" s="193">
        <v>41705</v>
      </c>
      <c r="K545" s="194"/>
      <c r="L545" s="195"/>
      <c r="M545" s="196">
        <v>1.49</v>
      </c>
      <c r="N545" s="195">
        <v>41853</v>
      </c>
      <c r="O545" s="194"/>
      <c r="P545" s="195"/>
      <c r="Q545" s="194"/>
      <c r="R545" s="195"/>
      <c r="S545" s="194">
        <v>4.33</v>
      </c>
      <c r="T545" s="195">
        <v>41853</v>
      </c>
      <c r="U545" s="194">
        <v>15.3</v>
      </c>
      <c r="V545" s="195"/>
      <c r="W545" s="194"/>
      <c r="X545" s="195"/>
      <c r="Y545" s="139">
        <f t="shared" si="8"/>
        <v>2.4646300000000001</v>
      </c>
      <c r="Z545" s="195"/>
      <c r="AA545" s="194">
        <v>20.399999999999999</v>
      </c>
      <c r="AB545" s="195"/>
      <c r="AC545" s="194"/>
      <c r="AD545" s="195"/>
      <c r="AE545" s="194">
        <v>9.59</v>
      </c>
      <c r="AF545" s="195"/>
      <c r="AG545" s="197">
        <v>4.7</v>
      </c>
      <c r="AH545" s="195"/>
      <c r="AI545" s="197">
        <v>95</v>
      </c>
      <c r="AJ545" s="195">
        <v>41803</v>
      </c>
      <c r="AK545" s="194"/>
      <c r="AL545" s="195"/>
      <c r="AM545" s="194"/>
      <c r="AN545" s="195"/>
      <c r="AO545" s="194">
        <v>75</v>
      </c>
      <c r="AP545" s="195">
        <v>41738</v>
      </c>
      <c r="AQ545" s="194"/>
      <c r="AR545" s="194"/>
      <c r="AS545" s="194">
        <v>127</v>
      </c>
      <c r="AT545" s="195">
        <v>41766</v>
      </c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8"/>
      <c r="BF545" s="198"/>
      <c r="BG545" s="198"/>
      <c r="BH545" s="198"/>
      <c r="BI545" s="198"/>
      <c r="BJ545" s="198"/>
      <c r="BK545" s="198"/>
      <c r="BL545" s="198"/>
      <c r="BM545" s="198"/>
      <c r="BN545" s="198"/>
      <c r="BO545" s="198"/>
      <c r="BP545" s="198"/>
      <c r="BQ545" s="198"/>
      <c r="BR545" s="198"/>
      <c r="BS545" s="198">
        <v>45.2</v>
      </c>
      <c r="BT545" s="198"/>
      <c r="BU545" s="198">
        <v>25.7</v>
      </c>
      <c r="BV545" s="198"/>
      <c r="BW545" s="198">
        <v>75.900000000000006</v>
      </c>
      <c r="BX545" s="198"/>
      <c r="BY545" s="198">
        <v>10.4</v>
      </c>
      <c r="BZ545" s="198"/>
      <c r="CA545" s="198"/>
      <c r="CB545" s="198"/>
      <c r="CC545" s="198"/>
      <c r="CD545" s="198"/>
      <c r="CE545" s="198"/>
      <c r="CF545" s="198"/>
      <c r="CG545" s="198"/>
      <c r="CH545" s="198"/>
      <c r="CI545" s="198"/>
      <c r="CJ545" s="198" t="s">
        <v>8142</v>
      </c>
      <c r="CK545" s="198"/>
      <c r="CL545" s="198"/>
      <c r="CM545" s="198"/>
    </row>
    <row r="546" spans="1:91">
      <c r="A546" s="158" t="s">
        <v>7807</v>
      </c>
      <c r="B546" s="112" t="s">
        <v>271</v>
      </c>
      <c r="C546" s="112">
        <v>3</v>
      </c>
      <c r="D546">
        <v>192</v>
      </c>
      <c r="E546" s="113">
        <v>65</v>
      </c>
      <c r="F546" s="113">
        <v>5</v>
      </c>
      <c r="I546" s="112">
        <v>43</v>
      </c>
      <c r="J546" s="183">
        <v>41705</v>
      </c>
      <c r="M546" s="184">
        <v>4.1900000000000004</v>
      </c>
      <c r="N546" s="157">
        <v>41853</v>
      </c>
      <c r="S546" s="139">
        <v>13.41</v>
      </c>
      <c r="T546" s="157">
        <v>41853</v>
      </c>
      <c r="U546" s="139">
        <v>15.3</v>
      </c>
      <c r="Y546" s="139">
        <f t="shared" si="8"/>
        <v>5.3471299999999999</v>
      </c>
      <c r="AA546" s="139">
        <v>58.41</v>
      </c>
      <c r="AE546" s="139">
        <v>26.87</v>
      </c>
      <c r="AG546" s="185">
        <v>4.5999999999999996</v>
      </c>
      <c r="AI546" s="185">
        <v>115</v>
      </c>
      <c r="AJ546" s="157">
        <v>41803</v>
      </c>
      <c r="AO546" s="139">
        <v>93</v>
      </c>
      <c r="AP546" s="157">
        <v>41738</v>
      </c>
      <c r="AS546" s="139">
        <v>128</v>
      </c>
      <c r="AT546" s="157">
        <v>41766</v>
      </c>
      <c r="BS546" s="140">
        <v>49.9</v>
      </c>
      <c r="BU546" s="140">
        <v>19.899999999999999</v>
      </c>
      <c r="BW546" s="140">
        <v>11.2</v>
      </c>
      <c r="BY546" s="140">
        <v>10.7</v>
      </c>
      <c r="CJ546" s="140" t="s">
        <v>8140</v>
      </c>
    </row>
    <row r="547" spans="1:91">
      <c r="A547" s="158" t="s">
        <v>7789</v>
      </c>
      <c r="B547" s="112" t="s">
        <v>271</v>
      </c>
      <c r="C547" s="112">
        <v>3</v>
      </c>
      <c r="D547">
        <v>174</v>
      </c>
      <c r="E547" s="113">
        <v>65</v>
      </c>
      <c r="F547" s="113">
        <v>6</v>
      </c>
      <c r="I547" s="112">
        <v>27</v>
      </c>
      <c r="J547" s="183">
        <v>41705</v>
      </c>
      <c r="M547" s="184">
        <v>3.78</v>
      </c>
      <c r="N547" s="157">
        <v>41853</v>
      </c>
      <c r="S547" s="139">
        <v>12.01</v>
      </c>
      <c r="T547" s="157">
        <v>41853</v>
      </c>
      <c r="U547" s="139">
        <v>15.3</v>
      </c>
      <c r="Y547" s="139">
        <f t="shared" si="8"/>
        <v>4.9166600000000003</v>
      </c>
      <c r="AA547" s="139">
        <v>52.65</v>
      </c>
      <c r="AE547" s="139">
        <v>24.22</v>
      </c>
      <c r="AG547" s="185">
        <v>4.5999999999999996</v>
      </c>
      <c r="AI547" s="185">
        <v>125</v>
      </c>
      <c r="AJ547" s="157">
        <v>41803</v>
      </c>
      <c r="AO547" s="139">
        <v>93</v>
      </c>
      <c r="AP547" s="157">
        <v>41738</v>
      </c>
      <c r="AS547" s="139">
        <v>128</v>
      </c>
      <c r="AT547" s="157">
        <v>41766</v>
      </c>
      <c r="BS547" s="140">
        <v>49.6</v>
      </c>
      <c r="BU547" s="140">
        <v>20.3</v>
      </c>
      <c r="BW547" s="140">
        <v>12.8</v>
      </c>
      <c r="BY547" s="140">
        <v>10.8</v>
      </c>
      <c r="CJ547" s="140" t="s">
        <v>8140</v>
      </c>
    </row>
    <row r="548" spans="1:91">
      <c r="A548" s="158" t="s">
        <v>8129</v>
      </c>
      <c r="B548" s="112" t="s">
        <v>269</v>
      </c>
      <c r="C548" s="112">
        <v>4</v>
      </c>
      <c r="D548">
        <v>216</v>
      </c>
      <c r="E548" s="113">
        <v>65</v>
      </c>
      <c r="F548" s="113">
        <v>7</v>
      </c>
      <c r="I548" s="112">
        <v>36</v>
      </c>
      <c r="J548" s="183">
        <v>41705</v>
      </c>
      <c r="M548" s="184">
        <v>2.52</v>
      </c>
      <c r="N548" s="157">
        <v>41853</v>
      </c>
      <c r="S548" s="139">
        <v>8.68</v>
      </c>
      <c r="T548" s="157">
        <v>41853</v>
      </c>
      <c r="U548" s="139">
        <v>15.3</v>
      </c>
      <c r="Y548" s="139">
        <f t="shared" si="8"/>
        <v>2.7216000000000005</v>
      </c>
      <c r="AA548" s="139">
        <v>40.5</v>
      </c>
      <c r="AE548" s="139">
        <v>16.2</v>
      </c>
      <c r="AG548" s="185">
        <v>4</v>
      </c>
      <c r="AI548" s="185">
        <v>125</v>
      </c>
      <c r="AJ548" s="157">
        <v>41803</v>
      </c>
      <c r="AO548" s="139">
        <v>91</v>
      </c>
      <c r="AP548" s="157">
        <v>41738</v>
      </c>
      <c r="AS548" s="139">
        <v>126</v>
      </c>
      <c r="AT548" s="157">
        <v>41766</v>
      </c>
      <c r="BS548" s="140">
        <v>53.6</v>
      </c>
      <c r="BU548" s="140">
        <v>16.8</v>
      </c>
      <c r="BW548" s="140">
        <v>12.9</v>
      </c>
      <c r="BY548" s="140">
        <v>10.5</v>
      </c>
      <c r="CJ548" s="140" t="s">
        <v>8140</v>
      </c>
    </row>
    <row r="549" spans="1:91">
      <c r="A549" s="158" t="s">
        <v>7718</v>
      </c>
      <c r="B549" s="112" t="s">
        <v>269</v>
      </c>
      <c r="C549" s="112">
        <v>4</v>
      </c>
      <c r="D549">
        <v>103</v>
      </c>
      <c r="E549" s="113">
        <v>65</v>
      </c>
      <c r="F549" s="113">
        <v>8</v>
      </c>
      <c r="I549" s="112">
        <v>25</v>
      </c>
      <c r="J549" s="183">
        <v>41705</v>
      </c>
      <c r="M549" s="184">
        <v>3.31</v>
      </c>
      <c r="N549" s="157">
        <v>41853</v>
      </c>
      <c r="S549" s="139">
        <v>11.13</v>
      </c>
      <c r="T549" s="157">
        <v>41853</v>
      </c>
      <c r="U549" s="139">
        <v>15.3</v>
      </c>
      <c r="Y549" s="139">
        <f t="shared" si="8"/>
        <v>3.7949600000000006</v>
      </c>
      <c r="AA549" s="139">
        <v>44.42</v>
      </c>
      <c r="AE549" s="139">
        <v>21.32</v>
      </c>
      <c r="AG549" s="185">
        <v>4.8</v>
      </c>
      <c r="AI549" s="185">
        <v>125</v>
      </c>
      <c r="AJ549" s="157">
        <v>41803</v>
      </c>
      <c r="AO549" s="139">
        <v>93</v>
      </c>
      <c r="AP549" s="157">
        <v>41738</v>
      </c>
      <c r="AS549" s="139">
        <v>126</v>
      </c>
      <c r="AT549" s="157">
        <v>41766</v>
      </c>
      <c r="BS549" s="140">
        <v>52.2</v>
      </c>
      <c r="BU549" s="140">
        <v>17.8</v>
      </c>
      <c r="BW549" s="140">
        <v>13.6</v>
      </c>
      <c r="BY549" s="140">
        <v>10.3</v>
      </c>
      <c r="CJ549" s="140" t="s">
        <v>8140</v>
      </c>
    </row>
    <row r="550" spans="1:91">
      <c r="A550" s="158" t="s">
        <v>7652</v>
      </c>
      <c r="B550" s="112" t="s">
        <v>269</v>
      </c>
      <c r="C550" s="112">
        <v>4</v>
      </c>
      <c r="D550">
        <v>37</v>
      </c>
      <c r="E550" s="113">
        <v>65</v>
      </c>
      <c r="F550" s="113">
        <v>9</v>
      </c>
      <c r="I550" s="112">
        <v>76</v>
      </c>
      <c r="J550" s="183">
        <v>41705</v>
      </c>
      <c r="M550" s="184">
        <v>2.0099999999999998</v>
      </c>
      <c r="N550" s="157">
        <v>41853</v>
      </c>
      <c r="S550" s="139">
        <v>6.46</v>
      </c>
      <c r="T550" s="157">
        <v>41853</v>
      </c>
      <c r="U550" s="139">
        <v>15.3</v>
      </c>
      <c r="Y550" s="139">
        <f t="shared" si="8"/>
        <v>2.4844799999999996</v>
      </c>
      <c r="AA550" s="139">
        <v>30.81</v>
      </c>
      <c r="AE550" s="139">
        <v>12.94</v>
      </c>
      <c r="AG550" s="185">
        <v>4.2</v>
      </c>
      <c r="AI550" s="185">
        <v>110</v>
      </c>
      <c r="AJ550" s="157">
        <v>41803</v>
      </c>
      <c r="AO550" s="139">
        <v>91</v>
      </c>
      <c r="AP550" s="157">
        <v>41738</v>
      </c>
      <c r="AS550" s="139">
        <v>124</v>
      </c>
      <c r="AT550" s="157">
        <v>41766</v>
      </c>
      <c r="BS550" s="140">
        <v>49.9</v>
      </c>
      <c r="BU550" s="140">
        <v>19.2</v>
      </c>
      <c r="BW550" s="140">
        <v>59.3</v>
      </c>
      <c r="BY550" s="140">
        <v>10.4</v>
      </c>
      <c r="CJ550" s="140" t="s">
        <v>8140</v>
      </c>
    </row>
    <row r="551" spans="1:91">
      <c r="A551" s="158" t="s">
        <v>7742</v>
      </c>
      <c r="B551" s="112" t="s">
        <v>269</v>
      </c>
      <c r="C551" s="112">
        <v>4</v>
      </c>
      <c r="D551">
        <v>127</v>
      </c>
      <c r="E551" s="113">
        <v>65</v>
      </c>
      <c r="F551" s="113">
        <v>10</v>
      </c>
      <c r="I551" s="112">
        <v>41</v>
      </c>
      <c r="J551" s="183">
        <v>41705</v>
      </c>
      <c r="M551" s="184">
        <v>2.78</v>
      </c>
      <c r="N551" s="157">
        <v>41853</v>
      </c>
      <c r="S551" s="139">
        <v>9.3000000000000007</v>
      </c>
      <c r="T551" s="157">
        <v>41853</v>
      </c>
      <c r="U551" s="139">
        <v>15.3</v>
      </c>
      <c r="Y551" s="139">
        <f t="shared" si="8"/>
        <v>3.0065099999999996</v>
      </c>
      <c r="AA551" s="139">
        <v>43.39</v>
      </c>
      <c r="AE551" s="139">
        <v>17.79</v>
      </c>
      <c r="AG551" s="185">
        <v>4.0999999999999996</v>
      </c>
      <c r="AI551" s="185">
        <v>115</v>
      </c>
      <c r="AJ551" s="157">
        <v>41803</v>
      </c>
      <c r="AO551" s="139">
        <v>92</v>
      </c>
      <c r="AP551" s="157">
        <v>41738</v>
      </c>
      <c r="AS551" s="139">
        <v>127</v>
      </c>
      <c r="AT551" s="157">
        <v>41766</v>
      </c>
      <c r="BS551" s="140">
        <v>52.3</v>
      </c>
      <c r="BU551" s="140">
        <v>16.899999999999999</v>
      </c>
      <c r="BW551" s="140">
        <v>14.5</v>
      </c>
      <c r="BY551" s="140">
        <v>10.9</v>
      </c>
      <c r="CJ551" s="140" t="s">
        <v>8140</v>
      </c>
    </row>
    <row r="552" spans="1:91">
      <c r="A552" s="158" t="s">
        <v>7810</v>
      </c>
      <c r="B552" s="112" t="s">
        <v>269</v>
      </c>
      <c r="C552" s="112">
        <v>4</v>
      </c>
      <c r="D552">
        <v>195</v>
      </c>
      <c r="E552" s="113">
        <v>65</v>
      </c>
      <c r="F552" s="113">
        <v>11</v>
      </c>
      <c r="I552" s="112">
        <v>48</v>
      </c>
      <c r="J552" s="183">
        <v>41705</v>
      </c>
      <c r="M552" s="184">
        <v>2.89</v>
      </c>
      <c r="N552" s="157">
        <v>41853</v>
      </c>
      <c r="S552" s="139">
        <v>9.68</v>
      </c>
      <c r="T552" s="157">
        <v>41853</v>
      </c>
      <c r="U552" s="139">
        <v>15.3</v>
      </c>
      <c r="Y552" s="139">
        <f t="shared" si="8"/>
        <v>3.2468399999999997</v>
      </c>
      <c r="AA552" s="139">
        <v>39.700000000000003</v>
      </c>
      <c r="AE552" s="139">
        <v>18.66</v>
      </c>
      <c r="AG552" s="185">
        <v>4.7</v>
      </c>
      <c r="AI552" s="185">
        <v>120</v>
      </c>
      <c r="AJ552" s="157">
        <v>41803</v>
      </c>
      <c r="AO552" s="139">
        <v>94</v>
      </c>
      <c r="AP552" s="157">
        <v>41738</v>
      </c>
      <c r="AS552" s="139">
        <v>126</v>
      </c>
      <c r="AT552" s="157">
        <v>41766</v>
      </c>
      <c r="BS552" s="140">
        <v>51.9</v>
      </c>
      <c r="BU552" s="140">
        <v>17.399999999999999</v>
      </c>
      <c r="BW552" s="140">
        <v>14.9</v>
      </c>
      <c r="BY552" s="140">
        <v>10.1</v>
      </c>
      <c r="CJ552" s="140" t="s">
        <v>8140</v>
      </c>
    </row>
    <row r="553" spans="1:91">
      <c r="A553" s="158" t="s">
        <v>7682</v>
      </c>
      <c r="B553" s="112" t="s">
        <v>269</v>
      </c>
      <c r="C553" s="112">
        <v>4</v>
      </c>
      <c r="D553">
        <v>67</v>
      </c>
      <c r="E553" s="113">
        <v>65</v>
      </c>
      <c r="F553" s="113">
        <v>12</v>
      </c>
      <c r="I553" s="112">
        <v>36</v>
      </c>
      <c r="J553" s="183">
        <v>41705</v>
      </c>
      <c r="M553" s="184">
        <v>2.56</v>
      </c>
      <c r="N553" s="157">
        <v>41853</v>
      </c>
      <c r="S553" s="139">
        <v>8.51</v>
      </c>
      <c r="T553" s="157">
        <v>41853</v>
      </c>
      <c r="U553" s="139">
        <v>15.3</v>
      </c>
      <c r="Y553" s="139">
        <f t="shared" si="8"/>
        <v>2.9774099999999999</v>
      </c>
      <c r="AA553" s="139">
        <v>34.619999999999997</v>
      </c>
      <c r="AE553" s="139">
        <v>16.27</v>
      </c>
      <c r="AG553" s="185">
        <v>4.7</v>
      </c>
      <c r="AI553" s="185">
        <v>125</v>
      </c>
      <c r="AJ553" s="157">
        <v>41803</v>
      </c>
      <c r="AO553" s="139">
        <v>94</v>
      </c>
      <c r="AP553" s="157">
        <v>41738</v>
      </c>
      <c r="AS553" s="139">
        <v>128</v>
      </c>
      <c r="AT553" s="157">
        <v>41766</v>
      </c>
      <c r="BS553" s="140">
        <v>52.3</v>
      </c>
      <c r="BU553" s="140">
        <v>18.3</v>
      </c>
      <c r="BW553" s="140">
        <v>10.7</v>
      </c>
      <c r="BY553" s="140">
        <v>11.5</v>
      </c>
      <c r="CJ553" s="140" t="s">
        <v>8140</v>
      </c>
    </row>
    <row r="554" spans="1:91">
      <c r="A554" s="158" t="s">
        <v>7640</v>
      </c>
      <c r="B554" s="112" t="s">
        <v>271</v>
      </c>
      <c r="C554" s="112">
        <v>3</v>
      </c>
      <c r="D554">
        <v>25</v>
      </c>
      <c r="E554" s="113">
        <v>66</v>
      </c>
      <c r="F554" s="113">
        <v>1</v>
      </c>
      <c r="I554" s="112">
        <v>45</v>
      </c>
      <c r="J554" s="183">
        <v>41705</v>
      </c>
      <c r="M554" s="184">
        <v>1.66</v>
      </c>
      <c r="N554" s="157">
        <v>41853</v>
      </c>
      <c r="S554" s="139">
        <v>4.88</v>
      </c>
      <c r="T554" s="157">
        <v>41853</v>
      </c>
      <c r="U554" s="139">
        <v>15.3</v>
      </c>
      <c r="Y554" s="139">
        <f t="shared" si="8"/>
        <v>2.6524999999999999</v>
      </c>
      <c r="AA554" s="139">
        <v>24.67</v>
      </c>
      <c r="AE554" s="139">
        <v>10.61</v>
      </c>
      <c r="AG554" s="185">
        <v>4.3</v>
      </c>
      <c r="AI554" s="185">
        <v>100</v>
      </c>
      <c r="AJ554" s="157">
        <v>41803</v>
      </c>
      <c r="AO554" s="139">
        <v>87</v>
      </c>
      <c r="AP554" s="157">
        <v>41738</v>
      </c>
      <c r="AS554" s="139">
        <v>126</v>
      </c>
      <c r="AT554" s="157">
        <v>41766</v>
      </c>
      <c r="BS554" s="140">
        <v>46</v>
      </c>
      <c r="BU554" s="140">
        <v>25</v>
      </c>
      <c r="BW554" s="140">
        <v>60.5</v>
      </c>
      <c r="BY554" s="140">
        <v>11</v>
      </c>
      <c r="CJ554" s="140" t="s">
        <v>8143</v>
      </c>
    </row>
    <row r="555" spans="1:91">
      <c r="A555" s="158" t="s">
        <v>7667</v>
      </c>
      <c r="B555" s="112" t="s">
        <v>271</v>
      </c>
      <c r="C555" s="112">
        <v>3</v>
      </c>
      <c r="D555">
        <v>52</v>
      </c>
      <c r="E555" s="113">
        <v>66</v>
      </c>
      <c r="F555" s="113">
        <v>2</v>
      </c>
      <c r="I555" s="112">
        <v>33</v>
      </c>
      <c r="J555" s="183">
        <v>41705</v>
      </c>
      <c r="M555" s="184">
        <v>2.08</v>
      </c>
      <c r="N555" s="157">
        <v>41853</v>
      </c>
      <c r="S555" s="139">
        <v>6.18</v>
      </c>
      <c r="T555" s="157">
        <v>41853</v>
      </c>
      <c r="U555" s="139">
        <v>15.3</v>
      </c>
      <c r="Y555" s="139">
        <f t="shared" si="8"/>
        <v>3.3117000000000001</v>
      </c>
      <c r="AA555" s="139">
        <v>26.08</v>
      </c>
      <c r="AE555" s="139">
        <v>13.3</v>
      </c>
      <c r="AG555" s="185">
        <v>5.0999999999999996</v>
      </c>
      <c r="AI555" s="185">
        <v>120</v>
      </c>
      <c r="AJ555" s="157">
        <v>41803</v>
      </c>
      <c r="AO555" s="139">
        <v>94</v>
      </c>
      <c r="AP555" s="157">
        <v>41738</v>
      </c>
      <c r="AS555" s="139">
        <v>128</v>
      </c>
      <c r="AT555" s="157">
        <v>41766</v>
      </c>
      <c r="BS555" s="140">
        <v>46.5</v>
      </c>
      <c r="BU555" s="140">
        <v>24.9</v>
      </c>
      <c r="BW555" s="140">
        <v>71.900000000000006</v>
      </c>
      <c r="BY555" s="140">
        <v>11</v>
      </c>
      <c r="CJ555" s="140" t="s">
        <v>8139</v>
      </c>
    </row>
    <row r="556" spans="1:91">
      <c r="A556" s="158" t="s">
        <v>8129</v>
      </c>
      <c r="B556" s="112" t="s">
        <v>271</v>
      </c>
      <c r="C556" s="112">
        <v>3</v>
      </c>
      <c r="D556">
        <v>215</v>
      </c>
      <c r="E556" s="113">
        <v>66</v>
      </c>
      <c r="F556" s="113">
        <v>3</v>
      </c>
      <c r="I556" s="112">
        <v>29</v>
      </c>
      <c r="J556" s="183">
        <v>41705</v>
      </c>
      <c r="M556" s="184"/>
      <c r="N556" s="157">
        <v>41853</v>
      </c>
      <c r="T556" s="157">
        <v>41853</v>
      </c>
      <c r="U556" s="139">
        <v>15.3</v>
      </c>
      <c r="Y556" s="139">
        <f t="shared" si="8"/>
        <v>0</v>
      </c>
      <c r="AG556" s="185"/>
      <c r="AI556" s="185">
        <v>125</v>
      </c>
      <c r="AJ556" s="157">
        <v>41803</v>
      </c>
      <c r="AO556" s="139">
        <v>93</v>
      </c>
      <c r="AP556" s="157">
        <v>41738</v>
      </c>
      <c r="AS556" s="139">
        <v>127</v>
      </c>
      <c r="AT556" s="157">
        <v>41766</v>
      </c>
      <c r="CJ556" s="140" t="s">
        <v>8156</v>
      </c>
    </row>
    <row r="557" spans="1:91">
      <c r="A557" s="158" t="s">
        <v>7739</v>
      </c>
      <c r="B557" s="112" t="s">
        <v>271</v>
      </c>
      <c r="C557" s="112">
        <v>3</v>
      </c>
      <c r="D557">
        <v>124</v>
      </c>
      <c r="E557" s="113">
        <v>66</v>
      </c>
      <c r="F557" s="113">
        <v>4</v>
      </c>
      <c r="I557" s="112">
        <v>39</v>
      </c>
      <c r="J557" s="183">
        <v>41705</v>
      </c>
      <c r="M557" s="184">
        <v>3.18</v>
      </c>
      <c r="N557" s="157">
        <v>41853</v>
      </c>
      <c r="S557" s="139">
        <v>9.43</v>
      </c>
      <c r="T557" s="157">
        <v>41853</v>
      </c>
      <c r="U557" s="139">
        <v>15.3</v>
      </c>
      <c r="Y557" s="139">
        <f t="shared" si="8"/>
        <v>4.4666900000000007</v>
      </c>
      <c r="AA557" s="139">
        <v>45.52</v>
      </c>
      <c r="AE557" s="139">
        <v>20.03</v>
      </c>
      <c r="AG557" s="185">
        <v>4.4000000000000004</v>
      </c>
      <c r="AI557" s="185">
        <v>130</v>
      </c>
      <c r="AJ557" s="157">
        <v>41803</v>
      </c>
      <c r="AO557" s="139">
        <v>97</v>
      </c>
      <c r="AP557" s="157">
        <v>41738</v>
      </c>
      <c r="AS557" s="139">
        <v>127</v>
      </c>
      <c r="AT557" s="157">
        <v>41766</v>
      </c>
      <c r="BS557" s="140">
        <v>47.1</v>
      </c>
      <c r="BU557" s="140">
        <v>22.3</v>
      </c>
      <c r="BW557" s="140">
        <v>12.5</v>
      </c>
      <c r="BY557" s="140">
        <v>12.3</v>
      </c>
      <c r="CJ557" s="140" t="s">
        <v>8131</v>
      </c>
    </row>
    <row r="558" spans="1:91">
      <c r="A558" s="158" t="s">
        <v>7817</v>
      </c>
      <c r="B558" s="112" t="s">
        <v>271</v>
      </c>
      <c r="C558" s="112">
        <v>3</v>
      </c>
      <c r="D558">
        <v>202</v>
      </c>
      <c r="E558" s="113">
        <v>66</v>
      </c>
      <c r="F558" s="113">
        <v>5</v>
      </c>
      <c r="I558" s="112">
        <v>41</v>
      </c>
      <c r="J558" s="183">
        <v>41705</v>
      </c>
      <c r="M558" s="184">
        <v>4.67</v>
      </c>
      <c r="N558" s="157">
        <v>41853</v>
      </c>
      <c r="S558" s="139">
        <v>14.79</v>
      </c>
      <c r="T558" s="157">
        <v>41853</v>
      </c>
      <c r="U558" s="139">
        <v>15.3</v>
      </c>
      <c r="Y558" s="139">
        <f t="shared" si="8"/>
        <v>5.6973599999999998</v>
      </c>
      <c r="AA558" s="139">
        <v>68.650000000000006</v>
      </c>
      <c r="AE558" s="139">
        <v>29.52</v>
      </c>
      <c r="AG558" s="185">
        <v>4.3</v>
      </c>
      <c r="AI558" s="185">
        <v>115</v>
      </c>
      <c r="AJ558" s="157">
        <v>41803</v>
      </c>
      <c r="AO558" s="139">
        <v>92</v>
      </c>
      <c r="AP558" s="157">
        <v>41738</v>
      </c>
      <c r="AS558" s="139">
        <v>128</v>
      </c>
      <c r="AT558" s="157">
        <v>41766</v>
      </c>
      <c r="BS558" s="140">
        <v>50.1</v>
      </c>
      <c r="BU558" s="140">
        <v>19.3</v>
      </c>
      <c r="BW558" s="140">
        <v>15.8</v>
      </c>
      <c r="BY558" s="140">
        <v>12</v>
      </c>
      <c r="CJ558" s="140" t="s">
        <v>8140</v>
      </c>
    </row>
    <row r="559" spans="1:91">
      <c r="A559" s="158" t="s">
        <v>7820</v>
      </c>
      <c r="B559" s="112" t="s">
        <v>271</v>
      </c>
      <c r="C559" s="112">
        <v>3</v>
      </c>
      <c r="D559">
        <v>205</v>
      </c>
      <c r="E559" s="113">
        <v>66</v>
      </c>
      <c r="F559" s="113">
        <v>6</v>
      </c>
      <c r="I559" s="112">
        <v>28</v>
      </c>
      <c r="J559" s="183">
        <v>41705</v>
      </c>
      <c r="M559" s="184">
        <v>5.0199999999999996</v>
      </c>
      <c r="N559" s="157">
        <v>41853</v>
      </c>
      <c r="S559" s="139">
        <v>16.25</v>
      </c>
      <c r="T559" s="157">
        <v>41853</v>
      </c>
      <c r="U559" s="139">
        <v>15.3</v>
      </c>
      <c r="Y559" s="139">
        <f t="shared" si="8"/>
        <v>5.8661900000000005</v>
      </c>
      <c r="AA559" s="139">
        <v>76.510000000000005</v>
      </c>
      <c r="AE559" s="139">
        <v>31.37</v>
      </c>
      <c r="AG559" s="185">
        <v>4.0999999999999996</v>
      </c>
      <c r="AI559" s="185">
        <v>125</v>
      </c>
      <c r="AJ559" s="157">
        <v>41803</v>
      </c>
      <c r="AO559" s="139">
        <v>93</v>
      </c>
      <c r="AP559" s="157">
        <v>41738</v>
      </c>
      <c r="AS559" s="139">
        <v>128</v>
      </c>
      <c r="AT559" s="157">
        <v>41766</v>
      </c>
      <c r="BS559" s="140">
        <v>51.8</v>
      </c>
      <c r="BU559" s="140">
        <v>18.7</v>
      </c>
      <c r="BW559" s="140">
        <v>14.4</v>
      </c>
      <c r="BY559" s="140">
        <v>13</v>
      </c>
      <c r="CJ559" s="140" t="s">
        <v>8140</v>
      </c>
    </row>
    <row r="560" spans="1:91">
      <c r="A560" s="158" t="s">
        <v>7799</v>
      </c>
      <c r="B560" s="112" t="s">
        <v>269</v>
      </c>
      <c r="C560" s="112">
        <v>4</v>
      </c>
      <c r="D560">
        <v>184</v>
      </c>
      <c r="E560" s="113">
        <v>66</v>
      </c>
      <c r="F560" s="113">
        <v>7</v>
      </c>
      <c r="I560" s="112">
        <v>25</v>
      </c>
      <c r="J560" s="183">
        <v>41705</v>
      </c>
      <c r="M560" s="184">
        <v>2.8</v>
      </c>
      <c r="N560" s="157">
        <v>41853</v>
      </c>
      <c r="S560" s="139">
        <v>9.42</v>
      </c>
      <c r="T560" s="157">
        <v>41853</v>
      </c>
      <c r="U560" s="139">
        <v>15.3</v>
      </c>
      <c r="Y560" s="139">
        <f t="shared" si="8"/>
        <v>3.0581600000000004</v>
      </c>
      <c r="AA560" s="139">
        <v>35.56</v>
      </c>
      <c r="AE560" s="139">
        <v>17.78</v>
      </c>
      <c r="AG560" s="185">
        <v>5</v>
      </c>
      <c r="AI560" s="185">
        <v>110</v>
      </c>
      <c r="AJ560" s="157">
        <v>41803</v>
      </c>
      <c r="AO560" s="139">
        <v>92</v>
      </c>
      <c r="AP560" s="157">
        <v>41738</v>
      </c>
      <c r="AS560" s="139">
        <v>126</v>
      </c>
      <c r="AT560" s="157">
        <v>41766</v>
      </c>
      <c r="BS560" s="140">
        <v>53</v>
      </c>
      <c r="BU560" s="140">
        <v>17.2</v>
      </c>
      <c r="BW560" s="140">
        <v>14.6</v>
      </c>
      <c r="BY560" s="140">
        <v>11.6</v>
      </c>
      <c r="CJ560" s="140" t="s">
        <v>8140</v>
      </c>
    </row>
    <row r="561" spans="1:91">
      <c r="A561" s="158" t="s">
        <v>7721</v>
      </c>
      <c r="B561" s="112" t="s">
        <v>269</v>
      </c>
      <c r="C561" s="112">
        <v>4</v>
      </c>
      <c r="D561">
        <v>106</v>
      </c>
      <c r="E561" s="113">
        <v>66</v>
      </c>
      <c r="F561" s="113">
        <v>8</v>
      </c>
      <c r="I561" s="112">
        <v>20</v>
      </c>
      <c r="J561" s="183">
        <v>41705</v>
      </c>
      <c r="M561" s="184">
        <v>2.66</v>
      </c>
      <c r="N561" s="157">
        <v>41853</v>
      </c>
      <c r="S561" s="139">
        <v>8.2899999999999991</v>
      </c>
      <c r="T561" s="157">
        <v>41853</v>
      </c>
      <c r="U561" s="139">
        <v>15.3</v>
      </c>
      <c r="Y561" s="139">
        <f t="shared" si="8"/>
        <v>3.0893599999999997</v>
      </c>
      <c r="AA561" s="139">
        <v>41.98</v>
      </c>
      <c r="AE561" s="139">
        <v>16.79</v>
      </c>
      <c r="AG561" s="185">
        <v>4</v>
      </c>
      <c r="AI561" s="185">
        <v>120</v>
      </c>
      <c r="AJ561" s="157">
        <v>41803</v>
      </c>
      <c r="AO561" s="139">
        <v>92</v>
      </c>
      <c r="AP561" s="157">
        <v>41738</v>
      </c>
      <c r="AS561" s="139">
        <v>126</v>
      </c>
      <c r="AT561" s="157">
        <v>41766</v>
      </c>
      <c r="BS561" s="140">
        <v>49.4</v>
      </c>
      <c r="BU561" s="140">
        <v>18.399999999999999</v>
      </c>
      <c r="BW561" s="140">
        <v>18</v>
      </c>
      <c r="BY561" s="140">
        <v>12.1</v>
      </c>
      <c r="CJ561" s="140" t="s">
        <v>8140</v>
      </c>
    </row>
    <row r="562" spans="1:91">
      <c r="A562" s="158" t="s">
        <v>7764</v>
      </c>
      <c r="B562" s="112" t="s">
        <v>269</v>
      </c>
      <c r="C562" s="112">
        <v>4</v>
      </c>
      <c r="D562">
        <v>149</v>
      </c>
      <c r="E562" s="113">
        <v>66</v>
      </c>
      <c r="F562" s="113">
        <v>9</v>
      </c>
      <c r="I562" s="112">
        <v>27</v>
      </c>
      <c r="J562" s="183">
        <v>41705</v>
      </c>
      <c r="M562" s="184">
        <v>2.65</v>
      </c>
      <c r="N562" s="157">
        <v>41853</v>
      </c>
      <c r="S562" s="139">
        <v>8.82</v>
      </c>
      <c r="T562" s="157">
        <v>41853</v>
      </c>
      <c r="U562" s="139">
        <v>15.3</v>
      </c>
      <c r="Y562" s="139">
        <f t="shared" si="8"/>
        <v>2.8106400000000002</v>
      </c>
      <c r="AA562" s="139">
        <v>38.020000000000003</v>
      </c>
      <c r="AE562" s="139">
        <v>16.73</v>
      </c>
      <c r="AG562" s="185">
        <v>4.4000000000000004</v>
      </c>
      <c r="AI562" s="185">
        <v>120</v>
      </c>
      <c r="AJ562" s="157">
        <v>41803</v>
      </c>
      <c r="AO562" s="139">
        <v>88</v>
      </c>
      <c r="AP562" s="157">
        <v>41738</v>
      </c>
      <c r="AS562" s="139">
        <v>125</v>
      </c>
      <c r="AT562" s="157">
        <v>41766</v>
      </c>
      <c r="BS562" s="140">
        <v>52.7</v>
      </c>
      <c r="BU562" s="140">
        <v>16.8</v>
      </c>
      <c r="BW562" s="140">
        <v>14</v>
      </c>
      <c r="BY562" s="140">
        <v>12.1</v>
      </c>
      <c r="CJ562" s="140" t="s">
        <v>8140</v>
      </c>
    </row>
    <row r="563" spans="1:91">
      <c r="A563" s="158" t="s">
        <v>7719</v>
      </c>
      <c r="B563" s="112" t="s">
        <v>269</v>
      </c>
      <c r="C563" s="112">
        <v>4</v>
      </c>
      <c r="D563">
        <v>104</v>
      </c>
      <c r="E563" s="113">
        <v>66</v>
      </c>
      <c r="F563" s="113">
        <v>10</v>
      </c>
      <c r="I563" s="112">
        <v>29</v>
      </c>
      <c r="J563" s="183">
        <v>41705</v>
      </c>
      <c r="M563" s="184">
        <v>2.66</v>
      </c>
      <c r="N563" s="157">
        <v>41853</v>
      </c>
      <c r="S563" s="139">
        <v>8.93</v>
      </c>
      <c r="T563" s="157">
        <v>41853</v>
      </c>
      <c r="U563" s="139">
        <v>15.3</v>
      </c>
      <c r="Y563" s="139">
        <f t="shared" si="8"/>
        <v>2.9550400000000003</v>
      </c>
      <c r="AA563" s="139">
        <v>43.05</v>
      </c>
      <c r="AE563" s="139">
        <v>16.79</v>
      </c>
      <c r="AG563" s="185">
        <v>3.9</v>
      </c>
      <c r="AI563" s="185">
        <v>110</v>
      </c>
      <c r="AJ563" s="157">
        <v>41803</v>
      </c>
      <c r="AO563" s="139">
        <v>93</v>
      </c>
      <c r="AP563" s="157">
        <v>41738</v>
      </c>
      <c r="AS563" s="139">
        <v>126</v>
      </c>
      <c r="AT563" s="157">
        <v>41766</v>
      </c>
      <c r="BS563" s="140">
        <v>53.2</v>
      </c>
      <c r="BU563" s="140">
        <v>17.600000000000001</v>
      </c>
      <c r="BW563" s="140">
        <v>10.199999999999999</v>
      </c>
      <c r="BY563" s="140">
        <v>12.1</v>
      </c>
      <c r="CJ563" s="140" t="s">
        <v>8140</v>
      </c>
    </row>
    <row r="564" spans="1:91">
      <c r="A564" s="158" t="s">
        <v>7788</v>
      </c>
      <c r="B564" s="112" t="s">
        <v>269</v>
      </c>
      <c r="C564" s="112">
        <v>4</v>
      </c>
      <c r="D564">
        <v>173</v>
      </c>
      <c r="E564" s="113">
        <v>66</v>
      </c>
      <c r="F564" s="113">
        <v>11</v>
      </c>
      <c r="I564" s="112">
        <v>36</v>
      </c>
      <c r="J564" s="183">
        <v>41705</v>
      </c>
      <c r="M564" s="184">
        <v>2.74</v>
      </c>
      <c r="N564" s="157">
        <v>41853</v>
      </c>
      <c r="S564" s="139">
        <v>8.98</v>
      </c>
      <c r="T564" s="157">
        <v>41853</v>
      </c>
      <c r="U564" s="139">
        <v>15.3</v>
      </c>
      <c r="Y564" s="139">
        <f t="shared" si="8"/>
        <v>3.1813599999999997</v>
      </c>
      <c r="AA564" s="139">
        <v>39.729999999999997</v>
      </c>
      <c r="AE564" s="139">
        <v>17.48</v>
      </c>
      <c r="AG564" s="185">
        <v>4.4000000000000004</v>
      </c>
      <c r="AI564" s="185">
        <v>120</v>
      </c>
      <c r="AJ564" s="157">
        <v>41803</v>
      </c>
      <c r="AO564" s="139">
        <v>94</v>
      </c>
      <c r="AP564" s="157">
        <v>41738</v>
      </c>
      <c r="AS564" s="139">
        <v>126</v>
      </c>
      <c r="AT564" s="157">
        <v>41766</v>
      </c>
      <c r="BS564" s="140">
        <v>51.4</v>
      </c>
      <c r="BU564" s="140">
        <v>18.2</v>
      </c>
      <c r="BW564" s="140">
        <v>14.5</v>
      </c>
      <c r="BY564" s="140">
        <v>11.2</v>
      </c>
      <c r="CJ564" s="140" t="s">
        <v>8140</v>
      </c>
    </row>
    <row r="565" spans="1:91">
      <c r="A565" s="158" t="s">
        <v>7797</v>
      </c>
      <c r="B565" s="112" t="s">
        <v>269</v>
      </c>
      <c r="C565" s="112">
        <v>4</v>
      </c>
      <c r="D565">
        <v>182</v>
      </c>
      <c r="E565" s="113">
        <v>66</v>
      </c>
      <c r="F565" s="113">
        <v>12</v>
      </c>
      <c r="I565" s="112">
        <v>34</v>
      </c>
      <c r="J565" s="183">
        <v>41705</v>
      </c>
      <c r="M565" s="184">
        <v>3.34</v>
      </c>
      <c r="N565" s="157">
        <v>41853</v>
      </c>
      <c r="S565" s="139">
        <v>11.14</v>
      </c>
      <c r="T565" s="157">
        <v>41853</v>
      </c>
      <c r="U565" s="139">
        <v>15.3</v>
      </c>
      <c r="Y565" s="139">
        <f t="shared" si="8"/>
        <v>3.8887499999999999</v>
      </c>
      <c r="AA565" s="139">
        <v>40.869999999999997</v>
      </c>
      <c r="AE565" s="139">
        <v>21.25</v>
      </c>
      <c r="AG565" s="185">
        <v>5.2</v>
      </c>
      <c r="AI565" s="185">
        <v>125</v>
      </c>
      <c r="AJ565" s="157">
        <v>41803</v>
      </c>
      <c r="AO565" s="139">
        <v>90</v>
      </c>
      <c r="AP565" s="157">
        <v>41738</v>
      </c>
      <c r="AS565" s="139">
        <v>125</v>
      </c>
      <c r="AT565" s="157">
        <v>41766</v>
      </c>
      <c r="BS565" s="140">
        <v>52.4</v>
      </c>
      <c r="BU565" s="140">
        <v>18.3</v>
      </c>
      <c r="BW565" s="140">
        <v>12.3</v>
      </c>
      <c r="BY565" s="140">
        <v>11.4</v>
      </c>
      <c r="CJ565" s="140" t="s">
        <v>8140</v>
      </c>
    </row>
    <row r="566" spans="1:91">
      <c r="A566" s="158" t="s">
        <v>7800</v>
      </c>
      <c r="B566" s="112" t="s">
        <v>271</v>
      </c>
      <c r="C566" s="112">
        <v>3</v>
      </c>
      <c r="D566">
        <v>185</v>
      </c>
      <c r="E566" s="113">
        <v>67</v>
      </c>
      <c r="F566" s="113">
        <v>1</v>
      </c>
      <c r="I566" s="112">
        <v>24</v>
      </c>
      <c r="J566" s="183">
        <v>41705</v>
      </c>
      <c r="M566" s="184">
        <v>3.32</v>
      </c>
      <c r="N566" s="157">
        <v>41853</v>
      </c>
      <c r="S566" s="139">
        <v>10.49</v>
      </c>
      <c r="T566" s="157">
        <v>41853</v>
      </c>
      <c r="U566" s="139">
        <v>15.3</v>
      </c>
      <c r="Y566" s="139">
        <f t="shared" si="8"/>
        <v>4.2901199999999999</v>
      </c>
      <c r="AA566" s="139">
        <v>45.72</v>
      </c>
      <c r="AE566" s="139">
        <v>21.03</v>
      </c>
      <c r="AG566" s="185">
        <v>4.5999999999999996</v>
      </c>
      <c r="AI566" s="185">
        <v>135</v>
      </c>
      <c r="AJ566" s="157">
        <v>41803</v>
      </c>
      <c r="AO566" s="139">
        <v>97</v>
      </c>
      <c r="AP566" s="157">
        <v>41738</v>
      </c>
      <c r="AS566" s="139">
        <v>129</v>
      </c>
      <c r="AT566" s="157">
        <v>41766</v>
      </c>
      <c r="BS566" s="140">
        <v>49.9</v>
      </c>
      <c r="BU566" s="140">
        <v>20.399999999999999</v>
      </c>
      <c r="BW566" s="140">
        <v>17.899999999999999</v>
      </c>
      <c r="BY566" s="140">
        <v>11.8</v>
      </c>
      <c r="CJ566" s="140" t="s">
        <v>8131</v>
      </c>
    </row>
    <row r="567" spans="1:91">
      <c r="A567" s="158" t="s">
        <v>7655</v>
      </c>
      <c r="B567" s="112" t="s">
        <v>271</v>
      </c>
      <c r="C567" s="112">
        <v>3</v>
      </c>
      <c r="D567">
        <v>40</v>
      </c>
      <c r="E567" s="113">
        <v>67</v>
      </c>
      <c r="F567" s="113">
        <v>2</v>
      </c>
      <c r="I567" s="112">
        <v>42</v>
      </c>
      <c r="J567" s="183">
        <v>41705</v>
      </c>
      <c r="M567" s="184">
        <v>3.06</v>
      </c>
      <c r="N567" s="157">
        <v>41853</v>
      </c>
      <c r="S567" s="139">
        <v>9.06</v>
      </c>
      <c r="T567" s="157">
        <v>41853</v>
      </c>
      <c r="U567" s="139">
        <v>15.3</v>
      </c>
      <c r="Y567" s="139">
        <f t="shared" si="8"/>
        <v>4.2972099999999998</v>
      </c>
      <c r="AA567" s="139">
        <v>37.78</v>
      </c>
      <c r="AE567" s="139">
        <v>19.27</v>
      </c>
      <c r="AG567" s="185">
        <v>5.0999999999999996</v>
      </c>
      <c r="AI567" s="185">
        <v>115</v>
      </c>
      <c r="AJ567" s="157">
        <v>41803</v>
      </c>
      <c r="AO567" s="139">
        <v>92</v>
      </c>
      <c r="AP567" s="157">
        <v>41738</v>
      </c>
      <c r="AS567" s="139">
        <v>127</v>
      </c>
      <c r="AT567" s="157">
        <v>41766</v>
      </c>
      <c r="BS567" s="140">
        <v>47</v>
      </c>
      <c r="BU567" s="140">
        <v>22.3</v>
      </c>
      <c r="BW567" s="140">
        <v>51.9</v>
      </c>
      <c r="BY567" s="140">
        <v>12.3</v>
      </c>
      <c r="CJ567" s="140" t="s">
        <v>8140</v>
      </c>
    </row>
    <row r="568" spans="1:91">
      <c r="A568" s="158" t="s">
        <v>7821</v>
      </c>
      <c r="B568" s="112" t="s">
        <v>271</v>
      </c>
      <c r="C568" s="112">
        <v>3</v>
      </c>
      <c r="D568">
        <v>206</v>
      </c>
      <c r="E568" s="113">
        <v>67</v>
      </c>
      <c r="F568" s="113">
        <v>3</v>
      </c>
      <c r="I568" s="112">
        <v>32</v>
      </c>
      <c r="J568" s="183">
        <v>41705</v>
      </c>
      <c r="M568" s="184">
        <v>3.53</v>
      </c>
      <c r="N568" s="157">
        <v>41853</v>
      </c>
      <c r="S568" s="139">
        <v>11.12</v>
      </c>
      <c r="T568" s="157">
        <v>41853</v>
      </c>
      <c r="U568" s="139">
        <v>15.3</v>
      </c>
      <c r="Y568" s="139">
        <f t="shared" si="8"/>
        <v>4.4035199999999994</v>
      </c>
      <c r="AA568" s="139">
        <v>44.48</v>
      </c>
      <c r="AE568" s="139">
        <v>22.24</v>
      </c>
      <c r="AG568" s="185">
        <v>5</v>
      </c>
      <c r="AI568" s="185">
        <v>125</v>
      </c>
      <c r="AJ568" s="157">
        <v>41803</v>
      </c>
      <c r="AO568" s="139">
        <v>96</v>
      </c>
      <c r="AP568" s="157">
        <v>41738</v>
      </c>
      <c r="AS568" s="139">
        <v>129</v>
      </c>
      <c r="AT568" s="157">
        <v>41766</v>
      </c>
      <c r="BS568" s="140">
        <v>50</v>
      </c>
      <c r="BU568" s="140">
        <v>19.8</v>
      </c>
      <c r="BW568" s="140">
        <v>16.5</v>
      </c>
      <c r="BY568" s="140">
        <v>12.3</v>
      </c>
      <c r="CJ568" s="140" t="s">
        <v>8131</v>
      </c>
    </row>
    <row r="569" spans="1:91">
      <c r="A569" s="158" t="s">
        <v>7773</v>
      </c>
      <c r="B569" s="112" t="s">
        <v>271</v>
      </c>
      <c r="C569" s="112">
        <v>3</v>
      </c>
      <c r="D569">
        <v>158</v>
      </c>
      <c r="E569" s="113">
        <v>67</v>
      </c>
      <c r="F569" s="113">
        <v>4</v>
      </c>
      <c r="I569" s="112">
        <v>48</v>
      </c>
      <c r="J569" s="183">
        <v>41705</v>
      </c>
      <c r="M569" s="184">
        <v>4.71</v>
      </c>
      <c r="N569" s="157">
        <v>41853</v>
      </c>
      <c r="S569" s="139">
        <v>14.6</v>
      </c>
      <c r="T569" s="157">
        <v>41853</v>
      </c>
      <c r="U569" s="139">
        <v>15.3</v>
      </c>
      <c r="Y569" s="139">
        <f t="shared" si="8"/>
        <v>6.3274499999999998</v>
      </c>
      <c r="AA569" s="139">
        <v>66.89</v>
      </c>
      <c r="AE569" s="139">
        <v>29.43</v>
      </c>
      <c r="AG569" s="185">
        <v>4.4000000000000004</v>
      </c>
      <c r="AI569" s="185">
        <v>125</v>
      </c>
      <c r="AJ569" s="157">
        <v>41803</v>
      </c>
      <c r="AO569" s="139">
        <v>90</v>
      </c>
      <c r="AP569" s="157">
        <v>41738</v>
      </c>
      <c r="AS569" s="139">
        <v>127</v>
      </c>
      <c r="AT569" s="157">
        <v>41766</v>
      </c>
      <c r="BS569" s="140">
        <v>49.6</v>
      </c>
      <c r="BU569" s="140">
        <v>21.5</v>
      </c>
      <c r="BW569" s="140">
        <v>11.1</v>
      </c>
      <c r="BY569" s="140">
        <v>13</v>
      </c>
      <c r="CJ569" s="140" t="s">
        <v>8140</v>
      </c>
    </row>
    <row r="570" spans="1:91">
      <c r="A570" s="158" t="s">
        <v>7758</v>
      </c>
      <c r="B570" s="112" t="s">
        <v>271</v>
      </c>
      <c r="C570" s="112">
        <v>3</v>
      </c>
      <c r="D570">
        <v>143</v>
      </c>
      <c r="E570" s="113">
        <v>67</v>
      </c>
      <c r="F570" s="113">
        <v>5</v>
      </c>
      <c r="I570" s="112">
        <v>27</v>
      </c>
      <c r="J570" s="183">
        <v>41705</v>
      </c>
      <c r="M570" s="184">
        <v>1.93</v>
      </c>
      <c r="N570" s="157">
        <v>41853</v>
      </c>
      <c r="S570" s="139">
        <v>5.92</v>
      </c>
      <c r="T570" s="157">
        <v>41853</v>
      </c>
      <c r="U570" s="139">
        <v>15.3</v>
      </c>
      <c r="Y570" s="139">
        <f t="shared" si="8"/>
        <v>2.8013999999999997</v>
      </c>
      <c r="AA570" s="139">
        <v>26.48</v>
      </c>
      <c r="AE570" s="139">
        <v>12.18</v>
      </c>
      <c r="AG570" s="185">
        <v>4.5999999999999996</v>
      </c>
      <c r="AI570" s="185">
        <v>120</v>
      </c>
      <c r="AJ570" s="157">
        <v>41803</v>
      </c>
      <c r="AO570" s="139">
        <v>89</v>
      </c>
      <c r="AP570" s="157">
        <v>41738</v>
      </c>
      <c r="AS570" s="139">
        <v>127</v>
      </c>
      <c r="AT570" s="157">
        <v>41766</v>
      </c>
      <c r="BS570" s="140">
        <v>48.6</v>
      </c>
      <c r="BU570" s="140">
        <v>23</v>
      </c>
      <c r="BW570" s="140">
        <v>66.099999999999994</v>
      </c>
      <c r="BY570" s="140">
        <v>12.1</v>
      </c>
      <c r="CJ570" s="140" t="s">
        <v>8143</v>
      </c>
    </row>
    <row r="571" spans="1:91">
      <c r="A571" s="158" t="s">
        <v>7668</v>
      </c>
      <c r="B571" s="112" t="s">
        <v>271</v>
      </c>
      <c r="C571" s="112">
        <v>3</v>
      </c>
      <c r="D571">
        <v>53</v>
      </c>
      <c r="E571" s="113">
        <v>67</v>
      </c>
      <c r="F571" s="113">
        <v>6</v>
      </c>
      <c r="I571" s="112">
        <v>26</v>
      </c>
      <c r="J571" s="183">
        <v>41705</v>
      </c>
      <c r="M571" s="184">
        <v>4.6900000000000004</v>
      </c>
      <c r="N571" s="157">
        <v>41853</v>
      </c>
      <c r="S571" s="139">
        <v>15.59</v>
      </c>
      <c r="T571" s="157">
        <v>41853</v>
      </c>
      <c r="U571" s="139">
        <v>15.3</v>
      </c>
      <c r="Y571" s="139">
        <f t="shared" si="8"/>
        <v>5.5108899999999998</v>
      </c>
      <c r="AA571" s="139">
        <v>57.78</v>
      </c>
      <c r="AE571" s="139">
        <v>29.47</v>
      </c>
      <c r="AG571" s="185">
        <v>5.0999999999999996</v>
      </c>
      <c r="AI571" s="185">
        <v>125</v>
      </c>
      <c r="AJ571" s="157">
        <v>41803</v>
      </c>
      <c r="AO571" s="139">
        <v>95</v>
      </c>
      <c r="AP571" s="157">
        <v>41738</v>
      </c>
      <c r="AS571" s="139">
        <v>127</v>
      </c>
      <c r="AT571" s="157">
        <v>41766</v>
      </c>
      <c r="BS571" s="140">
        <v>52.9</v>
      </c>
      <c r="BU571" s="140">
        <v>18.7</v>
      </c>
      <c r="BW571" s="140">
        <v>13.6</v>
      </c>
      <c r="BY571" s="140">
        <v>12.5</v>
      </c>
      <c r="CJ571" s="140" t="s">
        <v>8140</v>
      </c>
    </row>
    <row r="572" spans="1:91">
      <c r="A572" s="158" t="s">
        <v>7786</v>
      </c>
      <c r="B572" s="112" t="s">
        <v>269</v>
      </c>
      <c r="C572" s="112">
        <v>4</v>
      </c>
      <c r="D572">
        <v>171</v>
      </c>
      <c r="E572" s="113">
        <v>67</v>
      </c>
      <c r="F572" s="113">
        <v>7</v>
      </c>
      <c r="I572" s="112">
        <v>40</v>
      </c>
      <c r="J572" s="183">
        <v>41705</v>
      </c>
      <c r="M572" s="184">
        <v>2.71</v>
      </c>
      <c r="N572" s="157">
        <v>41853</v>
      </c>
      <c r="S572" s="139">
        <v>9.0500000000000007</v>
      </c>
      <c r="T572" s="157">
        <v>41853</v>
      </c>
      <c r="U572" s="139">
        <v>15.3</v>
      </c>
      <c r="Y572" s="139">
        <f t="shared" si="8"/>
        <v>2.9258100000000002</v>
      </c>
      <c r="AA572" s="139">
        <v>32.9</v>
      </c>
      <c r="AE572" s="139">
        <v>17.11</v>
      </c>
      <c r="AG572" s="185">
        <v>5.2</v>
      </c>
      <c r="AI572" s="185">
        <v>115</v>
      </c>
      <c r="AJ572" s="157">
        <v>41803</v>
      </c>
      <c r="AO572" s="139">
        <v>92</v>
      </c>
      <c r="AP572" s="157">
        <v>41738</v>
      </c>
      <c r="AS572" s="139">
        <v>125</v>
      </c>
      <c r="AT572" s="157">
        <v>41766</v>
      </c>
      <c r="BS572" s="140">
        <v>52.9</v>
      </c>
      <c r="BU572" s="140">
        <v>17.100000000000001</v>
      </c>
      <c r="BW572" s="140">
        <v>13.5</v>
      </c>
      <c r="BY572" s="140">
        <v>12.1</v>
      </c>
      <c r="CJ572" s="140" t="s">
        <v>8140</v>
      </c>
    </row>
    <row r="573" spans="1:91">
      <c r="A573" s="158" t="s">
        <v>7688</v>
      </c>
      <c r="B573" s="112" t="s">
        <v>269</v>
      </c>
      <c r="C573" s="112">
        <v>4</v>
      </c>
      <c r="D573">
        <v>73</v>
      </c>
      <c r="E573" s="113">
        <v>67</v>
      </c>
      <c r="F573" s="113">
        <v>8</v>
      </c>
      <c r="I573" s="112">
        <v>23</v>
      </c>
      <c r="J573" s="183">
        <v>41705</v>
      </c>
      <c r="M573" s="184">
        <v>2.61</v>
      </c>
      <c r="N573" s="157">
        <v>41853</v>
      </c>
      <c r="S573" s="139">
        <v>8.4</v>
      </c>
      <c r="T573" s="157">
        <v>41853</v>
      </c>
      <c r="U573" s="139">
        <v>15.3</v>
      </c>
      <c r="Y573" s="139">
        <f t="shared" si="8"/>
        <v>2.8174999999999999</v>
      </c>
      <c r="AA573" s="139">
        <v>39.270000000000003</v>
      </c>
      <c r="AE573" s="139">
        <v>16.100000000000001</v>
      </c>
      <c r="AG573" s="185">
        <v>4.0999999999999996</v>
      </c>
      <c r="AI573" s="185">
        <v>110</v>
      </c>
      <c r="AJ573" s="157">
        <v>41803</v>
      </c>
      <c r="AO573" s="139">
        <v>91</v>
      </c>
      <c r="AP573" s="157">
        <v>41738</v>
      </c>
      <c r="AS573" s="139">
        <v>127</v>
      </c>
      <c r="AT573" s="157">
        <v>41766</v>
      </c>
      <c r="BS573" s="140">
        <v>52.2</v>
      </c>
      <c r="BU573" s="140">
        <v>17.5</v>
      </c>
      <c r="BW573" s="140">
        <v>16.5</v>
      </c>
      <c r="BY573" s="140">
        <v>14.1</v>
      </c>
      <c r="CJ573" s="140" t="s">
        <v>8140</v>
      </c>
    </row>
    <row r="574" spans="1:91">
      <c r="A574" s="158" t="s">
        <v>7734</v>
      </c>
      <c r="B574" s="112" t="s">
        <v>269</v>
      </c>
      <c r="C574" s="112">
        <v>4</v>
      </c>
      <c r="D574">
        <v>119</v>
      </c>
      <c r="E574" s="113">
        <v>67</v>
      </c>
      <c r="F574" s="113">
        <v>9</v>
      </c>
      <c r="I574" s="112">
        <v>40</v>
      </c>
      <c r="J574" s="183">
        <v>41705</v>
      </c>
      <c r="M574" s="184">
        <v>3.39</v>
      </c>
      <c r="N574" s="157">
        <v>41853</v>
      </c>
      <c r="S574" s="139">
        <v>11.12</v>
      </c>
      <c r="T574" s="157">
        <v>41853</v>
      </c>
      <c r="U574" s="139">
        <v>15.3</v>
      </c>
      <c r="Y574" s="139">
        <f t="shared" si="8"/>
        <v>4.0716999999999999</v>
      </c>
      <c r="AA574" s="139">
        <v>52.27</v>
      </c>
      <c r="AE574" s="139">
        <v>21.43</v>
      </c>
      <c r="AG574" s="185">
        <v>4.0999999999999996</v>
      </c>
      <c r="AI574" s="185">
        <v>115</v>
      </c>
      <c r="AJ574" s="157">
        <v>41803</v>
      </c>
      <c r="AO574" s="139">
        <v>95</v>
      </c>
      <c r="AP574" s="157">
        <v>41738</v>
      </c>
      <c r="AS574" s="139">
        <v>126</v>
      </c>
      <c r="AT574" s="157">
        <v>41766</v>
      </c>
      <c r="BS574" s="140">
        <v>51.9</v>
      </c>
      <c r="BU574" s="140">
        <v>19</v>
      </c>
      <c r="BW574" s="140">
        <v>15.8</v>
      </c>
      <c r="BY574" s="140">
        <v>12</v>
      </c>
      <c r="CJ574" s="140" t="s">
        <v>8140</v>
      </c>
    </row>
    <row r="575" spans="1:91">
      <c r="A575" s="158" t="s">
        <v>7624</v>
      </c>
      <c r="B575" s="112" t="s">
        <v>269</v>
      </c>
      <c r="C575" s="112">
        <v>4</v>
      </c>
      <c r="D575">
        <v>9</v>
      </c>
      <c r="E575" s="113">
        <v>67</v>
      </c>
      <c r="F575" s="113">
        <v>10</v>
      </c>
      <c r="I575" s="187">
        <v>29</v>
      </c>
      <c r="J575" s="183">
        <v>41705</v>
      </c>
      <c r="K575" s="142"/>
      <c r="M575" s="184">
        <v>0.65</v>
      </c>
      <c r="N575" s="157">
        <v>41853</v>
      </c>
      <c r="O575" s="141"/>
      <c r="Q575" s="142"/>
      <c r="S575" s="142">
        <v>2.0299999999999998</v>
      </c>
      <c r="T575" s="157">
        <v>41853</v>
      </c>
      <c r="U575" s="142">
        <v>15.3</v>
      </c>
      <c r="W575" s="142"/>
      <c r="Y575" s="139">
        <f t="shared" si="8"/>
        <v>0.84459999999999991</v>
      </c>
      <c r="AA575" s="142">
        <v>9.76</v>
      </c>
      <c r="AE575" s="142">
        <v>4.0999999999999996</v>
      </c>
      <c r="AG575" s="185">
        <v>4.2</v>
      </c>
      <c r="AI575" s="185">
        <v>95</v>
      </c>
      <c r="AJ575" s="157">
        <v>41803</v>
      </c>
      <c r="AK575" s="142"/>
      <c r="AM575" s="142"/>
      <c r="AO575" s="139">
        <v>87</v>
      </c>
      <c r="AP575" s="157">
        <v>41738</v>
      </c>
      <c r="AS575" s="139">
        <v>126</v>
      </c>
      <c r="AT575" s="157">
        <v>41766</v>
      </c>
      <c r="BS575" s="140">
        <v>49.4</v>
      </c>
      <c r="BU575" s="140">
        <v>20.6</v>
      </c>
      <c r="BW575" s="140">
        <v>60.3</v>
      </c>
      <c r="BY575" s="140">
        <v>12.1</v>
      </c>
      <c r="CJ575" s="140" t="s">
        <v>8146</v>
      </c>
    </row>
    <row r="576" spans="1:91">
      <c r="A576" s="188" t="s">
        <v>7661</v>
      </c>
      <c r="B576" s="189" t="s">
        <v>269</v>
      </c>
      <c r="C576" s="189">
        <v>4</v>
      </c>
      <c r="D576" s="190">
        <v>46</v>
      </c>
      <c r="E576" s="191">
        <v>67</v>
      </c>
      <c r="F576" s="191">
        <v>11</v>
      </c>
      <c r="G576" s="191"/>
      <c r="H576" s="191"/>
      <c r="I576" s="189">
        <v>50</v>
      </c>
      <c r="J576" s="193">
        <v>41705</v>
      </c>
      <c r="K576" s="194"/>
      <c r="L576" s="195"/>
      <c r="M576" s="196">
        <v>1.04</v>
      </c>
      <c r="N576" s="195">
        <v>41853</v>
      </c>
      <c r="O576" s="194"/>
      <c r="P576" s="195"/>
      <c r="Q576" s="194"/>
      <c r="R576" s="195"/>
      <c r="S576" s="194">
        <v>3.15</v>
      </c>
      <c r="T576" s="195">
        <v>41853</v>
      </c>
      <c r="U576" s="194">
        <v>15.3</v>
      </c>
      <c r="V576" s="195"/>
      <c r="W576" s="194"/>
      <c r="X576" s="195"/>
      <c r="Y576" s="139">
        <f t="shared" si="8"/>
        <v>1.3928399999999999</v>
      </c>
      <c r="Z576" s="195"/>
      <c r="AA576" s="194">
        <v>14.6</v>
      </c>
      <c r="AB576" s="195"/>
      <c r="AC576" s="194"/>
      <c r="AD576" s="195"/>
      <c r="AE576" s="194">
        <v>6.57</v>
      </c>
      <c r="AF576" s="195"/>
      <c r="AG576" s="197">
        <v>4.5</v>
      </c>
      <c r="AH576" s="195"/>
      <c r="AI576" s="197">
        <v>120</v>
      </c>
      <c r="AJ576" s="195">
        <v>41803</v>
      </c>
      <c r="AK576" s="194"/>
      <c r="AL576" s="195"/>
      <c r="AM576" s="194"/>
      <c r="AN576" s="195"/>
      <c r="AO576" s="194">
        <v>94</v>
      </c>
      <c r="AP576" s="195">
        <v>41738</v>
      </c>
      <c r="AQ576" s="194"/>
      <c r="AR576" s="194"/>
      <c r="AS576" s="194">
        <v>127</v>
      </c>
      <c r="AT576" s="195">
        <v>41766</v>
      </c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8"/>
      <c r="BF576" s="198"/>
      <c r="BG576" s="198"/>
      <c r="BH576" s="198"/>
      <c r="BI576" s="198"/>
      <c r="BJ576" s="198"/>
      <c r="BK576" s="198"/>
      <c r="BL576" s="198"/>
      <c r="BM576" s="198"/>
      <c r="BN576" s="198"/>
      <c r="BO576" s="198"/>
      <c r="BP576" s="198"/>
      <c r="BQ576" s="198"/>
      <c r="BR576" s="198"/>
      <c r="BS576" s="198">
        <v>48</v>
      </c>
      <c r="BT576" s="198"/>
      <c r="BU576" s="198">
        <v>21.2</v>
      </c>
      <c r="BV576" s="198"/>
      <c r="BW576" s="198">
        <v>62.9</v>
      </c>
      <c r="BX576" s="198"/>
      <c r="BY576" s="198">
        <v>12.1</v>
      </c>
      <c r="BZ576" s="198"/>
      <c r="CA576" s="198"/>
      <c r="CB576" s="198"/>
      <c r="CC576" s="198"/>
      <c r="CD576" s="198"/>
      <c r="CE576" s="198"/>
      <c r="CF576" s="198"/>
      <c r="CG576" s="198"/>
      <c r="CH576" s="198"/>
      <c r="CI576" s="198"/>
      <c r="CJ576" s="198" t="s">
        <v>8140</v>
      </c>
      <c r="CK576" s="198"/>
      <c r="CL576" s="198"/>
      <c r="CM576" s="198"/>
    </row>
    <row r="577" spans="1:91">
      <c r="A577" s="158" t="s">
        <v>7709</v>
      </c>
      <c r="B577" s="112" t="s">
        <v>269</v>
      </c>
      <c r="C577" s="112">
        <v>4</v>
      </c>
      <c r="D577">
        <v>94</v>
      </c>
      <c r="E577" s="113">
        <v>67</v>
      </c>
      <c r="F577" s="113">
        <v>12</v>
      </c>
      <c r="I577" s="112">
        <v>35</v>
      </c>
      <c r="J577" s="183">
        <v>41705</v>
      </c>
      <c r="M577" s="184">
        <v>2.96</v>
      </c>
      <c r="N577" s="157">
        <v>41853</v>
      </c>
      <c r="S577" s="139">
        <v>9.69</v>
      </c>
      <c r="T577" s="157">
        <v>41853</v>
      </c>
      <c r="U577" s="139">
        <v>15.3</v>
      </c>
      <c r="Y577" s="139">
        <f t="shared" si="8"/>
        <v>3.38916</v>
      </c>
      <c r="AA577" s="139">
        <v>44.1</v>
      </c>
      <c r="AE577" s="139">
        <v>18.52</v>
      </c>
      <c r="AG577" s="185">
        <v>4.2</v>
      </c>
      <c r="AI577" s="185">
        <v>120</v>
      </c>
      <c r="AJ577" s="157">
        <v>41803</v>
      </c>
      <c r="AO577" s="139">
        <v>93</v>
      </c>
      <c r="AP577" s="157">
        <v>41738</v>
      </c>
      <c r="AS577" s="139">
        <v>127</v>
      </c>
      <c r="AT577" s="157">
        <v>41766</v>
      </c>
      <c r="BS577" s="140">
        <v>52.3</v>
      </c>
      <c r="BU577" s="140">
        <v>18.3</v>
      </c>
      <c r="BW577" s="140">
        <v>16.100000000000001</v>
      </c>
      <c r="BY577" s="140">
        <v>12.9</v>
      </c>
      <c r="CJ577" s="140" t="s">
        <v>8140</v>
      </c>
    </row>
    <row r="578" spans="1:91">
      <c r="A578" s="158" t="s">
        <v>7660</v>
      </c>
      <c r="B578" s="112" t="s">
        <v>271</v>
      </c>
      <c r="C578" s="112">
        <v>3</v>
      </c>
      <c r="D578">
        <v>45</v>
      </c>
      <c r="E578" s="113">
        <v>68</v>
      </c>
      <c r="F578" s="113">
        <v>1</v>
      </c>
      <c r="I578" s="112">
        <v>44</v>
      </c>
      <c r="J578" s="183">
        <v>41705</v>
      </c>
      <c r="M578" s="184">
        <v>2.0299999999999998</v>
      </c>
      <c r="N578" s="157">
        <v>41853</v>
      </c>
      <c r="S578" s="139">
        <v>6.52</v>
      </c>
      <c r="T578" s="157">
        <v>41853</v>
      </c>
      <c r="U578" s="139">
        <v>15.3</v>
      </c>
      <c r="Y578" s="139">
        <f t="shared" ref="Y578:Y641" si="9">(AE578*BU578)/100</f>
        <v>2.78817</v>
      </c>
      <c r="AA578" s="139">
        <v>28.46</v>
      </c>
      <c r="AE578" s="139">
        <v>13.09</v>
      </c>
      <c r="AG578" s="185">
        <v>4.5999999999999996</v>
      </c>
      <c r="AI578" s="185">
        <v>130</v>
      </c>
      <c r="AJ578" s="157">
        <v>41803</v>
      </c>
      <c r="AO578" s="139">
        <v>92</v>
      </c>
      <c r="AP578" s="157">
        <v>41738</v>
      </c>
      <c r="AS578" s="139">
        <v>128</v>
      </c>
      <c r="AT578" s="157">
        <v>41766</v>
      </c>
      <c r="BS578" s="140">
        <v>49.8</v>
      </c>
      <c r="BU578" s="140">
        <v>21.3</v>
      </c>
      <c r="BW578" s="140">
        <v>30.1</v>
      </c>
      <c r="BY578" s="140">
        <v>10.199999999999999</v>
      </c>
      <c r="CJ578" s="140" t="s">
        <v>8139</v>
      </c>
    </row>
    <row r="579" spans="1:91">
      <c r="A579" s="188" t="s">
        <v>7645</v>
      </c>
      <c r="B579" s="189" t="s">
        <v>271</v>
      </c>
      <c r="C579" s="189">
        <v>3</v>
      </c>
      <c r="D579" s="190">
        <v>30</v>
      </c>
      <c r="E579" s="191">
        <v>68</v>
      </c>
      <c r="F579" s="191">
        <v>2</v>
      </c>
      <c r="G579" s="191"/>
      <c r="H579" s="191"/>
      <c r="I579" s="189">
        <v>37</v>
      </c>
      <c r="J579" s="193">
        <v>41705</v>
      </c>
      <c r="K579" s="194"/>
      <c r="L579" s="195"/>
      <c r="M579" s="196">
        <v>2.04</v>
      </c>
      <c r="N579" s="195">
        <v>41853</v>
      </c>
      <c r="O579" s="194"/>
      <c r="P579" s="195"/>
      <c r="Q579" s="194"/>
      <c r="R579" s="195"/>
      <c r="S579" s="194">
        <v>6.28</v>
      </c>
      <c r="T579" s="195">
        <v>41853</v>
      </c>
      <c r="U579" s="194">
        <v>15.3</v>
      </c>
      <c r="V579" s="195"/>
      <c r="W579" s="194"/>
      <c r="X579" s="195"/>
      <c r="Y579" s="139">
        <f t="shared" si="9"/>
        <v>3.0399600000000002</v>
      </c>
      <c r="Z579" s="195"/>
      <c r="AA579" s="194">
        <v>33.74</v>
      </c>
      <c r="AB579" s="195"/>
      <c r="AC579" s="194"/>
      <c r="AD579" s="195"/>
      <c r="AE579" s="194">
        <v>13.16</v>
      </c>
      <c r="AF579" s="195"/>
      <c r="AG579" s="197">
        <v>3.9</v>
      </c>
      <c r="AH579" s="195"/>
      <c r="AI579" s="197">
        <v>100</v>
      </c>
      <c r="AJ579" s="195">
        <v>41803</v>
      </c>
      <c r="AK579" s="194"/>
      <c r="AL579" s="195"/>
      <c r="AM579" s="194"/>
      <c r="AN579" s="195"/>
      <c r="AO579" s="194">
        <v>90</v>
      </c>
      <c r="AP579" s="195">
        <v>41738</v>
      </c>
      <c r="AQ579" s="194"/>
      <c r="AR579" s="194"/>
      <c r="AS579" s="194">
        <v>128</v>
      </c>
      <c r="AT579" s="195">
        <v>41766</v>
      </c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8"/>
      <c r="BF579" s="198"/>
      <c r="BG579" s="198"/>
      <c r="BH579" s="198"/>
      <c r="BI579" s="198"/>
      <c r="BJ579" s="198"/>
      <c r="BK579" s="198"/>
      <c r="BL579" s="198"/>
      <c r="BM579" s="198"/>
      <c r="BN579" s="198"/>
      <c r="BO579" s="198"/>
      <c r="BP579" s="198"/>
      <c r="BQ579" s="198"/>
      <c r="BR579" s="198"/>
      <c r="BS579" s="198">
        <v>47.7</v>
      </c>
      <c r="BT579" s="198"/>
      <c r="BU579" s="198">
        <v>23.1</v>
      </c>
      <c r="BV579" s="198"/>
      <c r="BW579" s="198">
        <v>64.400000000000006</v>
      </c>
      <c r="BX579" s="198"/>
      <c r="BY579" s="198">
        <v>10.199999999999999</v>
      </c>
      <c r="BZ579" s="198"/>
      <c r="CA579" s="198"/>
      <c r="CB579" s="198"/>
      <c r="CC579" s="198"/>
      <c r="CD579" s="198"/>
      <c r="CE579" s="198"/>
      <c r="CF579" s="198"/>
      <c r="CG579" s="198"/>
      <c r="CH579" s="198"/>
      <c r="CI579" s="198"/>
      <c r="CJ579" s="198" t="s">
        <v>8140</v>
      </c>
      <c r="CK579" s="198"/>
      <c r="CL579" s="198"/>
      <c r="CM579" s="198"/>
    </row>
    <row r="580" spans="1:91">
      <c r="A580" s="158" t="s">
        <v>7665</v>
      </c>
      <c r="B580" s="112" t="s">
        <v>271</v>
      </c>
      <c r="C580" s="112">
        <v>3</v>
      </c>
      <c r="D580">
        <v>50</v>
      </c>
      <c r="E580" s="113">
        <v>68</v>
      </c>
      <c r="F580" s="113">
        <v>3</v>
      </c>
      <c r="I580" s="112">
        <v>37</v>
      </c>
      <c r="J580" s="183">
        <v>41705</v>
      </c>
      <c r="M580" s="184">
        <v>1.1499999999999999</v>
      </c>
      <c r="N580" s="157">
        <v>41853</v>
      </c>
      <c r="S580" s="139">
        <v>3.46</v>
      </c>
      <c r="T580" s="157">
        <v>41853</v>
      </c>
      <c r="U580" s="139">
        <v>15.3</v>
      </c>
      <c r="Y580" s="139">
        <f t="shared" si="9"/>
        <v>1.8253200000000001</v>
      </c>
      <c r="AA580" s="139">
        <v>13.02</v>
      </c>
      <c r="AE580" s="139">
        <v>7.42</v>
      </c>
      <c r="AG580" s="185">
        <v>5.7</v>
      </c>
      <c r="AI580" s="185">
        <v>120</v>
      </c>
      <c r="AJ580" s="157">
        <v>41803</v>
      </c>
      <c r="AO580" s="139">
        <v>93</v>
      </c>
      <c r="AP580" s="157">
        <v>41738</v>
      </c>
      <c r="AS580" s="139">
        <v>127</v>
      </c>
      <c r="AT580" s="157">
        <v>41766</v>
      </c>
      <c r="BS580" s="140">
        <v>46.6</v>
      </c>
      <c r="BU580" s="140">
        <v>24.6</v>
      </c>
      <c r="BW580" s="140">
        <v>25.4</v>
      </c>
      <c r="BY580" s="140">
        <v>10.199999999999999</v>
      </c>
      <c r="CJ580" s="140" t="s">
        <v>8140</v>
      </c>
    </row>
    <row r="581" spans="1:91">
      <c r="A581" s="158" t="s">
        <v>7808</v>
      </c>
      <c r="B581" s="112" t="s">
        <v>271</v>
      </c>
      <c r="C581" s="112">
        <v>3</v>
      </c>
      <c r="D581">
        <v>193</v>
      </c>
      <c r="E581" s="113">
        <v>68</v>
      </c>
      <c r="F581" s="113">
        <v>4</v>
      </c>
      <c r="I581" s="112">
        <v>47</v>
      </c>
      <c r="J581" s="183">
        <v>41705</v>
      </c>
      <c r="M581" s="184">
        <v>2.0299999999999998</v>
      </c>
      <c r="N581" s="157">
        <v>41853</v>
      </c>
      <c r="S581" s="139">
        <v>6.81</v>
      </c>
      <c r="T581" s="157">
        <v>41853</v>
      </c>
      <c r="U581" s="139">
        <v>15.3</v>
      </c>
      <c r="Y581" s="139">
        <f t="shared" si="9"/>
        <v>2.5394599999999996</v>
      </c>
      <c r="AA581" s="139">
        <v>24.7</v>
      </c>
      <c r="AE581" s="139">
        <v>13.09</v>
      </c>
      <c r="AG581" s="185">
        <v>5.3</v>
      </c>
      <c r="AI581" s="185">
        <v>130</v>
      </c>
      <c r="AJ581" s="157">
        <v>41803</v>
      </c>
      <c r="AO581" s="139">
        <v>91</v>
      </c>
      <c r="AP581" s="157">
        <v>41738</v>
      </c>
      <c r="AS581" s="139">
        <v>127</v>
      </c>
      <c r="AT581" s="157">
        <v>41766</v>
      </c>
      <c r="BS581" s="140">
        <v>52</v>
      </c>
      <c r="BU581" s="140">
        <v>19.399999999999999</v>
      </c>
      <c r="BW581" s="140">
        <v>16.3</v>
      </c>
      <c r="BY581" s="140">
        <v>10.199999999999999</v>
      </c>
      <c r="CJ581" s="140" t="s">
        <v>8140</v>
      </c>
    </row>
    <row r="582" spans="1:91">
      <c r="A582" s="158" t="s">
        <v>7733</v>
      </c>
      <c r="B582" s="112" t="s">
        <v>271</v>
      </c>
      <c r="C582" s="112">
        <v>3</v>
      </c>
      <c r="D582">
        <v>118</v>
      </c>
      <c r="E582" s="113">
        <v>68</v>
      </c>
      <c r="F582" s="113">
        <v>5</v>
      </c>
      <c r="I582" s="112">
        <v>33</v>
      </c>
      <c r="J582" s="183">
        <v>41705</v>
      </c>
      <c r="M582" s="184">
        <v>3.69</v>
      </c>
      <c r="N582" s="157">
        <v>41853</v>
      </c>
      <c r="S582" s="139">
        <v>11.42</v>
      </c>
      <c r="T582" s="157">
        <v>41853</v>
      </c>
      <c r="U582" s="139">
        <v>15.3</v>
      </c>
      <c r="Y582" s="139">
        <f t="shared" si="9"/>
        <v>5.13</v>
      </c>
      <c r="AA582" s="139">
        <v>46.57</v>
      </c>
      <c r="AE582" s="139">
        <v>23.75</v>
      </c>
      <c r="AG582" s="185">
        <v>5.0999999999999996</v>
      </c>
      <c r="AI582" s="185">
        <v>140</v>
      </c>
      <c r="AJ582" s="157">
        <v>41803</v>
      </c>
      <c r="AO582" s="139">
        <v>93</v>
      </c>
      <c r="AP582" s="157">
        <v>41738</v>
      </c>
      <c r="AS582" s="139">
        <v>129</v>
      </c>
      <c r="AT582" s="157">
        <v>41766</v>
      </c>
      <c r="BS582" s="140">
        <v>48.1</v>
      </c>
      <c r="BU582" s="140">
        <v>21.6</v>
      </c>
      <c r="BW582" s="140">
        <v>11.8</v>
      </c>
      <c r="BY582" s="140">
        <v>10.4</v>
      </c>
      <c r="CJ582" s="140" t="s">
        <v>8140</v>
      </c>
    </row>
    <row r="583" spans="1:91">
      <c r="A583" s="158" t="s">
        <v>7763</v>
      </c>
      <c r="B583" s="112" t="s">
        <v>271</v>
      </c>
      <c r="C583" s="112">
        <v>3</v>
      </c>
      <c r="D583">
        <v>148</v>
      </c>
      <c r="E583" s="113">
        <v>68</v>
      </c>
      <c r="F583" s="113">
        <v>6</v>
      </c>
      <c r="I583" s="112">
        <v>43</v>
      </c>
      <c r="J583" s="183">
        <v>41705</v>
      </c>
      <c r="M583" s="184">
        <v>2.71</v>
      </c>
      <c r="N583" s="157">
        <v>41853</v>
      </c>
      <c r="S583" s="139">
        <v>8.61</v>
      </c>
      <c r="T583" s="157">
        <v>41853</v>
      </c>
      <c r="U583" s="139">
        <v>15.3</v>
      </c>
      <c r="Y583" s="139">
        <f t="shared" si="9"/>
        <v>3.9906599999999997</v>
      </c>
      <c r="AA583" s="139">
        <v>41.86</v>
      </c>
      <c r="AE583" s="139">
        <v>17.579999999999998</v>
      </c>
      <c r="AG583" s="185">
        <v>4.2</v>
      </c>
      <c r="AI583" s="185">
        <v>120</v>
      </c>
      <c r="AJ583" s="157">
        <v>41803</v>
      </c>
      <c r="AO583" s="139">
        <v>95</v>
      </c>
      <c r="AP583" s="157">
        <v>41738</v>
      </c>
      <c r="AS583" s="139">
        <v>128</v>
      </c>
      <c r="AT583" s="157">
        <v>41766</v>
      </c>
      <c r="BS583" s="140">
        <v>49</v>
      </c>
      <c r="BU583" s="140">
        <v>22.7</v>
      </c>
      <c r="BW583" s="140">
        <v>45.3</v>
      </c>
      <c r="BY583" s="140">
        <v>9.6999999999999993</v>
      </c>
      <c r="CJ583" s="140" t="s">
        <v>8139</v>
      </c>
    </row>
    <row r="584" spans="1:91">
      <c r="A584" s="158" t="s">
        <v>7796</v>
      </c>
      <c r="B584" s="112" t="s">
        <v>269</v>
      </c>
      <c r="C584" s="112">
        <v>4</v>
      </c>
      <c r="D584">
        <v>181</v>
      </c>
      <c r="E584" s="113">
        <v>68</v>
      </c>
      <c r="F584" s="113">
        <v>7</v>
      </c>
      <c r="I584" s="112">
        <v>37</v>
      </c>
      <c r="J584" s="183">
        <v>41705</v>
      </c>
      <c r="M584" s="184">
        <v>3.75</v>
      </c>
      <c r="N584" s="157">
        <v>41853</v>
      </c>
      <c r="S584" s="139">
        <v>13.09</v>
      </c>
      <c r="T584" s="157">
        <v>41853</v>
      </c>
      <c r="U584" s="139">
        <v>15.3</v>
      </c>
      <c r="Y584" s="139">
        <f t="shared" si="9"/>
        <v>3.9753599999999993</v>
      </c>
      <c r="AA584" s="139">
        <v>56.37</v>
      </c>
      <c r="AE584" s="139">
        <v>24.24</v>
      </c>
      <c r="AG584" s="185">
        <v>4.3</v>
      </c>
      <c r="AI584" s="185">
        <v>115</v>
      </c>
      <c r="AJ584" s="157">
        <v>41803</v>
      </c>
      <c r="AO584" s="139">
        <v>94</v>
      </c>
      <c r="AP584" s="157">
        <v>41738</v>
      </c>
      <c r="AS584" s="139">
        <v>127</v>
      </c>
      <c r="AT584" s="157">
        <v>41766</v>
      </c>
      <c r="BS584" s="140">
        <v>54</v>
      </c>
      <c r="BU584" s="140">
        <v>16.399999999999999</v>
      </c>
      <c r="BW584" s="140">
        <v>14</v>
      </c>
      <c r="BY584" s="140">
        <v>10</v>
      </c>
      <c r="CJ584" s="140" t="s">
        <v>8140</v>
      </c>
    </row>
    <row r="585" spans="1:91">
      <c r="A585" s="158" t="s">
        <v>7662</v>
      </c>
      <c r="B585" s="112" t="s">
        <v>269</v>
      </c>
      <c r="C585" s="112">
        <v>4</v>
      </c>
      <c r="D585">
        <v>47</v>
      </c>
      <c r="E585" s="113">
        <v>68</v>
      </c>
      <c r="F585" s="113">
        <v>8</v>
      </c>
      <c r="I585" s="112">
        <v>59</v>
      </c>
      <c r="J585" s="183">
        <v>41705</v>
      </c>
      <c r="M585" s="184">
        <v>2.79</v>
      </c>
      <c r="N585" s="157">
        <v>41853</v>
      </c>
      <c r="S585" s="139">
        <v>9.4700000000000006</v>
      </c>
      <c r="T585" s="157">
        <v>41853</v>
      </c>
      <c r="U585" s="139">
        <v>15.3</v>
      </c>
      <c r="Y585" s="139">
        <f t="shared" si="9"/>
        <v>3.4208999999999996</v>
      </c>
      <c r="AA585" s="139">
        <v>50.28</v>
      </c>
      <c r="AE585" s="139">
        <v>18.100000000000001</v>
      </c>
      <c r="AG585" s="185">
        <v>3.6</v>
      </c>
      <c r="AI585" s="185">
        <v>110</v>
      </c>
      <c r="AJ585" s="157">
        <v>41803</v>
      </c>
      <c r="AO585" s="139">
        <v>90</v>
      </c>
      <c r="AP585" s="157">
        <v>41738</v>
      </c>
      <c r="AS585" s="139">
        <v>127</v>
      </c>
      <c r="AT585" s="157">
        <v>41766</v>
      </c>
      <c r="BS585" s="140">
        <v>52.3</v>
      </c>
      <c r="BU585" s="140">
        <v>18.899999999999999</v>
      </c>
      <c r="BW585" s="140">
        <v>45.5</v>
      </c>
      <c r="BY585" s="140">
        <v>9.6999999999999993</v>
      </c>
      <c r="CJ585" s="140" t="s">
        <v>8140</v>
      </c>
    </row>
    <row r="586" spans="1:91">
      <c r="A586" s="158" t="s">
        <v>7723</v>
      </c>
      <c r="B586" s="112" t="s">
        <v>269</v>
      </c>
      <c r="C586" s="112">
        <v>4</v>
      </c>
      <c r="D586">
        <v>108</v>
      </c>
      <c r="E586" s="113">
        <v>68</v>
      </c>
      <c r="F586" s="113">
        <v>9</v>
      </c>
      <c r="I586" s="112">
        <v>15</v>
      </c>
      <c r="J586" s="183">
        <v>41705</v>
      </c>
      <c r="M586" s="184">
        <v>1</v>
      </c>
      <c r="N586" s="157">
        <v>41853</v>
      </c>
      <c r="S586" s="139">
        <v>3.37</v>
      </c>
      <c r="T586" s="157">
        <v>41853</v>
      </c>
      <c r="U586" s="139">
        <v>15.3</v>
      </c>
      <c r="Y586" s="139">
        <f t="shared" si="9"/>
        <v>1.1222999999999999</v>
      </c>
      <c r="AA586" s="139">
        <v>15.36</v>
      </c>
      <c r="AE586" s="139">
        <v>6.45</v>
      </c>
      <c r="AG586" s="185">
        <v>4.2</v>
      </c>
      <c r="AI586" s="185">
        <v>120</v>
      </c>
      <c r="AJ586" s="157">
        <v>41803</v>
      </c>
      <c r="AO586" s="139">
        <v>96</v>
      </c>
      <c r="AP586" s="157">
        <v>41738</v>
      </c>
      <c r="AS586" s="139">
        <v>128</v>
      </c>
      <c r="AT586" s="157">
        <v>41766</v>
      </c>
      <c r="BS586" s="140">
        <v>52.3</v>
      </c>
      <c r="BU586" s="140">
        <v>17.399999999999999</v>
      </c>
      <c r="BW586" s="140">
        <v>13.9</v>
      </c>
      <c r="BY586" s="140">
        <v>10.199999999999999</v>
      </c>
      <c r="CJ586" s="140" t="s">
        <v>8131</v>
      </c>
    </row>
    <row r="587" spans="1:91">
      <c r="A587" s="158" t="s">
        <v>7757</v>
      </c>
      <c r="B587" s="112" t="s">
        <v>269</v>
      </c>
      <c r="C587" s="112">
        <v>4</v>
      </c>
      <c r="D587">
        <v>142</v>
      </c>
      <c r="E587" s="113">
        <v>68</v>
      </c>
      <c r="F587" s="113">
        <v>10</v>
      </c>
      <c r="I587" s="112">
        <v>25</v>
      </c>
      <c r="J587" s="183">
        <v>41705</v>
      </c>
      <c r="M587" s="184">
        <v>1.21</v>
      </c>
      <c r="N587" s="157">
        <v>41853</v>
      </c>
      <c r="S587" s="139">
        <v>3.72</v>
      </c>
      <c r="T587" s="157">
        <v>41853</v>
      </c>
      <c r="U587" s="139">
        <v>15.3</v>
      </c>
      <c r="Y587" s="139">
        <f t="shared" si="9"/>
        <v>1.7003999999999999</v>
      </c>
      <c r="AA587" s="139">
        <v>16.25</v>
      </c>
      <c r="AE587" s="139">
        <v>7.8</v>
      </c>
      <c r="AG587" s="185">
        <v>4.8</v>
      </c>
      <c r="AI587" s="185">
        <v>110</v>
      </c>
      <c r="AJ587" s="157">
        <v>41803</v>
      </c>
      <c r="AO587" s="139">
        <v>92</v>
      </c>
      <c r="AP587" s="157">
        <v>41738</v>
      </c>
      <c r="AS587" s="139">
        <v>127</v>
      </c>
      <c r="AT587" s="157">
        <v>41766</v>
      </c>
      <c r="BS587" s="140">
        <v>47.7</v>
      </c>
      <c r="BU587" s="140">
        <v>21.8</v>
      </c>
      <c r="BW587" s="140">
        <v>67.599999999999994</v>
      </c>
      <c r="BY587" s="140">
        <v>10.199999999999999</v>
      </c>
      <c r="CJ587" s="140" t="s">
        <v>8140</v>
      </c>
    </row>
    <row r="588" spans="1:91">
      <c r="A588" s="158" t="s">
        <v>7618</v>
      </c>
      <c r="B588" s="112" t="s">
        <v>269</v>
      </c>
      <c r="C588" s="112">
        <v>4</v>
      </c>
      <c r="D588">
        <v>3</v>
      </c>
      <c r="E588" s="113">
        <v>68</v>
      </c>
      <c r="F588" s="113">
        <v>11</v>
      </c>
      <c r="I588" s="187">
        <v>38</v>
      </c>
      <c r="J588" s="183">
        <v>41705</v>
      </c>
      <c r="K588" s="142"/>
      <c r="M588" s="184">
        <v>1.69</v>
      </c>
      <c r="N588" s="157">
        <v>41853</v>
      </c>
      <c r="O588" s="141"/>
      <c r="Q588" s="142"/>
      <c r="S588" s="142">
        <v>5.46</v>
      </c>
      <c r="T588" s="157">
        <v>41853</v>
      </c>
      <c r="U588" s="142">
        <v>15.3</v>
      </c>
      <c r="W588" s="142"/>
      <c r="Y588" s="139">
        <f t="shared" si="9"/>
        <v>2.1690999999999998</v>
      </c>
      <c r="AA588" s="142">
        <v>22.71</v>
      </c>
      <c r="AE588" s="142">
        <v>10.9</v>
      </c>
      <c r="AG588" s="185">
        <v>4.8</v>
      </c>
      <c r="AI588" s="185">
        <v>120</v>
      </c>
      <c r="AJ588" s="157">
        <v>41803</v>
      </c>
      <c r="AK588" s="142"/>
      <c r="AM588" s="142"/>
      <c r="AO588" s="139">
        <v>93</v>
      </c>
      <c r="AP588" s="157">
        <v>41738</v>
      </c>
      <c r="AS588" s="139">
        <v>124</v>
      </c>
      <c r="AT588" s="157">
        <v>41766</v>
      </c>
      <c r="BS588" s="140">
        <v>50.1</v>
      </c>
      <c r="BU588" s="140">
        <v>19.899999999999999</v>
      </c>
      <c r="BW588" s="140">
        <v>64.8</v>
      </c>
      <c r="BY588" s="140">
        <v>10.199999999999999</v>
      </c>
      <c r="CJ588" s="140" t="s">
        <v>8140</v>
      </c>
    </row>
    <row r="589" spans="1:91">
      <c r="A589" s="158" t="s">
        <v>7902</v>
      </c>
      <c r="B589" s="112" t="s">
        <v>269</v>
      </c>
      <c r="C589" s="112">
        <v>4</v>
      </c>
      <c r="D589">
        <v>209</v>
      </c>
      <c r="E589" s="113">
        <v>68</v>
      </c>
      <c r="F589" s="113">
        <v>12</v>
      </c>
      <c r="I589" s="112">
        <v>35</v>
      </c>
      <c r="J589" s="183">
        <v>41705</v>
      </c>
      <c r="M589" s="184">
        <v>3.32</v>
      </c>
      <c r="N589" s="157">
        <v>41853</v>
      </c>
      <c r="S589" s="139">
        <v>11.05</v>
      </c>
      <c r="T589" s="157">
        <v>41853</v>
      </c>
      <c r="U589" s="139">
        <v>15.3</v>
      </c>
      <c r="Y589" s="139">
        <f t="shared" si="9"/>
        <v>3.8538000000000001</v>
      </c>
      <c r="AA589" s="139">
        <v>46.54</v>
      </c>
      <c r="AE589" s="139">
        <v>21.41</v>
      </c>
      <c r="AG589" s="185">
        <v>4.5999999999999996</v>
      </c>
      <c r="AI589" s="185">
        <v>110</v>
      </c>
      <c r="AJ589" s="157">
        <v>41803</v>
      </c>
      <c r="AO589" s="139">
        <v>88</v>
      </c>
      <c r="AP589" s="157">
        <v>41738</v>
      </c>
      <c r="AS589" s="139">
        <v>125</v>
      </c>
      <c r="AT589" s="157">
        <v>41766</v>
      </c>
      <c r="BS589" s="140">
        <v>51.6</v>
      </c>
      <c r="BU589" s="140">
        <v>18</v>
      </c>
      <c r="BW589" s="140">
        <v>19.399999999999999</v>
      </c>
      <c r="BY589" s="140">
        <v>10.199999999999999</v>
      </c>
      <c r="CJ589" s="140" t="s">
        <v>8140</v>
      </c>
    </row>
    <row r="590" spans="1:91">
      <c r="A590" s="158" t="s">
        <v>7702</v>
      </c>
      <c r="B590" s="112" t="s">
        <v>271</v>
      </c>
      <c r="C590" s="112">
        <v>3</v>
      </c>
      <c r="D590">
        <v>87</v>
      </c>
      <c r="E590" s="113">
        <v>69</v>
      </c>
      <c r="F590" s="113">
        <v>1</v>
      </c>
      <c r="I590" s="112">
        <v>24</v>
      </c>
      <c r="J590" s="183">
        <v>41705</v>
      </c>
      <c r="M590" s="184">
        <v>3.02</v>
      </c>
      <c r="N590" s="157">
        <v>41853</v>
      </c>
      <c r="S590" s="139">
        <v>9.3000000000000007</v>
      </c>
      <c r="T590" s="157">
        <v>41853</v>
      </c>
      <c r="U590" s="139">
        <v>15.3</v>
      </c>
      <c r="Y590" s="139">
        <f t="shared" si="9"/>
        <v>4.3672500000000003</v>
      </c>
      <c r="AA590" s="139">
        <v>48.53</v>
      </c>
      <c r="AE590" s="139">
        <v>19.41</v>
      </c>
      <c r="AG590" s="185">
        <v>4</v>
      </c>
      <c r="AI590" s="185">
        <v>130</v>
      </c>
      <c r="AJ590" s="157">
        <v>41803</v>
      </c>
      <c r="AO590" s="139">
        <v>92</v>
      </c>
      <c r="AP590" s="157">
        <v>41738</v>
      </c>
      <c r="AS590" s="139">
        <v>129</v>
      </c>
      <c r="AT590" s="157">
        <v>41766</v>
      </c>
      <c r="BS590" s="140">
        <v>47.9</v>
      </c>
      <c r="BU590" s="140">
        <v>22.5</v>
      </c>
      <c r="BW590" s="140">
        <v>13.8</v>
      </c>
      <c r="BY590" s="140">
        <v>10.5</v>
      </c>
      <c r="CJ590" s="140" t="s">
        <v>8140</v>
      </c>
    </row>
    <row r="591" spans="1:91">
      <c r="A591" s="158" t="s">
        <v>7637</v>
      </c>
      <c r="B591" s="112" t="s">
        <v>271</v>
      </c>
      <c r="C591" s="112">
        <v>3</v>
      </c>
      <c r="D591">
        <v>22</v>
      </c>
      <c r="E591" s="113">
        <v>69</v>
      </c>
      <c r="F591" s="113">
        <v>2</v>
      </c>
      <c r="I591" s="112">
        <v>39</v>
      </c>
      <c r="J591" s="183">
        <v>41705</v>
      </c>
      <c r="M591" s="184">
        <v>1.67</v>
      </c>
      <c r="N591" s="157">
        <v>41853</v>
      </c>
      <c r="S591" s="139">
        <v>4.96</v>
      </c>
      <c r="T591" s="157">
        <v>41853</v>
      </c>
      <c r="U591" s="139">
        <v>15.3</v>
      </c>
      <c r="Y591" s="139">
        <f t="shared" si="9"/>
        <v>2.67096</v>
      </c>
      <c r="AA591" s="139">
        <v>23.93</v>
      </c>
      <c r="AE591" s="139">
        <v>10.77</v>
      </c>
      <c r="AG591" s="185">
        <v>4.5</v>
      </c>
      <c r="AI591" s="185">
        <v>120</v>
      </c>
      <c r="AJ591" s="157">
        <v>41803</v>
      </c>
      <c r="AO591" s="139">
        <v>99</v>
      </c>
      <c r="AP591" s="157">
        <v>41738</v>
      </c>
      <c r="AS591" s="139">
        <v>128</v>
      </c>
      <c r="AT591" s="157">
        <v>41766</v>
      </c>
      <c r="BS591" s="140">
        <v>46.1</v>
      </c>
      <c r="BU591" s="140">
        <v>24.8</v>
      </c>
      <c r="BW591" s="140">
        <v>76.400000000000006</v>
      </c>
      <c r="BY591" s="140">
        <v>10.199999999999999</v>
      </c>
      <c r="CJ591" s="140" t="s">
        <v>8132</v>
      </c>
    </row>
    <row r="592" spans="1:91">
      <c r="A592" s="158" t="s">
        <v>7666</v>
      </c>
      <c r="B592" s="112" t="s">
        <v>271</v>
      </c>
      <c r="C592" s="112">
        <v>3</v>
      </c>
      <c r="D592">
        <v>51</v>
      </c>
      <c r="E592" s="113">
        <v>69</v>
      </c>
      <c r="F592" s="113">
        <v>3</v>
      </c>
      <c r="I592" s="112">
        <v>40</v>
      </c>
      <c r="J592" s="183">
        <v>41705</v>
      </c>
      <c r="M592" s="184">
        <v>2.94</v>
      </c>
      <c r="N592" s="157">
        <v>41853</v>
      </c>
      <c r="S592" s="139">
        <v>9.1</v>
      </c>
      <c r="T592" s="157">
        <v>41853</v>
      </c>
      <c r="U592" s="139">
        <v>15.3</v>
      </c>
      <c r="Y592" s="139">
        <f t="shared" si="9"/>
        <v>4.1056400000000002</v>
      </c>
      <c r="AA592" s="139">
        <v>34.4</v>
      </c>
      <c r="AE592" s="139">
        <v>18.920000000000002</v>
      </c>
      <c r="AG592" s="185">
        <v>5.5</v>
      </c>
      <c r="AI592" s="185">
        <v>120</v>
      </c>
      <c r="AJ592" s="157">
        <v>41803</v>
      </c>
      <c r="AO592" s="139">
        <v>98</v>
      </c>
      <c r="AP592" s="157">
        <v>41738</v>
      </c>
      <c r="AS592" s="139">
        <v>128</v>
      </c>
      <c r="AT592" s="157">
        <v>41766</v>
      </c>
      <c r="BS592" s="140">
        <v>48.1</v>
      </c>
      <c r="BU592" s="140">
        <v>21.7</v>
      </c>
      <c r="BW592" s="140">
        <v>61.6</v>
      </c>
      <c r="BY592" s="140">
        <v>10.4</v>
      </c>
      <c r="CJ592" s="140" t="s">
        <v>8131</v>
      </c>
    </row>
    <row r="593" spans="1:88">
      <c r="A593" s="158" t="s">
        <v>7748</v>
      </c>
      <c r="B593" s="112" t="s">
        <v>271</v>
      </c>
      <c r="C593" s="112">
        <v>3</v>
      </c>
      <c r="D593">
        <v>133</v>
      </c>
      <c r="E593" s="113">
        <v>69</v>
      </c>
      <c r="F593" s="113">
        <v>4</v>
      </c>
      <c r="I593" s="112">
        <v>34</v>
      </c>
      <c r="J593" s="183">
        <v>41705</v>
      </c>
      <c r="M593" s="184">
        <v>2.04</v>
      </c>
      <c r="N593" s="157">
        <v>41853</v>
      </c>
      <c r="S593" s="139">
        <v>6.33</v>
      </c>
      <c r="T593" s="157">
        <v>41853</v>
      </c>
      <c r="U593" s="139">
        <v>15.3</v>
      </c>
      <c r="Y593" s="139">
        <f t="shared" si="9"/>
        <v>2.9741599999999999</v>
      </c>
      <c r="AA593" s="139">
        <v>28.61</v>
      </c>
      <c r="AE593" s="139">
        <v>13.16</v>
      </c>
      <c r="AG593" s="185">
        <v>4.5999999999999996</v>
      </c>
      <c r="AI593" s="185">
        <v>120</v>
      </c>
      <c r="AJ593" s="157">
        <v>41803</v>
      </c>
      <c r="AO593" s="139">
        <v>97</v>
      </c>
      <c r="AP593" s="157">
        <v>41738</v>
      </c>
      <c r="AS593" s="139">
        <v>129</v>
      </c>
      <c r="AT593" s="157">
        <v>41766</v>
      </c>
      <c r="BS593" s="140">
        <v>48.1</v>
      </c>
      <c r="BU593" s="140">
        <v>22.6</v>
      </c>
      <c r="BW593" s="140">
        <v>64.8</v>
      </c>
      <c r="BY593" s="140">
        <v>10.199999999999999</v>
      </c>
      <c r="CJ593" s="140" t="s">
        <v>8132</v>
      </c>
    </row>
    <row r="594" spans="1:88">
      <c r="A594" s="158" t="s">
        <v>7692</v>
      </c>
      <c r="B594" s="112" t="s">
        <v>271</v>
      </c>
      <c r="C594" s="112">
        <v>3</v>
      </c>
      <c r="D594">
        <v>77</v>
      </c>
      <c r="E594" s="113">
        <v>69</v>
      </c>
      <c r="F594" s="113">
        <v>5</v>
      </c>
      <c r="I594" s="112">
        <v>20</v>
      </c>
      <c r="J594" s="183">
        <v>41705</v>
      </c>
      <c r="M594" s="184">
        <v>2.99</v>
      </c>
      <c r="N594" s="157">
        <v>41853</v>
      </c>
      <c r="S594" s="139">
        <v>9.52</v>
      </c>
      <c r="T594" s="157">
        <v>41853</v>
      </c>
      <c r="U594" s="139">
        <v>15.3</v>
      </c>
      <c r="Y594" s="139">
        <f t="shared" si="9"/>
        <v>4.1087999999999996</v>
      </c>
      <c r="AA594" s="139">
        <v>37.65</v>
      </c>
      <c r="AE594" s="139">
        <v>19.2</v>
      </c>
      <c r="AG594" s="185">
        <v>5.0999999999999996</v>
      </c>
      <c r="AI594" s="185">
        <v>130</v>
      </c>
      <c r="AJ594" s="157">
        <v>41803</v>
      </c>
      <c r="AO594" s="139">
        <v>95</v>
      </c>
      <c r="AP594" s="157">
        <v>41738</v>
      </c>
      <c r="AS594" s="139">
        <v>129</v>
      </c>
      <c r="AT594" s="157">
        <v>41766</v>
      </c>
      <c r="BS594" s="140">
        <v>49.6</v>
      </c>
      <c r="BU594" s="140">
        <v>21.4</v>
      </c>
      <c r="BW594" s="140">
        <v>27.2</v>
      </c>
      <c r="BY594" s="140">
        <v>10.6</v>
      </c>
      <c r="CJ594" s="140" t="s">
        <v>8131</v>
      </c>
    </row>
    <row r="595" spans="1:88">
      <c r="A595" s="158" t="s">
        <v>7647</v>
      </c>
      <c r="B595" s="112" t="s">
        <v>271</v>
      </c>
      <c r="C595" s="112">
        <v>3</v>
      </c>
      <c r="D595">
        <v>32</v>
      </c>
      <c r="E595" s="113">
        <v>69</v>
      </c>
      <c r="F595" s="113">
        <v>6</v>
      </c>
      <c r="I595" s="112">
        <v>36</v>
      </c>
      <c r="J595" s="183">
        <v>41705</v>
      </c>
      <c r="M595" s="184">
        <v>3.34</v>
      </c>
      <c r="N595" s="157">
        <v>41853</v>
      </c>
      <c r="S595" s="139">
        <v>11.29</v>
      </c>
      <c r="T595" s="157">
        <v>41853</v>
      </c>
      <c r="U595" s="139">
        <v>15.3</v>
      </c>
      <c r="Y595" s="139">
        <f t="shared" si="9"/>
        <v>4.3696799999999998</v>
      </c>
      <c r="AA595" s="139">
        <v>47.6</v>
      </c>
      <c r="AE595" s="139">
        <v>21.42</v>
      </c>
      <c r="AG595" s="185">
        <v>4.5</v>
      </c>
      <c r="AI595" s="185">
        <v>120</v>
      </c>
      <c r="AJ595" s="157">
        <v>41803</v>
      </c>
      <c r="AO595" s="139">
        <v>96</v>
      </c>
      <c r="AP595" s="157">
        <v>41738</v>
      </c>
      <c r="AS595" s="139">
        <v>128</v>
      </c>
      <c r="AT595" s="157">
        <v>41766</v>
      </c>
      <c r="BS595" s="140">
        <v>52.7</v>
      </c>
      <c r="BU595" s="140">
        <v>20.399999999999999</v>
      </c>
      <c r="BW595" s="140">
        <v>52.5</v>
      </c>
      <c r="BY595" s="140">
        <v>10.7</v>
      </c>
      <c r="CJ595" s="140" t="s">
        <v>8132</v>
      </c>
    </row>
    <row r="596" spans="1:88">
      <c r="A596" s="158" t="s">
        <v>7902</v>
      </c>
      <c r="B596" s="112" t="s">
        <v>269</v>
      </c>
      <c r="C596" s="112">
        <v>4</v>
      </c>
      <c r="D596">
        <v>207</v>
      </c>
      <c r="E596" s="113">
        <v>69</v>
      </c>
      <c r="F596" s="113">
        <v>7</v>
      </c>
      <c r="I596" s="112">
        <v>48</v>
      </c>
      <c r="J596" s="183">
        <v>41705</v>
      </c>
      <c r="M596" s="184"/>
      <c r="N596" s="157">
        <v>41853</v>
      </c>
      <c r="T596" s="157">
        <v>41853</v>
      </c>
      <c r="U596" s="139">
        <v>15.3</v>
      </c>
      <c r="Y596" s="139">
        <f t="shared" si="9"/>
        <v>0</v>
      </c>
      <c r="AG596" s="185"/>
      <c r="AI596" s="185">
        <v>115</v>
      </c>
      <c r="AJ596" s="157">
        <v>41803</v>
      </c>
      <c r="AO596" s="139">
        <v>87</v>
      </c>
      <c r="AP596" s="157">
        <v>41738</v>
      </c>
      <c r="AS596" s="139">
        <v>125</v>
      </c>
      <c r="AT596" s="157">
        <v>41766</v>
      </c>
      <c r="CJ596" s="140" t="s">
        <v>8156</v>
      </c>
    </row>
    <row r="597" spans="1:88">
      <c r="A597" s="158" t="s">
        <v>7631</v>
      </c>
      <c r="B597" s="112" t="s">
        <v>269</v>
      </c>
      <c r="C597" s="112">
        <v>4</v>
      </c>
      <c r="D597">
        <v>16</v>
      </c>
      <c r="E597" s="113">
        <v>69</v>
      </c>
      <c r="F597" s="113">
        <v>8</v>
      </c>
      <c r="I597" s="187">
        <v>34</v>
      </c>
      <c r="J597" s="183">
        <v>41705</v>
      </c>
      <c r="K597" s="142"/>
      <c r="M597" s="184">
        <v>1.91</v>
      </c>
      <c r="N597" s="157">
        <v>41853</v>
      </c>
      <c r="O597" s="141"/>
      <c r="Q597" s="142"/>
      <c r="S597" s="142">
        <v>5.93</v>
      </c>
      <c r="T597" s="157">
        <v>41853</v>
      </c>
      <c r="U597" s="142">
        <v>15.3</v>
      </c>
      <c r="W597" s="142"/>
      <c r="Y597" s="139">
        <f t="shared" si="9"/>
        <v>2.5763100000000003</v>
      </c>
      <c r="AA597" s="142">
        <v>25.98</v>
      </c>
      <c r="AE597" s="142">
        <v>12.21</v>
      </c>
      <c r="AG597" s="185">
        <v>4.7</v>
      </c>
      <c r="AI597" s="185">
        <v>115</v>
      </c>
      <c r="AJ597" s="157">
        <v>41803</v>
      </c>
      <c r="AK597" s="142"/>
      <c r="AM597" s="142"/>
      <c r="AO597" s="139">
        <v>92</v>
      </c>
      <c r="AP597" s="157">
        <v>41738</v>
      </c>
      <c r="AS597" s="139">
        <v>126</v>
      </c>
      <c r="AT597" s="157">
        <v>41766</v>
      </c>
      <c r="BS597" s="140">
        <v>48.6</v>
      </c>
      <c r="BU597" s="140">
        <v>21.1</v>
      </c>
      <c r="BW597" s="140">
        <v>60.6</v>
      </c>
      <c r="BY597" s="140">
        <v>11</v>
      </c>
      <c r="CJ597" s="140" t="s">
        <v>8140</v>
      </c>
    </row>
    <row r="598" spans="1:88">
      <c r="A598" s="158" t="s">
        <v>7632</v>
      </c>
      <c r="B598" s="112" t="s">
        <v>269</v>
      </c>
      <c r="C598" s="112">
        <v>4</v>
      </c>
      <c r="D598">
        <v>17</v>
      </c>
      <c r="E598" s="113">
        <v>69</v>
      </c>
      <c r="F598" s="113">
        <v>9</v>
      </c>
      <c r="I598" s="187">
        <v>49</v>
      </c>
      <c r="J598" s="183">
        <v>41705</v>
      </c>
      <c r="K598" s="142"/>
      <c r="M598" s="184">
        <v>2.5299999999999998</v>
      </c>
      <c r="N598" s="157">
        <v>41853</v>
      </c>
      <c r="O598" s="141"/>
      <c r="Q598" s="142"/>
      <c r="S598" s="142">
        <v>8.23</v>
      </c>
      <c r="T598" s="157">
        <v>41853</v>
      </c>
      <c r="U598" s="142">
        <v>15.3</v>
      </c>
      <c r="W598" s="142"/>
      <c r="Y598" s="139">
        <f t="shared" si="9"/>
        <v>3.2825100000000003</v>
      </c>
      <c r="AA598" s="142">
        <v>34.4</v>
      </c>
      <c r="AE598" s="142">
        <v>16.170000000000002</v>
      </c>
      <c r="AG598" s="185">
        <v>4.7</v>
      </c>
      <c r="AI598" s="185">
        <v>120</v>
      </c>
      <c r="AJ598" s="157">
        <v>41803</v>
      </c>
      <c r="AK598" s="142"/>
      <c r="AM598" s="142"/>
      <c r="AO598" s="139">
        <v>93</v>
      </c>
      <c r="AP598" s="157">
        <v>41738</v>
      </c>
      <c r="AS598" s="139">
        <v>127</v>
      </c>
      <c r="AT598" s="157">
        <v>41766</v>
      </c>
      <c r="BS598" s="140">
        <v>50.9</v>
      </c>
      <c r="BU598" s="140">
        <v>20.3</v>
      </c>
      <c r="BW598" s="140">
        <v>52.3</v>
      </c>
      <c r="BY598" s="140">
        <v>11</v>
      </c>
      <c r="CJ598" s="140" t="s">
        <v>8140</v>
      </c>
    </row>
    <row r="599" spans="1:88">
      <c r="A599" s="158" t="s">
        <v>7783</v>
      </c>
      <c r="B599" s="112" t="s">
        <v>269</v>
      </c>
      <c r="C599" s="112">
        <v>4</v>
      </c>
      <c r="D599">
        <v>168</v>
      </c>
      <c r="E599" s="113">
        <v>69</v>
      </c>
      <c r="F599" s="113">
        <v>10</v>
      </c>
      <c r="I599" s="112">
        <v>42</v>
      </c>
      <c r="J599" s="183">
        <v>41705</v>
      </c>
      <c r="M599" s="184">
        <v>3.1</v>
      </c>
      <c r="N599" s="157">
        <v>41853</v>
      </c>
      <c r="S599" s="139">
        <v>11.06</v>
      </c>
      <c r="T599" s="157">
        <v>41853</v>
      </c>
      <c r="U599" s="139">
        <v>15.3</v>
      </c>
      <c r="Y599" s="139">
        <f t="shared" si="9"/>
        <v>3.1863599999999996</v>
      </c>
      <c r="AA599" s="139">
        <v>51.38</v>
      </c>
      <c r="AE599" s="139">
        <v>20.04</v>
      </c>
      <c r="AG599" s="185">
        <v>3.9</v>
      </c>
      <c r="AI599" s="185">
        <v>105</v>
      </c>
      <c r="AJ599" s="157">
        <v>41803</v>
      </c>
      <c r="AO599" s="139">
        <v>91</v>
      </c>
      <c r="AP599" s="157">
        <v>41738</v>
      </c>
      <c r="AS599" s="139">
        <v>125</v>
      </c>
      <c r="AT599" s="157">
        <v>41766</v>
      </c>
      <c r="BS599" s="140">
        <v>55.2</v>
      </c>
      <c r="BU599" s="140">
        <v>15.9</v>
      </c>
      <c r="BW599" s="140">
        <v>12.4</v>
      </c>
      <c r="BY599" s="140">
        <v>10</v>
      </c>
      <c r="CJ599" s="140" t="s">
        <v>8140</v>
      </c>
    </row>
    <row r="600" spans="1:88">
      <c r="A600" s="158" t="s">
        <v>7778</v>
      </c>
      <c r="B600" s="112" t="s">
        <v>269</v>
      </c>
      <c r="C600" s="112">
        <v>4</v>
      </c>
      <c r="D600">
        <v>163</v>
      </c>
      <c r="E600" s="113">
        <v>69</v>
      </c>
      <c r="F600" s="113">
        <v>11</v>
      </c>
      <c r="I600" s="112">
        <v>53</v>
      </c>
      <c r="J600" s="183">
        <v>41705</v>
      </c>
      <c r="M600" s="184">
        <v>2.82</v>
      </c>
      <c r="N600" s="157">
        <v>41853</v>
      </c>
      <c r="S600" s="139">
        <v>9.76</v>
      </c>
      <c r="T600" s="157">
        <v>41853</v>
      </c>
      <c r="U600" s="139">
        <v>15.3</v>
      </c>
      <c r="Y600" s="139">
        <f t="shared" si="9"/>
        <v>3.2231700000000001</v>
      </c>
      <c r="AA600" s="139">
        <v>39.590000000000003</v>
      </c>
      <c r="AE600" s="139">
        <v>18.21</v>
      </c>
      <c r="AG600" s="185">
        <v>4.5999999999999996</v>
      </c>
      <c r="AI600" s="185">
        <v>115</v>
      </c>
      <c r="AJ600" s="157">
        <v>41803</v>
      </c>
      <c r="AO600" s="139">
        <v>92</v>
      </c>
      <c r="AP600" s="157">
        <v>41738</v>
      </c>
      <c r="AS600" s="139">
        <v>125</v>
      </c>
      <c r="AT600" s="157">
        <v>41766</v>
      </c>
      <c r="BS600" s="140">
        <v>53.6</v>
      </c>
      <c r="BU600" s="140">
        <v>17.7</v>
      </c>
      <c r="BW600" s="140">
        <v>11</v>
      </c>
      <c r="BY600" s="140">
        <v>10.1</v>
      </c>
      <c r="CJ600" s="140" t="s">
        <v>8140</v>
      </c>
    </row>
    <row r="601" spans="1:88">
      <c r="A601" s="158" t="s">
        <v>7715</v>
      </c>
      <c r="B601" s="112" t="s">
        <v>269</v>
      </c>
      <c r="C601" s="112">
        <v>4</v>
      </c>
      <c r="D601">
        <v>100</v>
      </c>
      <c r="E601" s="113">
        <v>69</v>
      </c>
      <c r="F601" s="113">
        <v>12</v>
      </c>
      <c r="I601" s="112">
        <v>36</v>
      </c>
      <c r="J601" s="183">
        <v>41705</v>
      </c>
      <c r="M601" s="184">
        <v>2.0099999999999998</v>
      </c>
      <c r="N601" s="157">
        <v>41853</v>
      </c>
      <c r="S601" s="139">
        <v>6.44</v>
      </c>
      <c r="T601" s="157">
        <v>41853</v>
      </c>
      <c r="U601" s="139">
        <v>15.3</v>
      </c>
      <c r="Y601" s="139">
        <f t="shared" si="9"/>
        <v>2.57</v>
      </c>
      <c r="AA601" s="139">
        <v>26.22</v>
      </c>
      <c r="AE601" s="139">
        <v>12.85</v>
      </c>
      <c r="AG601" s="185">
        <v>4.9000000000000004</v>
      </c>
      <c r="AI601" s="185">
        <v>105</v>
      </c>
      <c r="AJ601" s="157">
        <v>41803</v>
      </c>
      <c r="AO601" s="139">
        <v>91</v>
      </c>
      <c r="AP601" s="157">
        <v>41738</v>
      </c>
      <c r="AS601" s="139">
        <v>125</v>
      </c>
      <c r="AT601" s="157">
        <v>41766</v>
      </c>
      <c r="BS601" s="140">
        <v>50.1</v>
      </c>
      <c r="BU601" s="140">
        <v>20</v>
      </c>
      <c r="BW601" s="140">
        <v>15.5</v>
      </c>
      <c r="BY601" s="140">
        <v>11</v>
      </c>
      <c r="CJ601" s="140" t="s">
        <v>8140</v>
      </c>
    </row>
    <row r="602" spans="1:88">
      <c r="A602" s="158" t="s">
        <v>7670</v>
      </c>
      <c r="B602" s="112" t="s">
        <v>271</v>
      </c>
      <c r="C602" s="112">
        <v>3</v>
      </c>
      <c r="D602">
        <v>55</v>
      </c>
      <c r="E602" s="113">
        <v>70</v>
      </c>
      <c r="F602" s="113">
        <v>1</v>
      </c>
      <c r="I602" s="112">
        <v>30</v>
      </c>
      <c r="J602" s="183">
        <v>41705</v>
      </c>
      <c r="M602" s="184">
        <v>3.61</v>
      </c>
      <c r="N602" s="157">
        <v>41853</v>
      </c>
      <c r="S602" s="139">
        <v>11.11</v>
      </c>
      <c r="T602" s="157">
        <v>41853</v>
      </c>
      <c r="U602" s="139">
        <v>15.3</v>
      </c>
      <c r="Y602" s="139">
        <f t="shared" si="9"/>
        <v>4.8048000000000002</v>
      </c>
      <c r="AA602" s="139">
        <v>50.22</v>
      </c>
      <c r="AE602" s="139">
        <v>23.1</v>
      </c>
      <c r="AG602" s="185">
        <v>4.5999999999999996</v>
      </c>
      <c r="AI602" s="185">
        <v>135</v>
      </c>
      <c r="AJ602" s="157">
        <v>41803</v>
      </c>
      <c r="AO602" s="139">
        <v>92</v>
      </c>
      <c r="AP602" s="157">
        <v>41738</v>
      </c>
      <c r="AS602" s="139">
        <v>129</v>
      </c>
      <c r="AT602" s="157">
        <v>41766</v>
      </c>
      <c r="BS602" s="140">
        <v>48.1</v>
      </c>
      <c r="BU602" s="140">
        <v>20.8</v>
      </c>
      <c r="BW602" s="140">
        <v>15.4</v>
      </c>
      <c r="BY602" s="140">
        <v>10.9</v>
      </c>
      <c r="CJ602" s="140" t="s">
        <v>8140</v>
      </c>
    </row>
    <row r="603" spans="1:88">
      <c r="A603" s="158" t="s">
        <v>7737</v>
      </c>
      <c r="B603" s="112" t="s">
        <v>271</v>
      </c>
      <c r="C603" s="112">
        <v>3</v>
      </c>
      <c r="D603">
        <v>122</v>
      </c>
      <c r="E603" s="113">
        <v>70</v>
      </c>
      <c r="F603" s="113">
        <v>2</v>
      </c>
      <c r="I603" s="112">
        <v>28</v>
      </c>
      <c r="J603" s="183">
        <v>41705</v>
      </c>
      <c r="M603" s="184">
        <v>3.05</v>
      </c>
      <c r="N603" s="157">
        <v>41853</v>
      </c>
      <c r="S603" s="139">
        <v>9.58</v>
      </c>
      <c r="T603" s="157">
        <v>41853</v>
      </c>
      <c r="U603" s="139">
        <v>15.3</v>
      </c>
      <c r="Y603" s="139">
        <f t="shared" si="9"/>
        <v>4.1577599999999997</v>
      </c>
      <c r="AA603" s="139">
        <v>39.840000000000003</v>
      </c>
      <c r="AE603" s="139">
        <v>19.52</v>
      </c>
      <c r="AG603" s="185">
        <v>4.9000000000000004</v>
      </c>
      <c r="AI603" s="185">
        <v>115</v>
      </c>
      <c r="AJ603" s="157">
        <v>41803</v>
      </c>
      <c r="AO603" s="139">
        <v>96</v>
      </c>
      <c r="AP603" s="157">
        <v>41738</v>
      </c>
      <c r="AS603" s="139">
        <v>128</v>
      </c>
      <c r="AT603" s="157">
        <v>41766</v>
      </c>
      <c r="BS603" s="140">
        <v>49.1</v>
      </c>
      <c r="BU603" s="140">
        <v>21.3</v>
      </c>
      <c r="BW603" s="140">
        <v>15.4</v>
      </c>
      <c r="BY603" s="140">
        <v>10.9</v>
      </c>
      <c r="CJ603" s="140" t="s">
        <v>8131</v>
      </c>
    </row>
    <row r="604" spans="1:88">
      <c r="A604" s="158" t="s">
        <v>7731</v>
      </c>
      <c r="B604" s="112" t="s">
        <v>271</v>
      </c>
      <c r="C604" s="112">
        <v>3</v>
      </c>
      <c r="D604">
        <v>116</v>
      </c>
      <c r="E604" s="113">
        <v>70</v>
      </c>
      <c r="F604" s="113">
        <v>3</v>
      </c>
      <c r="I604" s="112">
        <v>22</v>
      </c>
      <c r="J604" s="183">
        <v>41705</v>
      </c>
      <c r="M604" s="184">
        <v>3.48</v>
      </c>
      <c r="N604" s="157">
        <v>41853</v>
      </c>
      <c r="S604" s="139">
        <v>10.98</v>
      </c>
      <c r="T604" s="157">
        <v>41853</v>
      </c>
      <c r="U604" s="139">
        <v>15.3</v>
      </c>
      <c r="Y604" s="139">
        <f t="shared" si="9"/>
        <v>4.7764799999999994</v>
      </c>
      <c r="AA604" s="139">
        <v>43.76</v>
      </c>
      <c r="AE604" s="139">
        <v>22.32</v>
      </c>
      <c r="AG604" s="185">
        <v>5.0999999999999996</v>
      </c>
      <c r="AI604" s="185">
        <v>120</v>
      </c>
      <c r="AJ604" s="157">
        <v>41803</v>
      </c>
      <c r="AO604" s="139">
        <v>92</v>
      </c>
      <c r="AP604" s="157">
        <v>41738</v>
      </c>
      <c r="AS604" s="139">
        <v>127</v>
      </c>
      <c r="AT604" s="157">
        <v>41766</v>
      </c>
      <c r="BS604" s="140">
        <v>49.2</v>
      </c>
      <c r="BU604" s="140">
        <v>21.4</v>
      </c>
      <c r="BW604" s="140">
        <v>14.6</v>
      </c>
      <c r="BY604" s="140">
        <v>10.7</v>
      </c>
      <c r="CJ604" s="140" t="s">
        <v>8140</v>
      </c>
    </row>
    <row r="605" spans="1:88">
      <c r="A605" s="158" t="s">
        <v>7761</v>
      </c>
      <c r="B605" s="112" t="s">
        <v>271</v>
      </c>
      <c r="C605" s="112">
        <v>3</v>
      </c>
      <c r="D605">
        <v>146</v>
      </c>
      <c r="E605" s="113">
        <v>70</v>
      </c>
      <c r="F605" s="113">
        <v>4</v>
      </c>
      <c r="I605" s="112">
        <v>20</v>
      </c>
      <c r="J605" s="183">
        <v>41705</v>
      </c>
      <c r="M605" s="184">
        <v>1.37</v>
      </c>
      <c r="N605" s="157">
        <v>41853</v>
      </c>
      <c r="S605" s="139">
        <v>4.0199999999999996</v>
      </c>
      <c r="T605" s="157">
        <v>41853</v>
      </c>
      <c r="U605" s="139">
        <v>15.3</v>
      </c>
      <c r="Y605" s="139">
        <f t="shared" si="9"/>
        <v>2.2250399999999999</v>
      </c>
      <c r="AA605" s="139">
        <v>19.47</v>
      </c>
      <c r="AE605" s="139">
        <v>8.76</v>
      </c>
      <c r="AG605" s="185">
        <v>4.5</v>
      </c>
      <c r="AI605" s="185">
        <v>110</v>
      </c>
      <c r="AJ605" s="157">
        <v>41803</v>
      </c>
      <c r="AO605" s="139">
        <v>94</v>
      </c>
      <c r="AP605" s="157">
        <v>41738</v>
      </c>
      <c r="AS605" s="139">
        <v>128</v>
      </c>
      <c r="AT605" s="157">
        <v>41766</v>
      </c>
      <c r="BS605" s="140">
        <v>45.9</v>
      </c>
      <c r="BU605" s="140">
        <v>25.4</v>
      </c>
      <c r="BW605" s="140">
        <v>64.2</v>
      </c>
      <c r="BY605" s="140">
        <v>11</v>
      </c>
      <c r="CJ605" s="140" t="s">
        <v>8139</v>
      </c>
    </row>
    <row r="606" spans="1:88">
      <c r="A606" s="158" t="s">
        <v>7714</v>
      </c>
      <c r="B606" s="112" t="s">
        <v>271</v>
      </c>
      <c r="C606" s="112">
        <v>3</v>
      </c>
      <c r="D606">
        <v>99</v>
      </c>
      <c r="E606" s="113">
        <v>70</v>
      </c>
      <c r="F606" s="113">
        <v>5</v>
      </c>
      <c r="I606" s="112">
        <v>28</v>
      </c>
      <c r="J606" s="183">
        <v>41705</v>
      </c>
      <c r="M606" s="184">
        <v>3.3</v>
      </c>
      <c r="N606" s="157">
        <v>41853</v>
      </c>
      <c r="S606" s="139">
        <v>10.02</v>
      </c>
      <c r="T606" s="157">
        <v>41853</v>
      </c>
      <c r="U606" s="139">
        <v>15.3</v>
      </c>
      <c r="Y606" s="139">
        <f t="shared" si="9"/>
        <v>4.3234499999999993</v>
      </c>
      <c r="AA606" s="139">
        <v>52.73</v>
      </c>
      <c r="AE606" s="139">
        <v>21.09</v>
      </c>
      <c r="AG606" s="185">
        <v>4</v>
      </c>
      <c r="AI606" s="185">
        <v>125</v>
      </c>
      <c r="AJ606" s="157">
        <v>41803</v>
      </c>
      <c r="AO606" s="139">
        <v>94</v>
      </c>
      <c r="AP606" s="157">
        <v>41738</v>
      </c>
      <c r="AS606" s="139">
        <v>129</v>
      </c>
      <c r="AT606" s="157">
        <v>41766</v>
      </c>
      <c r="BS606" s="140">
        <v>47.5</v>
      </c>
      <c r="BU606" s="140">
        <v>20.5</v>
      </c>
      <c r="BW606" s="140">
        <v>16.600000000000001</v>
      </c>
      <c r="BY606" s="140">
        <v>11</v>
      </c>
      <c r="CJ606" s="140" t="s">
        <v>8140</v>
      </c>
    </row>
    <row r="607" spans="1:88">
      <c r="A607" s="158" t="s">
        <v>7777</v>
      </c>
      <c r="B607" s="112" t="s">
        <v>271</v>
      </c>
      <c r="C607" s="112">
        <v>3</v>
      </c>
      <c r="D607">
        <v>162</v>
      </c>
      <c r="E607" s="113">
        <v>70</v>
      </c>
      <c r="F607" s="113">
        <v>6</v>
      </c>
      <c r="I607" s="112">
        <v>42</v>
      </c>
      <c r="J607" s="183">
        <v>41705</v>
      </c>
      <c r="M607" s="184">
        <v>4.4000000000000004</v>
      </c>
      <c r="N607" s="157">
        <v>41853</v>
      </c>
      <c r="S607" s="139">
        <v>14.66</v>
      </c>
      <c r="T607" s="157">
        <v>41853</v>
      </c>
      <c r="U607" s="139">
        <v>15.3</v>
      </c>
      <c r="Y607" s="139">
        <f t="shared" si="9"/>
        <v>5.3298000000000005</v>
      </c>
      <c r="AA607" s="139">
        <v>65.930000000000007</v>
      </c>
      <c r="AE607" s="139">
        <v>28.35</v>
      </c>
      <c r="AG607" s="185">
        <v>4.3</v>
      </c>
      <c r="AI607" s="185">
        <v>125</v>
      </c>
      <c r="AJ607" s="157">
        <v>41803</v>
      </c>
      <c r="AO607" s="139">
        <v>98</v>
      </c>
      <c r="AP607" s="157">
        <v>41738</v>
      </c>
      <c r="AS607" s="139">
        <v>127</v>
      </c>
      <c r="AT607" s="157">
        <v>41766</v>
      </c>
      <c r="BS607" s="140">
        <v>51.7</v>
      </c>
      <c r="BU607" s="140">
        <v>18.8</v>
      </c>
      <c r="BW607" s="140">
        <v>15.7</v>
      </c>
      <c r="BY607" s="140">
        <v>10.3</v>
      </c>
      <c r="CJ607" s="140" t="s">
        <v>8131</v>
      </c>
    </row>
    <row r="608" spans="1:88">
      <c r="A608" s="158" t="s">
        <v>7716</v>
      </c>
      <c r="B608" s="112" t="s">
        <v>269</v>
      </c>
      <c r="C608" s="112">
        <v>4</v>
      </c>
      <c r="D608">
        <v>101</v>
      </c>
      <c r="E608" s="113">
        <v>70</v>
      </c>
      <c r="F608" s="113">
        <v>7</v>
      </c>
      <c r="I608" s="112">
        <v>56</v>
      </c>
      <c r="J608" s="183">
        <v>41705</v>
      </c>
      <c r="M608" s="184">
        <v>2.41</v>
      </c>
      <c r="N608" s="157">
        <v>41853</v>
      </c>
      <c r="S608" s="139">
        <v>8.06</v>
      </c>
      <c r="T608" s="157">
        <v>41853</v>
      </c>
      <c r="U608" s="139">
        <v>15.3</v>
      </c>
      <c r="Y608" s="139">
        <f t="shared" si="9"/>
        <v>2.6813399999999996</v>
      </c>
      <c r="AA608" s="139">
        <v>41.65</v>
      </c>
      <c r="AE608" s="139">
        <v>15.41</v>
      </c>
      <c r="AG608" s="185">
        <v>3.7</v>
      </c>
      <c r="AI608" s="185">
        <v>100</v>
      </c>
      <c r="AJ608" s="157">
        <v>41803</v>
      </c>
      <c r="AO608" s="139">
        <v>95</v>
      </c>
      <c r="AP608" s="157">
        <v>41738</v>
      </c>
      <c r="AS608" s="139">
        <v>127</v>
      </c>
      <c r="AT608" s="157">
        <v>41766</v>
      </c>
      <c r="BS608" s="140">
        <v>52.3</v>
      </c>
      <c r="BU608" s="140">
        <v>17.399999999999999</v>
      </c>
      <c r="BW608" s="140">
        <v>16.3</v>
      </c>
      <c r="BY608" s="140">
        <v>11</v>
      </c>
      <c r="CJ608" s="140" t="s">
        <v>8140</v>
      </c>
    </row>
    <row r="609" spans="1:91">
      <c r="A609" s="158" t="s">
        <v>7782</v>
      </c>
      <c r="B609" s="112" t="s">
        <v>269</v>
      </c>
      <c r="C609" s="112">
        <v>4</v>
      </c>
      <c r="D609">
        <v>167</v>
      </c>
      <c r="E609" s="113">
        <v>70</v>
      </c>
      <c r="F609" s="113">
        <v>8</v>
      </c>
      <c r="I609" s="112">
        <v>30</v>
      </c>
      <c r="J609" s="183">
        <v>41705</v>
      </c>
      <c r="M609" s="184">
        <v>3.06</v>
      </c>
      <c r="N609" s="157">
        <v>41853</v>
      </c>
      <c r="S609" s="139">
        <v>10.83</v>
      </c>
      <c r="T609" s="157">
        <v>41853</v>
      </c>
      <c r="U609" s="139">
        <v>15.3</v>
      </c>
      <c r="Y609" s="139">
        <f t="shared" si="9"/>
        <v>3.1243500000000002</v>
      </c>
      <c r="AA609" s="139">
        <v>40.1</v>
      </c>
      <c r="AE609" s="139">
        <v>19.649999999999999</v>
      </c>
      <c r="AG609" s="185">
        <v>4.9000000000000004</v>
      </c>
      <c r="AI609" s="185">
        <v>125</v>
      </c>
      <c r="AJ609" s="157">
        <v>41803</v>
      </c>
      <c r="AO609" s="139">
        <v>93</v>
      </c>
      <c r="AP609" s="157">
        <v>41738</v>
      </c>
      <c r="AS609" s="139">
        <v>125</v>
      </c>
      <c r="AT609" s="157">
        <v>41766</v>
      </c>
      <c r="BS609" s="140">
        <v>55.1</v>
      </c>
      <c r="BU609" s="140">
        <v>15.9</v>
      </c>
      <c r="BW609" s="140">
        <v>10.8</v>
      </c>
      <c r="BY609" s="140">
        <v>10.6</v>
      </c>
      <c r="CJ609" s="140" t="s">
        <v>8140</v>
      </c>
    </row>
    <row r="610" spans="1:91">
      <c r="A610" s="158" t="s">
        <v>7634</v>
      </c>
      <c r="B610" s="112" t="s">
        <v>269</v>
      </c>
      <c r="C610" s="112">
        <v>4</v>
      </c>
      <c r="D610">
        <v>19</v>
      </c>
      <c r="E610" s="113">
        <v>70</v>
      </c>
      <c r="F610" s="113">
        <v>9</v>
      </c>
      <c r="I610" s="187">
        <v>44</v>
      </c>
      <c r="J610" s="183">
        <v>41705</v>
      </c>
      <c r="K610" s="142"/>
      <c r="M610" s="184">
        <v>1.73</v>
      </c>
      <c r="N610" s="157">
        <v>41853</v>
      </c>
      <c r="O610" s="141"/>
      <c r="Q610" s="142"/>
      <c r="S610" s="142">
        <v>5.46</v>
      </c>
      <c r="T610" s="157">
        <v>41853</v>
      </c>
      <c r="U610" s="142">
        <v>15.3</v>
      </c>
      <c r="W610" s="142"/>
      <c r="Y610" s="139">
        <f t="shared" si="9"/>
        <v>2.4110800000000001</v>
      </c>
      <c r="AA610" s="142">
        <v>19.75</v>
      </c>
      <c r="AE610" s="142">
        <v>11.06</v>
      </c>
      <c r="AG610" s="185">
        <v>5.6</v>
      </c>
      <c r="AI610" s="185">
        <v>125</v>
      </c>
      <c r="AJ610" s="157">
        <v>41803</v>
      </c>
      <c r="AK610" s="142"/>
      <c r="AM610" s="142"/>
      <c r="AO610" s="139">
        <v>95</v>
      </c>
      <c r="AP610" s="157">
        <v>41738</v>
      </c>
      <c r="AS610" s="139">
        <v>127</v>
      </c>
      <c r="AT610" s="157">
        <v>41766</v>
      </c>
      <c r="BS610" s="140">
        <v>49.4</v>
      </c>
      <c r="BU610" s="140">
        <v>21.8</v>
      </c>
      <c r="BW610" s="140">
        <v>63.2</v>
      </c>
      <c r="BY610" s="140">
        <v>11</v>
      </c>
      <c r="CJ610" s="140" t="s">
        <v>8140</v>
      </c>
    </row>
    <row r="611" spans="1:91">
      <c r="A611" s="158" t="s">
        <v>7765</v>
      </c>
      <c r="B611" s="112" t="s">
        <v>269</v>
      </c>
      <c r="C611" s="112">
        <v>4</v>
      </c>
      <c r="D611">
        <v>150</v>
      </c>
      <c r="E611" s="113">
        <v>70</v>
      </c>
      <c r="F611" s="113">
        <v>10</v>
      </c>
      <c r="I611" s="112">
        <v>41</v>
      </c>
      <c r="J611" s="183">
        <v>41705</v>
      </c>
      <c r="M611" s="184">
        <v>2.15</v>
      </c>
      <c r="N611" s="157">
        <v>41853</v>
      </c>
      <c r="S611" s="139">
        <v>6.99</v>
      </c>
      <c r="T611" s="157">
        <v>41853</v>
      </c>
      <c r="U611" s="139">
        <v>15.3</v>
      </c>
      <c r="Y611" s="139">
        <f t="shared" si="9"/>
        <v>2.4731999999999998</v>
      </c>
      <c r="AA611" s="139">
        <v>37.14</v>
      </c>
      <c r="AE611" s="139">
        <v>13.74</v>
      </c>
      <c r="AG611" s="185">
        <v>3.7</v>
      </c>
      <c r="AI611" s="185">
        <v>105</v>
      </c>
      <c r="AJ611" s="157">
        <v>41803</v>
      </c>
      <c r="AO611" s="139">
        <v>92</v>
      </c>
      <c r="AP611" s="157">
        <v>41738</v>
      </c>
      <c r="AS611" s="139">
        <v>127</v>
      </c>
      <c r="AT611" s="157">
        <v>41766</v>
      </c>
      <c r="BS611" s="140">
        <v>50.9</v>
      </c>
      <c r="BU611" s="140">
        <v>18</v>
      </c>
      <c r="BW611" s="140">
        <v>10.4</v>
      </c>
      <c r="BY611" s="140">
        <v>11</v>
      </c>
      <c r="CJ611" s="140" t="s">
        <v>8140</v>
      </c>
    </row>
    <row r="612" spans="1:91">
      <c r="A612" s="158" t="s">
        <v>7755</v>
      </c>
      <c r="B612" s="112" t="s">
        <v>269</v>
      </c>
      <c r="C612" s="112">
        <v>4</v>
      </c>
      <c r="D612">
        <v>140</v>
      </c>
      <c r="E612" s="113">
        <v>70</v>
      </c>
      <c r="F612" s="113">
        <v>11</v>
      </c>
      <c r="I612" s="112">
        <v>42</v>
      </c>
      <c r="J612" s="183">
        <v>41705</v>
      </c>
      <c r="M612" s="184">
        <v>1.73</v>
      </c>
      <c r="N612" s="157">
        <v>41853</v>
      </c>
      <c r="S612" s="139">
        <v>5.59</v>
      </c>
      <c r="T612" s="157">
        <v>41853</v>
      </c>
      <c r="U612" s="139">
        <v>15.3</v>
      </c>
      <c r="Y612" s="139">
        <f t="shared" si="9"/>
        <v>2.3668399999999998</v>
      </c>
      <c r="AA612" s="139">
        <v>24.58</v>
      </c>
      <c r="AE612" s="139">
        <v>11.06</v>
      </c>
      <c r="AG612" s="185">
        <v>4.5</v>
      </c>
      <c r="AI612" s="185">
        <v>120</v>
      </c>
      <c r="AJ612" s="157">
        <v>41803</v>
      </c>
      <c r="AO612" s="139">
        <v>97</v>
      </c>
      <c r="AP612" s="157">
        <v>41738</v>
      </c>
      <c r="AS612" s="139">
        <v>128</v>
      </c>
      <c r="AT612" s="157">
        <v>41766</v>
      </c>
      <c r="BS612" s="140">
        <v>50.5</v>
      </c>
      <c r="BU612" s="140">
        <v>21.4</v>
      </c>
      <c r="BW612" s="140">
        <v>71.400000000000006</v>
      </c>
      <c r="BY612" s="140">
        <v>11</v>
      </c>
      <c r="CJ612" s="140" t="s">
        <v>8131</v>
      </c>
    </row>
    <row r="613" spans="1:91">
      <c r="A613" s="158" t="s">
        <v>7641</v>
      </c>
      <c r="B613" s="112" t="s">
        <v>269</v>
      </c>
      <c r="C613" s="112">
        <v>4</v>
      </c>
      <c r="D613">
        <v>26</v>
      </c>
      <c r="E613" s="113">
        <v>70</v>
      </c>
      <c r="F613" s="113">
        <v>12</v>
      </c>
      <c r="I613" s="112">
        <v>38</v>
      </c>
      <c r="J613" s="183">
        <v>41705</v>
      </c>
      <c r="M613" s="184">
        <v>1.25</v>
      </c>
      <c r="N613" s="157">
        <v>41853</v>
      </c>
      <c r="S613" s="139">
        <v>4.0199999999999996</v>
      </c>
      <c r="T613" s="157">
        <v>41853</v>
      </c>
      <c r="U613" s="139">
        <v>15.3</v>
      </c>
      <c r="Y613" s="139">
        <f t="shared" si="9"/>
        <v>1.6858900000000003</v>
      </c>
      <c r="AA613" s="139">
        <v>18.16</v>
      </c>
      <c r="AE613" s="139">
        <v>7.99</v>
      </c>
      <c r="AG613" s="185">
        <v>4.4000000000000004</v>
      </c>
      <c r="AI613" s="185">
        <v>125</v>
      </c>
      <c r="AJ613" s="157">
        <v>41803</v>
      </c>
      <c r="AO613" s="139">
        <v>88</v>
      </c>
      <c r="AP613" s="157">
        <v>41738</v>
      </c>
      <c r="AS613" s="139">
        <v>123</v>
      </c>
      <c r="AT613" s="157">
        <v>41766</v>
      </c>
      <c r="BS613" s="140">
        <v>50.3</v>
      </c>
      <c r="BU613" s="140">
        <v>21.1</v>
      </c>
      <c r="BW613" s="140">
        <v>69.5</v>
      </c>
      <c r="BY613" s="140">
        <v>11</v>
      </c>
      <c r="CJ613" s="140" t="s">
        <v>8140</v>
      </c>
    </row>
    <row r="614" spans="1:91">
      <c r="A614" s="158" t="s">
        <v>7816</v>
      </c>
      <c r="B614" s="112" t="s">
        <v>271</v>
      </c>
      <c r="C614" s="112">
        <v>3</v>
      </c>
      <c r="D614">
        <v>201</v>
      </c>
      <c r="E614" s="113">
        <v>71</v>
      </c>
      <c r="F614" s="113">
        <v>1</v>
      </c>
      <c r="I614" s="112">
        <v>28</v>
      </c>
      <c r="J614" s="183">
        <v>41705</v>
      </c>
      <c r="M614" s="184">
        <v>3.71</v>
      </c>
      <c r="N614" s="157">
        <v>41853</v>
      </c>
      <c r="S614" s="139">
        <v>11.77</v>
      </c>
      <c r="T614" s="157">
        <v>41853</v>
      </c>
      <c r="U614" s="139">
        <v>15.3</v>
      </c>
      <c r="Y614" s="139">
        <f t="shared" si="9"/>
        <v>4.9275200000000003</v>
      </c>
      <c r="AA614" s="139">
        <v>49.35</v>
      </c>
      <c r="AE614" s="139">
        <v>23.69</v>
      </c>
      <c r="AG614" s="185">
        <v>4.8</v>
      </c>
      <c r="AI614" s="185">
        <v>145</v>
      </c>
      <c r="AJ614" s="157">
        <v>41803</v>
      </c>
      <c r="AO614" s="139">
        <v>91</v>
      </c>
      <c r="AP614" s="157">
        <v>41738</v>
      </c>
      <c r="AS614" s="139">
        <v>128</v>
      </c>
      <c r="AT614" s="157">
        <v>41766</v>
      </c>
      <c r="BS614" s="140">
        <v>49.7</v>
      </c>
      <c r="BU614" s="140">
        <v>20.8</v>
      </c>
      <c r="BW614" s="140">
        <v>16.600000000000001</v>
      </c>
      <c r="BY614" s="140">
        <v>11.1</v>
      </c>
      <c r="CJ614" s="140" t="s">
        <v>8140</v>
      </c>
    </row>
    <row r="615" spans="1:91">
      <c r="A615" s="158" t="s">
        <v>7725</v>
      </c>
      <c r="B615" s="112" t="s">
        <v>271</v>
      </c>
      <c r="C615" s="112">
        <v>3</v>
      </c>
      <c r="D615">
        <v>110</v>
      </c>
      <c r="E615" s="113">
        <v>71</v>
      </c>
      <c r="F615" s="113">
        <v>2</v>
      </c>
      <c r="I615" s="112">
        <v>40</v>
      </c>
      <c r="J615" s="183">
        <v>41705</v>
      </c>
      <c r="M615" s="184">
        <v>2.4500000000000002</v>
      </c>
      <c r="N615" s="157">
        <v>41853</v>
      </c>
      <c r="S615" s="139">
        <v>7.74</v>
      </c>
      <c r="T615" s="157">
        <v>41853</v>
      </c>
      <c r="U615" s="139">
        <v>15.3</v>
      </c>
      <c r="Y615" s="139">
        <f t="shared" si="9"/>
        <v>3.3982200000000002</v>
      </c>
      <c r="AA615" s="139">
        <v>31.96</v>
      </c>
      <c r="AE615" s="139">
        <v>15.66</v>
      </c>
      <c r="AG615" s="185">
        <v>4.9000000000000004</v>
      </c>
      <c r="AI615" s="185">
        <v>130</v>
      </c>
      <c r="AJ615" s="157">
        <v>41803</v>
      </c>
      <c r="AO615" s="139">
        <v>90</v>
      </c>
      <c r="AP615" s="157">
        <v>41738</v>
      </c>
      <c r="AS615" s="139">
        <v>128</v>
      </c>
      <c r="AT615" s="157">
        <v>41766</v>
      </c>
      <c r="BS615" s="140">
        <v>49.4</v>
      </c>
      <c r="BU615" s="140">
        <v>21.7</v>
      </c>
      <c r="BW615" s="140">
        <v>21</v>
      </c>
      <c r="BY615" s="140">
        <v>11</v>
      </c>
      <c r="CJ615" s="140" t="s">
        <v>8140</v>
      </c>
    </row>
    <row r="616" spans="1:91">
      <c r="A616" s="158" t="s">
        <v>7803</v>
      </c>
      <c r="B616" s="112" t="s">
        <v>271</v>
      </c>
      <c r="C616" s="112">
        <v>3</v>
      </c>
      <c r="D616">
        <v>188</v>
      </c>
      <c r="E616" s="113">
        <v>71</v>
      </c>
      <c r="F616" s="113">
        <v>3</v>
      </c>
      <c r="I616" s="112">
        <v>40</v>
      </c>
      <c r="J616" s="183">
        <v>41705</v>
      </c>
      <c r="M616" s="184">
        <v>4.57</v>
      </c>
      <c r="N616" s="157">
        <v>41853</v>
      </c>
      <c r="S616" s="139">
        <v>14.85</v>
      </c>
      <c r="T616" s="157">
        <v>41853</v>
      </c>
      <c r="U616" s="139">
        <v>15.3</v>
      </c>
      <c r="Y616" s="139">
        <f t="shared" si="9"/>
        <v>5.6626200000000004</v>
      </c>
      <c r="AA616" s="139">
        <v>66.680000000000007</v>
      </c>
      <c r="AE616" s="139">
        <v>29.34</v>
      </c>
      <c r="AG616" s="185">
        <v>4.4000000000000004</v>
      </c>
      <c r="AI616" s="185">
        <v>120</v>
      </c>
      <c r="AJ616" s="157">
        <v>41803</v>
      </c>
      <c r="AO616" s="139">
        <v>90</v>
      </c>
      <c r="AP616" s="157">
        <v>41738</v>
      </c>
      <c r="AS616" s="139">
        <v>126</v>
      </c>
      <c r="AT616" s="157">
        <v>41766</v>
      </c>
      <c r="BS616" s="140">
        <v>50.6</v>
      </c>
      <c r="BU616" s="140">
        <v>19.3</v>
      </c>
      <c r="BW616" s="140">
        <v>14.2</v>
      </c>
      <c r="BY616" s="140">
        <v>10.6</v>
      </c>
      <c r="CJ616" s="140" t="s">
        <v>8140</v>
      </c>
    </row>
    <row r="617" spans="1:91">
      <c r="A617" s="158" t="s">
        <v>7903</v>
      </c>
      <c r="B617" s="112" t="s">
        <v>271</v>
      </c>
      <c r="C617" s="112">
        <v>3</v>
      </c>
      <c r="D617">
        <v>213</v>
      </c>
      <c r="E617" s="113">
        <v>71</v>
      </c>
      <c r="F617" s="113">
        <v>4</v>
      </c>
      <c r="I617" s="112">
        <v>31</v>
      </c>
      <c r="J617" s="183">
        <v>41705</v>
      </c>
      <c r="M617" s="184"/>
      <c r="N617" s="157">
        <v>41853</v>
      </c>
      <c r="T617" s="157">
        <v>41853</v>
      </c>
      <c r="U617" s="139">
        <v>15.3</v>
      </c>
      <c r="Y617" s="139">
        <f t="shared" si="9"/>
        <v>0</v>
      </c>
      <c r="AG617" s="185"/>
      <c r="AI617" s="185">
        <v>135</v>
      </c>
      <c r="AJ617" s="157">
        <v>41803</v>
      </c>
      <c r="AO617" s="139">
        <v>94</v>
      </c>
      <c r="AP617" s="157">
        <v>41738</v>
      </c>
      <c r="AS617" s="139">
        <v>127</v>
      </c>
      <c r="AT617" s="157">
        <v>41766</v>
      </c>
      <c r="CJ617" s="140" t="s">
        <v>8156</v>
      </c>
    </row>
    <row r="618" spans="1:91">
      <c r="A618" s="158" t="s">
        <v>7671</v>
      </c>
      <c r="B618" s="112" t="s">
        <v>271</v>
      </c>
      <c r="C618" s="112">
        <v>3</v>
      </c>
      <c r="D618">
        <v>56</v>
      </c>
      <c r="E618" s="113">
        <v>71</v>
      </c>
      <c r="F618" s="113">
        <v>5</v>
      </c>
      <c r="I618" s="112">
        <v>25</v>
      </c>
      <c r="J618" s="183">
        <v>41705</v>
      </c>
      <c r="M618" s="184">
        <v>3.99</v>
      </c>
      <c r="N618" s="157">
        <v>41853</v>
      </c>
      <c r="S618" s="139">
        <v>12.7</v>
      </c>
      <c r="T618" s="157">
        <v>41853</v>
      </c>
      <c r="U618" s="139">
        <v>15.3</v>
      </c>
      <c r="Y618" s="139">
        <f t="shared" si="9"/>
        <v>5.3571</v>
      </c>
      <c r="AA618" s="139">
        <v>53.15</v>
      </c>
      <c r="AE618" s="139">
        <v>25.51</v>
      </c>
      <c r="AG618" s="185">
        <v>4.8</v>
      </c>
      <c r="AI618" s="185">
        <v>130</v>
      </c>
      <c r="AJ618" s="157">
        <v>41803</v>
      </c>
      <c r="AO618" s="139">
        <v>97</v>
      </c>
      <c r="AP618" s="157">
        <v>41738</v>
      </c>
      <c r="AS618" s="139">
        <v>128</v>
      </c>
      <c r="AT618" s="157">
        <v>41766</v>
      </c>
      <c r="BS618" s="140">
        <v>49.8</v>
      </c>
      <c r="BU618" s="140">
        <v>21</v>
      </c>
      <c r="BW618" s="140">
        <v>10.7</v>
      </c>
      <c r="BY618" s="140">
        <v>11</v>
      </c>
      <c r="CJ618" s="140" t="s">
        <v>8131</v>
      </c>
    </row>
    <row r="619" spans="1:91">
      <c r="A619" s="158" t="s">
        <v>7811</v>
      </c>
      <c r="B619" s="112" t="s">
        <v>271</v>
      </c>
      <c r="C619" s="112">
        <v>3</v>
      </c>
      <c r="D619">
        <v>196</v>
      </c>
      <c r="E619" s="113">
        <v>71</v>
      </c>
      <c r="F619" s="113">
        <v>6</v>
      </c>
      <c r="I619" s="112">
        <v>43</v>
      </c>
      <c r="J619" s="183">
        <v>41705</v>
      </c>
      <c r="M619" s="184">
        <v>4.45</v>
      </c>
      <c r="N619" s="157">
        <v>41853</v>
      </c>
      <c r="S619" s="139">
        <v>13.94</v>
      </c>
      <c r="T619" s="157">
        <v>41853</v>
      </c>
      <c r="U619" s="139">
        <v>15.3</v>
      </c>
      <c r="Y619" s="139">
        <f t="shared" si="9"/>
        <v>6.2151800000000001</v>
      </c>
      <c r="AA619" s="139">
        <v>50.02</v>
      </c>
      <c r="AE619" s="139">
        <v>28.51</v>
      </c>
      <c r="AG619" s="185">
        <v>5.7</v>
      </c>
      <c r="AI619" s="185">
        <v>125</v>
      </c>
      <c r="AJ619" s="157">
        <v>41803</v>
      </c>
      <c r="AO619" s="139">
        <v>87</v>
      </c>
      <c r="AP619" s="157">
        <v>41738</v>
      </c>
      <c r="AS619" s="139">
        <v>126</v>
      </c>
      <c r="AT619" s="157">
        <v>41766</v>
      </c>
      <c r="BS619" s="140">
        <v>48.9</v>
      </c>
      <c r="BU619" s="140">
        <v>21.8</v>
      </c>
      <c r="BW619" s="140">
        <v>11.7</v>
      </c>
      <c r="BY619" s="140">
        <v>10.8</v>
      </c>
      <c r="CJ619" s="140" t="s">
        <v>8140</v>
      </c>
    </row>
    <row r="620" spans="1:91">
      <c r="A620" s="158" t="s">
        <v>7687</v>
      </c>
      <c r="B620" s="112" t="s">
        <v>269</v>
      </c>
      <c r="C620" s="112">
        <v>4</v>
      </c>
      <c r="D620">
        <v>72</v>
      </c>
      <c r="E620" s="113">
        <v>71</v>
      </c>
      <c r="F620" s="113">
        <v>7</v>
      </c>
      <c r="I620" s="112">
        <v>56</v>
      </c>
      <c r="J620" s="183">
        <v>41705</v>
      </c>
      <c r="M620" s="184">
        <v>2.25</v>
      </c>
      <c r="N620" s="157">
        <v>41853</v>
      </c>
      <c r="S620" s="139">
        <v>7.33</v>
      </c>
      <c r="T620" s="157">
        <v>41853</v>
      </c>
      <c r="U620" s="139">
        <v>15.3</v>
      </c>
      <c r="Y620" s="139">
        <f t="shared" si="9"/>
        <v>2.78972</v>
      </c>
      <c r="AA620" s="139">
        <v>33.44</v>
      </c>
      <c r="AE620" s="139">
        <v>14.38</v>
      </c>
      <c r="AG620" s="185">
        <v>4.3</v>
      </c>
      <c r="AI620" s="185">
        <v>120</v>
      </c>
      <c r="AJ620" s="157">
        <v>41803</v>
      </c>
      <c r="AO620" s="139">
        <v>96</v>
      </c>
      <c r="AP620" s="157">
        <v>41738</v>
      </c>
      <c r="AS620" s="139">
        <v>127</v>
      </c>
      <c r="AT620" s="157">
        <v>41766</v>
      </c>
      <c r="BS620" s="140">
        <v>51</v>
      </c>
      <c r="BU620" s="140">
        <v>19.399999999999999</v>
      </c>
      <c r="BW620" s="140">
        <v>13.2</v>
      </c>
      <c r="BY620" s="140">
        <v>11</v>
      </c>
      <c r="CJ620" s="140" t="s">
        <v>8131</v>
      </c>
    </row>
    <row r="621" spans="1:91">
      <c r="A621" s="158" t="s">
        <v>7678</v>
      </c>
      <c r="B621" s="112" t="s">
        <v>269</v>
      </c>
      <c r="C621" s="112">
        <v>4</v>
      </c>
      <c r="D621">
        <v>63</v>
      </c>
      <c r="E621" s="113">
        <v>71</v>
      </c>
      <c r="F621" s="113">
        <v>8</v>
      </c>
      <c r="I621" s="112">
        <v>26</v>
      </c>
      <c r="J621" s="183">
        <v>41705</v>
      </c>
      <c r="M621" s="184">
        <v>2.96</v>
      </c>
      <c r="N621" s="157">
        <v>41853</v>
      </c>
      <c r="S621" s="139">
        <v>10.1</v>
      </c>
      <c r="T621" s="157">
        <v>41853</v>
      </c>
      <c r="U621" s="139">
        <v>15.3</v>
      </c>
      <c r="Y621" s="139">
        <f t="shared" si="9"/>
        <v>3.3909000000000002</v>
      </c>
      <c r="AA621" s="139">
        <v>40.53</v>
      </c>
      <c r="AE621" s="139">
        <v>19.05</v>
      </c>
      <c r="AG621" s="185">
        <v>4.7</v>
      </c>
      <c r="AI621" s="185">
        <v>125</v>
      </c>
      <c r="AJ621" s="157">
        <v>41803</v>
      </c>
      <c r="AO621" s="139">
        <v>93</v>
      </c>
      <c r="AP621" s="157">
        <v>41738</v>
      </c>
      <c r="AS621" s="139">
        <v>125</v>
      </c>
      <c r="AT621" s="157">
        <v>41766</v>
      </c>
      <c r="BS621" s="140">
        <v>53</v>
      </c>
      <c r="BU621" s="140">
        <v>17.8</v>
      </c>
      <c r="BW621" s="140">
        <v>16.100000000000001</v>
      </c>
      <c r="BY621" s="140">
        <v>10.4</v>
      </c>
      <c r="CJ621" s="140" t="s">
        <v>8140</v>
      </c>
    </row>
    <row r="622" spans="1:91">
      <c r="A622" s="158" t="s">
        <v>7781</v>
      </c>
      <c r="B622" s="112" t="s">
        <v>269</v>
      </c>
      <c r="C622" s="112">
        <v>4</v>
      </c>
      <c r="D622">
        <v>166</v>
      </c>
      <c r="E622" s="113">
        <v>71</v>
      </c>
      <c r="F622" s="113">
        <v>9</v>
      </c>
      <c r="I622" s="112">
        <v>68</v>
      </c>
      <c r="J622" s="183">
        <v>41705</v>
      </c>
      <c r="M622" s="184">
        <v>2.78</v>
      </c>
      <c r="N622" s="157">
        <v>41853</v>
      </c>
      <c r="S622" s="139">
        <v>9.1</v>
      </c>
      <c r="T622" s="157">
        <v>41853</v>
      </c>
      <c r="U622" s="139">
        <v>15.3</v>
      </c>
      <c r="Y622" s="139">
        <f t="shared" si="9"/>
        <v>3.2763499999999999</v>
      </c>
      <c r="AA622" s="139">
        <v>36.9</v>
      </c>
      <c r="AE622" s="139">
        <v>17.71</v>
      </c>
      <c r="AG622" s="185">
        <v>4.8</v>
      </c>
      <c r="AI622" s="185">
        <v>100</v>
      </c>
      <c r="AJ622" s="157">
        <v>41803</v>
      </c>
      <c r="AO622" s="139">
        <v>92</v>
      </c>
      <c r="AP622" s="157">
        <v>41738</v>
      </c>
      <c r="AS622" s="139">
        <v>127</v>
      </c>
      <c r="AT622" s="157">
        <v>41766</v>
      </c>
      <c r="BS622" s="140">
        <v>51.4</v>
      </c>
      <c r="BU622" s="140">
        <v>18.5</v>
      </c>
      <c r="BW622" s="140">
        <v>11</v>
      </c>
      <c r="BY622" s="140">
        <v>11.3</v>
      </c>
      <c r="CJ622" s="140" t="s">
        <v>8140</v>
      </c>
    </row>
    <row r="623" spans="1:91">
      <c r="A623" s="188" t="s">
        <v>7743</v>
      </c>
      <c r="B623" s="189" t="s">
        <v>269</v>
      </c>
      <c r="C623" s="189">
        <v>4</v>
      </c>
      <c r="D623" s="190">
        <v>128</v>
      </c>
      <c r="E623" s="191">
        <v>71</v>
      </c>
      <c r="F623" s="191">
        <v>10</v>
      </c>
      <c r="G623" s="191"/>
      <c r="H623" s="191"/>
      <c r="I623" s="189">
        <v>58</v>
      </c>
      <c r="J623" s="193">
        <v>41705</v>
      </c>
      <c r="K623" s="194"/>
      <c r="L623" s="195"/>
      <c r="M623" s="196">
        <v>0.57999999999999996</v>
      </c>
      <c r="N623" s="195">
        <v>41853</v>
      </c>
      <c r="O623" s="194"/>
      <c r="P623" s="195"/>
      <c r="Q623" s="194"/>
      <c r="R623" s="195"/>
      <c r="S623" s="194">
        <v>1.82</v>
      </c>
      <c r="T623" s="195">
        <v>41853</v>
      </c>
      <c r="U623" s="194">
        <v>15.3</v>
      </c>
      <c r="V623" s="195"/>
      <c r="W623" s="194"/>
      <c r="X623" s="195"/>
      <c r="Y623" s="139">
        <f t="shared" si="9"/>
        <v>0.79393999999999987</v>
      </c>
      <c r="Z623" s="195"/>
      <c r="AA623" s="194">
        <v>9.0500000000000007</v>
      </c>
      <c r="AB623" s="195"/>
      <c r="AC623" s="194"/>
      <c r="AD623" s="195"/>
      <c r="AE623" s="194">
        <v>3.71</v>
      </c>
      <c r="AF623" s="195"/>
      <c r="AG623" s="197">
        <v>4.0999999999999996</v>
      </c>
      <c r="AH623" s="195"/>
      <c r="AI623" s="197">
        <v>95</v>
      </c>
      <c r="AJ623" s="195">
        <v>41803</v>
      </c>
      <c r="AK623" s="194"/>
      <c r="AL623" s="195"/>
      <c r="AM623" s="194"/>
      <c r="AN623" s="195"/>
      <c r="AO623" s="194">
        <v>95</v>
      </c>
      <c r="AP623" s="195">
        <v>41738</v>
      </c>
      <c r="AQ623" s="194"/>
      <c r="AR623" s="194"/>
      <c r="AS623" s="194">
        <v>126</v>
      </c>
      <c r="AT623" s="195">
        <v>41766</v>
      </c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8"/>
      <c r="BF623" s="198"/>
      <c r="BG623" s="198"/>
      <c r="BH623" s="198"/>
      <c r="BI623" s="198"/>
      <c r="BJ623" s="198"/>
      <c r="BK623" s="198"/>
      <c r="BL623" s="198"/>
      <c r="BM623" s="198"/>
      <c r="BN623" s="198"/>
      <c r="BO623" s="198"/>
      <c r="BP623" s="198"/>
      <c r="BQ623" s="198"/>
      <c r="BR623" s="198"/>
      <c r="BS623" s="198">
        <v>49.1</v>
      </c>
      <c r="BT623" s="198"/>
      <c r="BU623" s="198">
        <v>21.4</v>
      </c>
      <c r="BV623" s="198"/>
      <c r="BW623" s="198">
        <v>58.9</v>
      </c>
      <c r="BX623" s="198"/>
      <c r="BY623" s="198">
        <v>10.9</v>
      </c>
      <c r="BZ623" s="198"/>
      <c r="CA623" s="198"/>
      <c r="CB623" s="198"/>
      <c r="CC623" s="198"/>
      <c r="CD623" s="198"/>
      <c r="CE623" s="198"/>
      <c r="CF623" s="198"/>
      <c r="CG623" s="198"/>
      <c r="CH623" s="198"/>
      <c r="CI623" s="198"/>
      <c r="CJ623" s="198" t="s">
        <v>8137</v>
      </c>
      <c r="CK623" s="198"/>
      <c r="CL623" s="198"/>
      <c r="CM623" s="198"/>
    </row>
    <row r="624" spans="1:91">
      <c r="A624" s="158" t="s">
        <v>7770</v>
      </c>
      <c r="B624" s="112" t="s">
        <v>269</v>
      </c>
      <c r="C624" s="112">
        <v>4</v>
      </c>
      <c r="D624">
        <v>155</v>
      </c>
      <c r="E624" s="113">
        <v>71</v>
      </c>
      <c r="F624" s="113">
        <v>11</v>
      </c>
      <c r="I624" s="112">
        <v>47</v>
      </c>
      <c r="J624" s="183">
        <v>41705</v>
      </c>
      <c r="M624" s="184">
        <v>3.17</v>
      </c>
      <c r="N624" s="157">
        <v>41853</v>
      </c>
      <c r="S624" s="139">
        <v>10.18</v>
      </c>
      <c r="T624" s="157">
        <v>41853</v>
      </c>
      <c r="U624" s="139">
        <v>15.3</v>
      </c>
      <c r="Y624" s="139">
        <f t="shared" si="9"/>
        <v>3.8995199999999994</v>
      </c>
      <c r="AA624" s="139">
        <v>43.21</v>
      </c>
      <c r="AE624" s="139">
        <v>20.309999999999999</v>
      </c>
      <c r="AG624" s="185">
        <v>4.7</v>
      </c>
      <c r="AI624" s="185">
        <v>100</v>
      </c>
      <c r="AJ624" s="157">
        <v>41803</v>
      </c>
      <c r="AO624" s="139">
        <v>93</v>
      </c>
      <c r="AP624" s="157">
        <v>41738</v>
      </c>
      <c r="AS624" s="139">
        <v>127</v>
      </c>
      <c r="AT624" s="157">
        <v>41766</v>
      </c>
      <c r="BS624" s="140">
        <v>50.1</v>
      </c>
      <c r="BU624" s="140">
        <v>19.2</v>
      </c>
      <c r="BW624" s="140">
        <v>23.1</v>
      </c>
      <c r="BY624" s="140">
        <v>10.8</v>
      </c>
      <c r="CJ624" s="140" t="s">
        <v>8140</v>
      </c>
    </row>
    <row r="625" spans="1:88">
      <c r="A625" s="158" t="s">
        <v>7798</v>
      </c>
      <c r="B625" s="112" t="s">
        <v>269</v>
      </c>
      <c r="C625" s="112">
        <v>4</v>
      </c>
      <c r="D625">
        <v>183</v>
      </c>
      <c r="E625" s="113">
        <v>71</v>
      </c>
      <c r="F625" s="113">
        <v>12</v>
      </c>
      <c r="I625" s="112">
        <v>30</v>
      </c>
      <c r="J625" s="183">
        <v>41705</v>
      </c>
      <c r="M625" s="184">
        <v>3.22</v>
      </c>
      <c r="N625" s="157">
        <v>41853</v>
      </c>
      <c r="S625" s="139">
        <v>11.06</v>
      </c>
      <c r="T625" s="157">
        <v>41853</v>
      </c>
      <c r="U625" s="139">
        <v>15.3</v>
      </c>
      <c r="Y625" s="139">
        <f t="shared" si="9"/>
        <v>3.4442000000000004</v>
      </c>
      <c r="AA625" s="139">
        <v>45.02</v>
      </c>
      <c r="AE625" s="139">
        <v>20.260000000000002</v>
      </c>
      <c r="AG625" s="185">
        <v>4.5</v>
      </c>
      <c r="AI625" s="185">
        <v>125</v>
      </c>
      <c r="AJ625" s="157">
        <v>41803</v>
      </c>
      <c r="AO625" s="139">
        <v>93</v>
      </c>
      <c r="AP625" s="157">
        <v>41738</v>
      </c>
      <c r="AS625" s="139">
        <v>128</v>
      </c>
      <c r="AT625" s="157">
        <v>41766</v>
      </c>
      <c r="BS625" s="140">
        <v>54.6</v>
      </c>
      <c r="BU625" s="140">
        <v>17</v>
      </c>
      <c r="BW625" s="140">
        <v>10.3</v>
      </c>
      <c r="BY625" s="140">
        <v>12.4</v>
      </c>
      <c r="CJ625" s="140" t="s">
        <v>8140</v>
      </c>
    </row>
    <row r="626" spans="1:88">
      <c r="A626" s="158" t="s">
        <v>7672</v>
      </c>
      <c r="B626" s="112" t="s">
        <v>271</v>
      </c>
      <c r="C626" s="112">
        <v>3</v>
      </c>
      <c r="D626">
        <v>57</v>
      </c>
      <c r="E626" s="113">
        <v>72</v>
      </c>
      <c r="F626" s="113">
        <v>1</v>
      </c>
      <c r="I626" s="112">
        <v>23</v>
      </c>
      <c r="J626" s="183">
        <v>41705</v>
      </c>
      <c r="M626" s="184">
        <v>2.68</v>
      </c>
      <c r="N626" s="157">
        <v>41853</v>
      </c>
      <c r="S626" s="139">
        <v>8.31</v>
      </c>
      <c r="T626" s="157">
        <v>41853</v>
      </c>
      <c r="U626" s="139">
        <v>15.3</v>
      </c>
      <c r="Y626" s="139">
        <f t="shared" si="9"/>
        <v>3.61443</v>
      </c>
      <c r="AA626" s="139">
        <v>38.93</v>
      </c>
      <c r="AE626" s="139">
        <v>17.13</v>
      </c>
      <c r="AG626" s="185">
        <v>4.4000000000000004</v>
      </c>
      <c r="AI626" s="185">
        <v>145</v>
      </c>
      <c r="AJ626" s="157">
        <v>41803</v>
      </c>
      <c r="AO626" s="139">
        <v>96</v>
      </c>
      <c r="AP626" s="157">
        <v>41738</v>
      </c>
      <c r="AS626" s="139">
        <v>129</v>
      </c>
      <c r="AT626" s="157">
        <v>41766</v>
      </c>
      <c r="BS626" s="140">
        <v>48.5</v>
      </c>
      <c r="BU626" s="140">
        <v>21.1</v>
      </c>
      <c r="BW626" s="140">
        <v>13.7</v>
      </c>
      <c r="BY626" s="140">
        <v>11</v>
      </c>
      <c r="CJ626" s="140" t="s">
        <v>8131</v>
      </c>
    </row>
    <row r="627" spans="1:88">
      <c r="A627" s="158" t="s">
        <v>7711</v>
      </c>
      <c r="B627" s="112" t="s">
        <v>271</v>
      </c>
      <c r="C627" s="112">
        <v>3</v>
      </c>
      <c r="D627">
        <v>96</v>
      </c>
      <c r="E627" s="113">
        <v>72</v>
      </c>
      <c r="F627" s="113">
        <v>2</v>
      </c>
      <c r="I627" s="112">
        <v>36</v>
      </c>
      <c r="J627" s="183">
        <v>41705</v>
      </c>
      <c r="M627" s="184">
        <v>3.51</v>
      </c>
      <c r="N627" s="157">
        <v>41853</v>
      </c>
      <c r="S627" s="139">
        <v>11.51</v>
      </c>
      <c r="T627" s="157">
        <v>41853</v>
      </c>
      <c r="U627" s="139">
        <v>15.3</v>
      </c>
      <c r="Y627" s="139">
        <f t="shared" si="9"/>
        <v>4.8278399999999992</v>
      </c>
      <c r="AA627" s="139">
        <v>51.27</v>
      </c>
      <c r="AE627" s="139">
        <v>22.56</v>
      </c>
      <c r="AG627" s="185">
        <v>4.4000000000000004</v>
      </c>
      <c r="AI627" s="185">
        <v>130</v>
      </c>
      <c r="AJ627" s="157">
        <v>41803</v>
      </c>
      <c r="AO627" s="139">
        <v>92</v>
      </c>
      <c r="AP627" s="157">
        <v>41738</v>
      </c>
      <c r="AS627" s="139">
        <v>127</v>
      </c>
      <c r="AT627" s="157">
        <v>41766</v>
      </c>
      <c r="BS627" s="140">
        <v>51</v>
      </c>
      <c r="BU627" s="140">
        <v>21.4</v>
      </c>
      <c r="BW627" s="140">
        <v>8.9</v>
      </c>
      <c r="BY627" s="140">
        <v>10.5</v>
      </c>
      <c r="CJ627" s="140" t="s">
        <v>8140</v>
      </c>
    </row>
    <row r="628" spans="1:88">
      <c r="A628" s="158" t="s">
        <v>7717</v>
      </c>
      <c r="B628" s="112" t="s">
        <v>271</v>
      </c>
      <c r="C628" s="112">
        <v>3</v>
      </c>
      <c r="D628">
        <v>102</v>
      </c>
      <c r="E628" s="113">
        <v>72</v>
      </c>
      <c r="F628" s="113">
        <v>3</v>
      </c>
      <c r="I628" s="112">
        <v>29</v>
      </c>
      <c r="J628" s="183">
        <v>41705</v>
      </c>
      <c r="M628" s="184">
        <v>2.04</v>
      </c>
      <c r="N628" s="157">
        <v>41853</v>
      </c>
      <c r="S628" s="139">
        <v>6.22</v>
      </c>
      <c r="T628" s="157">
        <v>41853</v>
      </c>
      <c r="U628" s="139">
        <v>15.3</v>
      </c>
      <c r="Y628" s="139">
        <f t="shared" si="9"/>
        <v>2.9884499999999998</v>
      </c>
      <c r="AA628" s="139">
        <v>29</v>
      </c>
      <c r="AE628" s="139">
        <v>13.05</v>
      </c>
      <c r="AG628" s="185">
        <v>4.5</v>
      </c>
      <c r="AI628" s="185">
        <v>120</v>
      </c>
      <c r="AJ628" s="157">
        <v>41803</v>
      </c>
      <c r="AO628" s="139">
        <v>91</v>
      </c>
      <c r="AP628" s="157">
        <v>41738</v>
      </c>
      <c r="AS628" s="139">
        <v>128</v>
      </c>
      <c r="AT628" s="157">
        <v>41766</v>
      </c>
      <c r="BS628" s="140">
        <v>47.7</v>
      </c>
      <c r="BU628" s="140">
        <v>22.9</v>
      </c>
      <c r="BW628" s="140">
        <v>11.2</v>
      </c>
      <c r="BY628" s="140">
        <v>10.9</v>
      </c>
      <c r="CJ628" s="140" t="s">
        <v>8140</v>
      </c>
    </row>
    <row r="629" spans="1:88">
      <c r="A629" s="158" t="s">
        <v>7683</v>
      </c>
      <c r="B629" s="112" t="s">
        <v>271</v>
      </c>
      <c r="C629" s="112">
        <v>3</v>
      </c>
      <c r="D629">
        <v>68</v>
      </c>
      <c r="E629" s="113">
        <v>72</v>
      </c>
      <c r="F629" s="113">
        <v>4</v>
      </c>
      <c r="I629" s="112">
        <v>31</v>
      </c>
      <c r="J629" s="183">
        <v>41705</v>
      </c>
      <c r="M629" s="184">
        <v>3.52</v>
      </c>
      <c r="N629" s="157">
        <v>41853</v>
      </c>
      <c r="S629" s="139">
        <v>11.06</v>
      </c>
      <c r="T629" s="157">
        <v>41853</v>
      </c>
      <c r="U629" s="139">
        <v>15.3</v>
      </c>
      <c r="Y629" s="139">
        <f t="shared" si="9"/>
        <v>4.8890099999999999</v>
      </c>
      <c r="AA629" s="139">
        <v>40.96</v>
      </c>
      <c r="AE629" s="139">
        <v>22.53</v>
      </c>
      <c r="AG629" s="185">
        <v>5.5</v>
      </c>
      <c r="AI629" s="185">
        <v>130</v>
      </c>
      <c r="AJ629" s="157">
        <v>41803</v>
      </c>
      <c r="AO629" s="139">
        <v>95</v>
      </c>
      <c r="AP629" s="157">
        <v>41738</v>
      </c>
      <c r="AS629" s="139">
        <v>127</v>
      </c>
      <c r="AT629" s="157">
        <v>41766</v>
      </c>
      <c r="BS629" s="140">
        <v>49.1</v>
      </c>
      <c r="BU629" s="140">
        <v>21.7</v>
      </c>
      <c r="BW629" s="140">
        <v>15.4</v>
      </c>
      <c r="BY629" s="140">
        <v>10.9</v>
      </c>
      <c r="CJ629" s="140" t="s">
        <v>8140</v>
      </c>
    </row>
    <row r="630" spans="1:88">
      <c r="A630" s="158" t="s">
        <v>7804</v>
      </c>
      <c r="B630" s="112" t="s">
        <v>271</v>
      </c>
      <c r="C630" s="112">
        <v>3</v>
      </c>
      <c r="D630">
        <v>189</v>
      </c>
      <c r="E630" s="113">
        <v>72</v>
      </c>
      <c r="F630" s="113">
        <v>5</v>
      </c>
      <c r="I630" s="112">
        <v>39</v>
      </c>
      <c r="J630" s="183">
        <v>41705</v>
      </c>
      <c r="M630" s="184">
        <v>4.0599999999999996</v>
      </c>
      <c r="N630" s="157">
        <v>41853</v>
      </c>
      <c r="S630" s="139">
        <v>13.12</v>
      </c>
      <c r="T630" s="157">
        <v>41853</v>
      </c>
      <c r="U630" s="139">
        <v>15.3</v>
      </c>
      <c r="Y630" s="139">
        <f t="shared" si="9"/>
        <v>5.4038399999999998</v>
      </c>
      <c r="AA630" s="139">
        <v>59.05</v>
      </c>
      <c r="AE630" s="139">
        <v>25.98</v>
      </c>
      <c r="AG630" s="185">
        <v>4.4000000000000004</v>
      </c>
      <c r="AI630" s="185">
        <v>125</v>
      </c>
      <c r="AJ630" s="157">
        <v>41803</v>
      </c>
      <c r="AO630" s="139">
        <v>93</v>
      </c>
      <c r="AP630" s="157">
        <v>41738</v>
      </c>
      <c r="AS630" s="139">
        <v>127</v>
      </c>
      <c r="AT630" s="157">
        <v>41766</v>
      </c>
      <c r="BS630" s="140">
        <v>50.5</v>
      </c>
      <c r="BU630" s="140">
        <v>20.8</v>
      </c>
      <c r="BW630" s="140">
        <v>16.399999999999999</v>
      </c>
      <c r="BY630" s="140">
        <v>10.9</v>
      </c>
      <c r="CJ630" s="140" t="s">
        <v>8140</v>
      </c>
    </row>
    <row r="631" spans="1:88">
      <c r="A631" s="158" t="s">
        <v>7726</v>
      </c>
      <c r="B631" s="112" t="s">
        <v>271</v>
      </c>
      <c r="C631" s="112">
        <v>3</v>
      </c>
      <c r="D631">
        <v>111</v>
      </c>
      <c r="E631" s="113">
        <v>72</v>
      </c>
      <c r="F631" s="113">
        <v>6</v>
      </c>
      <c r="I631" s="112">
        <v>32</v>
      </c>
      <c r="J631" s="183">
        <v>41705</v>
      </c>
      <c r="M631" s="184">
        <v>4.5599999999999996</v>
      </c>
      <c r="N631" s="157">
        <v>41853</v>
      </c>
      <c r="S631" s="139">
        <v>14.89</v>
      </c>
      <c r="T631" s="157">
        <v>41853</v>
      </c>
      <c r="U631" s="139">
        <v>15.3</v>
      </c>
      <c r="Y631" s="139">
        <f t="shared" si="9"/>
        <v>5.7622499999999999</v>
      </c>
      <c r="AA631" s="139">
        <v>60.94</v>
      </c>
      <c r="AE631" s="139">
        <v>29.25</v>
      </c>
      <c r="AG631" s="185">
        <v>4.8</v>
      </c>
      <c r="AI631" s="185">
        <v>120</v>
      </c>
      <c r="AJ631" s="157">
        <v>41803</v>
      </c>
      <c r="AO631" s="139">
        <v>91</v>
      </c>
      <c r="AP631" s="157">
        <v>41738</v>
      </c>
      <c r="AS631" s="139">
        <v>127</v>
      </c>
      <c r="AT631" s="157">
        <v>41766</v>
      </c>
      <c r="BS631" s="140">
        <v>50.9</v>
      </c>
      <c r="BU631" s="140">
        <v>19.7</v>
      </c>
      <c r="BW631" s="140">
        <v>18</v>
      </c>
      <c r="BY631" s="140">
        <v>10.7</v>
      </c>
      <c r="CJ631" s="140" t="s">
        <v>8140</v>
      </c>
    </row>
    <row r="632" spans="1:88">
      <c r="A632" s="158" t="s">
        <v>7633</v>
      </c>
      <c r="B632" s="112" t="s">
        <v>269</v>
      </c>
      <c r="C632" s="112">
        <v>4</v>
      </c>
      <c r="D632">
        <v>18</v>
      </c>
      <c r="E632" s="113">
        <v>72</v>
      </c>
      <c r="F632" s="113">
        <v>7</v>
      </c>
      <c r="I632" s="187">
        <v>58</v>
      </c>
      <c r="J632" s="183">
        <v>41705</v>
      </c>
      <c r="K632" s="142"/>
      <c r="M632" s="184">
        <v>2.37</v>
      </c>
      <c r="N632" s="157">
        <v>41853</v>
      </c>
      <c r="O632" s="141"/>
      <c r="Q632" s="142"/>
      <c r="S632" s="142">
        <v>8.02</v>
      </c>
      <c r="T632" s="157">
        <v>41853</v>
      </c>
      <c r="U632" s="142">
        <v>15.3</v>
      </c>
      <c r="W632" s="142"/>
      <c r="Y632" s="139">
        <f t="shared" si="9"/>
        <v>2.9884900000000001</v>
      </c>
      <c r="AA632" s="142">
        <v>32.979999999999997</v>
      </c>
      <c r="AE632" s="142">
        <v>15.17</v>
      </c>
      <c r="AG632" s="185">
        <v>4.5999999999999996</v>
      </c>
      <c r="AI632" s="185">
        <v>105</v>
      </c>
      <c r="AJ632" s="157">
        <v>41803</v>
      </c>
      <c r="AK632" s="142"/>
      <c r="AM632" s="142"/>
      <c r="AO632" s="139">
        <v>91</v>
      </c>
      <c r="AP632" s="157">
        <v>41738</v>
      </c>
      <c r="AS632" s="139">
        <v>126</v>
      </c>
      <c r="AT632" s="157">
        <v>41766</v>
      </c>
      <c r="BS632" s="140">
        <v>52.9</v>
      </c>
      <c r="BU632" s="140">
        <v>19.7</v>
      </c>
      <c r="BW632" s="140">
        <v>55.1</v>
      </c>
      <c r="BY632" s="140">
        <v>10.9</v>
      </c>
      <c r="CJ632" s="140" t="s">
        <v>8140</v>
      </c>
    </row>
    <row r="633" spans="1:88">
      <c r="A633" s="158" t="s">
        <v>7710</v>
      </c>
      <c r="B633" s="112" t="s">
        <v>269</v>
      </c>
      <c r="C633" s="112">
        <v>4</v>
      </c>
      <c r="D633">
        <v>95</v>
      </c>
      <c r="E633" s="113">
        <v>72</v>
      </c>
      <c r="F633" s="113">
        <v>8</v>
      </c>
      <c r="I633" s="112">
        <v>34</v>
      </c>
      <c r="J633" s="183">
        <v>41705</v>
      </c>
      <c r="M633" s="184">
        <v>2.57</v>
      </c>
      <c r="N633" s="157">
        <v>41853</v>
      </c>
      <c r="S633" s="139">
        <v>8.41</v>
      </c>
      <c r="T633" s="157">
        <v>41853</v>
      </c>
      <c r="U633" s="139">
        <v>15.3</v>
      </c>
      <c r="Y633" s="139">
        <f t="shared" si="9"/>
        <v>3.1748500000000002</v>
      </c>
      <c r="AA633" s="139">
        <v>39.17</v>
      </c>
      <c r="AE633" s="139">
        <v>16.45</v>
      </c>
      <c r="AG633" s="185">
        <v>4.2</v>
      </c>
      <c r="AI633" s="185">
        <v>125</v>
      </c>
      <c r="AJ633" s="157">
        <v>41803</v>
      </c>
      <c r="AO633" s="139">
        <v>91</v>
      </c>
      <c r="AP633" s="157">
        <v>41738</v>
      </c>
      <c r="AS633" s="139">
        <v>128</v>
      </c>
      <c r="AT633" s="157">
        <v>41766</v>
      </c>
      <c r="BS633" s="140">
        <v>51.1</v>
      </c>
      <c r="BU633" s="140">
        <v>19.3</v>
      </c>
      <c r="BW633" s="140">
        <v>21.7</v>
      </c>
      <c r="BY633" s="140">
        <v>10.9</v>
      </c>
      <c r="CJ633" s="140" t="s">
        <v>8140</v>
      </c>
    </row>
    <row r="634" spans="1:88">
      <c r="A634" s="158" t="s">
        <v>7771</v>
      </c>
      <c r="B634" s="112" t="s">
        <v>269</v>
      </c>
      <c r="C634" s="112">
        <v>4</v>
      </c>
      <c r="D634">
        <v>156</v>
      </c>
      <c r="E634" s="113">
        <v>72</v>
      </c>
      <c r="F634" s="113">
        <v>9</v>
      </c>
      <c r="I634" s="112">
        <v>55</v>
      </c>
      <c r="J634" s="183">
        <v>41705</v>
      </c>
      <c r="M634" s="184">
        <v>2.5499999999999998</v>
      </c>
      <c r="N634" s="157">
        <v>41853</v>
      </c>
      <c r="S634" s="139">
        <v>8.6999999999999993</v>
      </c>
      <c r="T634" s="157">
        <v>41853</v>
      </c>
      <c r="U634" s="139">
        <v>15.3</v>
      </c>
      <c r="Y634" s="139">
        <f t="shared" si="9"/>
        <v>2.9375999999999998</v>
      </c>
      <c r="AA634" s="139">
        <v>34</v>
      </c>
      <c r="AE634" s="139">
        <v>16.32</v>
      </c>
      <c r="AG634" s="185">
        <v>4.8</v>
      </c>
      <c r="AI634" s="185">
        <v>115</v>
      </c>
      <c r="AJ634" s="157">
        <v>41803</v>
      </c>
      <c r="AO634" s="139">
        <v>92</v>
      </c>
      <c r="AP634" s="157">
        <v>41738</v>
      </c>
      <c r="AS634" s="139">
        <v>127</v>
      </c>
      <c r="AT634" s="157">
        <v>41766</v>
      </c>
      <c r="BS634" s="140">
        <v>53.3</v>
      </c>
      <c r="BU634" s="140">
        <v>18</v>
      </c>
      <c r="BW634" s="140">
        <v>13.5</v>
      </c>
      <c r="BY634" s="140">
        <v>10.9</v>
      </c>
      <c r="CJ634" s="140" t="s">
        <v>8140</v>
      </c>
    </row>
    <row r="635" spans="1:88">
      <c r="A635" s="158" t="s">
        <v>7663</v>
      </c>
      <c r="B635" s="112" t="s">
        <v>269</v>
      </c>
      <c r="C635" s="112">
        <v>4</v>
      </c>
      <c r="D635">
        <v>48</v>
      </c>
      <c r="E635" s="113">
        <v>72</v>
      </c>
      <c r="F635" s="113">
        <v>10</v>
      </c>
      <c r="I635" s="112">
        <v>34</v>
      </c>
      <c r="J635" s="183">
        <v>41705</v>
      </c>
      <c r="M635" s="184">
        <v>1.78</v>
      </c>
      <c r="N635" s="157">
        <v>41853</v>
      </c>
      <c r="S635" s="139">
        <v>5.66</v>
      </c>
      <c r="T635" s="157">
        <v>41853</v>
      </c>
      <c r="U635" s="139">
        <v>15.3</v>
      </c>
      <c r="Y635" s="139">
        <f t="shared" si="9"/>
        <v>2.278</v>
      </c>
      <c r="AA635" s="139">
        <v>27.12</v>
      </c>
      <c r="AE635" s="139">
        <v>11.39</v>
      </c>
      <c r="AG635" s="185">
        <v>4.2</v>
      </c>
      <c r="AI635" s="185">
        <v>105</v>
      </c>
      <c r="AJ635" s="157">
        <v>41803</v>
      </c>
      <c r="AO635" s="139">
        <v>90</v>
      </c>
      <c r="AP635" s="157">
        <v>41738</v>
      </c>
      <c r="AS635" s="139">
        <v>127</v>
      </c>
      <c r="AT635" s="157">
        <v>41766</v>
      </c>
      <c r="BS635" s="140">
        <v>49.7</v>
      </c>
      <c r="BU635" s="140">
        <v>20</v>
      </c>
      <c r="BW635" s="140">
        <v>61.3</v>
      </c>
      <c r="BY635" s="140">
        <v>10.9</v>
      </c>
      <c r="CJ635" s="140" t="s">
        <v>8140</v>
      </c>
    </row>
    <row r="636" spans="1:88">
      <c r="A636" s="158" t="s">
        <v>7679</v>
      </c>
      <c r="B636" s="112" t="s">
        <v>269</v>
      </c>
      <c r="C636" s="112">
        <v>4</v>
      </c>
      <c r="D636">
        <v>64</v>
      </c>
      <c r="E636" s="113">
        <v>72</v>
      </c>
      <c r="F636" s="113">
        <v>11</v>
      </c>
      <c r="I636" s="112">
        <v>39</v>
      </c>
      <c r="J636" s="183">
        <v>41705</v>
      </c>
      <c r="M636" s="184">
        <v>1.46</v>
      </c>
      <c r="N636" s="157">
        <v>41853</v>
      </c>
      <c r="S636" s="139">
        <v>4.68</v>
      </c>
      <c r="T636" s="157">
        <v>41853</v>
      </c>
      <c r="U636" s="139">
        <v>15.3</v>
      </c>
      <c r="Y636" s="139">
        <f t="shared" si="9"/>
        <v>1.81196</v>
      </c>
      <c r="AA636" s="139">
        <v>19.059999999999999</v>
      </c>
      <c r="AE636" s="139">
        <v>9.34</v>
      </c>
      <c r="AG636" s="185">
        <v>4.9000000000000004</v>
      </c>
      <c r="AI636" s="185">
        <v>105</v>
      </c>
      <c r="AJ636" s="157">
        <v>41803</v>
      </c>
      <c r="AO636" s="139">
        <v>87</v>
      </c>
      <c r="AP636" s="157">
        <v>41738</v>
      </c>
      <c r="AS636" s="139">
        <v>127</v>
      </c>
      <c r="AT636" s="157">
        <v>41766</v>
      </c>
      <c r="BS636" s="140">
        <v>50.1</v>
      </c>
      <c r="BU636" s="140">
        <v>19.399999999999999</v>
      </c>
      <c r="BW636" s="140">
        <v>25.9</v>
      </c>
      <c r="BY636" s="140">
        <v>10.9</v>
      </c>
      <c r="CJ636" s="140" t="s">
        <v>8151</v>
      </c>
    </row>
    <row r="637" spans="1:88">
      <c r="A637" s="158" t="s">
        <v>7639</v>
      </c>
      <c r="B637" s="112" t="s">
        <v>269</v>
      </c>
      <c r="C637" s="112">
        <v>4</v>
      </c>
      <c r="D637">
        <v>24</v>
      </c>
      <c r="E637" s="113">
        <v>72</v>
      </c>
      <c r="F637" s="113">
        <v>12</v>
      </c>
      <c r="I637" s="112">
        <v>38</v>
      </c>
      <c r="J637" s="183">
        <v>41705</v>
      </c>
      <c r="M637" s="184">
        <v>2.34</v>
      </c>
      <c r="N637" s="157">
        <v>41853</v>
      </c>
      <c r="S637" s="139">
        <v>7.54</v>
      </c>
      <c r="T637" s="157">
        <v>41853</v>
      </c>
      <c r="U637" s="139">
        <v>15.3</v>
      </c>
      <c r="Y637" s="139">
        <f t="shared" si="9"/>
        <v>2.9640599999999999</v>
      </c>
      <c r="AA637" s="139">
        <v>31.19</v>
      </c>
      <c r="AE637" s="139">
        <v>14.97</v>
      </c>
      <c r="AG637" s="185">
        <v>4.8</v>
      </c>
      <c r="AI637" s="185">
        <v>125</v>
      </c>
      <c r="AJ637" s="157">
        <v>41803</v>
      </c>
      <c r="AO637" s="139">
        <v>94</v>
      </c>
      <c r="AP637" s="157">
        <v>41738</v>
      </c>
      <c r="AS637" s="139">
        <v>127</v>
      </c>
      <c r="AT637" s="157">
        <v>41766</v>
      </c>
      <c r="BS637" s="140">
        <v>50.4</v>
      </c>
      <c r="BU637" s="140">
        <v>19.8</v>
      </c>
      <c r="BW637" s="140">
        <v>50.4</v>
      </c>
      <c r="BY637" s="140">
        <v>10.9</v>
      </c>
      <c r="CJ637" s="140" t="s">
        <v>8140</v>
      </c>
    </row>
    <row r="638" spans="1:88">
      <c r="A638" s="158" t="s">
        <v>7673</v>
      </c>
      <c r="B638" s="112" t="s">
        <v>271</v>
      </c>
      <c r="C638" s="112">
        <v>3</v>
      </c>
      <c r="D638">
        <v>58</v>
      </c>
      <c r="E638" s="113">
        <v>73</v>
      </c>
      <c r="F638" s="113">
        <v>1</v>
      </c>
      <c r="I638" s="112">
        <v>30</v>
      </c>
      <c r="J638" s="183">
        <v>41705</v>
      </c>
      <c r="M638" s="184">
        <v>3.1</v>
      </c>
      <c r="N638" s="157">
        <v>41853</v>
      </c>
      <c r="S638" s="139">
        <v>9.7100000000000009</v>
      </c>
      <c r="T638" s="157">
        <v>41853</v>
      </c>
      <c r="U638" s="139">
        <v>15.3</v>
      </c>
      <c r="Y638" s="139">
        <f t="shared" si="9"/>
        <v>4.2103199999999994</v>
      </c>
      <c r="AA638" s="139">
        <v>45.14</v>
      </c>
      <c r="AE638" s="139">
        <v>19.86</v>
      </c>
      <c r="AG638" s="185">
        <v>4.4000000000000004</v>
      </c>
      <c r="AI638" s="185">
        <v>145</v>
      </c>
      <c r="AJ638" s="157">
        <v>41803</v>
      </c>
      <c r="AO638" s="139">
        <v>100</v>
      </c>
      <c r="AP638" s="157">
        <v>41738</v>
      </c>
      <c r="AS638" s="139">
        <v>129</v>
      </c>
      <c r="AT638" s="157">
        <v>41766</v>
      </c>
      <c r="BS638" s="140">
        <v>48.9</v>
      </c>
      <c r="BU638" s="140">
        <v>21.2</v>
      </c>
      <c r="BW638" s="140">
        <v>18.600000000000001</v>
      </c>
      <c r="BY638" s="140">
        <v>10.8</v>
      </c>
      <c r="CJ638" s="140" t="s">
        <v>8131</v>
      </c>
    </row>
    <row r="639" spans="1:88">
      <c r="A639" s="158" t="s">
        <v>7802</v>
      </c>
      <c r="B639" s="112" t="s">
        <v>271</v>
      </c>
      <c r="C639" s="112">
        <v>3</v>
      </c>
      <c r="D639">
        <v>187</v>
      </c>
      <c r="E639" s="113">
        <v>73</v>
      </c>
      <c r="F639" s="113">
        <v>2</v>
      </c>
      <c r="I639" s="112">
        <v>50</v>
      </c>
      <c r="J639" s="183">
        <v>41705</v>
      </c>
      <c r="M639" s="184">
        <v>4.26</v>
      </c>
      <c r="N639" s="157">
        <v>41853</v>
      </c>
      <c r="S639" s="139">
        <v>13.23</v>
      </c>
      <c r="T639" s="157">
        <v>41853</v>
      </c>
      <c r="U639" s="139">
        <v>15.3</v>
      </c>
      <c r="Y639" s="139">
        <f t="shared" si="9"/>
        <v>6.1947600000000014</v>
      </c>
      <c r="AA639" s="139">
        <v>54.34</v>
      </c>
      <c r="AE639" s="139">
        <v>27.17</v>
      </c>
      <c r="AG639" s="185">
        <v>5</v>
      </c>
      <c r="AI639" s="185">
        <v>130</v>
      </c>
      <c r="AJ639" s="157">
        <v>41803</v>
      </c>
      <c r="AO639" s="139">
        <v>91</v>
      </c>
      <c r="AP639" s="157">
        <v>41738</v>
      </c>
      <c r="AS639" s="139">
        <v>127</v>
      </c>
      <c r="AT639" s="157">
        <v>41766</v>
      </c>
      <c r="BS639" s="140">
        <v>48.7</v>
      </c>
      <c r="BU639" s="140">
        <v>22.8</v>
      </c>
      <c r="BW639" s="140">
        <v>13.3</v>
      </c>
      <c r="BY639" s="140">
        <v>11.2</v>
      </c>
      <c r="CJ639" s="140" t="s">
        <v>8140</v>
      </c>
    </row>
    <row r="640" spans="1:88">
      <c r="A640" s="158" t="s">
        <v>7693</v>
      </c>
      <c r="B640" s="112" t="s">
        <v>271</v>
      </c>
      <c r="C640" s="112">
        <v>3</v>
      </c>
      <c r="D640">
        <v>78</v>
      </c>
      <c r="E640" s="113">
        <v>73</v>
      </c>
      <c r="F640" s="113">
        <v>3</v>
      </c>
      <c r="I640" s="112">
        <v>44</v>
      </c>
      <c r="J640" s="183">
        <v>41705</v>
      </c>
      <c r="M640" s="184">
        <v>4.2300000000000004</v>
      </c>
      <c r="N640" s="157">
        <v>41853</v>
      </c>
      <c r="S640" s="139">
        <v>13.87</v>
      </c>
      <c r="T640" s="157">
        <v>41853</v>
      </c>
      <c r="U640" s="139">
        <v>15.3</v>
      </c>
      <c r="Y640" s="139">
        <f t="shared" si="9"/>
        <v>5.7642800000000003</v>
      </c>
      <c r="AA640" s="139">
        <v>53.31</v>
      </c>
      <c r="AE640" s="139">
        <v>27.19</v>
      </c>
      <c r="AG640" s="185">
        <v>5.0999999999999996</v>
      </c>
      <c r="AI640" s="185">
        <v>120</v>
      </c>
      <c r="AJ640" s="157">
        <v>41803</v>
      </c>
      <c r="AO640" s="139">
        <v>91</v>
      </c>
      <c r="AP640" s="157">
        <v>41738</v>
      </c>
      <c r="AS640" s="139">
        <v>126</v>
      </c>
      <c r="AT640" s="157">
        <v>41766</v>
      </c>
      <c r="BS640" s="140">
        <v>51</v>
      </c>
      <c r="BU640" s="140">
        <v>21.2</v>
      </c>
      <c r="BW640" s="140">
        <v>14.1</v>
      </c>
      <c r="BY640" s="140">
        <v>10.5</v>
      </c>
      <c r="CJ640" s="140" t="s">
        <v>8140</v>
      </c>
    </row>
    <row r="641" spans="1:91">
      <c r="A641" s="158" t="s">
        <v>7779</v>
      </c>
      <c r="B641" s="112" t="s">
        <v>271</v>
      </c>
      <c r="C641" s="112">
        <v>3</v>
      </c>
      <c r="D641">
        <v>164</v>
      </c>
      <c r="E641" s="113">
        <v>73</v>
      </c>
      <c r="F641" s="113">
        <v>4</v>
      </c>
      <c r="I641" s="112">
        <v>30</v>
      </c>
      <c r="J641" s="183">
        <v>41705</v>
      </c>
      <c r="M641" s="184">
        <v>3.38</v>
      </c>
      <c r="N641" s="157">
        <v>41853</v>
      </c>
      <c r="S641" s="139">
        <v>10.53</v>
      </c>
      <c r="T641" s="157">
        <v>41853</v>
      </c>
      <c r="U641" s="139">
        <v>15.3</v>
      </c>
      <c r="Y641" s="139">
        <f t="shared" si="9"/>
        <v>4.7741999999999996</v>
      </c>
      <c r="AA641" s="139">
        <v>50.93</v>
      </c>
      <c r="AE641" s="139">
        <v>21.9</v>
      </c>
      <c r="AG641" s="185">
        <v>4.3</v>
      </c>
      <c r="AI641" s="185">
        <v>120</v>
      </c>
      <c r="AJ641" s="157">
        <v>41803</v>
      </c>
      <c r="AO641" s="139">
        <v>92</v>
      </c>
      <c r="AP641" s="157">
        <v>41738</v>
      </c>
      <c r="AS641" s="139">
        <v>127</v>
      </c>
      <c r="AT641" s="157">
        <v>41766</v>
      </c>
      <c r="BS641" s="140">
        <v>48.1</v>
      </c>
      <c r="BU641" s="140">
        <v>21.8</v>
      </c>
      <c r="BW641" s="140">
        <v>12.6</v>
      </c>
      <c r="BY641" s="140">
        <v>9.8000000000000007</v>
      </c>
      <c r="CJ641" s="140" t="s">
        <v>8140</v>
      </c>
    </row>
    <row r="642" spans="1:91">
      <c r="A642" s="158" t="s">
        <v>7720</v>
      </c>
      <c r="B642" s="112" t="s">
        <v>271</v>
      </c>
      <c r="C642" s="112">
        <v>3</v>
      </c>
      <c r="D642">
        <v>105</v>
      </c>
      <c r="E642" s="113">
        <v>73</v>
      </c>
      <c r="F642" s="113">
        <v>5</v>
      </c>
      <c r="I642" s="112">
        <v>43</v>
      </c>
      <c r="J642" s="183">
        <v>41705</v>
      </c>
      <c r="M642" s="184">
        <v>5.0999999999999996</v>
      </c>
      <c r="N642" s="157">
        <v>41853</v>
      </c>
      <c r="S642" s="139">
        <v>15.48</v>
      </c>
      <c r="T642" s="157">
        <v>41853</v>
      </c>
      <c r="U642" s="139">
        <v>15.3</v>
      </c>
      <c r="Y642" s="139">
        <f t="shared" ref="Y642:Y705" si="10">(AE642*BU642)/100</f>
        <v>6.8969400000000007</v>
      </c>
      <c r="AA642" s="139">
        <v>66.08</v>
      </c>
      <c r="AE642" s="139">
        <v>32.380000000000003</v>
      </c>
      <c r="AG642" s="185">
        <v>4.9000000000000004</v>
      </c>
      <c r="AI642" s="185">
        <v>120</v>
      </c>
      <c r="AJ642" s="157">
        <v>41803</v>
      </c>
      <c r="AO642" s="139">
        <v>94</v>
      </c>
      <c r="AP642" s="157">
        <v>41738</v>
      </c>
      <c r="AS642" s="139">
        <v>127</v>
      </c>
      <c r="AT642" s="157">
        <v>41766</v>
      </c>
      <c r="BS642" s="140">
        <v>47.8</v>
      </c>
      <c r="BU642" s="140">
        <v>21.3</v>
      </c>
      <c r="BW642" s="140">
        <v>12.8</v>
      </c>
      <c r="BY642" s="140">
        <v>11.6</v>
      </c>
      <c r="CJ642" s="140" t="s">
        <v>8140</v>
      </c>
    </row>
    <row r="643" spans="1:91">
      <c r="A643" s="158" t="s">
        <v>7635</v>
      </c>
      <c r="B643" s="112" t="s">
        <v>271</v>
      </c>
      <c r="C643" s="112">
        <v>3</v>
      </c>
      <c r="D643">
        <v>20</v>
      </c>
      <c r="E643" s="113">
        <v>73</v>
      </c>
      <c r="F643" s="113">
        <v>6</v>
      </c>
      <c r="I643" s="187">
        <v>48</v>
      </c>
      <c r="J643" s="183">
        <v>41705</v>
      </c>
      <c r="K643" s="142"/>
      <c r="M643" s="184">
        <v>2.34</v>
      </c>
      <c r="N643" s="157">
        <v>41853</v>
      </c>
      <c r="O643" s="141"/>
      <c r="Q643" s="142"/>
      <c r="S643" s="142">
        <v>7.03</v>
      </c>
      <c r="T643" s="157">
        <v>41853</v>
      </c>
      <c r="U643" s="142">
        <v>15.3</v>
      </c>
      <c r="W643" s="142"/>
      <c r="Y643" s="139">
        <f t="shared" si="10"/>
        <v>3.61259</v>
      </c>
      <c r="AA643" s="142">
        <v>35.69</v>
      </c>
      <c r="AE643" s="142">
        <v>14.99</v>
      </c>
      <c r="AG643" s="185">
        <v>4.2</v>
      </c>
      <c r="AI643" s="185">
        <v>110</v>
      </c>
      <c r="AJ643" s="157">
        <v>41803</v>
      </c>
      <c r="AK643" s="142"/>
      <c r="AM643" s="142"/>
      <c r="AO643" s="139">
        <v>75</v>
      </c>
      <c r="AP643" s="157">
        <v>41738</v>
      </c>
      <c r="AS643" s="139">
        <v>126</v>
      </c>
      <c r="AT643" s="157">
        <v>41766</v>
      </c>
      <c r="BS643" s="140">
        <v>46.9</v>
      </c>
      <c r="BU643" s="140">
        <v>24.1</v>
      </c>
      <c r="BW643" s="140">
        <v>56.5</v>
      </c>
      <c r="BY643" s="140">
        <v>10.8</v>
      </c>
      <c r="CJ643" s="140" t="s">
        <v>8142</v>
      </c>
    </row>
    <row r="644" spans="1:91">
      <c r="A644" s="158" t="s">
        <v>7677</v>
      </c>
      <c r="B644" s="112" t="s">
        <v>269</v>
      </c>
      <c r="C644" s="112">
        <v>4</v>
      </c>
      <c r="D644">
        <v>62</v>
      </c>
      <c r="E644" s="113">
        <v>73</v>
      </c>
      <c r="F644" s="113">
        <v>7</v>
      </c>
      <c r="I644" s="112">
        <v>48</v>
      </c>
      <c r="J644" s="183">
        <v>41705</v>
      </c>
      <c r="M644" s="184">
        <v>1.62</v>
      </c>
      <c r="N644" s="157">
        <v>41853</v>
      </c>
      <c r="S644" s="139">
        <v>5.05</v>
      </c>
      <c r="T644" s="157">
        <v>41853</v>
      </c>
      <c r="U644" s="139">
        <v>15.3</v>
      </c>
      <c r="Y644" s="139">
        <f t="shared" si="10"/>
        <v>2.1673299999999998</v>
      </c>
      <c r="AA644" s="139">
        <v>23.04</v>
      </c>
      <c r="AE644" s="139">
        <v>10.37</v>
      </c>
      <c r="AG644" s="185">
        <v>4.5</v>
      </c>
      <c r="AI644" s="185">
        <v>100</v>
      </c>
      <c r="AJ644" s="157">
        <v>41803</v>
      </c>
      <c r="AO644" s="139">
        <v>97</v>
      </c>
      <c r="AP644" s="157">
        <v>41738</v>
      </c>
      <c r="AS644" s="139">
        <v>127</v>
      </c>
      <c r="AT644" s="157">
        <v>41766</v>
      </c>
      <c r="BS644" s="140">
        <v>48.7</v>
      </c>
      <c r="BU644" s="140">
        <v>20.9</v>
      </c>
      <c r="BW644" s="140">
        <v>12.1</v>
      </c>
      <c r="BY644" s="140">
        <v>10.9</v>
      </c>
      <c r="CJ644" s="140" t="s">
        <v>8131</v>
      </c>
    </row>
    <row r="645" spans="1:91">
      <c r="A645" s="158" t="s">
        <v>7649</v>
      </c>
      <c r="B645" s="112" t="s">
        <v>269</v>
      </c>
      <c r="C645" s="112">
        <v>4</v>
      </c>
      <c r="D645">
        <v>34</v>
      </c>
      <c r="E645" s="113">
        <v>73</v>
      </c>
      <c r="F645" s="113">
        <v>8</v>
      </c>
      <c r="I645" s="112">
        <v>45</v>
      </c>
      <c r="J645" s="183">
        <v>41705</v>
      </c>
      <c r="M645" s="184">
        <v>2.4700000000000002</v>
      </c>
      <c r="N645" s="157">
        <v>41853</v>
      </c>
      <c r="S645" s="139">
        <v>7.56</v>
      </c>
      <c r="T645" s="157">
        <v>41853</v>
      </c>
      <c r="U645" s="139">
        <v>15.3</v>
      </c>
      <c r="Y645" s="139">
        <f t="shared" si="10"/>
        <v>3.24105</v>
      </c>
      <c r="AA645" s="139">
        <v>34.369999999999997</v>
      </c>
      <c r="AE645" s="139">
        <v>15.81</v>
      </c>
      <c r="AG645" s="185">
        <v>4.5999999999999996</v>
      </c>
      <c r="AI645" s="185">
        <v>115</v>
      </c>
      <c r="AJ645" s="157">
        <v>41803</v>
      </c>
      <c r="AO645" s="139">
        <v>94</v>
      </c>
      <c r="AP645" s="157">
        <v>41738</v>
      </c>
      <c r="AS645" s="139">
        <v>125</v>
      </c>
      <c r="AT645" s="157">
        <v>41766</v>
      </c>
      <c r="BS645" s="140">
        <v>47.8</v>
      </c>
      <c r="BU645" s="140">
        <v>20.5</v>
      </c>
      <c r="BW645" s="140">
        <v>65.7</v>
      </c>
      <c r="BY645" s="140">
        <v>10.9</v>
      </c>
      <c r="CJ645" s="140" t="s">
        <v>8140</v>
      </c>
    </row>
    <row r="646" spans="1:91">
      <c r="A646" s="188" t="s">
        <v>7768</v>
      </c>
      <c r="B646" s="189" t="s">
        <v>269</v>
      </c>
      <c r="C646" s="189">
        <v>4</v>
      </c>
      <c r="D646" s="190">
        <v>153</v>
      </c>
      <c r="E646" s="191">
        <v>73</v>
      </c>
      <c r="F646" s="191">
        <v>9</v>
      </c>
      <c r="G646" s="191"/>
      <c r="H646" s="191"/>
      <c r="I646" s="189">
        <v>57</v>
      </c>
      <c r="J646" s="193">
        <v>41705</v>
      </c>
      <c r="K646" s="194"/>
      <c r="L646" s="195"/>
      <c r="M646" s="196">
        <v>1.4</v>
      </c>
      <c r="N646" s="195">
        <v>41853</v>
      </c>
      <c r="O646" s="194"/>
      <c r="P646" s="195"/>
      <c r="Q646" s="194"/>
      <c r="R646" s="195"/>
      <c r="S646" s="194">
        <v>4.21</v>
      </c>
      <c r="T646" s="195">
        <v>41853</v>
      </c>
      <c r="U646" s="194">
        <v>15.3</v>
      </c>
      <c r="V646" s="195"/>
      <c r="W646" s="194"/>
      <c r="X646" s="195"/>
      <c r="Y646" s="139">
        <f t="shared" si="10"/>
        <v>1.98912</v>
      </c>
      <c r="Z646" s="195"/>
      <c r="AA646" s="194">
        <v>19.91</v>
      </c>
      <c r="AB646" s="195"/>
      <c r="AC646" s="194"/>
      <c r="AD646" s="195"/>
      <c r="AE646" s="194">
        <v>8.9600000000000009</v>
      </c>
      <c r="AF646" s="195"/>
      <c r="AG646" s="197">
        <v>4.5</v>
      </c>
      <c r="AH646" s="195"/>
      <c r="AI646" s="197">
        <v>120</v>
      </c>
      <c r="AJ646" s="195">
        <v>41803</v>
      </c>
      <c r="AK646" s="194"/>
      <c r="AL646" s="195"/>
      <c r="AM646" s="194"/>
      <c r="AN646" s="195"/>
      <c r="AO646" s="194">
        <v>95</v>
      </c>
      <c r="AP646" s="195">
        <v>41738</v>
      </c>
      <c r="AQ646" s="194"/>
      <c r="AR646" s="194"/>
      <c r="AS646" s="194">
        <v>128</v>
      </c>
      <c r="AT646" s="195">
        <v>41766</v>
      </c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8"/>
      <c r="BF646" s="198"/>
      <c r="BG646" s="198"/>
      <c r="BH646" s="198"/>
      <c r="BI646" s="198"/>
      <c r="BJ646" s="198"/>
      <c r="BK646" s="198"/>
      <c r="BL646" s="198"/>
      <c r="BM646" s="198"/>
      <c r="BN646" s="198"/>
      <c r="BO646" s="198"/>
      <c r="BP646" s="198"/>
      <c r="BQ646" s="198"/>
      <c r="BR646" s="198"/>
      <c r="BS646" s="198">
        <v>47</v>
      </c>
      <c r="BT646" s="198"/>
      <c r="BU646" s="198">
        <v>22.2</v>
      </c>
      <c r="BV646" s="198"/>
      <c r="BW646" s="198">
        <v>63.9</v>
      </c>
      <c r="BX646" s="198"/>
      <c r="BY646" s="198">
        <v>10.9</v>
      </c>
      <c r="BZ646" s="198"/>
      <c r="CA646" s="198"/>
      <c r="CB646" s="198"/>
      <c r="CC646" s="198"/>
      <c r="CD646" s="198"/>
      <c r="CE646" s="198"/>
      <c r="CF646" s="198"/>
      <c r="CG646" s="198"/>
      <c r="CH646" s="198"/>
      <c r="CI646" s="198"/>
      <c r="CJ646" s="198" t="s">
        <v>8140</v>
      </c>
      <c r="CK646" s="198"/>
      <c r="CL646" s="198"/>
      <c r="CM646" s="198"/>
    </row>
    <row r="647" spans="1:91">
      <c r="A647" s="158" t="s">
        <v>7818</v>
      </c>
      <c r="B647" s="112" t="s">
        <v>269</v>
      </c>
      <c r="C647" s="112">
        <v>4</v>
      </c>
      <c r="D647">
        <v>203</v>
      </c>
      <c r="E647" s="113">
        <v>73</v>
      </c>
      <c r="F647" s="113">
        <v>10</v>
      </c>
      <c r="I647" s="112">
        <v>32</v>
      </c>
      <c r="J647" s="183">
        <v>41705</v>
      </c>
      <c r="M647" s="184">
        <v>3.07</v>
      </c>
      <c r="N647" s="157">
        <v>41853</v>
      </c>
      <c r="S647" s="139">
        <v>10.54</v>
      </c>
      <c r="T647" s="157">
        <v>41853</v>
      </c>
      <c r="U647" s="139">
        <v>15.3</v>
      </c>
      <c r="Y647" s="139">
        <f t="shared" si="10"/>
        <v>3.1897999999999995</v>
      </c>
      <c r="AA647" s="139">
        <v>38.9</v>
      </c>
      <c r="AE647" s="139">
        <v>19.45</v>
      </c>
      <c r="AG647" s="185">
        <v>5</v>
      </c>
      <c r="AI647" s="185">
        <v>110</v>
      </c>
      <c r="AJ647" s="157">
        <v>41803</v>
      </c>
      <c r="AO647" s="139">
        <v>91</v>
      </c>
      <c r="AP647" s="157">
        <v>41738</v>
      </c>
      <c r="AS647" s="139">
        <v>125</v>
      </c>
      <c r="AT647" s="157">
        <v>41766</v>
      </c>
      <c r="BS647" s="140">
        <v>54.2</v>
      </c>
      <c r="BU647" s="140">
        <v>16.399999999999999</v>
      </c>
      <c r="BW647" s="140">
        <v>19.100000000000001</v>
      </c>
      <c r="BY647" s="140">
        <v>11.8</v>
      </c>
      <c r="CJ647" s="140" t="s">
        <v>8140</v>
      </c>
    </row>
    <row r="648" spans="1:91">
      <c r="A648" s="158" t="s">
        <v>7664</v>
      </c>
      <c r="B648" s="112" t="s">
        <v>269</v>
      </c>
      <c r="C648" s="112">
        <v>4</v>
      </c>
      <c r="D648">
        <v>49</v>
      </c>
      <c r="E648" s="113">
        <v>73</v>
      </c>
      <c r="F648" s="113">
        <v>11</v>
      </c>
      <c r="I648" s="112">
        <v>42</v>
      </c>
      <c r="J648" s="183">
        <v>41705</v>
      </c>
      <c r="M648" s="184">
        <v>1.87</v>
      </c>
      <c r="N648" s="157">
        <v>41853</v>
      </c>
      <c r="S648" s="139">
        <v>5.88</v>
      </c>
      <c r="T648" s="157">
        <v>41853</v>
      </c>
      <c r="U648" s="139">
        <v>15.3</v>
      </c>
      <c r="Y648" s="139">
        <f t="shared" si="10"/>
        <v>2.3700600000000005</v>
      </c>
      <c r="AA648" s="139">
        <v>23.47</v>
      </c>
      <c r="AE648" s="139">
        <v>11.97</v>
      </c>
      <c r="AG648" s="185">
        <v>5.0999999999999996</v>
      </c>
      <c r="AI648" s="185">
        <v>110</v>
      </c>
      <c r="AJ648" s="157">
        <v>41803</v>
      </c>
      <c r="AO648" s="139">
        <v>90</v>
      </c>
      <c r="AP648" s="157">
        <v>41738</v>
      </c>
      <c r="AS648" s="139">
        <v>124</v>
      </c>
      <c r="AT648" s="157">
        <v>41766</v>
      </c>
      <c r="BS648" s="140">
        <v>49.1</v>
      </c>
      <c r="BU648" s="140">
        <v>19.8</v>
      </c>
      <c r="BW648" s="140">
        <v>54.5</v>
      </c>
      <c r="BY648" s="140">
        <v>10.9</v>
      </c>
      <c r="CJ648" s="140" t="s">
        <v>8140</v>
      </c>
    </row>
    <row r="649" spans="1:91">
      <c r="A649" s="158" t="s">
        <v>7727</v>
      </c>
      <c r="B649" s="112" t="s">
        <v>269</v>
      </c>
      <c r="C649" s="112">
        <v>4</v>
      </c>
      <c r="D649">
        <v>112</v>
      </c>
      <c r="E649" s="113">
        <v>73</v>
      </c>
      <c r="F649" s="113">
        <v>12</v>
      </c>
      <c r="I649" s="112">
        <v>29</v>
      </c>
      <c r="J649" s="183">
        <v>41705</v>
      </c>
      <c r="M649" s="184">
        <v>2.62</v>
      </c>
      <c r="N649" s="157">
        <v>41853</v>
      </c>
      <c r="S649" s="139">
        <v>8.7200000000000006</v>
      </c>
      <c r="T649" s="157">
        <v>41853</v>
      </c>
      <c r="U649" s="139">
        <v>15.3</v>
      </c>
      <c r="Y649" s="139">
        <f t="shared" si="10"/>
        <v>2.78382</v>
      </c>
      <c r="AA649" s="139">
        <v>33.54</v>
      </c>
      <c r="AE649" s="139">
        <v>16.77</v>
      </c>
      <c r="AG649" s="185">
        <v>5</v>
      </c>
      <c r="AI649" s="185">
        <v>120</v>
      </c>
      <c r="AJ649" s="157">
        <v>41803</v>
      </c>
      <c r="AO649" s="139">
        <v>91</v>
      </c>
      <c r="AP649" s="157">
        <v>41738</v>
      </c>
      <c r="AS649" s="139">
        <v>125</v>
      </c>
      <c r="AT649" s="157">
        <v>41766</v>
      </c>
      <c r="BS649" s="140">
        <v>52</v>
      </c>
      <c r="BU649" s="140">
        <v>16.600000000000001</v>
      </c>
      <c r="BW649" s="140">
        <v>10.1</v>
      </c>
      <c r="BY649" s="140">
        <v>10.9</v>
      </c>
      <c r="CJ649" s="140" t="s">
        <v>8140</v>
      </c>
    </row>
    <row r="650" spans="1:91">
      <c r="A650" s="158" t="s">
        <v>7728</v>
      </c>
      <c r="B650" s="112" t="s">
        <v>271</v>
      </c>
      <c r="C650" s="112">
        <v>3</v>
      </c>
      <c r="D650">
        <v>113</v>
      </c>
      <c r="E650" s="113">
        <v>74</v>
      </c>
      <c r="F650" s="113">
        <v>1</v>
      </c>
      <c r="I650" s="112">
        <v>22</v>
      </c>
      <c r="J650" s="183">
        <v>41705</v>
      </c>
      <c r="M650" s="184">
        <v>2.58</v>
      </c>
      <c r="N650" s="157">
        <v>41853</v>
      </c>
      <c r="S650" s="139">
        <v>7.9</v>
      </c>
      <c r="T650" s="157">
        <v>41853</v>
      </c>
      <c r="U650" s="139">
        <v>15.3</v>
      </c>
      <c r="Y650" s="139">
        <f t="shared" si="10"/>
        <v>3.3977999999999997</v>
      </c>
      <c r="AA650" s="139">
        <v>38.520000000000003</v>
      </c>
      <c r="AE650" s="139">
        <v>16.18</v>
      </c>
      <c r="AG650" s="185">
        <v>4.2</v>
      </c>
      <c r="AI650" s="185">
        <v>135</v>
      </c>
      <c r="AJ650" s="157">
        <v>41803</v>
      </c>
      <c r="AO650" s="139">
        <v>92</v>
      </c>
      <c r="AP650" s="157">
        <v>41738</v>
      </c>
      <c r="AS650" s="139">
        <v>128</v>
      </c>
      <c r="AT650" s="157">
        <v>41766</v>
      </c>
      <c r="BS650" s="140">
        <v>48.8</v>
      </c>
      <c r="BU650" s="140">
        <v>21</v>
      </c>
      <c r="BW650" s="140">
        <v>17.5</v>
      </c>
      <c r="BY650" s="140">
        <v>12.7</v>
      </c>
      <c r="CJ650" s="140" t="s">
        <v>8140</v>
      </c>
    </row>
    <row r="651" spans="1:91">
      <c r="A651" s="158" t="s">
        <v>7769</v>
      </c>
      <c r="B651" s="112" t="s">
        <v>271</v>
      </c>
      <c r="C651" s="112">
        <v>3</v>
      </c>
      <c r="D651">
        <v>154</v>
      </c>
      <c r="E651" s="113">
        <v>74</v>
      </c>
      <c r="F651" s="113">
        <v>2</v>
      </c>
      <c r="I651" s="112">
        <v>44</v>
      </c>
      <c r="J651" s="183">
        <v>41705</v>
      </c>
      <c r="M651" s="184">
        <v>2.31</v>
      </c>
      <c r="N651" s="157">
        <v>41853</v>
      </c>
      <c r="S651" s="139">
        <v>7.02</v>
      </c>
      <c r="T651" s="157">
        <v>41853</v>
      </c>
      <c r="U651" s="139">
        <v>15.3</v>
      </c>
      <c r="Y651" s="139">
        <f t="shared" si="10"/>
        <v>3.5331200000000003</v>
      </c>
      <c r="AA651" s="139">
        <v>32.18</v>
      </c>
      <c r="AE651" s="139">
        <v>14.48</v>
      </c>
      <c r="AG651" s="185">
        <v>4.5</v>
      </c>
      <c r="AI651" s="185">
        <v>130</v>
      </c>
      <c r="AJ651" s="157">
        <v>41803</v>
      </c>
      <c r="AO651" s="139">
        <v>97</v>
      </c>
      <c r="AP651" s="157">
        <v>41738</v>
      </c>
      <c r="AS651" s="139">
        <v>130</v>
      </c>
      <c r="AT651" s="157">
        <v>41766</v>
      </c>
      <c r="BS651" s="140">
        <v>48.5</v>
      </c>
      <c r="BU651" s="140">
        <v>24.4</v>
      </c>
      <c r="BW651" s="140">
        <v>63.4</v>
      </c>
      <c r="BY651" s="140">
        <v>12.7</v>
      </c>
      <c r="CJ651" s="140" t="s">
        <v>8133</v>
      </c>
    </row>
    <row r="652" spans="1:91">
      <c r="A652" s="158" t="s">
        <v>7740</v>
      </c>
      <c r="B652" s="112" t="s">
        <v>271</v>
      </c>
      <c r="C652" s="112">
        <v>3</v>
      </c>
      <c r="D652">
        <v>125</v>
      </c>
      <c r="E652" s="113">
        <v>74</v>
      </c>
      <c r="F652" s="113">
        <v>3</v>
      </c>
      <c r="I652" s="112">
        <v>26</v>
      </c>
      <c r="J652" s="183">
        <v>41705</v>
      </c>
      <c r="M652" s="184">
        <v>3.8</v>
      </c>
      <c r="N652" s="157">
        <v>41853</v>
      </c>
      <c r="S652" s="139">
        <v>11.57</v>
      </c>
      <c r="T652" s="157">
        <v>41853</v>
      </c>
      <c r="U652" s="139">
        <v>15.3</v>
      </c>
      <c r="Y652" s="139">
        <f t="shared" si="10"/>
        <v>4.9980000000000002</v>
      </c>
      <c r="AA652" s="139">
        <v>55.35</v>
      </c>
      <c r="AE652" s="139">
        <v>23.8</v>
      </c>
      <c r="AG652" s="185">
        <v>4.3</v>
      </c>
      <c r="AI652" s="185">
        <v>125</v>
      </c>
      <c r="AJ652" s="157">
        <v>41803</v>
      </c>
      <c r="AO652" s="139">
        <v>92</v>
      </c>
      <c r="AP652" s="157">
        <v>41738</v>
      </c>
      <c r="AS652" s="139">
        <v>126</v>
      </c>
      <c r="AT652" s="157">
        <v>41766</v>
      </c>
      <c r="BS652" s="140">
        <v>48.6</v>
      </c>
      <c r="BU652" s="140">
        <v>21</v>
      </c>
      <c r="BW652" s="140">
        <v>17.5</v>
      </c>
      <c r="BY652" s="140">
        <v>12.8</v>
      </c>
      <c r="CJ652" s="140" t="s">
        <v>8140</v>
      </c>
    </row>
    <row r="653" spans="1:91">
      <c r="A653" s="158" t="s">
        <v>7744</v>
      </c>
      <c r="B653" s="112" t="s">
        <v>271</v>
      </c>
      <c r="C653" s="112">
        <v>3</v>
      </c>
      <c r="D653">
        <v>129</v>
      </c>
      <c r="E653" s="113">
        <v>74</v>
      </c>
      <c r="F653" s="113">
        <v>4</v>
      </c>
      <c r="I653" s="112">
        <v>50</v>
      </c>
      <c r="J653" s="183">
        <v>41705</v>
      </c>
      <c r="M653" s="184">
        <v>4.43</v>
      </c>
      <c r="N653" s="157">
        <v>41853</v>
      </c>
      <c r="S653" s="139">
        <v>13.88</v>
      </c>
      <c r="T653" s="157">
        <v>41853</v>
      </c>
      <c r="U653" s="139">
        <v>15.3</v>
      </c>
      <c r="Y653" s="139">
        <f t="shared" si="10"/>
        <v>5.4979999999999993</v>
      </c>
      <c r="AA653" s="139">
        <v>59.76</v>
      </c>
      <c r="AE653" s="139">
        <v>27.49</v>
      </c>
      <c r="AG653" s="185">
        <v>4.5999999999999996</v>
      </c>
      <c r="AI653" s="185">
        <v>125</v>
      </c>
      <c r="AJ653" s="157">
        <v>41803</v>
      </c>
      <c r="AO653" s="139">
        <v>93</v>
      </c>
      <c r="AP653" s="157">
        <v>41738</v>
      </c>
      <c r="AS653" s="139">
        <v>128</v>
      </c>
      <c r="AT653" s="157">
        <v>41766</v>
      </c>
      <c r="BS653" s="140">
        <v>50.5</v>
      </c>
      <c r="BU653" s="140">
        <v>20</v>
      </c>
      <c r="BW653" s="140">
        <v>12.4</v>
      </c>
      <c r="BY653" s="140">
        <v>13.6</v>
      </c>
      <c r="CJ653" s="140" t="s">
        <v>8140</v>
      </c>
    </row>
    <row r="654" spans="1:91">
      <c r="A654" s="158" t="s">
        <v>7742</v>
      </c>
      <c r="B654" s="112" t="s">
        <v>271</v>
      </c>
      <c r="C654" s="112">
        <v>3</v>
      </c>
      <c r="D654">
        <v>127</v>
      </c>
      <c r="E654" s="113">
        <v>74</v>
      </c>
      <c r="F654" s="113">
        <v>5</v>
      </c>
      <c r="I654" s="112">
        <v>36</v>
      </c>
      <c r="J654" s="183">
        <v>41705</v>
      </c>
      <c r="M654" s="184">
        <v>3.72</v>
      </c>
      <c r="N654" s="157">
        <v>41853</v>
      </c>
      <c r="S654" s="139">
        <v>11.36</v>
      </c>
      <c r="T654" s="157">
        <v>41853</v>
      </c>
      <c r="U654" s="139">
        <v>15.3</v>
      </c>
      <c r="Y654" s="139">
        <f t="shared" si="10"/>
        <v>4.9056800000000003</v>
      </c>
      <c r="AA654" s="139">
        <v>53.81</v>
      </c>
      <c r="AE654" s="139">
        <v>23.14</v>
      </c>
      <c r="AG654" s="185">
        <v>4.3</v>
      </c>
      <c r="AI654" s="185">
        <v>125</v>
      </c>
      <c r="AJ654" s="157">
        <v>41803</v>
      </c>
      <c r="AO654" s="139">
        <v>93</v>
      </c>
      <c r="AP654" s="157">
        <v>41738</v>
      </c>
      <c r="AS654" s="139">
        <v>128</v>
      </c>
      <c r="AT654" s="157">
        <v>41766</v>
      </c>
      <c r="BS654" s="140">
        <v>49.1</v>
      </c>
      <c r="BU654" s="140">
        <v>21.2</v>
      </c>
      <c r="BW654" s="140">
        <v>16.100000000000001</v>
      </c>
      <c r="BY654" s="140">
        <v>13.4</v>
      </c>
      <c r="CJ654" s="140" t="s">
        <v>8140</v>
      </c>
    </row>
    <row r="655" spans="1:91">
      <c r="A655" s="158" t="s">
        <v>7699</v>
      </c>
      <c r="B655" s="112" t="s">
        <v>271</v>
      </c>
      <c r="C655" s="112">
        <v>3</v>
      </c>
      <c r="D655">
        <v>84</v>
      </c>
      <c r="E655" s="113">
        <v>74</v>
      </c>
      <c r="F655" s="113">
        <v>6</v>
      </c>
      <c r="I655" s="112">
        <v>31</v>
      </c>
      <c r="J655" s="183">
        <v>41705</v>
      </c>
      <c r="M655" s="184">
        <v>3.96</v>
      </c>
      <c r="N655" s="157">
        <v>41853</v>
      </c>
      <c r="S655" s="139">
        <v>12.1</v>
      </c>
      <c r="T655" s="157">
        <v>41853</v>
      </c>
      <c r="U655" s="139">
        <v>15.3</v>
      </c>
      <c r="Y655" s="139">
        <f t="shared" si="10"/>
        <v>5.0751999999999997</v>
      </c>
      <c r="AA655" s="139">
        <v>53.04</v>
      </c>
      <c r="AE655" s="139">
        <v>24.4</v>
      </c>
      <c r="AG655" s="185">
        <v>4.5999999999999996</v>
      </c>
      <c r="AI655" s="185">
        <v>115</v>
      </c>
      <c r="AJ655" s="157">
        <v>41803</v>
      </c>
      <c r="AO655" s="139">
        <v>90</v>
      </c>
      <c r="AP655" s="157">
        <v>41738</v>
      </c>
      <c r="AS655" s="139">
        <v>127</v>
      </c>
      <c r="AT655" s="157">
        <v>41766</v>
      </c>
      <c r="BS655" s="140">
        <v>49.6</v>
      </c>
      <c r="BU655" s="140">
        <v>20.8</v>
      </c>
      <c r="BW655" s="140">
        <v>13.3</v>
      </c>
      <c r="BY655" s="140">
        <v>14.2</v>
      </c>
      <c r="CJ655" s="140" t="s">
        <v>8140</v>
      </c>
    </row>
    <row r="656" spans="1:91">
      <c r="A656" s="158" t="s">
        <v>7717</v>
      </c>
      <c r="B656" s="112" t="s">
        <v>269</v>
      </c>
      <c r="C656" s="112">
        <v>4</v>
      </c>
      <c r="D656">
        <v>102</v>
      </c>
      <c r="E656" s="113">
        <v>74</v>
      </c>
      <c r="F656" s="113">
        <v>7</v>
      </c>
      <c r="I656" s="112">
        <v>34</v>
      </c>
      <c r="J656" s="183">
        <v>41705</v>
      </c>
      <c r="M656" s="184">
        <v>1.88</v>
      </c>
      <c r="N656" s="157">
        <v>41853</v>
      </c>
      <c r="S656" s="139">
        <v>6.15</v>
      </c>
      <c r="T656" s="157">
        <v>41853</v>
      </c>
      <c r="U656" s="139">
        <v>15.3</v>
      </c>
      <c r="Y656" s="139">
        <f t="shared" si="10"/>
        <v>2.2078199999999999</v>
      </c>
      <c r="AA656" s="139">
        <v>28.26</v>
      </c>
      <c r="AE656" s="139">
        <v>11.87</v>
      </c>
      <c r="AG656" s="185">
        <v>4.2</v>
      </c>
      <c r="AI656" s="185">
        <v>105</v>
      </c>
      <c r="AJ656" s="157">
        <v>41803</v>
      </c>
      <c r="AO656" s="139">
        <v>93</v>
      </c>
      <c r="AP656" s="157">
        <v>41738</v>
      </c>
      <c r="AS656" s="139">
        <v>128</v>
      </c>
      <c r="AT656" s="157">
        <v>41766</v>
      </c>
      <c r="BS656" s="140">
        <v>51.8</v>
      </c>
      <c r="BU656" s="140">
        <v>18.600000000000001</v>
      </c>
      <c r="BW656" s="140">
        <v>8.9</v>
      </c>
      <c r="BY656" s="140">
        <v>12.1</v>
      </c>
      <c r="CJ656" s="140" t="s">
        <v>8140</v>
      </c>
    </row>
    <row r="657" spans="1:91">
      <c r="A657" s="158" t="s">
        <v>7665</v>
      </c>
      <c r="B657" s="112" t="s">
        <v>269</v>
      </c>
      <c r="C657" s="112">
        <v>4</v>
      </c>
      <c r="D657">
        <v>50</v>
      </c>
      <c r="E657" s="113">
        <v>74</v>
      </c>
      <c r="F657" s="113">
        <v>8</v>
      </c>
      <c r="I657" s="112">
        <v>50</v>
      </c>
      <c r="J657" s="183">
        <v>41705</v>
      </c>
      <c r="M657" s="184">
        <v>2.02</v>
      </c>
      <c r="N657" s="157">
        <v>41853</v>
      </c>
      <c r="S657" s="139">
        <v>6.34</v>
      </c>
      <c r="T657" s="157">
        <v>41853</v>
      </c>
      <c r="U657" s="139">
        <v>15.3</v>
      </c>
      <c r="Y657" s="139">
        <f t="shared" si="10"/>
        <v>2.7030000000000003</v>
      </c>
      <c r="AA657" s="139">
        <v>22.37</v>
      </c>
      <c r="AE657" s="139">
        <v>12.75</v>
      </c>
      <c r="AG657" s="185">
        <v>5.7</v>
      </c>
      <c r="AI657" s="185">
        <v>115</v>
      </c>
      <c r="AJ657" s="157">
        <v>41803</v>
      </c>
      <c r="AO657" s="139">
        <v>93</v>
      </c>
      <c r="AP657" s="157">
        <v>41738</v>
      </c>
      <c r="AS657" s="139">
        <v>125</v>
      </c>
      <c r="AT657" s="157">
        <v>41766</v>
      </c>
      <c r="BS657" s="140">
        <v>49.7</v>
      </c>
      <c r="BU657" s="140">
        <v>21.2</v>
      </c>
      <c r="BW657" s="140">
        <v>22.3</v>
      </c>
      <c r="BY657" s="140">
        <v>12.1</v>
      </c>
      <c r="CJ657" s="140" t="s">
        <v>8140</v>
      </c>
    </row>
    <row r="658" spans="1:91">
      <c r="A658" s="158" t="s">
        <v>7812</v>
      </c>
      <c r="B658" s="112" t="s">
        <v>269</v>
      </c>
      <c r="C658" s="112">
        <v>4</v>
      </c>
      <c r="D658">
        <v>197</v>
      </c>
      <c r="E658" s="113">
        <v>74</v>
      </c>
      <c r="F658" s="113">
        <v>9</v>
      </c>
      <c r="I658" s="112">
        <v>28</v>
      </c>
      <c r="J658" s="183">
        <v>41705</v>
      </c>
      <c r="M658" s="184">
        <v>2.64</v>
      </c>
      <c r="N658" s="157">
        <v>41853</v>
      </c>
      <c r="S658" s="139">
        <v>8.7799999999999994</v>
      </c>
      <c r="T658" s="157">
        <v>41853</v>
      </c>
      <c r="U658" s="139">
        <v>15.3</v>
      </c>
      <c r="Y658" s="139">
        <f t="shared" si="10"/>
        <v>3.0764799999999997</v>
      </c>
      <c r="AA658" s="139">
        <v>34.119999999999997</v>
      </c>
      <c r="AE658" s="139">
        <v>16.72</v>
      </c>
      <c r="AG658" s="185">
        <v>4.9000000000000004</v>
      </c>
      <c r="AI658" s="185">
        <v>120</v>
      </c>
      <c r="AJ658" s="157">
        <v>41803</v>
      </c>
      <c r="AO658" s="139">
        <v>89</v>
      </c>
      <c r="AP658" s="157">
        <v>41738</v>
      </c>
      <c r="AS658" s="139">
        <v>126</v>
      </c>
      <c r="AT658" s="157">
        <v>41766</v>
      </c>
      <c r="BS658" s="140">
        <v>52.5</v>
      </c>
      <c r="BU658" s="140">
        <v>18.399999999999999</v>
      </c>
      <c r="BW658" s="140">
        <v>11.7</v>
      </c>
      <c r="BY658" s="140">
        <v>11.8</v>
      </c>
      <c r="CJ658" s="140" t="s">
        <v>8140</v>
      </c>
    </row>
    <row r="659" spans="1:91">
      <c r="A659" s="158" t="s">
        <v>7647</v>
      </c>
      <c r="B659" s="112" t="s">
        <v>269</v>
      </c>
      <c r="C659" s="112">
        <v>4</v>
      </c>
      <c r="D659">
        <v>32</v>
      </c>
      <c r="E659" s="113">
        <v>74</v>
      </c>
      <c r="F659" s="113">
        <v>10</v>
      </c>
      <c r="I659" s="112">
        <v>49</v>
      </c>
      <c r="J659" s="183">
        <v>41705</v>
      </c>
      <c r="M659" s="184">
        <v>2.02</v>
      </c>
      <c r="N659" s="157">
        <v>41853</v>
      </c>
      <c r="S659" s="139">
        <v>7.15</v>
      </c>
      <c r="T659" s="157">
        <v>41853</v>
      </c>
      <c r="U659" s="139">
        <v>15.3</v>
      </c>
      <c r="Y659" s="139">
        <f t="shared" si="10"/>
        <v>2.1165000000000003</v>
      </c>
      <c r="AA659" s="139">
        <v>27.72</v>
      </c>
      <c r="AE659" s="139">
        <v>12.75</v>
      </c>
      <c r="AG659" s="185">
        <v>4.5999999999999996</v>
      </c>
      <c r="AI659" s="185">
        <v>115</v>
      </c>
      <c r="AJ659" s="157">
        <v>41803</v>
      </c>
      <c r="AO659" s="139">
        <v>94</v>
      </c>
      <c r="AP659" s="157">
        <v>41738</v>
      </c>
      <c r="AS659" s="139">
        <v>126</v>
      </c>
      <c r="AT659" s="157">
        <v>41766</v>
      </c>
      <c r="BS659" s="140">
        <v>56.1</v>
      </c>
      <c r="BU659" s="140">
        <v>16.600000000000001</v>
      </c>
      <c r="BW659" s="140">
        <v>46.6</v>
      </c>
      <c r="BY659" s="140">
        <v>12.1</v>
      </c>
      <c r="CJ659" s="140" t="s">
        <v>8140</v>
      </c>
    </row>
    <row r="660" spans="1:91">
      <c r="A660" s="188" t="s">
        <v>7760</v>
      </c>
      <c r="B660" s="189" t="s">
        <v>269</v>
      </c>
      <c r="C660" s="189">
        <v>4</v>
      </c>
      <c r="D660" s="190">
        <v>145</v>
      </c>
      <c r="E660" s="191">
        <v>74</v>
      </c>
      <c r="F660" s="191">
        <v>11</v>
      </c>
      <c r="G660" s="191"/>
      <c r="H660" s="191"/>
      <c r="I660" s="189">
        <v>61</v>
      </c>
      <c r="J660" s="193">
        <v>41705</v>
      </c>
      <c r="K660" s="194"/>
      <c r="L660" s="195"/>
      <c r="M660" s="196">
        <v>2.38</v>
      </c>
      <c r="N660" s="195">
        <v>41853</v>
      </c>
      <c r="O660" s="194"/>
      <c r="P660" s="195"/>
      <c r="Q660" s="194"/>
      <c r="R660" s="195"/>
      <c r="S660" s="194">
        <v>7.41</v>
      </c>
      <c r="T660" s="195">
        <v>41853</v>
      </c>
      <c r="U660" s="194">
        <v>15.3</v>
      </c>
      <c r="V660" s="195"/>
      <c r="W660" s="194"/>
      <c r="X660" s="195"/>
      <c r="Y660" s="139">
        <f t="shared" si="10"/>
        <v>3.2164199999999994</v>
      </c>
      <c r="Z660" s="195"/>
      <c r="AA660" s="194">
        <v>45.55</v>
      </c>
      <c r="AB660" s="195"/>
      <c r="AC660" s="194"/>
      <c r="AD660" s="195"/>
      <c r="AE660" s="194">
        <v>15.03</v>
      </c>
      <c r="AF660" s="195"/>
      <c r="AG660" s="197">
        <v>3.3</v>
      </c>
      <c r="AH660" s="195"/>
      <c r="AI660" s="197">
        <v>120</v>
      </c>
      <c r="AJ660" s="195">
        <v>41803</v>
      </c>
      <c r="AK660" s="194"/>
      <c r="AL660" s="195"/>
      <c r="AM660" s="194"/>
      <c r="AN660" s="195"/>
      <c r="AO660" s="194">
        <v>99</v>
      </c>
      <c r="AP660" s="195">
        <v>41738</v>
      </c>
      <c r="AQ660" s="194"/>
      <c r="AR660" s="194"/>
      <c r="AS660" s="194">
        <v>128</v>
      </c>
      <c r="AT660" s="195">
        <v>41766</v>
      </c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8"/>
      <c r="BF660" s="198"/>
      <c r="BG660" s="198"/>
      <c r="BH660" s="198"/>
      <c r="BI660" s="198"/>
      <c r="BJ660" s="198"/>
      <c r="BK660" s="198"/>
      <c r="BL660" s="198"/>
      <c r="BM660" s="198"/>
      <c r="BN660" s="198"/>
      <c r="BO660" s="198"/>
      <c r="BP660" s="198"/>
      <c r="BQ660" s="198"/>
      <c r="BR660" s="198"/>
      <c r="BS660" s="198">
        <v>49.3</v>
      </c>
      <c r="BT660" s="198"/>
      <c r="BU660" s="198">
        <v>21.4</v>
      </c>
      <c r="BV660" s="198"/>
      <c r="BW660" s="198">
        <v>59.7</v>
      </c>
      <c r="BX660" s="198"/>
      <c r="BY660" s="198">
        <v>12.1</v>
      </c>
      <c r="BZ660" s="198"/>
      <c r="CA660" s="198"/>
      <c r="CB660" s="198"/>
      <c r="CC660" s="198"/>
      <c r="CD660" s="198"/>
      <c r="CE660" s="198"/>
      <c r="CF660" s="198"/>
      <c r="CG660" s="198"/>
      <c r="CH660" s="198"/>
      <c r="CI660" s="198"/>
      <c r="CJ660" s="198" t="s">
        <v>8131</v>
      </c>
      <c r="CK660" s="198"/>
      <c r="CL660" s="198"/>
      <c r="CM660" s="198"/>
    </row>
    <row r="661" spans="1:91">
      <c r="A661" s="158" t="s">
        <v>7620</v>
      </c>
      <c r="B661" s="112" t="s">
        <v>269</v>
      </c>
      <c r="C661" s="112">
        <v>4</v>
      </c>
      <c r="D661">
        <v>5</v>
      </c>
      <c r="E661" s="113">
        <v>74</v>
      </c>
      <c r="F661" s="113">
        <v>12</v>
      </c>
      <c r="I661" s="187">
        <v>31</v>
      </c>
      <c r="J661" s="183">
        <v>41705</v>
      </c>
      <c r="K661" s="142"/>
      <c r="M661" s="184">
        <v>2.12</v>
      </c>
      <c r="N661" s="157">
        <v>41853</v>
      </c>
      <c r="O661" s="141"/>
      <c r="Q661" s="142"/>
      <c r="S661" s="142">
        <v>6.69</v>
      </c>
      <c r="T661" s="157">
        <v>41853</v>
      </c>
      <c r="U661" s="142">
        <v>15.3</v>
      </c>
      <c r="W661" s="142"/>
      <c r="Y661" s="139">
        <f t="shared" si="10"/>
        <v>2.7295199999999999</v>
      </c>
      <c r="AA661" s="142">
        <v>27.88</v>
      </c>
      <c r="AE661" s="142">
        <v>13.38</v>
      </c>
      <c r="AG661" s="185">
        <v>4.8</v>
      </c>
      <c r="AI661" s="185">
        <v>125</v>
      </c>
      <c r="AJ661" s="157">
        <v>41803</v>
      </c>
      <c r="AK661" s="142"/>
      <c r="AM661" s="142"/>
      <c r="AO661" s="139">
        <v>94</v>
      </c>
      <c r="AP661" s="157">
        <v>41738</v>
      </c>
      <c r="AS661" s="139">
        <v>125</v>
      </c>
      <c r="AT661" s="157">
        <v>41766</v>
      </c>
      <c r="BS661" s="140">
        <v>50</v>
      </c>
      <c r="BU661" s="140">
        <v>20.399999999999999</v>
      </c>
      <c r="BW661" s="140">
        <v>68</v>
      </c>
      <c r="BY661" s="140">
        <v>12.1</v>
      </c>
      <c r="CJ661" s="140" t="s">
        <v>8140</v>
      </c>
    </row>
    <row r="662" spans="1:91">
      <c r="A662" s="158" t="s">
        <v>7622</v>
      </c>
      <c r="B662" s="112" t="s">
        <v>271</v>
      </c>
      <c r="C662" s="112">
        <v>3</v>
      </c>
      <c r="D662">
        <v>7</v>
      </c>
      <c r="E662" s="113">
        <v>75</v>
      </c>
      <c r="F662" s="113">
        <v>1</v>
      </c>
      <c r="I662" s="187">
        <v>35</v>
      </c>
      <c r="J662" s="183">
        <v>41705</v>
      </c>
      <c r="K662" s="142"/>
      <c r="M662" s="184">
        <v>2.88</v>
      </c>
      <c r="N662" s="157">
        <v>41853</v>
      </c>
      <c r="O662" s="141"/>
      <c r="Q662" s="142"/>
      <c r="S662" s="142">
        <v>8.1199999999999992</v>
      </c>
      <c r="T662" s="157">
        <v>41853</v>
      </c>
      <c r="U662" s="142">
        <v>15.3</v>
      </c>
      <c r="W662" s="142"/>
      <c r="Y662" s="139">
        <f t="shared" si="10"/>
        <v>4.4919599999999997</v>
      </c>
      <c r="AA662" s="142">
        <v>37.58</v>
      </c>
      <c r="AE662" s="142">
        <v>18.04</v>
      </c>
      <c r="AG662" s="185">
        <v>4.8</v>
      </c>
      <c r="AI662" s="185">
        <v>115</v>
      </c>
      <c r="AJ662" s="157">
        <v>41803</v>
      </c>
      <c r="AK662" s="142"/>
      <c r="AM662" s="142"/>
      <c r="AO662" s="139">
        <v>87</v>
      </c>
      <c r="AP662" s="157">
        <v>41738</v>
      </c>
      <c r="AS662" s="139">
        <v>128</v>
      </c>
      <c r="AT662" s="157">
        <v>41766</v>
      </c>
      <c r="BS662" s="140">
        <v>45</v>
      </c>
      <c r="BU662" s="140">
        <v>24.9</v>
      </c>
      <c r="BW662" s="140">
        <v>67.8</v>
      </c>
      <c r="BY662" s="140">
        <v>12.8</v>
      </c>
      <c r="CJ662" s="140" t="s">
        <v>8140</v>
      </c>
    </row>
    <row r="663" spans="1:91">
      <c r="A663" s="158" t="s">
        <v>7764</v>
      </c>
      <c r="B663" s="112" t="s">
        <v>271</v>
      </c>
      <c r="C663" s="112">
        <v>3</v>
      </c>
      <c r="D663">
        <v>149</v>
      </c>
      <c r="E663" s="113">
        <v>75</v>
      </c>
      <c r="F663" s="113">
        <v>2</v>
      </c>
      <c r="I663" s="112">
        <v>26</v>
      </c>
      <c r="J663" s="183">
        <v>41705</v>
      </c>
      <c r="M663" s="184">
        <v>3.62</v>
      </c>
      <c r="N663" s="157">
        <v>41853</v>
      </c>
      <c r="S663" s="139">
        <v>11.35</v>
      </c>
      <c r="T663" s="157">
        <v>41853</v>
      </c>
      <c r="U663" s="139">
        <v>15.3</v>
      </c>
      <c r="Y663" s="139">
        <f t="shared" si="10"/>
        <v>4.5828000000000007</v>
      </c>
      <c r="AA663" s="139">
        <v>48.51</v>
      </c>
      <c r="AE663" s="139">
        <v>22.8</v>
      </c>
      <c r="AG663" s="185">
        <v>4.7</v>
      </c>
      <c r="AI663" s="185">
        <v>135</v>
      </c>
      <c r="AJ663" s="157">
        <v>41803</v>
      </c>
      <c r="AO663" s="139">
        <v>90</v>
      </c>
      <c r="AP663" s="157">
        <v>41738</v>
      </c>
      <c r="AS663" s="139">
        <v>127</v>
      </c>
      <c r="AT663" s="157">
        <v>41766</v>
      </c>
      <c r="BS663" s="140">
        <v>49.8</v>
      </c>
      <c r="BU663" s="140">
        <v>20.100000000000001</v>
      </c>
      <c r="BW663" s="140">
        <v>17.100000000000001</v>
      </c>
      <c r="BY663" s="140">
        <v>12.3</v>
      </c>
      <c r="CJ663" s="140" t="s">
        <v>8140</v>
      </c>
    </row>
    <row r="664" spans="1:91">
      <c r="A664" s="158" t="s">
        <v>7809</v>
      </c>
      <c r="B664" s="112" t="s">
        <v>271</v>
      </c>
      <c r="C664" s="112">
        <v>3</v>
      </c>
      <c r="D664">
        <v>194</v>
      </c>
      <c r="E664" s="113">
        <v>75</v>
      </c>
      <c r="F664" s="113">
        <v>3</v>
      </c>
      <c r="I664" s="112">
        <v>36</v>
      </c>
      <c r="J664" s="183">
        <v>41705</v>
      </c>
      <c r="M664" s="184">
        <v>4.3099999999999996</v>
      </c>
      <c r="N664" s="157">
        <v>41853</v>
      </c>
      <c r="S664" s="139">
        <v>13.73</v>
      </c>
      <c r="T664" s="157">
        <v>41853</v>
      </c>
      <c r="U664" s="139">
        <v>15.3</v>
      </c>
      <c r="Y664" s="139">
        <f t="shared" si="10"/>
        <v>5.5569599999999992</v>
      </c>
      <c r="AA664" s="139">
        <v>55.59</v>
      </c>
      <c r="AE664" s="139">
        <v>27.24</v>
      </c>
      <c r="AG664" s="185">
        <v>4.9000000000000004</v>
      </c>
      <c r="AI664" s="185">
        <v>125</v>
      </c>
      <c r="AJ664" s="157">
        <v>41803</v>
      </c>
      <c r="AO664" s="139">
        <v>93</v>
      </c>
      <c r="AP664" s="157">
        <v>41738</v>
      </c>
      <c r="AS664" s="139">
        <v>127</v>
      </c>
      <c r="AT664" s="157">
        <v>41766</v>
      </c>
      <c r="BS664" s="140">
        <v>50.4</v>
      </c>
      <c r="BU664" s="140">
        <v>20.399999999999999</v>
      </c>
      <c r="BW664" s="140">
        <v>14.1</v>
      </c>
      <c r="BY664" s="140">
        <v>12</v>
      </c>
      <c r="CJ664" s="140" t="s">
        <v>8140</v>
      </c>
    </row>
    <row r="665" spans="1:91">
      <c r="A665" s="158" t="s">
        <v>7705</v>
      </c>
      <c r="B665" s="112" t="s">
        <v>271</v>
      </c>
      <c r="C665" s="112">
        <v>3</v>
      </c>
      <c r="D665">
        <v>90</v>
      </c>
      <c r="E665" s="113">
        <v>75</v>
      </c>
      <c r="F665" s="113">
        <v>4</v>
      </c>
      <c r="I665" s="112">
        <v>43</v>
      </c>
      <c r="J665" s="183">
        <v>41705</v>
      </c>
      <c r="M665" s="184">
        <v>3.6</v>
      </c>
      <c r="N665" s="157">
        <v>41853</v>
      </c>
      <c r="S665" s="139">
        <v>11.11</v>
      </c>
      <c r="T665" s="157">
        <v>41853</v>
      </c>
      <c r="U665" s="139">
        <v>15.3</v>
      </c>
      <c r="Y665" s="139">
        <f t="shared" si="10"/>
        <v>4.9764000000000008</v>
      </c>
      <c r="AA665" s="139">
        <v>46.16</v>
      </c>
      <c r="AE665" s="139">
        <v>22.62</v>
      </c>
      <c r="AG665" s="185">
        <v>4.9000000000000004</v>
      </c>
      <c r="AI665" s="185">
        <v>120</v>
      </c>
      <c r="AJ665" s="157">
        <v>41803</v>
      </c>
      <c r="AO665" s="139">
        <v>96</v>
      </c>
      <c r="AP665" s="157">
        <v>41738</v>
      </c>
      <c r="AS665" s="139">
        <v>128</v>
      </c>
      <c r="AT665" s="157">
        <v>41766</v>
      </c>
      <c r="BS665" s="140">
        <v>49.1</v>
      </c>
      <c r="BU665" s="140">
        <v>22</v>
      </c>
      <c r="BW665" s="140">
        <v>14.1</v>
      </c>
      <c r="BY665" s="140">
        <v>12.5</v>
      </c>
      <c r="CJ665" s="140" t="s">
        <v>8131</v>
      </c>
    </row>
    <row r="666" spans="1:91">
      <c r="A666" s="158" t="s">
        <v>7814</v>
      </c>
      <c r="B666" s="112" t="s">
        <v>271</v>
      </c>
      <c r="C666" s="112">
        <v>3</v>
      </c>
      <c r="D666">
        <v>199</v>
      </c>
      <c r="E666" s="113">
        <v>75</v>
      </c>
      <c r="F666" s="113">
        <v>5</v>
      </c>
      <c r="I666" s="112">
        <v>36</v>
      </c>
      <c r="J666" s="183">
        <v>41705</v>
      </c>
      <c r="M666" s="184">
        <v>4.04</v>
      </c>
      <c r="N666" s="157">
        <v>41853</v>
      </c>
      <c r="S666" s="139">
        <v>12.8</v>
      </c>
      <c r="T666" s="157">
        <v>41853</v>
      </c>
      <c r="U666" s="139">
        <v>15.3</v>
      </c>
      <c r="Y666" s="139">
        <f t="shared" si="10"/>
        <v>5.2325999999999997</v>
      </c>
      <c r="AA666" s="139">
        <v>49.33</v>
      </c>
      <c r="AE666" s="139">
        <v>25.65</v>
      </c>
      <c r="AG666" s="185">
        <v>5.2</v>
      </c>
      <c r="AI666" s="185">
        <v>125</v>
      </c>
      <c r="AJ666" s="157">
        <v>41803</v>
      </c>
      <c r="AO666" s="139">
        <v>96</v>
      </c>
      <c r="AP666" s="157">
        <v>41738</v>
      </c>
      <c r="AS666" s="139">
        <v>129</v>
      </c>
      <c r="AT666" s="157">
        <v>41766</v>
      </c>
      <c r="BS666" s="140">
        <v>49.9</v>
      </c>
      <c r="BU666" s="140">
        <v>20.399999999999999</v>
      </c>
      <c r="BW666" s="140">
        <v>15.7</v>
      </c>
      <c r="BY666" s="140">
        <v>11.6</v>
      </c>
      <c r="CJ666" s="140" t="s">
        <v>8131</v>
      </c>
    </row>
    <row r="667" spans="1:91">
      <c r="A667" s="158" t="s">
        <v>7801</v>
      </c>
      <c r="B667" s="112" t="s">
        <v>271</v>
      </c>
      <c r="C667" s="112">
        <v>3</v>
      </c>
      <c r="D667">
        <v>186</v>
      </c>
      <c r="E667" s="113">
        <v>75</v>
      </c>
      <c r="F667" s="113">
        <v>6</v>
      </c>
      <c r="I667" s="112">
        <v>39</v>
      </c>
      <c r="J667" s="183">
        <v>41705</v>
      </c>
      <c r="M667" s="184">
        <v>4.78</v>
      </c>
      <c r="N667" s="157">
        <v>41853</v>
      </c>
      <c r="S667" s="139">
        <v>15.27</v>
      </c>
      <c r="T667" s="157">
        <v>41853</v>
      </c>
      <c r="U667" s="139">
        <v>15.3</v>
      </c>
      <c r="Y667" s="139">
        <f t="shared" si="10"/>
        <v>5.9756399999999994</v>
      </c>
      <c r="AA667" s="139">
        <v>56.94</v>
      </c>
      <c r="AE667" s="139">
        <v>30.18</v>
      </c>
      <c r="AG667" s="185">
        <v>5.3</v>
      </c>
      <c r="AI667" s="185">
        <v>125</v>
      </c>
      <c r="AJ667" s="157">
        <v>41803</v>
      </c>
      <c r="AO667" s="139">
        <v>93</v>
      </c>
      <c r="AP667" s="157">
        <v>41738</v>
      </c>
      <c r="AS667" s="139">
        <v>127</v>
      </c>
      <c r="AT667" s="157">
        <v>41766</v>
      </c>
      <c r="BS667" s="140">
        <v>50.6</v>
      </c>
      <c r="BU667" s="140">
        <v>19.8</v>
      </c>
      <c r="BW667" s="140">
        <v>11</v>
      </c>
      <c r="BY667" s="140">
        <v>12.1</v>
      </c>
      <c r="CJ667" s="140" t="s">
        <v>8140</v>
      </c>
    </row>
    <row r="668" spans="1:91">
      <c r="A668" s="158" t="s">
        <v>7670</v>
      </c>
      <c r="B668" s="112" t="s">
        <v>269</v>
      </c>
      <c r="C668" s="112">
        <v>4</v>
      </c>
      <c r="D668">
        <v>55</v>
      </c>
      <c r="E668" s="113">
        <v>75</v>
      </c>
      <c r="F668" s="113">
        <v>7</v>
      </c>
      <c r="I668" s="112">
        <v>49</v>
      </c>
      <c r="J668" s="183">
        <v>41705</v>
      </c>
      <c r="M668" s="184">
        <v>3.23</v>
      </c>
      <c r="N668" s="157">
        <v>41853</v>
      </c>
      <c r="S668" s="139">
        <v>10.35</v>
      </c>
      <c r="T668" s="157">
        <v>41853</v>
      </c>
      <c r="U668" s="139">
        <v>15.3</v>
      </c>
      <c r="Y668" s="139">
        <f t="shared" si="10"/>
        <v>3.6258600000000003</v>
      </c>
      <c r="AA668" s="139">
        <v>49.68</v>
      </c>
      <c r="AE668" s="139">
        <v>20.37</v>
      </c>
      <c r="AG668" s="185">
        <v>4.0999999999999996</v>
      </c>
      <c r="AI668" s="185">
        <v>110</v>
      </c>
      <c r="AJ668" s="157">
        <v>41803</v>
      </c>
      <c r="AO668" s="139">
        <v>93</v>
      </c>
      <c r="AP668" s="157">
        <v>41738</v>
      </c>
      <c r="AS668" s="139">
        <v>127</v>
      </c>
      <c r="AT668" s="157">
        <v>41766</v>
      </c>
      <c r="BS668" s="140">
        <v>50.8</v>
      </c>
      <c r="BU668" s="140">
        <v>17.8</v>
      </c>
      <c r="BW668" s="140">
        <v>13.9</v>
      </c>
      <c r="BY668" s="140">
        <v>12.2</v>
      </c>
      <c r="CJ668" s="140" t="s">
        <v>8140</v>
      </c>
    </row>
    <row r="669" spans="1:91">
      <c r="A669" s="158" t="s">
        <v>7745</v>
      </c>
      <c r="B669" s="112" t="s">
        <v>269</v>
      </c>
      <c r="C669" s="112">
        <v>4</v>
      </c>
      <c r="D669">
        <v>130</v>
      </c>
      <c r="E669" s="113">
        <v>75</v>
      </c>
      <c r="F669" s="113">
        <v>8</v>
      </c>
      <c r="I669" s="112">
        <v>38</v>
      </c>
      <c r="J669" s="183">
        <v>41705</v>
      </c>
      <c r="M669" s="184">
        <v>3.08</v>
      </c>
      <c r="N669" s="157">
        <v>41853</v>
      </c>
      <c r="S669" s="139">
        <v>9.99</v>
      </c>
      <c r="T669" s="157">
        <v>41853</v>
      </c>
      <c r="U669" s="139">
        <v>15.3</v>
      </c>
      <c r="Y669" s="139">
        <f t="shared" si="10"/>
        <v>3.5622400000000001</v>
      </c>
      <c r="AA669" s="139">
        <v>43.02</v>
      </c>
      <c r="AE669" s="139">
        <v>19.36</v>
      </c>
      <c r="AG669" s="185">
        <v>4.5</v>
      </c>
      <c r="AI669" s="185">
        <v>115</v>
      </c>
      <c r="AJ669" s="157">
        <v>41803</v>
      </c>
      <c r="AO669" s="139">
        <v>93</v>
      </c>
      <c r="AP669" s="157">
        <v>41738</v>
      </c>
      <c r="AS669" s="139">
        <v>126</v>
      </c>
      <c r="AT669" s="157">
        <v>41766</v>
      </c>
      <c r="BS669" s="140">
        <v>51.6</v>
      </c>
      <c r="BU669" s="140">
        <v>18.399999999999999</v>
      </c>
      <c r="BW669" s="140">
        <v>14</v>
      </c>
      <c r="BY669" s="140">
        <v>12.5</v>
      </c>
      <c r="CJ669" s="140" t="s">
        <v>8140</v>
      </c>
    </row>
    <row r="670" spans="1:91">
      <c r="A670" s="158" t="s">
        <v>7703</v>
      </c>
      <c r="B670" s="112" t="s">
        <v>269</v>
      </c>
      <c r="C670" s="112">
        <v>4</v>
      </c>
      <c r="D670">
        <v>88</v>
      </c>
      <c r="E670" s="113">
        <v>75</v>
      </c>
      <c r="F670" s="113">
        <v>9</v>
      </c>
      <c r="I670" s="112">
        <v>33</v>
      </c>
      <c r="J670" s="183">
        <v>41705</v>
      </c>
      <c r="M670" s="184">
        <v>2.34</v>
      </c>
      <c r="N670" s="157">
        <v>41853</v>
      </c>
      <c r="S670" s="139">
        <v>7.8</v>
      </c>
      <c r="T670" s="157">
        <v>41853</v>
      </c>
      <c r="U670" s="139">
        <v>15.3</v>
      </c>
      <c r="Y670" s="139">
        <f t="shared" si="10"/>
        <v>2.6438299999999999</v>
      </c>
      <c r="AA670" s="139">
        <v>38.869999999999997</v>
      </c>
      <c r="AE670" s="139">
        <v>14.77</v>
      </c>
      <c r="AG670" s="185">
        <v>3.8</v>
      </c>
      <c r="AI670" s="185">
        <v>120</v>
      </c>
      <c r="AJ670" s="157">
        <v>41803</v>
      </c>
      <c r="AO670" s="139">
        <v>98</v>
      </c>
      <c r="AP670" s="157">
        <v>41738</v>
      </c>
      <c r="AS670" s="139">
        <v>127</v>
      </c>
      <c r="AT670" s="157">
        <v>41766</v>
      </c>
      <c r="BS670" s="140">
        <v>52.8</v>
      </c>
      <c r="BU670" s="140">
        <v>17.899999999999999</v>
      </c>
      <c r="BW670" s="140">
        <v>13.9</v>
      </c>
      <c r="BY670" s="140">
        <v>12.1</v>
      </c>
      <c r="CJ670" s="140" t="s">
        <v>8131</v>
      </c>
    </row>
    <row r="671" spans="1:91">
      <c r="A671" s="158" t="s">
        <v>7725</v>
      </c>
      <c r="B671" s="112" t="s">
        <v>269</v>
      </c>
      <c r="C671" s="112">
        <v>4</v>
      </c>
      <c r="D671">
        <v>110</v>
      </c>
      <c r="E671" s="113">
        <v>75</v>
      </c>
      <c r="F671" s="113">
        <v>10</v>
      </c>
      <c r="I671" s="112">
        <v>28</v>
      </c>
      <c r="J671" s="183">
        <v>41705</v>
      </c>
      <c r="M671" s="184">
        <v>2.0099999999999998</v>
      </c>
      <c r="N671" s="157">
        <v>41853</v>
      </c>
      <c r="S671" s="139">
        <v>6.67</v>
      </c>
      <c r="T671" s="157">
        <v>41853</v>
      </c>
      <c r="U671" s="139">
        <v>15.3</v>
      </c>
      <c r="Y671" s="139">
        <f t="shared" si="10"/>
        <v>2.3349599999999997</v>
      </c>
      <c r="AA671" s="139">
        <v>28.84</v>
      </c>
      <c r="AE671" s="139">
        <v>12.69</v>
      </c>
      <c r="AG671" s="185">
        <v>4.4000000000000004</v>
      </c>
      <c r="AI671" s="185">
        <v>110</v>
      </c>
      <c r="AJ671" s="157">
        <v>41803</v>
      </c>
      <c r="AO671" s="139">
        <v>93</v>
      </c>
      <c r="AP671" s="157">
        <v>41738</v>
      </c>
      <c r="AS671" s="139">
        <v>126</v>
      </c>
      <c r="AT671" s="157">
        <v>41766</v>
      </c>
      <c r="BS671" s="140">
        <v>52.6</v>
      </c>
      <c r="BU671" s="140">
        <v>18.399999999999999</v>
      </c>
      <c r="BW671" s="140">
        <v>18.8</v>
      </c>
      <c r="BY671" s="140">
        <v>12.1</v>
      </c>
      <c r="CJ671" s="140" t="s">
        <v>8140</v>
      </c>
    </row>
    <row r="672" spans="1:91">
      <c r="A672" s="158" t="s">
        <v>7815</v>
      </c>
      <c r="B672" s="112" t="s">
        <v>269</v>
      </c>
      <c r="C672" s="112">
        <v>4</v>
      </c>
      <c r="D672">
        <v>200</v>
      </c>
      <c r="E672" s="113">
        <v>75</v>
      </c>
      <c r="F672" s="113">
        <v>11</v>
      </c>
      <c r="I672" s="112">
        <v>43</v>
      </c>
      <c r="J672" s="183">
        <v>41705</v>
      </c>
      <c r="M672" s="184">
        <v>2.87</v>
      </c>
      <c r="N672" s="157">
        <v>41853</v>
      </c>
      <c r="S672" s="139">
        <v>9.68</v>
      </c>
      <c r="T672" s="157">
        <v>41853</v>
      </c>
      <c r="U672" s="139">
        <v>15.3</v>
      </c>
      <c r="Y672" s="139">
        <f t="shared" si="10"/>
        <v>3.1235199999999996</v>
      </c>
      <c r="AA672" s="139">
        <v>45.4</v>
      </c>
      <c r="AE672" s="139">
        <v>18.16</v>
      </c>
      <c r="AG672" s="185">
        <v>4</v>
      </c>
      <c r="AI672" s="185">
        <v>115</v>
      </c>
      <c r="AJ672" s="157">
        <v>41803</v>
      </c>
      <c r="AO672" s="139">
        <v>90</v>
      </c>
      <c r="AP672" s="157">
        <v>41738</v>
      </c>
      <c r="AS672" s="139">
        <v>125</v>
      </c>
      <c r="AT672" s="157">
        <v>41766</v>
      </c>
      <c r="BS672" s="140">
        <v>53.3</v>
      </c>
      <c r="BU672" s="140">
        <v>17.2</v>
      </c>
      <c r="BW672" s="140">
        <v>12.4</v>
      </c>
      <c r="BY672" s="140">
        <v>11.9</v>
      </c>
      <c r="CJ672" s="140" t="s">
        <v>8140</v>
      </c>
    </row>
    <row r="673" spans="1:91">
      <c r="A673" s="158" t="s">
        <v>7637</v>
      </c>
      <c r="B673" s="112" t="s">
        <v>269</v>
      </c>
      <c r="C673" s="112">
        <v>4</v>
      </c>
      <c r="D673">
        <v>22</v>
      </c>
      <c r="E673" s="113">
        <v>75</v>
      </c>
      <c r="F673" s="113">
        <v>12</v>
      </c>
      <c r="I673" s="112">
        <v>18</v>
      </c>
      <c r="J673" s="183">
        <v>41705</v>
      </c>
      <c r="M673" s="184">
        <v>1.47</v>
      </c>
      <c r="N673" s="157">
        <v>41853</v>
      </c>
      <c r="S673" s="139">
        <v>4.68</v>
      </c>
      <c r="T673" s="157">
        <v>41853</v>
      </c>
      <c r="U673" s="139">
        <v>15.3</v>
      </c>
      <c r="Y673" s="139">
        <f t="shared" si="10"/>
        <v>1.83744</v>
      </c>
      <c r="AA673" s="139">
        <v>20.62</v>
      </c>
      <c r="AE673" s="139">
        <v>9.2799999999999994</v>
      </c>
      <c r="AG673" s="185">
        <v>4.5</v>
      </c>
      <c r="AI673" s="185">
        <v>120</v>
      </c>
      <c r="AJ673" s="157">
        <v>41803</v>
      </c>
      <c r="AO673" s="139">
        <v>94</v>
      </c>
      <c r="AP673" s="157">
        <v>41738</v>
      </c>
      <c r="AS673" s="139">
        <v>128</v>
      </c>
      <c r="AT673" s="157">
        <v>41766</v>
      </c>
      <c r="BS673" s="140">
        <v>50.4</v>
      </c>
      <c r="BU673" s="140">
        <v>19.8</v>
      </c>
      <c r="BW673" s="140">
        <v>64.7</v>
      </c>
      <c r="BY673" s="140">
        <v>12.1</v>
      </c>
      <c r="CJ673" s="140" t="s">
        <v>8144</v>
      </c>
    </row>
    <row r="674" spans="1:91">
      <c r="A674" s="158" t="s">
        <v>7674</v>
      </c>
      <c r="B674" s="112" t="s">
        <v>271</v>
      </c>
      <c r="C674" s="112">
        <v>3</v>
      </c>
      <c r="D674">
        <v>59</v>
      </c>
      <c r="E674" s="113">
        <v>76</v>
      </c>
      <c r="F674" s="113">
        <v>1</v>
      </c>
      <c r="I674" s="112">
        <v>34</v>
      </c>
      <c r="J674" s="183">
        <v>41705</v>
      </c>
      <c r="M674" s="184">
        <v>3.05</v>
      </c>
      <c r="N674" s="157">
        <v>41853</v>
      </c>
      <c r="S674" s="139">
        <v>9.99</v>
      </c>
      <c r="T674" s="157">
        <v>41853</v>
      </c>
      <c r="U674" s="139">
        <v>15.3</v>
      </c>
      <c r="Y674" s="139">
        <f t="shared" si="10"/>
        <v>4.3839800000000002</v>
      </c>
      <c r="AA674" s="139">
        <v>43.72</v>
      </c>
      <c r="AE674" s="139">
        <v>20.11</v>
      </c>
      <c r="AG674" s="185">
        <v>4.5999999999999996</v>
      </c>
      <c r="AI674" s="185">
        <v>135</v>
      </c>
      <c r="AJ674" s="157">
        <v>41803</v>
      </c>
      <c r="AO674" s="139">
        <v>93</v>
      </c>
      <c r="AP674" s="157">
        <v>41738</v>
      </c>
      <c r="AS674" s="139">
        <v>127</v>
      </c>
      <c r="AT674" s="157">
        <v>41766</v>
      </c>
      <c r="BS674" s="140">
        <v>49.7</v>
      </c>
      <c r="BU674" s="140">
        <v>21.8</v>
      </c>
      <c r="BW674" s="140">
        <v>18.3</v>
      </c>
      <c r="BY674" s="140">
        <v>8.1999999999999993</v>
      </c>
      <c r="CJ674" s="140" t="s">
        <v>8140</v>
      </c>
    </row>
    <row r="675" spans="1:91">
      <c r="A675" s="158" t="s">
        <v>7680</v>
      </c>
      <c r="B675" s="112" t="s">
        <v>271</v>
      </c>
      <c r="C675" s="112">
        <v>3</v>
      </c>
      <c r="D675">
        <v>65</v>
      </c>
      <c r="E675" s="113">
        <v>76</v>
      </c>
      <c r="F675" s="113">
        <v>2</v>
      </c>
      <c r="I675" s="112">
        <v>38</v>
      </c>
      <c r="J675" s="183">
        <v>41705</v>
      </c>
      <c r="M675" s="184">
        <v>3.71</v>
      </c>
      <c r="N675" s="157">
        <v>41853</v>
      </c>
      <c r="S675" s="139">
        <v>12.47</v>
      </c>
      <c r="T675" s="157">
        <v>41853</v>
      </c>
      <c r="U675" s="139">
        <v>15.3</v>
      </c>
      <c r="Y675" s="139">
        <f t="shared" si="10"/>
        <v>5.1365999999999996</v>
      </c>
      <c r="AA675" s="139">
        <v>47.96</v>
      </c>
      <c r="AE675" s="139">
        <v>24.46</v>
      </c>
      <c r="AG675" s="185">
        <v>5.0999999999999996</v>
      </c>
      <c r="AI675" s="185">
        <v>135</v>
      </c>
      <c r="AJ675" s="157">
        <v>41803</v>
      </c>
      <c r="AO675" s="139">
        <v>94</v>
      </c>
      <c r="AP675" s="157">
        <v>41738</v>
      </c>
      <c r="AS675" s="139">
        <v>129</v>
      </c>
      <c r="AT675" s="157">
        <v>41766</v>
      </c>
      <c r="BS675" s="140">
        <v>51</v>
      </c>
      <c r="BU675" s="140">
        <v>21</v>
      </c>
      <c r="BW675" s="140">
        <v>15</v>
      </c>
      <c r="BY675" s="140">
        <v>8.1999999999999993</v>
      </c>
      <c r="CJ675" s="140" t="s">
        <v>8140</v>
      </c>
    </row>
    <row r="676" spans="1:91">
      <c r="A676" s="158" t="s">
        <v>7636</v>
      </c>
      <c r="B676" s="112" t="s">
        <v>271</v>
      </c>
      <c r="C676" s="112">
        <v>3</v>
      </c>
      <c r="D676">
        <v>21</v>
      </c>
      <c r="E676" s="113">
        <v>76</v>
      </c>
      <c r="F676" s="113">
        <v>3</v>
      </c>
      <c r="I676" s="187">
        <v>26</v>
      </c>
      <c r="J676" s="183">
        <v>41705</v>
      </c>
      <c r="K676" s="142"/>
      <c r="M676" s="184">
        <v>2.2000000000000002</v>
      </c>
      <c r="N676" s="157">
        <v>41853</v>
      </c>
      <c r="O676" s="141"/>
      <c r="Q676" s="142"/>
      <c r="S676" s="142">
        <v>6.88</v>
      </c>
      <c r="T676" s="157">
        <v>41853</v>
      </c>
      <c r="U676" s="142">
        <v>15.3</v>
      </c>
      <c r="W676" s="142"/>
      <c r="Y676" s="139">
        <f t="shared" si="10"/>
        <v>3.3151199999999998</v>
      </c>
      <c r="AA676" s="142">
        <v>27.43</v>
      </c>
      <c r="AE676" s="142">
        <v>14.54</v>
      </c>
      <c r="AG676" s="185">
        <v>5.3</v>
      </c>
      <c r="AI676" s="185">
        <v>125</v>
      </c>
      <c r="AJ676" s="157">
        <v>41803</v>
      </c>
      <c r="AK676" s="142"/>
      <c r="AM676" s="142"/>
      <c r="AO676" s="139">
        <v>92</v>
      </c>
      <c r="AP676" s="157">
        <v>41738</v>
      </c>
      <c r="AS676" s="139">
        <v>128</v>
      </c>
      <c r="AT676" s="157">
        <v>41766</v>
      </c>
      <c r="BS676" s="140">
        <v>47.3</v>
      </c>
      <c r="BU676" s="140">
        <v>22.8</v>
      </c>
      <c r="BW676" s="140">
        <v>67.900000000000006</v>
      </c>
      <c r="BY676" s="140">
        <v>8</v>
      </c>
      <c r="CJ676" s="140" t="s">
        <v>8139</v>
      </c>
    </row>
    <row r="677" spans="1:91">
      <c r="A677" s="158" t="s">
        <v>7697</v>
      </c>
      <c r="B677" s="112" t="s">
        <v>271</v>
      </c>
      <c r="C677" s="112">
        <v>3</v>
      </c>
      <c r="D677">
        <v>82</v>
      </c>
      <c r="E677" s="113">
        <v>76</v>
      </c>
      <c r="F677" s="113">
        <v>4</v>
      </c>
      <c r="I677" s="112">
        <v>31</v>
      </c>
      <c r="J677" s="183">
        <v>41705</v>
      </c>
      <c r="M677" s="184">
        <v>3.85</v>
      </c>
      <c r="N677" s="157">
        <v>41853</v>
      </c>
      <c r="S677" s="139">
        <v>12.53</v>
      </c>
      <c r="T677" s="157">
        <v>41853</v>
      </c>
      <c r="U677" s="139">
        <v>15.3</v>
      </c>
      <c r="Y677" s="139">
        <f t="shared" si="10"/>
        <v>5.5015200000000002</v>
      </c>
      <c r="AA677" s="139">
        <v>54.19</v>
      </c>
      <c r="AE677" s="139">
        <v>25.47</v>
      </c>
      <c r="AG677" s="185">
        <v>4.7</v>
      </c>
      <c r="AI677" s="185">
        <v>120</v>
      </c>
      <c r="AJ677" s="157">
        <v>41803</v>
      </c>
      <c r="AO677" s="139">
        <v>93</v>
      </c>
      <c r="AP677" s="157">
        <v>41738</v>
      </c>
      <c r="AS677" s="139">
        <v>127</v>
      </c>
      <c r="AT677" s="157">
        <v>41766</v>
      </c>
      <c r="BS677" s="140">
        <v>49.2</v>
      </c>
      <c r="BU677" s="140">
        <v>21.6</v>
      </c>
      <c r="BW677" s="140">
        <v>17.8</v>
      </c>
      <c r="BY677" s="140">
        <v>7.9</v>
      </c>
      <c r="CJ677" s="140" t="s">
        <v>8140</v>
      </c>
    </row>
    <row r="678" spans="1:91">
      <c r="A678" s="158" t="s">
        <v>7700</v>
      </c>
      <c r="B678" s="112" t="s">
        <v>271</v>
      </c>
      <c r="C678" s="112">
        <v>3</v>
      </c>
      <c r="D678">
        <v>85</v>
      </c>
      <c r="E678" s="113">
        <v>76</v>
      </c>
      <c r="F678" s="113">
        <v>5</v>
      </c>
      <c r="I678" s="112">
        <v>32</v>
      </c>
      <c r="J678" s="183">
        <v>41705</v>
      </c>
      <c r="M678" s="184">
        <v>2.86</v>
      </c>
      <c r="N678" s="157">
        <v>41853</v>
      </c>
      <c r="S678" s="139">
        <v>9.6199999999999992</v>
      </c>
      <c r="T678" s="157">
        <v>41853</v>
      </c>
      <c r="U678" s="139">
        <v>15.3</v>
      </c>
      <c r="Y678" s="139">
        <f t="shared" si="10"/>
        <v>3.7690600000000001</v>
      </c>
      <c r="AA678" s="139">
        <v>43.05</v>
      </c>
      <c r="AE678" s="139">
        <v>18.940000000000001</v>
      </c>
      <c r="AG678" s="185">
        <v>4.4000000000000004</v>
      </c>
      <c r="AI678" s="185">
        <v>125</v>
      </c>
      <c r="AJ678" s="157">
        <v>41803</v>
      </c>
      <c r="AO678" s="139">
        <v>93</v>
      </c>
      <c r="AP678" s="157">
        <v>41738</v>
      </c>
      <c r="AS678" s="139">
        <v>129</v>
      </c>
      <c r="AT678" s="157">
        <v>41766</v>
      </c>
      <c r="BS678" s="140">
        <v>50.8</v>
      </c>
      <c r="BU678" s="140">
        <v>19.899999999999999</v>
      </c>
      <c r="BW678" s="140">
        <v>18.399999999999999</v>
      </c>
      <c r="BY678" s="140">
        <v>7.8</v>
      </c>
      <c r="CJ678" s="140" t="s">
        <v>8140</v>
      </c>
    </row>
    <row r="679" spans="1:91">
      <c r="A679" s="188" t="s">
        <v>7768</v>
      </c>
      <c r="B679" s="189" t="s">
        <v>271</v>
      </c>
      <c r="C679" s="189">
        <v>3</v>
      </c>
      <c r="D679" s="190">
        <v>153</v>
      </c>
      <c r="E679" s="191">
        <v>76</v>
      </c>
      <c r="F679" s="191">
        <v>6</v>
      </c>
      <c r="G679" s="191"/>
      <c r="H679" s="191"/>
      <c r="I679" s="189">
        <v>39</v>
      </c>
      <c r="J679" s="193">
        <v>41705</v>
      </c>
      <c r="K679" s="194"/>
      <c r="L679" s="195"/>
      <c r="M679" s="196">
        <v>1.36</v>
      </c>
      <c r="N679" s="195">
        <v>41853</v>
      </c>
      <c r="O679" s="194"/>
      <c r="P679" s="195"/>
      <c r="Q679" s="194"/>
      <c r="R679" s="195"/>
      <c r="S679" s="194">
        <v>4.08</v>
      </c>
      <c r="T679" s="195">
        <v>41853</v>
      </c>
      <c r="U679" s="194">
        <v>15.3</v>
      </c>
      <c r="V679" s="195"/>
      <c r="W679" s="194"/>
      <c r="X679" s="195"/>
      <c r="Y679" s="139">
        <f t="shared" si="10"/>
        <v>2.1486099999999997</v>
      </c>
      <c r="Z679" s="195"/>
      <c r="AA679" s="194">
        <v>20.43</v>
      </c>
      <c r="AB679" s="195"/>
      <c r="AC679" s="194"/>
      <c r="AD679" s="195"/>
      <c r="AE679" s="194">
        <v>8.99</v>
      </c>
      <c r="AF679" s="195"/>
      <c r="AG679" s="197">
        <v>4.4000000000000004</v>
      </c>
      <c r="AH679" s="195"/>
      <c r="AI679" s="197">
        <v>120</v>
      </c>
      <c r="AJ679" s="195">
        <v>41803</v>
      </c>
      <c r="AK679" s="194"/>
      <c r="AL679" s="195"/>
      <c r="AM679" s="194"/>
      <c r="AN679" s="195"/>
      <c r="AO679" s="194">
        <v>98</v>
      </c>
      <c r="AP679" s="195">
        <v>41738</v>
      </c>
      <c r="AQ679" s="194"/>
      <c r="AR679" s="194"/>
      <c r="AS679" s="194">
        <v>128</v>
      </c>
      <c r="AT679" s="195">
        <v>41766</v>
      </c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8"/>
      <c r="BF679" s="198"/>
      <c r="BG679" s="198"/>
      <c r="BH679" s="198"/>
      <c r="BI679" s="198"/>
      <c r="BJ679" s="198"/>
      <c r="BK679" s="198"/>
      <c r="BL679" s="198"/>
      <c r="BM679" s="198"/>
      <c r="BN679" s="198"/>
      <c r="BO679" s="198"/>
      <c r="BP679" s="198"/>
      <c r="BQ679" s="198"/>
      <c r="BR679" s="198"/>
      <c r="BS679" s="198">
        <v>45.4</v>
      </c>
      <c r="BT679" s="198"/>
      <c r="BU679" s="198">
        <v>23.9</v>
      </c>
      <c r="BV679" s="198"/>
      <c r="BW679" s="198">
        <v>65.5</v>
      </c>
      <c r="BX679" s="198"/>
      <c r="BY679" s="198">
        <v>8</v>
      </c>
      <c r="BZ679" s="198"/>
      <c r="CA679" s="198"/>
      <c r="CB679" s="198"/>
      <c r="CC679" s="198"/>
      <c r="CD679" s="198"/>
      <c r="CE679" s="198"/>
      <c r="CF679" s="198"/>
      <c r="CG679" s="198"/>
      <c r="CH679" s="198"/>
      <c r="CI679" s="198"/>
      <c r="CJ679" s="198" t="s">
        <v>8131</v>
      </c>
      <c r="CK679" s="198"/>
      <c r="CL679" s="198"/>
      <c r="CM679" s="198"/>
    </row>
    <row r="680" spans="1:91">
      <c r="A680" s="158" t="s">
        <v>7756</v>
      </c>
      <c r="B680" s="112" t="s">
        <v>269</v>
      </c>
      <c r="C680" s="112">
        <v>4</v>
      </c>
      <c r="D680">
        <v>141</v>
      </c>
      <c r="E680" s="113">
        <v>76</v>
      </c>
      <c r="F680" s="113">
        <v>7</v>
      </c>
      <c r="I680" s="112">
        <v>35</v>
      </c>
      <c r="J680" s="183">
        <v>41705</v>
      </c>
      <c r="M680" s="184">
        <v>1.38</v>
      </c>
      <c r="N680" s="157">
        <v>41853</v>
      </c>
      <c r="S680" s="139">
        <v>4.59</v>
      </c>
      <c r="T680" s="157">
        <v>41853</v>
      </c>
      <c r="U680" s="139">
        <v>15.3</v>
      </c>
      <c r="Y680" s="139">
        <f t="shared" si="10"/>
        <v>1.9334399999999996</v>
      </c>
      <c r="AA680" s="139">
        <v>22.24</v>
      </c>
      <c r="AE680" s="139">
        <v>9.1199999999999992</v>
      </c>
      <c r="AG680" s="185">
        <v>4.0999999999999996</v>
      </c>
      <c r="AI680" s="185">
        <v>110</v>
      </c>
      <c r="AJ680" s="157">
        <v>41803</v>
      </c>
      <c r="AO680" s="139">
        <v>91</v>
      </c>
      <c r="AP680" s="157">
        <v>41738</v>
      </c>
      <c r="AS680" s="139">
        <v>126</v>
      </c>
      <c r="AT680" s="157">
        <v>41766</v>
      </c>
      <c r="BS680" s="140">
        <v>50.3</v>
      </c>
      <c r="BU680" s="140">
        <v>21.2</v>
      </c>
      <c r="BW680" s="140">
        <v>67</v>
      </c>
      <c r="BY680" s="140">
        <v>8</v>
      </c>
      <c r="CJ680" s="140" t="s">
        <v>8140</v>
      </c>
    </row>
    <row r="681" spans="1:91">
      <c r="A681" s="158" t="s">
        <v>7813</v>
      </c>
      <c r="B681" s="112" t="s">
        <v>269</v>
      </c>
      <c r="C681" s="112">
        <v>4</v>
      </c>
      <c r="D681">
        <v>198</v>
      </c>
      <c r="E681" s="113">
        <v>76</v>
      </c>
      <c r="F681" s="113">
        <v>8</v>
      </c>
      <c r="I681" s="112">
        <v>48</v>
      </c>
      <c r="J681" s="183">
        <v>41705</v>
      </c>
      <c r="M681" s="184">
        <v>3.13</v>
      </c>
      <c r="N681" s="157">
        <v>41853</v>
      </c>
      <c r="S681" s="139">
        <v>11</v>
      </c>
      <c r="T681" s="157">
        <v>41853</v>
      </c>
      <c r="U681" s="139">
        <v>15.3</v>
      </c>
      <c r="Y681" s="139">
        <f t="shared" si="10"/>
        <v>3.78444</v>
      </c>
      <c r="AA681" s="139">
        <v>39.020000000000003</v>
      </c>
      <c r="AE681" s="139">
        <v>20.68</v>
      </c>
      <c r="AG681" s="185">
        <v>5.3</v>
      </c>
      <c r="AI681" s="185">
        <v>115</v>
      </c>
      <c r="AJ681" s="157">
        <v>41803</v>
      </c>
      <c r="AO681" s="139">
        <v>95</v>
      </c>
      <c r="AP681" s="157">
        <v>41738</v>
      </c>
      <c r="AS681" s="139">
        <v>127</v>
      </c>
      <c r="AT681" s="157">
        <v>41766</v>
      </c>
      <c r="BS681" s="140">
        <v>53.2</v>
      </c>
      <c r="BU681" s="140">
        <v>18.3</v>
      </c>
      <c r="BW681" s="140">
        <v>15.9</v>
      </c>
      <c r="BY681" s="140">
        <v>8</v>
      </c>
      <c r="CJ681" s="140" t="s">
        <v>8140</v>
      </c>
    </row>
    <row r="682" spans="1:91">
      <c r="A682" s="158" t="s">
        <v>7666</v>
      </c>
      <c r="B682" s="112" t="s">
        <v>269</v>
      </c>
      <c r="C682" s="112">
        <v>4</v>
      </c>
      <c r="D682">
        <v>51</v>
      </c>
      <c r="E682" s="113">
        <v>76</v>
      </c>
      <c r="F682" s="113">
        <v>9</v>
      </c>
      <c r="I682" s="112">
        <v>42</v>
      </c>
      <c r="J682" s="183">
        <v>41705</v>
      </c>
      <c r="M682" s="184">
        <v>2.2400000000000002</v>
      </c>
      <c r="N682" s="157">
        <v>41853</v>
      </c>
      <c r="S682" s="139">
        <v>7.43</v>
      </c>
      <c r="T682" s="157">
        <v>41853</v>
      </c>
      <c r="U682" s="139">
        <v>15.3</v>
      </c>
      <c r="Y682" s="139">
        <f t="shared" si="10"/>
        <v>2.9451999999999998</v>
      </c>
      <c r="AA682" s="139">
        <v>26.91</v>
      </c>
      <c r="AE682" s="139">
        <v>14.8</v>
      </c>
      <c r="AG682" s="185">
        <v>5.5</v>
      </c>
      <c r="AI682" s="185">
        <v>115</v>
      </c>
      <c r="AJ682" s="157">
        <v>41803</v>
      </c>
      <c r="AO682" s="139">
        <v>93</v>
      </c>
      <c r="AP682" s="157">
        <v>41738</v>
      </c>
      <c r="AS682" s="139">
        <v>126</v>
      </c>
      <c r="AT682" s="157">
        <v>41766</v>
      </c>
      <c r="BS682" s="140">
        <v>50.2</v>
      </c>
      <c r="BU682" s="140">
        <v>19.899999999999999</v>
      </c>
      <c r="BW682" s="140">
        <v>60.5</v>
      </c>
      <c r="BY682" s="140">
        <v>8</v>
      </c>
      <c r="CJ682" s="140" t="s">
        <v>8140</v>
      </c>
    </row>
    <row r="683" spans="1:91">
      <c r="A683" s="158" t="s">
        <v>7623</v>
      </c>
      <c r="B683" s="112" t="s">
        <v>269</v>
      </c>
      <c r="C683" s="112">
        <v>4</v>
      </c>
      <c r="D683">
        <v>8</v>
      </c>
      <c r="E683" s="113">
        <v>76</v>
      </c>
      <c r="F683" s="113">
        <v>10</v>
      </c>
      <c r="I683" s="187">
        <v>36</v>
      </c>
      <c r="J683" s="183">
        <v>41705</v>
      </c>
      <c r="K683" s="142"/>
      <c r="M683" s="184">
        <v>1.64</v>
      </c>
      <c r="N683" s="157">
        <v>41853</v>
      </c>
      <c r="O683" s="141"/>
      <c r="Q683" s="142"/>
      <c r="S683" s="142">
        <v>5.5</v>
      </c>
      <c r="T683" s="157">
        <v>41853</v>
      </c>
      <c r="U683" s="142">
        <v>15.3</v>
      </c>
      <c r="W683" s="142"/>
      <c r="Y683" s="139">
        <f t="shared" si="10"/>
        <v>2.2872400000000002</v>
      </c>
      <c r="AA683" s="142">
        <v>19.02</v>
      </c>
      <c r="AE683" s="142">
        <v>10.84</v>
      </c>
      <c r="AG683" s="185">
        <v>5.7</v>
      </c>
      <c r="AI683" s="185">
        <v>110</v>
      </c>
      <c r="AJ683" s="157">
        <v>41803</v>
      </c>
      <c r="AK683" s="142"/>
      <c r="AM683" s="142"/>
      <c r="AO683" s="139">
        <v>85</v>
      </c>
      <c r="AP683" s="157">
        <v>41738</v>
      </c>
      <c r="AS683" s="139">
        <v>124</v>
      </c>
      <c r="AT683" s="157">
        <v>41766</v>
      </c>
      <c r="BS683" s="140">
        <v>50.7</v>
      </c>
      <c r="BU683" s="140">
        <v>21.1</v>
      </c>
      <c r="BW683" s="140">
        <v>71.8</v>
      </c>
      <c r="BY683" s="140">
        <v>8</v>
      </c>
      <c r="CJ683" s="140" t="s">
        <v>8140</v>
      </c>
    </row>
    <row r="684" spans="1:91">
      <c r="A684" s="158" t="s">
        <v>7820</v>
      </c>
      <c r="B684" s="112" t="s">
        <v>269</v>
      </c>
      <c r="C684" s="112">
        <v>4</v>
      </c>
      <c r="D684">
        <v>205</v>
      </c>
      <c r="E684" s="113">
        <v>76</v>
      </c>
      <c r="F684" s="113">
        <v>11</v>
      </c>
      <c r="I684" s="112">
        <v>40</v>
      </c>
      <c r="J684" s="183">
        <v>41705</v>
      </c>
      <c r="M684" s="184">
        <v>2.64</v>
      </c>
      <c r="N684" s="157">
        <v>41853</v>
      </c>
      <c r="S684" s="139">
        <v>9.44</v>
      </c>
      <c r="T684" s="157">
        <v>41853</v>
      </c>
      <c r="U684" s="139">
        <v>15.3</v>
      </c>
      <c r="Y684" s="139">
        <f t="shared" si="10"/>
        <v>2.7206400000000004</v>
      </c>
      <c r="AA684" s="139">
        <v>40.56</v>
      </c>
      <c r="AE684" s="139">
        <v>17.440000000000001</v>
      </c>
      <c r="AG684" s="185">
        <v>4.3</v>
      </c>
      <c r="AI684" s="185">
        <v>120</v>
      </c>
      <c r="AJ684" s="157">
        <v>41803</v>
      </c>
      <c r="AO684" s="139">
        <v>93</v>
      </c>
      <c r="AP684" s="157">
        <v>41738</v>
      </c>
      <c r="AS684" s="139">
        <v>126</v>
      </c>
      <c r="AT684" s="157">
        <v>41766</v>
      </c>
      <c r="BS684" s="140">
        <v>54.1</v>
      </c>
      <c r="BU684" s="140">
        <v>15.6</v>
      </c>
      <c r="BW684" s="140">
        <v>13.8</v>
      </c>
      <c r="BY684" s="140">
        <v>8</v>
      </c>
      <c r="CJ684" s="140" t="s">
        <v>8144</v>
      </c>
    </row>
    <row r="685" spans="1:91">
      <c r="A685" s="158" t="s">
        <v>7805</v>
      </c>
      <c r="B685" s="112" t="s">
        <v>269</v>
      </c>
      <c r="C685" s="112">
        <v>4</v>
      </c>
      <c r="D685">
        <v>190</v>
      </c>
      <c r="E685" s="113">
        <v>76</v>
      </c>
      <c r="F685" s="113">
        <v>12</v>
      </c>
      <c r="I685" s="112">
        <v>50</v>
      </c>
      <c r="J685" s="183">
        <v>41705</v>
      </c>
      <c r="M685" s="184">
        <v>3.08</v>
      </c>
      <c r="N685" s="157">
        <v>41853</v>
      </c>
      <c r="S685" s="139">
        <v>10.96</v>
      </c>
      <c r="T685" s="157">
        <v>41853</v>
      </c>
      <c r="U685" s="139">
        <v>15.3</v>
      </c>
      <c r="Y685" s="139">
        <f t="shared" si="10"/>
        <v>3.3814200000000003</v>
      </c>
      <c r="AA685" s="139">
        <v>44.28</v>
      </c>
      <c r="AE685" s="139">
        <v>20.37</v>
      </c>
      <c r="AG685" s="185">
        <v>4.5999999999999996</v>
      </c>
      <c r="AI685" s="185">
        <v>115</v>
      </c>
      <c r="AJ685" s="157">
        <v>41803</v>
      </c>
      <c r="AO685" s="139">
        <v>92</v>
      </c>
      <c r="AP685" s="157">
        <v>41738</v>
      </c>
      <c r="AS685" s="139">
        <v>127</v>
      </c>
      <c r="AT685" s="157">
        <v>41766</v>
      </c>
      <c r="BS685" s="140">
        <v>53.8</v>
      </c>
      <c r="BU685" s="140">
        <v>16.600000000000001</v>
      </c>
      <c r="BW685" s="140">
        <v>11.2</v>
      </c>
      <c r="BY685" s="140">
        <v>7.9</v>
      </c>
      <c r="CJ685" s="140" t="s">
        <v>8140</v>
      </c>
    </row>
    <row r="686" spans="1:91">
      <c r="A686" s="158" t="s">
        <v>7704</v>
      </c>
      <c r="B686" s="112" t="s">
        <v>271</v>
      </c>
      <c r="C686" s="112">
        <v>3</v>
      </c>
      <c r="D686">
        <v>89</v>
      </c>
      <c r="E686" s="113">
        <v>77</v>
      </c>
      <c r="F686" s="113">
        <v>1</v>
      </c>
      <c r="I686" s="112">
        <v>18</v>
      </c>
      <c r="J686" s="183">
        <v>41705</v>
      </c>
      <c r="M686" s="184">
        <v>2.0099999999999998</v>
      </c>
      <c r="N686" s="157">
        <v>41853</v>
      </c>
      <c r="S686" s="139">
        <v>6.43</v>
      </c>
      <c r="T686" s="157">
        <v>41853</v>
      </c>
      <c r="U686" s="139">
        <v>15.3</v>
      </c>
      <c r="Y686" s="139">
        <f t="shared" si="10"/>
        <v>2.9481599999999997</v>
      </c>
      <c r="AA686" s="139">
        <v>24.15</v>
      </c>
      <c r="AE686" s="139">
        <v>13.28</v>
      </c>
      <c r="AG686" s="185">
        <v>5.5</v>
      </c>
      <c r="AI686" s="185">
        <v>130</v>
      </c>
      <c r="AJ686" s="157">
        <v>41803</v>
      </c>
      <c r="AO686" s="139">
        <v>93</v>
      </c>
      <c r="AP686" s="157">
        <v>41738</v>
      </c>
      <c r="AS686" s="139">
        <v>128</v>
      </c>
      <c r="AT686" s="157">
        <v>41766</v>
      </c>
      <c r="BS686" s="140">
        <v>48.4</v>
      </c>
      <c r="BU686" s="140">
        <v>22.2</v>
      </c>
      <c r="BW686" s="140">
        <v>23.3</v>
      </c>
      <c r="BY686" s="140">
        <v>8</v>
      </c>
      <c r="CJ686" s="140" t="s">
        <v>8140</v>
      </c>
    </row>
    <row r="687" spans="1:91">
      <c r="A687" s="158" t="s">
        <v>7762</v>
      </c>
      <c r="B687" s="112" t="s">
        <v>271</v>
      </c>
      <c r="C687" s="112">
        <v>3</v>
      </c>
      <c r="D687">
        <v>147</v>
      </c>
      <c r="E687" s="113">
        <v>77</v>
      </c>
      <c r="F687" s="113">
        <v>2</v>
      </c>
      <c r="I687" s="112">
        <v>24</v>
      </c>
      <c r="J687" s="183">
        <v>41705</v>
      </c>
      <c r="M687" s="184">
        <v>1.31</v>
      </c>
      <c r="N687" s="157">
        <v>41853</v>
      </c>
      <c r="S687" s="139">
        <v>3.98</v>
      </c>
      <c r="T687" s="157">
        <v>41853</v>
      </c>
      <c r="U687" s="139">
        <v>15.3</v>
      </c>
      <c r="Y687" s="139">
        <f t="shared" si="10"/>
        <v>2.1043800000000004</v>
      </c>
      <c r="AA687" s="139">
        <v>18.43</v>
      </c>
      <c r="AE687" s="139">
        <v>8.66</v>
      </c>
      <c r="AG687" s="185">
        <v>4.7</v>
      </c>
      <c r="AI687" s="185">
        <v>110</v>
      </c>
      <c r="AJ687" s="157">
        <v>41803</v>
      </c>
      <c r="AO687" s="139">
        <v>92</v>
      </c>
      <c r="AP687" s="157">
        <v>41738</v>
      </c>
      <c r="AS687" s="139">
        <v>128</v>
      </c>
      <c r="AT687" s="157">
        <v>41766</v>
      </c>
      <c r="BS687" s="140">
        <v>46</v>
      </c>
      <c r="BU687" s="140">
        <v>24.3</v>
      </c>
      <c r="BW687" s="140">
        <v>69.3</v>
      </c>
      <c r="BY687" s="140">
        <v>8</v>
      </c>
      <c r="CJ687" s="140" t="s">
        <v>8143</v>
      </c>
    </row>
    <row r="688" spans="1:91">
      <c r="A688" s="158" t="s">
        <v>7653</v>
      </c>
      <c r="B688" s="112" t="s">
        <v>271</v>
      </c>
      <c r="C688" s="112">
        <v>3</v>
      </c>
      <c r="D688">
        <v>38</v>
      </c>
      <c r="E688" s="113">
        <v>77</v>
      </c>
      <c r="F688" s="113">
        <v>3</v>
      </c>
      <c r="I688" s="112">
        <v>46</v>
      </c>
      <c r="J688" s="183">
        <v>41705</v>
      </c>
      <c r="M688" s="184">
        <v>2.68</v>
      </c>
      <c r="N688" s="157">
        <v>41853</v>
      </c>
      <c r="S688" s="139">
        <v>8</v>
      </c>
      <c r="T688" s="157">
        <v>41853</v>
      </c>
      <c r="U688" s="139">
        <v>15.3</v>
      </c>
      <c r="Y688" s="139">
        <f t="shared" si="10"/>
        <v>4.4452100000000003</v>
      </c>
      <c r="AA688" s="139">
        <v>30.02</v>
      </c>
      <c r="AE688" s="139">
        <v>17.71</v>
      </c>
      <c r="AG688" s="185">
        <v>5.9</v>
      </c>
      <c r="AI688" s="185">
        <v>130</v>
      </c>
      <c r="AJ688" s="157">
        <v>41803</v>
      </c>
      <c r="AO688" s="139">
        <v>90</v>
      </c>
      <c r="AP688" s="157">
        <v>41738</v>
      </c>
      <c r="AS688" s="139">
        <v>128</v>
      </c>
      <c r="AT688" s="157">
        <v>41766</v>
      </c>
      <c r="BS688" s="140">
        <v>45.2</v>
      </c>
      <c r="BU688" s="140">
        <v>25.1</v>
      </c>
      <c r="BW688" s="140">
        <v>70.5</v>
      </c>
      <c r="BY688" s="140">
        <v>8</v>
      </c>
      <c r="CJ688" s="140" t="s">
        <v>8140</v>
      </c>
    </row>
    <row r="689" spans="1:91">
      <c r="A689" s="158" t="s">
        <v>7902</v>
      </c>
      <c r="B689" s="112" t="s">
        <v>271</v>
      </c>
      <c r="C689" s="112">
        <v>3</v>
      </c>
      <c r="D689">
        <v>209</v>
      </c>
      <c r="E689" s="113">
        <v>77</v>
      </c>
      <c r="F689" s="113">
        <v>4</v>
      </c>
      <c r="I689" s="112">
        <v>30</v>
      </c>
      <c r="J689" s="183">
        <v>41705</v>
      </c>
      <c r="M689" s="184">
        <v>4.3</v>
      </c>
      <c r="N689" s="157">
        <v>41853</v>
      </c>
      <c r="S689" s="139">
        <v>14.28</v>
      </c>
      <c r="T689" s="157">
        <v>41853</v>
      </c>
      <c r="U689" s="139">
        <v>15.3</v>
      </c>
      <c r="Y689" s="139">
        <f t="shared" si="10"/>
        <v>5.77332</v>
      </c>
      <c r="AA689" s="139">
        <v>67.709999999999994</v>
      </c>
      <c r="AE689" s="139">
        <v>28.44</v>
      </c>
      <c r="AG689" s="185">
        <v>4.2</v>
      </c>
      <c r="AI689" s="185">
        <v>125</v>
      </c>
      <c r="AJ689" s="157">
        <v>41803</v>
      </c>
      <c r="AO689" s="139">
        <v>89</v>
      </c>
      <c r="AP689" s="157">
        <v>41738</v>
      </c>
      <c r="AS689" s="139">
        <v>127</v>
      </c>
      <c r="AT689" s="157">
        <v>41766</v>
      </c>
      <c r="BS689" s="140">
        <v>50.2</v>
      </c>
      <c r="BU689" s="140">
        <v>20.3</v>
      </c>
      <c r="BW689" s="140">
        <v>21</v>
      </c>
      <c r="BY689" s="140">
        <v>7.9</v>
      </c>
      <c r="CJ689" s="140" t="s">
        <v>8140</v>
      </c>
    </row>
    <row r="690" spans="1:91">
      <c r="A690" s="158" t="s">
        <v>7736</v>
      </c>
      <c r="B690" s="112" t="s">
        <v>271</v>
      </c>
      <c r="C690" s="112">
        <v>3</v>
      </c>
      <c r="D690">
        <v>121</v>
      </c>
      <c r="E690" s="113">
        <v>77</v>
      </c>
      <c r="F690" s="113">
        <v>5</v>
      </c>
      <c r="I690" s="112">
        <v>27</v>
      </c>
      <c r="J690" s="183">
        <v>41705</v>
      </c>
      <c r="M690" s="184">
        <v>4.42</v>
      </c>
      <c r="N690" s="157">
        <v>41853</v>
      </c>
      <c r="S690" s="139">
        <v>14.8</v>
      </c>
      <c r="T690" s="157">
        <v>41853</v>
      </c>
      <c r="U690" s="139">
        <v>15.3</v>
      </c>
      <c r="Y690" s="139">
        <f t="shared" si="10"/>
        <v>5.8772400000000005</v>
      </c>
      <c r="AA690" s="139">
        <v>68</v>
      </c>
      <c r="AE690" s="139">
        <v>29.24</v>
      </c>
      <c r="AG690" s="185">
        <v>4.3</v>
      </c>
      <c r="AI690" s="185">
        <v>120</v>
      </c>
      <c r="AJ690" s="157">
        <v>41803</v>
      </c>
      <c r="AO690" s="139">
        <v>90</v>
      </c>
      <c r="AP690" s="157">
        <v>41738</v>
      </c>
      <c r="AS690" s="139">
        <v>128</v>
      </c>
      <c r="AT690" s="157">
        <v>41766</v>
      </c>
      <c r="BS690" s="140">
        <v>50.6</v>
      </c>
      <c r="BU690" s="140">
        <v>20.100000000000001</v>
      </c>
      <c r="BW690" s="140">
        <v>16.899999999999999</v>
      </c>
      <c r="BY690" s="140">
        <v>7.9</v>
      </c>
      <c r="CJ690" s="140" t="s">
        <v>8140</v>
      </c>
    </row>
    <row r="691" spans="1:91">
      <c r="A691" s="158" t="s">
        <v>7724</v>
      </c>
      <c r="B691" s="112" t="s">
        <v>271</v>
      </c>
      <c r="C691" s="112">
        <v>3</v>
      </c>
      <c r="D691">
        <v>109</v>
      </c>
      <c r="E691" s="113">
        <v>77</v>
      </c>
      <c r="F691" s="113">
        <v>6</v>
      </c>
      <c r="I691" s="112">
        <v>26</v>
      </c>
      <c r="J691" s="183">
        <v>41705</v>
      </c>
      <c r="M691" s="184">
        <v>3.4</v>
      </c>
      <c r="N691" s="157">
        <v>41853</v>
      </c>
      <c r="S691" s="139">
        <v>11.58</v>
      </c>
      <c r="T691" s="157">
        <v>41853</v>
      </c>
      <c r="U691" s="139">
        <v>15.3</v>
      </c>
      <c r="Y691" s="139">
        <f t="shared" si="10"/>
        <v>4.475509999999999</v>
      </c>
      <c r="AA691" s="139">
        <v>49.98</v>
      </c>
      <c r="AE691" s="139">
        <v>22.49</v>
      </c>
      <c r="AG691" s="185">
        <v>4.5</v>
      </c>
      <c r="AI691" s="185">
        <v>115</v>
      </c>
      <c r="AJ691" s="157">
        <v>41803</v>
      </c>
      <c r="AO691" s="139">
        <v>91</v>
      </c>
      <c r="AP691" s="157">
        <v>41738</v>
      </c>
      <c r="AS691" s="139">
        <v>127</v>
      </c>
      <c r="AT691" s="157">
        <v>41766</v>
      </c>
      <c r="BS691" s="140">
        <v>51.5</v>
      </c>
      <c r="BU691" s="140">
        <v>19.899999999999999</v>
      </c>
      <c r="BW691" s="140">
        <v>13</v>
      </c>
      <c r="BY691" s="140">
        <v>7.9</v>
      </c>
      <c r="CJ691" s="140" t="s">
        <v>8140</v>
      </c>
    </row>
    <row r="692" spans="1:91">
      <c r="A692" s="158" t="s">
        <v>7635</v>
      </c>
      <c r="B692" s="112" t="s">
        <v>269</v>
      </c>
      <c r="C692" s="112">
        <v>4</v>
      </c>
      <c r="D692">
        <v>20</v>
      </c>
      <c r="E692" s="113">
        <v>77</v>
      </c>
      <c r="F692" s="113">
        <v>7</v>
      </c>
      <c r="I692" s="187">
        <v>45</v>
      </c>
      <c r="J692" s="183">
        <v>41705</v>
      </c>
      <c r="K692" s="142"/>
      <c r="M692" s="184">
        <v>0.89</v>
      </c>
      <c r="N692" s="157">
        <v>41853</v>
      </c>
      <c r="O692" s="141"/>
      <c r="Q692" s="142"/>
      <c r="S692" s="142">
        <v>2.88</v>
      </c>
      <c r="T692" s="157">
        <v>41853</v>
      </c>
      <c r="U692" s="142">
        <v>15.3</v>
      </c>
      <c r="W692" s="142"/>
      <c r="Y692" s="139">
        <f t="shared" si="10"/>
        <v>1.31124</v>
      </c>
      <c r="AA692" s="142">
        <v>15.08</v>
      </c>
      <c r="AE692" s="142">
        <v>5.88</v>
      </c>
      <c r="AG692" s="185">
        <v>3.9</v>
      </c>
      <c r="AI692" s="185">
        <v>105</v>
      </c>
      <c r="AJ692" s="157">
        <v>41803</v>
      </c>
      <c r="AK692" s="142"/>
      <c r="AM692" s="142"/>
      <c r="AO692" s="139">
        <v>75</v>
      </c>
      <c r="AP692" s="157">
        <v>41738</v>
      </c>
      <c r="AS692" s="139">
        <v>124</v>
      </c>
      <c r="AT692" s="157">
        <v>41766</v>
      </c>
      <c r="BS692" s="140">
        <v>49</v>
      </c>
      <c r="BU692" s="140">
        <v>22.3</v>
      </c>
      <c r="BW692" s="140">
        <v>59.1</v>
      </c>
      <c r="BY692" s="140">
        <v>8</v>
      </c>
      <c r="CJ692" s="140" t="s">
        <v>8142</v>
      </c>
    </row>
    <row r="693" spans="1:91">
      <c r="A693" s="158" t="s">
        <v>7625</v>
      </c>
      <c r="B693" s="112" t="s">
        <v>269</v>
      </c>
      <c r="C693" s="112">
        <v>4</v>
      </c>
      <c r="D693">
        <v>10</v>
      </c>
      <c r="E693" s="113">
        <v>77</v>
      </c>
      <c r="F693" s="113">
        <v>8</v>
      </c>
      <c r="I693" s="187">
        <v>40</v>
      </c>
      <c r="J693" s="183">
        <v>41705</v>
      </c>
      <c r="K693" s="142"/>
      <c r="M693" s="184">
        <v>1.67</v>
      </c>
      <c r="N693" s="157">
        <v>41853</v>
      </c>
      <c r="O693" s="141"/>
      <c r="Q693" s="142"/>
      <c r="S693" s="142">
        <v>5.64</v>
      </c>
      <c r="T693" s="157">
        <v>41853</v>
      </c>
      <c r="U693" s="142">
        <v>15.3</v>
      </c>
      <c r="W693" s="142"/>
      <c r="Y693" s="139">
        <f t="shared" si="10"/>
        <v>2.3052699999999997</v>
      </c>
      <c r="AA693" s="142">
        <v>22.06</v>
      </c>
      <c r="AE693" s="142">
        <v>11.03</v>
      </c>
      <c r="AG693" s="185">
        <v>5</v>
      </c>
      <c r="AI693" s="185">
        <v>125</v>
      </c>
      <c r="AJ693" s="157">
        <v>41803</v>
      </c>
      <c r="AK693" s="142"/>
      <c r="AM693" s="142"/>
      <c r="AO693" s="139">
        <v>97</v>
      </c>
      <c r="AP693" s="157">
        <v>41738</v>
      </c>
      <c r="AS693" s="139">
        <v>127</v>
      </c>
      <c r="AT693" s="157">
        <v>41766</v>
      </c>
      <c r="BS693" s="140">
        <v>51.1</v>
      </c>
      <c r="BU693" s="140">
        <v>20.9</v>
      </c>
      <c r="BW693" s="140">
        <v>64.599999999999994</v>
      </c>
      <c r="BY693" s="140">
        <v>8</v>
      </c>
      <c r="CJ693" s="140" t="s">
        <v>8131</v>
      </c>
    </row>
    <row r="694" spans="1:91">
      <c r="A694" s="158" t="s">
        <v>7656</v>
      </c>
      <c r="B694" s="112" t="s">
        <v>269</v>
      </c>
      <c r="C694" s="112">
        <v>4</v>
      </c>
      <c r="D694">
        <v>41</v>
      </c>
      <c r="E694" s="113">
        <v>77</v>
      </c>
      <c r="F694" s="113">
        <v>9</v>
      </c>
      <c r="I694" s="112">
        <v>27</v>
      </c>
      <c r="J694" s="183">
        <v>41705</v>
      </c>
      <c r="M694" s="184">
        <v>1.34</v>
      </c>
      <c r="N694" s="157">
        <v>41853</v>
      </c>
      <c r="S694" s="139">
        <v>4.26</v>
      </c>
      <c r="T694" s="157">
        <v>41853</v>
      </c>
      <c r="U694" s="139">
        <v>15.3</v>
      </c>
      <c r="Y694" s="139">
        <f t="shared" si="10"/>
        <v>1.9293</v>
      </c>
      <c r="AA694" s="139">
        <v>16.39</v>
      </c>
      <c r="AE694" s="139">
        <v>8.85</v>
      </c>
      <c r="AG694" s="185">
        <v>5.4</v>
      </c>
      <c r="AI694" s="185">
        <v>110</v>
      </c>
      <c r="AJ694" s="157">
        <v>41803</v>
      </c>
      <c r="AO694" s="139">
        <v>91</v>
      </c>
      <c r="AP694" s="157">
        <v>41738</v>
      </c>
      <c r="AS694" s="139">
        <v>126</v>
      </c>
      <c r="AT694" s="157">
        <v>41766</v>
      </c>
      <c r="BS694" s="140">
        <v>48.1</v>
      </c>
      <c r="BU694" s="140">
        <v>21.8</v>
      </c>
      <c r="BW694" s="140">
        <v>22.9</v>
      </c>
      <c r="BY694" s="140">
        <v>8</v>
      </c>
      <c r="CJ694" s="140" t="s">
        <v>8140</v>
      </c>
    </row>
    <row r="695" spans="1:91">
      <c r="A695" s="158" t="s">
        <v>7773</v>
      </c>
      <c r="B695" s="112" t="s">
        <v>269</v>
      </c>
      <c r="C695" s="112">
        <v>4</v>
      </c>
      <c r="D695">
        <v>158</v>
      </c>
      <c r="E695" s="113">
        <v>77</v>
      </c>
      <c r="F695" s="113">
        <v>10</v>
      </c>
      <c r="I695" s="112">
        <v>35</v>
      </c>
      <c r="J695" s="183">
        <v>41705</v>
      </c>
      <c r="M695" s="184">
        <v>2.5299999999999998</v>
      </c>
      <c r="N695" s="157">
        <v>41853</v>
      </c>
      <c r="S695" s="139">
        <v>8.83</v>
      </c>
      <c r="T695" s="157">
        <v>41853</v>
      </c>
      <c r="U695" s="139">
        <v>15.3</v>
      </c>
      <c r="Y695" s="139">
        <f t="shared" si="10"/>
        <v>2.9928799999999995</v>
      </c>
      <c r="AA695" s="139">
        <v>38.880000000000003</v>
      </c>
      <c r="AE695" s="139">
        <v>16.72</v>
      </c>
      <c r="AG695" s="185">
        <v>4.3</v>
      </c>
      <c r="AI695" s="185">
        <v>110</v>
      </c>
      <c r="AJ695" s="157">
        <v>41803</v>
      </c>
      <c r="AO695" s="139">
        <v>87</v>
      </c>
      <c r="AP695" s="157">
        <v>41738</v>
      </c>
      <c r="AS695" s="139">
        <v>125</v>
      </c>
      <c r="AT695" s="157">
        <v>41766</v>
      </c>
      <c r="BS695" s="140">
        <v>52.8</v>
      </c>
      <c r="BU695" s="140">
        <v>17.899999999999999</v>
      </c>
      <c r="BW695" s="140">
        <v>8.9</v>
      </c>
      <c r="BY695" s="140">
        <v>8</v>
      </c>
      <c r="CJ695" s="140" t="s">
        <v>8140</v>
      </c>
    </row>
    <row r="696" spans="1:91">
      <c r="A696" s="158" t="s">
        <v>7766</v>
      </c>
      <c r="B696" s="112" t="s">
        <v>269</v>
      </c>
      <c r="C696" s="112">
        <v>4</v>
      </c>
      <c r="D696">
        <v>151</v>
      </c>
      <c r="E696" s="113">
        <v>77</v>
      </c>
      <c r="F696" s="113">
        <v>11</v>
      </c>
      <c r="I696" s="112">
        <v>39</v>
      </c>
      <c r="J696" s="183">
        <v>41705</v>
      </c>
      <c r="M696" s="184">
        <v>2.11</v>
      </c>
      <c r="N696" s="157">
        <v>41853</v>
      </c>
      <c r="S696" s="139">
        <v>7.26</v>
      </c>
      <c r="T696" s="157">
        <v>41853</v>
      </c>
      <c r="U696" s="139">
        <v>15.3</v>
      </c>
      <c r="Y696" s="139">
        <f t="shared" si="10"/>
        <v>2.4534400000000001</v>
      </c>
      <c r="AA696" s="139">
        <v>31.68</v>
      </c>
      <c r="AE696" s="139">
        <v>13.94</v>
      </c>
      <c r="AG696" s="185">
        <v>4.4000000000000004</v>
      </c>
      <c r="AI696" s="185">
        <v>115</v>
      </c>
      <c r="AJ696" s="157">
        <v>41803</v>
      </c>
      <c r="AO696" s="139">
        <v>93</v>
      </c>
      <c r="AP696" s="157">
        <v>41738</v>
      </c>
      <c r="AS696" s="139">
        <v>127</v>
      </c>
      <c r="AT696" s="157">
        <v>41766</v>
      </c>
      <c r="BS696" s="140">
        <v>52.1</v>
      </c>
      <c r="BU696" s="140">
        <v>17.600000000000001</v>
      </c>
      <c r="BW696" s="140">
        <v>11.2</v>
      </c>
      <c r="BY696" s="140">
        <v>8</v>
      </c>
      <c r="CJ696" s="140" t="s">
        <v>8140</v>
      </c>
    </row>
    <row r="697" spans="1:91">
      <c r="A697" s="158" t="s">
        <v>7667</v>
      </c>
      <c r="B697" s="112" t="s">
        <v>269</v>
      </c>
      <c r="C697" s="112">
        <v>4</v>
      </c>
      <c r="D697">
        <v>52</v>
      </c>
      <c r="E697" s="113">
        <v>77</v>
      </c>
      <c r="F697" s="113">
        <v>12</v>
      </c>
      <c r="I697" s="112">
        <v>49</v>
      </c>
      <c r="J697" s="183">
        <v>41705</v>
      </c>
      <c r="M697" s="184">
        <v>1.93</v>
      </c>
      <c r="N697" s="157">
        <v>41853</v>
      </c>
      <c r="S697" s="139">
        <v>6.46</v>
      </c>
      <c r="T697" s="157">
        <v>41853</v>
      </c>
      <c r="U697" s="139">
        <v>15.3</v>
      </c>
      <c r="Y697" s="139">
        <f t="shared" si="10"/>
        <v>2.6775000000000002</v>
      </c>
      <c r="AA697" s="139">
        <v>25.5</v>
      </c>
      <c r="AE697" s="139">
        <v>12.75</v>
      </c>
      <c r="AG697" s="185">
        <v>5</v>
      </c>
      <c r="AI697" s="185">
        <v>120</v>
      </c>
      <c r="AJ697" s="157">
        <v>41803</v>
      </c>
      <c r="AO697" s="139">
        <v>94</v>
      </c>
      <c r="AP697" s="157">
        <v>41738</v>
      </c>
      <c r="AS697" s="139">
        <v>126</v>
      </c>
      <c r="AT697" s="157">
        <v>41766</v>
      </c>
      <c r="BS697" s="140">
        <v>50.7</v>
      </c>
      <c r="BU697" s="140">
        <v>21</v>
      </c>
      <c r="BW697" s="140">
        <v>67.400000000000006</v>
      </c>
      <c r="BY697" s="140">
        <v>8</v>
      </c>
      <c r="CJ697" s="140" t="s">
        <v>8140</v>
      </c>
    </row>
    <row r="698" spans="1:91">
      <c r="A698" s="188" t="s">
        <v>7657</v>
      </c>
      <c r="B698" s="189" t="s">
        <v>271</v>
      </c>
      <c r="C698" s="189">
        <v>3</v>
      </c>
      <c r="D698" s="190">
        <v>42</v>
      </c>
      <c r="E698" s="191">
        <v>78</v>
      </c>
      <c r="F698" s="191">
        <v>1</v>
      </c>
      <c r="G698" s="191"/>
      <c r="H698" s="191"/>
      <c r="I698" s="189">
        <v>30</v>
      </c>
      <c r="J698" s="193">
        <v>41705</v>
      </c>
      <c r="K698" s="194"/>
      <c r="L698" s="195"/>
      <c r="M698" s="196">
        <v>1.4</v>
      </c>
      <c r="N698" s="195">
        <v>41853</v>
      </c>
      <c r="O698" s="194"/>
      <c r="P698" s="195"/>
      <c r="Q698" s="194"/>
      <c r="R698" s="195"/>
      <c r="S698" s="194">
        <v>4.1500000000000004</v>
      </c>
      <c r="T698" s="195">
        <v>41853</v>
      </c>
      <c r="U698" s="194">
        <v>15.3</v>
      </c>
      <c r="V698" s="195"/>
      <c r="W698" s="194"/>
      <c r="X698" s="195"/>
      <c r="Y698" s="139">
        <f t="shared" si="10"/>
        <v>2.3864999999999998</v>
      </c>
      <c r="Z698" s="195"/>
      <c r="AA698" s="194">
        <v>16.52</v>
      </c>
      <c r="AB698" s="195"/>
      <c r="AC698" s="194"/>
      <c r="AD698" s="195"/>
      <c r="AE698" s="194">
        <v>9.25</v>
      </c>
      <c r="AF698" s="195"/>
      <c r="AG698" s="197">
        <v>5.6</v>
      </c>
      <c r="AH698" s="195"/>
      <c r="AI698" s="197">
        <v>125</v>
      </c>
      <c r="AJ698" s="195">
        <v>41803</v>
      </c>
      <c r="AK698" s="194"/>
      <c r="AL698" s="195"/>
      <c r="AM698" s="194"/>
      <c r="AN698" s="195"/>
      <c r="AO698" s="194">
        <v>94</v>
      </c>
      <c r="AP698" s="195">
        <v>41738</v>
      </c>
      <c r="AQ698" s="194"/>
      <c r="AR698" s="194"/>
      <c r="AS698" s="194">
        <v>128</v>
      </c>
      <c r="AT698" s="195">
        <v>41766</v>
      </c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8"/>
      <c r="BF698" s="198"/>
      <c r="BG698" s="198"/>
      <c r="BH698" s="198"/>
      <c r="BI698" s="198"/>
      <c r="BJ698" s="198"/>
      <c r="BK698" s="198"/>
      <c r="BL698" s="198"/>
      <c r="BM698" s="198"/>
      <c r="BN698" s="198"/>
      <c r="BO698" s="198"/>
      <c r="BP698" s="198"/>
      <c r="BQ698" s="198"/>
      <c r="BR698" s="198"/>
      <c r="BS698" s="198">
        <v>44.9</v>
      </c>
      <c r="BT698" s="198"/>
      <c r="BU698" s="198">
        <v>25.8</v>
      </c>
      <c r="BV698" s="198"/>
      <c r="BW698" s="198">
        <v>72.400000000000006</v>
      </c>
      <c r="BX698" s="198"/>
      <c r="BY698" s="198">
        <v>8</v>
      </c>
      <c r="BZ698" s="198"/>
      <c r="CA698" s="198"/>
      <c r="CB698" s="198"/>
      <c r="CC698" s="198"/>
      <c r="CD698" s="198"/>
      <c r="CE698" s="198"/>
      <c r="CF698" s="198"/>
      <c r="CG698" s="198"/>
      <c r="CH698" s="198"/>
      <c r="CI698" s="198"/>
      <c r="CJ698" s="198" t="s">
        <v>8139</v>
      </c>
      <c r="CK698" s="198"/>
      <c r="CL698" s="198"/>
      <c r="CM698" s="198"/>
    </row>
    <row r="699" spans="1:91">
      <c r="A699" s="158" t="s">
        <v>7774</v>
      </c>
      <c r="B699" s="112" t="s">
        <v>271</v>
      </c>
      <c r="C699" s="112">
        <v>3</v>
      </c>
      <c r="D699">
        <v>159</v>
      </c>
      <c r="E699" s="113">
        <v>78</v>
      </c>
      <c r="F699" s="113">
        <v>2</v>
      </c>
      <c r="I699" s="112">
        <v>35</v>
      </c>
      <c r="J699" s="183">
        <v>41705</v>
      </c>
      <c r="M699" s="184">
        <v>4.4400000000000004</v>
      </c>
      <c r="N699" s="157">
        <v>41853</v>
      </c>
      <c r="S699" s="139">
        <v>14.27</v>
      </c>
      <c r="T699" s="157">
        <v>41853</v>
      </c>
      <c r="U699" s="139">
        <v>15.3</v>
      </c>
      <c r="Y699" s="139">
        <f t="shared" si="10"/>
        <v>6.2137199999999995</v>
      </c>
      <c r="AA699" s="139">
        <v>57.47</v>
      </c>
      <c r="AE699" s="139">
        <v>29.31</v>
      </c>
      <c r="AG699" s="185">
        <v>5.0999999999999996</v>
      </c>
      <c r="AI699" s="185">
        <v>125</v>
      </c>
      <c r="AJ699" s="157">
        <v>41803</v>
      </c>
      <c r="AO699" s="139">
        <v>89</v>
      </c>
      <c r="AP699" s="157">
        <v>41738</v>
      </c>
      <c r="AS699" s="139">
        <v>128</v>
      </c>
      <c r="AT699" s="157">
        <v>41766</v>
      </c>
      <c r="BS699" s="140">
        <v>48.7</v>
      </c>
      <c r="BU699" s="140">
        <v>21.2</v>
      </c>
      <c r="BW699" s="140">
        <v>17.8</v>
      </c>
      <c r="BY699" s="140">
        <v>8.1</v>
      </c>
      <c r="CJ699" s="140" t="s">
        <v>8140</v>
      </c>
    </row>
    <row r="700" spans="1:91">
      <c r="A700" s="158" t="s">
        <v>7629</v>
      </c>
      <c r="B700" s="112" t="s">
        <v>271</v>
      </c>
      <c r="C700" s="112">
        <v>3</v>
      </c>
      <c r="D700">
        <v>14</v>
      </c>
      <c r="E700" s="113">
        <v>78</v>
      </c>
      <c r="F700" s="113">
        <v>3</v>
      </c>
      <c r="I700" s="187">
        <v>37</v>
      </c>
      <c r="J700" s="183">
        <v>41705</v>
      </c>
      <c r="K700" s="142"/>
      <c r="M700" s="184">
        <v>2.52</v>
      </c>
      <c r="N700" s="157">
        <v>41853</v>
      </c>
      <c r="O700" s="141"/>
      <c r="Q700" s="142"/>
      <c r="S700" s="142">
        <v>7.95</v>
      </c>
      <c r="T700" s="157">
        <v>41853</v>
      </c>
      <c r="U700" s="142">
        <v>15.3</v>
      </c>
      <c r="W700" s="142"/>
      <c r="Y700" s="139">
        <f t="shared" si="10"/>
        <v>4.0078300000000002</v>
      </c>
      <c r="AA700" s="142">
        <v>39.6</v>
      </c>
      <c r="AE700" s="142">
        <v>16.63</v>
      </c>
      <c r="AG700" s="185">
        <v>4.2</v>
      </c>
      <c r="AI700" s="185">
        <v>95</v>
      </c>
      <c r="AJ700" s="157">
        <v>41803</v>
      </c>
      <c r="AK700" s="142"/>
      <c r="AM700" s="142"/>
      <c r="AO700" s="139">
        <v>90</v>
      </c>
      <c r="AP700" s="157">
        <v>41738</v>
      </c>
      <c r="AS700" s="139">
        <v>125</v>
      </c>
      <c r="AT700" s="157">
        <v>41766</v>
      </c>
      <c r="BS700" s="140">
        <v>47.8</v>
      </c>
      <c r="BU700" s="140">
        <v>24.1</v>
      </c>
      <c r="BW700" s="140">
        <v>65.099999999999994</v>
      </c>
      <c r="BY700" s="140">
        <v>8.1</v>
      </c>
      <c r="CJ700" s="140" t="s">
        <v>8140</v>
      </c>
    </row>
    <row r="701" spans="1:91">
      <c r="A701" s="188" t="s">
        <v>7752</v>
      </c>
      <c r="B701" s="189" t="s">
        <v>271</v>
      </c>
      <c r="C701" s="189">
        <v>3</v>
      </c>
      <c r="D701" s="190">
        <v>137</v>
      </c>
      <c r="E701" s="191">
        <v>78</v>
      </c>
      <c r="F701" s="191">
        <v>4</v>
      </c>
      <c r="G701" s="191"/>
      <c r="H701" s="191"/>
      <c r="I701" s="189">
        <v>24</v>
      </c>
      <c r="J701" s="193">
        <v>41705</v>
      </c>
      <c r="K701" s="194"/>
      <c r="L701" s="195"/>
      <c r="M701" s="196">
        <v>0.79</v>
      </c>
      <c r="N701" s="195">
        <v>41853</v>
      </c>
      <c r="O701" s="194"/>
      <c r="P701" s="195"/>
      <c r="Q701" s="194"/>
      <c r="R701" s="195"/>
      <c r="S701" s="194">
        <v>2.39</v>
      </c>
      <c r="T701" s="195">
        <v>41853</v>
      </c>
      <c r="U701" s="194">
        <v>15.3</v>
      </c>
      <c r="V701" s="195"/>
      <c r="W701" s="194"/>
      <c r="X701" s="195"/>
      <c r="Y701" s="139">
        <f t="shared" si="10"/>
        <v>1.3519799999999997</v>
      </c>
      <c r="Z701" s="195"/>
      <c r="AA701" s="194">
        <v>8.2899999999999991</v>
      </c>
      <c r="AB701" s="195"/>
      <c r="AC701" s="194"/>
      <c r="AD701" s="195"/>
      <c r="AE701" s="194">
        <v>5.22</v>
      </c>
      <c r="AF701" s="195"/>
      <c r="AG701" s="197">
        <v>6.3</v>
      </c>
      <c r="AH701" s="195"/>
      <c r="AI701" s="197">
        <v>120</v>
      </c>
      <c r="AJ701" s="195">
        <v>41803</v>
      </c>
      <c r="AK701" s="194"/>
      <c r="AL701" s="195"/>
      <c r="AM701" s="194"/>
      <c r="AN701" s="195"/>
      <c r="AO701" s="194">
        <v>89</v>
      </c>
      <c r="AP701" s="195">
        <v>41738</v>
      </c>
      <c r="AQ701" s="194"/>
      <c r="AR701" s="194"/>
      <c r="AS701" s="194">
        <v>128</v>
      </c>
      <c r="AT701" s="195">
        <v>41766</v>
      </c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8"/>
      <c r="BF701" s="198"/>
      <c r="BG701" s="198"/>
      <c r="BH701" s="198"/>
      <c r="BI701" s="198"/>
      <c r="BJ701" s="198"/>
      <c r="BK701" s="198"/>
      <c r="BL701" s="198"/>
      <c r="BM701" s="198"/>
      <c r="BN701" s="198"/>
      <c r="BO701" s="198"/>
      <c r="BP701" s="198"/>
      <c r="BQ701" s="198"/>
      <c r="BR701" s="198"/>
      <c r="BS701" s="198">
        <v>45.8</v>
      </c>
      <c r="BT701" s="198"/>
      <c r="BU701" s="198">
        <v>25.9</v>
      </c>
      <c r="BV701" s="198"/>
      <c r="BW701" s="198">
        <v>85.5</v>
      </c>
      <c r="BX701" s="198"/>
      <c r="BY701" s="198">
        <v>8</v>
      </c>
      <c r="BZ701" s="198"/>
      <c r="CA701" s="198"/>
      <c r="CB701" s="198"/>
      <c r="CC701" s="198"/>
      <c r="CD701" s="198"/>
      <c r="CE701" s="198"/>
      <c r="CF701" s="198"/>
      <c r="CG701" s="198"/>
      <c r="CH701" s="198"/>
      <c r="CI701" s="198"/>
      <c r="CJ701" s="198" t="s">
        <v>8143</v>
      </c>
      <c r="CK701" s="198"/>
      <c r="CL701" s="198"/>
      <c r="CM701" s="198"/>
    </row>
    <row r="702" spans="1:91">
      <c r="A702" s="158" t="s">
        <v>7771</v>
      </c>
      <c r="B702" s="112" t="s">
        <v>271</v>
      </c>
      <c r="C702" s="112">
        <v>3</v>
      </c>
      <c r="D702">
        <v>156</v>
      </c>
      <c r="E702" s="113">
        <v>78</v>
      </c>
      <c r="F702" s="113">
        <v>5</v>
      </c>
      <c r="I702" s="112">
        <v>36</v>
      </c>
      <c r="J702" s="183">
        <v>41705</v>
      </c>
      <c r="M702" s="184">
        <v>3.76</v>
      </c>
      <c r="N702" s="157">
        <v>41853</v>
      </c>
      <c r="S702" s="139">
        <v>12.92</v>
      </c>
      <c r="T702" s="157">
        <v>41853</v>
      </c>
      <c r="U702" s="139">
        <v>15.3</v>
      </c>
      <c r="Y702" s="139">
        <f t="shared" si="10"/>
        <v>4.8902000000000001</v>
      </c>
      <c r="AA702" s="139">
        <v>53.09</v>
      </c>
      <c r="AE702" s="139">
        <v>24.95</v>
      </c>
      <c r="AG702" s="185">
        <v>4.7</v>
      </c>
      <c r="AI702" s="185">
        <v>120</v>
      </c>
      <c r="AJ702" s="157">
        <v>41803</v>
      </c>
      <c r="AO702" s="139">
        <v>90</v>
      </c>
      <c r="AP702" s="157">
        <v>41738</v>
      </c>
      <c r="AS702" s="139">
        <v>128</v>
      </c>
      <c r="AT702" s="157">
        <v>41766</v>
      </c>
      <c r="BS702" s="140">
        <v>51.8</v>
      </c>
      <c r="BU702" s="140">
        <v>19.600000000000001</v>
      </c>
      <c r="BW702" s="140">
        <v>13.8</v>
      </c>
      <c r="BY702" s="140">
        <v>7.6</v>
      </c>
      <c r="CJ702" s="140" t="s">
        <v>8140</v>
      </c>
    </row>
    <row r="703" spans="1:91">
      <c r="A703" s="158" t="s">
        <v>7698</v>
      </c>
      <c r="B703" s="112" t="s">
        <v>271</v>
      </c>
      <c r="C703" s="112">
        <v>3</v>
      </c>
      <c r="D703">
        <v>83</v>
      </c>
      <c r="E703" s="113">
        <v>78</v>
      </c>
      <c r="F703" s="113">
        <v>6</v>
      </c>
      <c r="I703" s="112">
        <v>26</v>
      </c>
      <c r="J703" s="183">
        <v>41705</v>
      </c>
      <c r="M703" s="184">
        <v>2.94</v>
      </c>
      <c r="N703" s="157">
        <v>41853</v>
      </c>
      <c r="S703" s="139">
        <v>9.8699999999999992</v>
      </c>
      <c r="T703" s="157">
        <v>41853</v>
      </c>
      <c r="U703" s="139">
        <v>15.3</v>
      </c>
      <c r="Y703" s="139">
        <f t="shared" si="10"/>
        <v>3.9329399999999999</v>
      </c>
      <c r="AA703" s="139">
        <v>51.24</v>
      </c>
      <c r="AE703" s="139">
        <v>19.47</v>
      </c>
      <c r="AG703" s="185">
        <v>3.8</v>
      </c>
      <c r="AI703" s="185">
        <v>120</v>
      </c>
      <c r="AJ703" s="157">
        <v>41803</v>
      </c>
      <c r="AO703" s="139">
        <v>91</v>
      </c>
      <c r="AP703" s="157">
        <v>41738</v>
      </c>
      <c r="AS703" s="139">
        <v>128</v>
      </c>
      <c r="AT703" s="157">
        <v>41766</v>
      </c>
      <c r="BS703" s="140">
        <v>50.7</v>
      </c>
      <c r="BU703" s="140">
        <v>20.2</v>
      </c>
      <c r="BW703" s="140">
        <v>15.6</v>
      </c>
      <c r="BY703" s="140">
        <v>7.8</v>
      </c>
      <c r="CJ703" s="140" t="s">
        <v>8140</v>
      </c>
    </row>
    <row r="704" spans="1:91">
      <c r="A704" s="158" t="s">
        <v>7763</v>
      </c>
      <c r="B704" s="112" t="s">
        <v>269</v>
      </c>
      <c r="C704" s="112">
        <v>4</v>
      </c>
      <c r="D704">
        <v>148</v>
      </c>
      <c r="E704" s="113">
        <v>78</v>
      </c>
      <c r="F704" s="113">
        <v>7</v>
      </c>
      <c r="I704" s="112">
        <v>42</v>
      </c>
      <c r="J704" s="183">
        <v>41705</v>
      </c>
      <c r="M704" s="184">
        <v>1.75</v>
      </c>
      <c r="N704" s="157">
        <v>41853</v>
      </c>
      <c r="S704" s="139">
        <v>6</v>
      </c>
      <c r="T704" s="157">
        <v>41853</v>
      </c>
      <c r="U704" s="139">
        <v>15.3</v>
      </c>
      <c r="Y704" s="139">
        <f t="shared" si="10"/>
        <v>2.3466800000000001</v>
      </c>
      <c r="AA704" s="139">
        <v>26.88</v>
      </c>
      <c r="AE704" s="139">
        <v>11.56</v>
      </c>
      <c r="AG704" s="185">
        <v>4.3</v>
      </c>
      <c r="AI704" s="185">
        <v>110</v>
      </c>
      <c r="AJ704" s="157">
        <v>41803</v>
      </c>
      <c r="AO704" s="139">
        <v>97</v>
      </c>
      <c r="AP704" s="157">
        <v>41738</v>
      </c>
      <c r="AS704" s="139">
        <v>127</v>
      </c>
      <c r="AT704" s="157">
        <v>41766</v>
      </c>
      <c r="BS704" s="140">
        <v>51.9</v>
      </c>
      <c r="BU704" s="140">
        <v>20.3</v>
      </c>
      <c r="BW704" s="140">
        <v>44.1</v>
      </c>
      <c r="BY704" s="140">
        <v>8</v>
      </c>
      <c r="CJ704" s="140" t="s">
        <v>8131</v>
      </c>
    </row>
    <row r="705" spans="1:91">
      <c r="A705" s="158" t="s">
        <v>7772</v>
      </c>
      <c r="B705" s="112" t="s">
        <v>269</v>
      </c>
      <c r="C705" s="112">
        <v>4</v>
      </c>
      <c r="D705">
        <v>157</v>
      </c>
      <c r="E705" s="113">
        <v>78</v>
      </c>
      <c r="F705" s="113">
        <v>8</v>
      </c>
      <c r="I705" s="112">
        <v>52</v>
      </c>
      <c r="J705" s="183">
        <v>41705</v>
      </c>
      <c r="M705" s="184">
        <v>2.61</v>
      </c>
      <c r="N705" s="157">
        <v>41853</v>
      </c>
      <c r="S705" s="139">
        <v>8.8000000000000007</v>
      </c>
      <c r="T705" s="157">
        <v>41853</v>
      </c>
      <c r="U705" s="139">
        <v>15.3</v>
      </c>
      <c r="Y705" s="139">
        <f t="shared" si="10"/>
        <v>3.2947500000000001</v>
      </c>
      <c r="AA705" s="139">
        <v>40.119999999999997</v>
      </c>
      <c r="AE705" s="139">
        <v>17.25</v>
      </c>
      <c r="AG705" s="185">
        <v>4.3</v>
      </c>
      <c r="AI705" s="185">
        <v>115</v>
      </c>
      <c r="AJ705" s="157">
        <v>41803</v>
      </c>
      <c r="AO705" s="139">
        <v>94</v>
      </c>
      <c r="AP705" s="157">
        <v>41738</v>
      </c>
      <c r="AS705" s="139">
        <v>128</v>
      </c>
      <c r="AT705" s="157">
        <v>41766</v>
      </c>
      <c r="BS705" s="140">
        <v>51</v>
      </c>
      <c r="BU705" s="140">
        <v>19.100000000000001</v>
      </c>
      <c r="BW705" s="140">
        <v>13.7</v>
      </c>
      <c r="BY705" s="140">
        <v>8</v>
      </c>
      <c r="CJ705" s="140" t="s">
        <v>8140</v>
      </c>
    </row>
    <row r="706" spans="1:91">
      <c r="A706" s="158" t="s">
        <v>7621</v>
      </c>
      <c r="B706" s="112" t="s">
        <v>269</v>
      </c>
      <c r="C706" s="112">
        <v>4</v>
      </c>
      <c r="D706">
        <v>6</v>
      </c>
      <c r="E706" s="113">
        <v>78</v>
      </c>
      <c r="F706" s="113">
        <v>9</v>
      </c>
      <c r="I706" s="187">
        <v>36</v>
      </c>
      <c r="J706" s="183">
        <v>41705</v>
      </c>
      <c r="K706" s="142"/>
      <c r="M706" s="184">
        <v>1.22</v>
      </c>
      <c r="N706" s="157">
        <v>41853</v>
      </c>
      <c r="O706" s="141"/>
      <c r="Q706" s="142"/>
      <c r="S706" s="142">
        <v>4.0599999999999996</v>
      </c>
      <c r="T706" s="157">
        <v>41853</v>
      </c>
      <c r="U706" s="142">
        <v>15.3</v>
      </c>
      <c r="W706" s="142"/>
      <c r="Y706" s="139">
        <f t="shared" ref="Y706:Y769" si="11">(AE706*BU706)/100</f>
        <v>1.7812600000000003</v>
      </c>
      <c r="AA706" s="142">
        <v>15.21</v>
      </c>
      <c r="AE706" s="142">
        <v>8.06</v>
      </c>
      <c r="AG706" s="185">
        <v>5.3</v>
      </c>
      <c r="AI706" s="185">
        <v>125</v>
      </c>
      <c r="AJ706" s="157">
        <v>41803</v>
      </c>
      <c r="AK706" s="142"/>
      <c r="AM706" s="142"/>
      <c r="AO706" s="139">
        <v>91</v>
      </c>
      <c r="AP706" s="157">
        <v>41738</v>
      </c>
      <c r="AS706" s="139">
        <v>128</v>
      </c>
      <c r="AT706" s="157">
        <v>41766</v>
      </c>
      <c r="BS706" s="140">
        <v>50.4</v>
      </c>
      <c r="BU706" s="140">
        <v>22.1</v>
      </c>
      <c r="BW706" s="140">
        <v>73.900000000000006</v>
      </c>
      <c r="BY706" s="140">
        <v>8</v>
      </c>
      <c r="CJ706" s="140" t="s">
        <v>8140</v>
      </c>
    </row>
    <row r="707" spans="1:91">
      <c r="A707" s="158" t="s">
        <v>7693</v>
      </c>
      <c r="B707" s="112" t="s">
        <v>269</v>
      </c>
      <c r="C707" s="112">
        <v>4</v>
      </c>
      <c r="D707">
        <v>78</v>
      </c>
      <c r="E707" s="113">
        <v>78</v>
      </c>
      <c r="F707" s="113">
        <v>10</v>
      </c>
      <c r="I707" s="112">
        <v>33</v>
      </c>
      <c r="J707" s="183">
        <v>41705</v>
      </c>
      <c r="M707" s="184">
        <v>2.42</v>
      </c>
      <c r="N707" s="157">
        <v>41853</v>
      </c>
      <c r="S707" s="139">
        <v>8.7100000000000009</v>
      </c>
      <c r="T707" s="157">
        <v>41853</v>
      </c>
      <c r="U707" s="139">
        <v>15.3</v>
      </c>
      <c r="Y707" s="139">
        <f t="shared" si="11"/>
        <v>2.76627</v>
      </c>
      <c r="AA707" s="139">
        <v>37.19</v>
      </c>
      <c r="AE707" s="139">
        <v>15.99</v>
      </c>
      <c r="AG707" s="185">
        <v>4.3</v>
      </c>
      <c r="AI707" s="185">
        <v>105</v>
      </c>
      <c r="AJ707" s="157">
        <v>41803</v>
      </c>
      <c r="AO707" s="139">
        <v>90</v>
      </c>
      <c r="AP707" s="157">
        <v>41738</v>
      </c>
      <c r="AS707" s="139">
        <v>125</v>
      </c>
      <c r="AT707" s="157">
        <v>41766</v>
      </c>
      <c r="BS707" s="140">
        <v>54.5</v>
      </c>
      <c r="BU707" s="140">
        <v>17.3</v>
      </c>
      <c r="BW707" s="140">
        <v>12.1</v>
      </c>
      <c r="BY707" s="140">
        <v>8</v>
      </c>
      <c r="CJ707" s="140" t="s">
        <v>8140</v>
      </c>
    </row>
    <row r="708" spans="1:91">
      <c r="A708" s="158" t="s">
        <v>7741</v>
      </c>
      <c r="B708" s="112" t="s">
        <v>269</v>
      </c>
      <c r="C708" s="112">
        <v>4</v>
      </c>
      <c r="D708">
        <v>126</v>
      </c>
      <c r="E708" s="113">
        <v>78</v>
      </c>
      <c r="F708" s="113">
        <v>11</v>
      </c>
      <c r="I708" s="112">
        <v>26</v>
      </c>
      <c r="J708" s="183">
        <v>41705</v>
      </c>
      <c r="M708" s="184">
        <v>2.31</v>
      </c>
      <c r="N708" s="157">
        <v>41853</v>
      </c>
      <c r="S708" s="139">
        <v>7.98</v>
      </c>
      <c r="T708" s="157">
        <v>41853</v>
      </c>
      <c r="U708" s="139">
        <v>15.3</v>
      </c>
      <c r="Y708" s="139">
        <f t="shared" si="11"/>
        <v>2.7773199999999996</v>
      </c>
      <c r="AA708" s="139">
        <v>27.75</v>
      </c>
      <c r="AE708" s="139">
        <v>15.26</v>
      </c>
      <c r="AG708" s="185">
        <v>5.5</v>
      </c>
      <c r="AI708" s="185">
        <v>120</v>
      </c>
      <c r="AJ708" s="157">
        <v>41803</v>
      </c>
      <c r="AO708" s="139">
        <v>93</v>
      </c>
      <c r="AP708" s="157">
        <v>41738</v>
      </c>
      <c r="AS708" s="139">
        <v>126</v>
      </c>
      <c r="AT708" s="157">
        <v>41766</v>
      </c>
      <c r="BS708" s="140">
        <v>52.3</v>
      </c>
      <c r="BU708" s="140">
        <v>18.2</v>
      </c>
      <c r="BW708" s="140">
        <v>15.7</v>
      </c>
      <c r="BY708" s="140">
        <v>8</v>
      </c>
      <c r="CJ708" s="140" t="s">
        <v>8140</v>
      </c>
    </row>
    <row r="709" spans="1:91">
      <c r="A709" s="158" t="s">
        <v>7811</v>
      </c>
      <c r="B709" s="112" t="s">
        <v>269</v>
      </c>
      <c r="C709" s="112">
        <v>4</v>
      </c>
      <c r="D709">
        <v>196</v>
      </c>
      <c r="E709" s="113">
        <v>78</v>
      </c>
      <c r="F709" s="113">
        <v>12</v>
      </c>
      <c r="I709" s="112">
        <v>45</v>
      </c>
      <c r="J709" s="183">
        <v>41705</v>
      </c>
      <c r="M709" s="184">
        <v>2.52</v>
      </c>
      <c r="N709" s="157">
        <v>41853</v>
      </c>
      <c r="S709" s="139">
        <v>8.49</v>
      </c>
      <c r="T709" s="157">
        <v>41853</v>
      </c>
      <c r="U709" s="139">
        <v>15.3</v>
      </c>
      <c r="Y709" s="139">
        <f t="shared" si="11"/>
        <v>3.2134499999999999</v>
      </c>
      <c r="AA709" s="139">
        <v>32.020000000000003</v>
      </c>
      <c r="AE709" s="139">
        <v>16.649999999999999</v>
      </c>
      <c r="AG709" s="185">
        <v>5.2</v>
      </c>
      <c r="AI709" s="185">
        <v>130</v>
      </c>
      <c r="AJ709" s="157">
        <v>41803</v>
      </c>
      <c r="AO709" s="139">
        <v>89</v>
      </c>
      <c r="AP709" s="157">
        <v>41738</v>
      </c>
      <c r="AS709" s="139">
        <v>125</v>
      </c>
      <c r="AT709" s="157">
        <v>41766</v>
      </c>
      <c r="BS709" s="140">
        <v>51</v>
      </c>
      <c r="BU709" s="140">
        <v>19.3</v>
      </c>
      <c r="BW709" s="140">
        <v>10.5</v>
      </c>
      <c r="BY709" s="140">
        <v>8</v>
      </c>
      <c r="CJ709" s="140" t="s">
        <v>8140</v>
      </c>
    </row>
    <row r="710" spans="1:91" s="198" customFormat="1">
      <c r="A710" s="158" t="s">
        <v>7734</v>
      </c>
      <c r="B710" s="112" t="s">
        <v>271</v>
      </c>
      <c r="C710" s="112">
        <v>3</v>
      </c>
      <c r="D710">
        <v>119</v>
      </c>
      <c r="E710" s="113">
        <v>79</v>
      </c>
      <c r="F710" s="113">
        <v>1</v>
      </c>
      <c r="G710" s="113"/>
      <c r="H710" s="113"/>
      <c r="I710" s="112">
        <v>30</v>
      </c>
      <c r="J710" s="183">
        <v>41705</v>
      </c>
      <c r="K710" s="139"/>
      <c r="L710" s="157"/>
      <c r="M710" s="184">
        <v>2.94</v>
      </c>
      <c r="N710" s="157">
        <v>41853</v>
      </c>
      <c r="O710" s="139"/>
      <c r="P710" s="157"/>
      <c r="Q710" s="139"/>
      <c r="R710" s="157"/>
      <c r="S710" s="139">
        <v>9.41</v>
      </c>
      <c r="T710" s="157">
        <v>41853</v>
      </c>
      <c r="U710" s="139">
        <v>15.3</v>
      </c>
      <c r="V710" s="157"/>
      <c r="W710" s="139"/>
      <c r="X710" s="157"/>
      <c r="Y710" s="139">
        <f t="shared" si="11"/>
        <v>4.4540499999999996</v>
      </c>
      <c r="Z710" s="157"/>
      <c r="AA710" s="139">
        <v>44.2</v>
      </c>
      <c r="AB710" s="157"/>
      <c r="AC710" s="139"/>
      <c r="AD710" s="157"/>
      <c r="AE710" s="139">
        <v>19.45</v>
      </c>
      <c r="AF710" s="157"/>
      <c r="AG710" s="185">
        <v>4.4000000000000004</v>
      </c>
      <c r="AH710" s="157"/>
      <c r="AI710" s="185">
        <v>135</v>
      </c>
      <c r="AJ710" s="157">
        <v>41803</v>
      </c>
      <c r="AK710" s="139"/>
      <c r="AL710" s="157"/>
      <c r="AM710" s="139"/>
      <c r="AN710" s="157"/>
      <c r="AO710" s="139">
        <v>94</v>
      </c>
      <c r="AP710" s="157">
        <v>41738</v>
      </c>
      <c r="AQ710" s="139"/>
      <c r="AR710" s="139"/>
      <c r="AS710" s="139">
        <v>127</v>
      </c>
      <c r="AT710" s="157">
        <v>41766</v>
      </c>
      <c r="AU710" s="139"/>
      <c r="AV710" s="139"/>
      <c r="AW710" s="139"/>
      <c r="AX710" s="139"/>
      <c r="AY710" s="139"/>
      <c r="AZ710" s="139"/>
      <c r="BA710" s="139"/>
      <c r="BB710" s="139"/>
      <c r="BC710" s="139"/>
      <c r="BD710" s="139"/>
      <c r="BE710" s="140"/>
      <c r="BF710" s="140"/>
      <c r="BG710" s="140"/>
      <c r="BH710" s="140"/>
      <c r="BI710" s="140"/>
      <c r="BJ710" s="140"/>
      <c r="BK710" s="140"/>
      <c r="BL710" s="140"/>
      <c r="BM710" s="140"/>
      <c r="BN710" s="140"/>
      <c r="BO710" s="140"/>
      <c r="BP710" s="140"/>
      <c r="BQ710" s="140"/>
      <c r="BR710" s="140"/>
      <c r="BS710" s="140">
        <v>48.4</v>
      </c>
      <c r="BT710" s="140"/>
      <c r="BU710" s="140">
        <v>22.9</v>
      </c>
      <c r="BV710" s="140"/>
      <c r="BW710" s="140">
        <v>21.2</v>
      </c>
      <c r="BX710" s="140"/>
      <c r="BY710" s="140">
        <v>7.9</v>
      </c>
      <c r="BZ710" s="140"/>
      <c r="CA710" s="140"/>
      <c r="CB710" s="140"/>
      <c r="CC710" s="140"/>
      <c r="CD710" s="140"/>
      <c r="CE710" s="140"/>
      <c r="CF710" s="140"/>
      <c r="CG710" s="140"/>
      <c r="CH710" s="140"/>
      <c r="CI710" s="140"/>
      <c r="CJ710" s="140" t="s">
        <v>8140</v>
      </c>
      <c r="CK710" s="140"/>
      <c r="CL710" s="140"/>
      <c r="CM710" s="140"/>
    </row>
    <row r="711" spans="1:91" s="198" customFormat="1">
      <c r="A711" s="158" t="s">
        <v>7767</v>
      </c>
      <c r="B711" s="112" t="s">
        <v>271</v>
      </c>
      <c r="C711" s="112">
        <v>3</v>
      </c>
      <c r="D711">
        <v>152</v>
      </c>
      <c r="E711" s="113">
        <v>79</v>
      </c>
      <c r="F711" s="113">
        <v>2</v>
      </c>
      <c r="G711" s="113"/>
      <c r="H711" s="113"/>
      <c r="I711" s="112">
        <v>20</v>
      </c>
      <c r="J711" s="183">
        <v>41705</v>
      </c>
      <c r="K711" s="139"/>
      <c r="L711" s="157"/>
      <c r="M711" s="184">
        <v>3.34</v>
      </c>
      <c r="N711" s="157">
        <v>41853</v>
      </c>
      <c r="O711" s="139"/>
      <c r="P711" s="157"/>
      <c r="Q711" s="139"/>
      <c r="R711" s="157"/>
      <c r="S711" s="139">
        <v>10.81</v>
      </c>
      <c r="T711" s="157">
        <v>41853</v>
      </c>
      <c r="U711" s="139">
        <v>15.3</v>
      </c>
      <c r="V711" s="157"/>
      <c r="W711" s="139"/>
      <c r="X711" s="157"/>
      <c r="Y711" s="139">
        <f t="shared" si="11"/>
        <v>4.59056</v>
      </c>
      <c r="Z711" s="157"/>
      <c r="AA711" s="139">
        <v>42.44</v>
      </c>
      <c r="AB711" s="157"/>
      <c r="AC711" s="139"/>
      <c r="AD711" s="157"/>
      <c r="AE711" s="139">
        <v>22.07</v>
      </c>
      <c r="AF711" s="157"/>
      <c r="AG711" s="185">
        <v>5.2</v>
      </c>
      <c r="AH711" s="157"/>
      <c r="AI711" s="185">
        <v>120</v>
      </c>
      <c r="AJ711" s="157">
        <v>41803</v>
      </c>
      <c r="AK711" s="139"/>
      <c r="AL711" s="157"/>
      <c r="AM711" s="139"/>
      <c r="AN711" s="157"/>
      <c r="AO711" s="139">
        <v>93</v>
      </c>
      <c r="AP711" s="157">
        <v>41738</v>
      </c>
      <c r="AQ711" s="139"/>
      <c r="AR711" s="139"/>
      <c r="AS711" s="139">
        <v>129</v>
      </c>
      <c r="AT711" s="157">
        <v>41766</v>
      </c>
      <c r="AU711" s="139"/>
      <c r="AV711" s="139"/>
      <c r="AW711" s="139"/>
      <c r="AX711" s="139"/>
      <c r="AY711" s="139"/>
      <c r="AZ711" s="139"/>
      <c r="BA711" s="139"/>
      <c r="BB711" s="139"/>
      <c r="BC711" s="139"/>
      <c r="BD711" s="139"/>
      <c r="BE711" s="140"/>
      <c r="BF711" s="140"/>
      <c r="BG711" s="140"/>
      <c r="BH711" s="140"/>
      <c r="BI711" s="140"/>
      <c r="BJ711" s="140"/>
      <c r="BK711" s="140"/>
      <c r="BL711" s="140"/>
      <c r="BM711" s="140"/>
      <c r="BN711" s="140"/>
      <c r="BO711" s="140"/>
      <c r="BP711" s="140"/>
      <c r="BQ711" s="140"/>
      <c r="BR711" s="140"/>
      <c r="BS711" s="140">
        <v>49</v>
      </c>
      <c r="BT711" s="140"/>
      <c r="BU711" s="140">
        <v>20.8</v>
      </c>
      <c r="BV711" s="140"/>
      <c r="BW711" s="140">
        <v>65.7</v>
      </c>
      <c r="BX711" s="140"/>
      <c r="BY711" s="140">
        <v>8</v>
      </c>
      <c r="BZ711" s="140"/>
      <c r="CA711" s="140"/>
      <c r="CB711" s="140"/>
      <c r="CC711" s="140"/>
      <c r="CD711" s="140"/>
      <c r="CE711" s="140"/>
      <c r="CF711" s="140"/>
      <c r="CG711" s="140"/>
      <c r="CH711" s="140"/>
      <c r="CI711" s="140"/>
      <c r="CJ711" s="140" t="s">
        <v>8140</v>
      </c>
      <c r="CK711" s="140"/>
      <c r="CL711" s="140"/>
      <c r="CM711" s="140"/>
    </row>
    <row r="712" spans="1:91" s="198" customFormat="1">
      <c r="A712" s="158" t="s">
        <v>7646</v>
      </c>
      <c r="B712" s="112" t="s">
        <v>271</v>
      </c>
      <c r="C712" s="112">
        <v>3</v>
      </c>
      <c r="D712">
        <v>31</v>
      </c>
      <c r="E712" s="113">
        <v>79</v>
      </c>
      <c r="F712" s="113">
        <v>3</v>
      </c>
      <c r="G712" s="113"/>
      <c r="H712" s="113"/>
      <c r="I712" s="112">
        <v>40</v>
      </c>
      <c r="J712" s="183">
        <v>41705</v>
      </c>
      <c r="K712" s="139"/>
      <c r="L712" s="157"/>
      <c r="M712" s="184">
        <v>2.91</v>
      </c>
      <c r="N712" s="157">
        <v>41853</v>
      </c>
      <c r="O712" s="139"/>
      <c r="P712" s="157"/>
      <c r="Q712" s="139"/>
      <c r="R712" s="157"/>
      <c r="S712" s="139">
        <v>10.28</v>
      </c>
      <c r="T712" s="157">
        <v>41853</v>
      </c>
      <c r="U712" s="139">
        <v>15.3</v>
      </c>
      <c r="V712" s="157"/>
      <c r="W712" s="139"/>
      <c r="X712" s="157"/>
      <c r="Y712" s="139">
        <f t="shared" si="11"/>
        <v>4.0316099999999997</v>
      </c>
      <c r="Z712" s="157"/>
      <c r="AA712" s="139">
        <v>36.4</v>
      </c>
      <c r="AB712" s="157"/>
      <c r="AC712" s="139"/>
      <c r="AD712" s="157"/>
      <c r="AE712" s="139">
        <v>19.29</v>
      </c>
      <c r="AF712" s="157"/>
      <c r="AG712" s="185">
        <v>5.3</v>
      </c>
      <c r="AH712" s="157"/>
      <c r="AI712" s="185">
        <v>120</v>
      </c>
      <c r="AJ712" s="157">
        <v>41803</v>
      </c>
      <c r="AK712" s="139"/>
      <c r="AL712" s="157"/>
      <c r="AM712" s="139"/>
      <c r="AN712" s="157"/>
      <c r="AO712" s="139">
        <v>92</v>
      </c>
      <c r="AP712" s="157">
        <v>41738</v>
      </c>
      <c r="AQ712" s="139"/>
      <c r="AR712" s="139"/>
      <c r="AS712" s="139">
        <v>127</v>
      </c>
      <c r="AT712" s="157">
        <v>41766</v>
      </c>
      <c r="AU712" s="139"/>
      <c r="AV712" s="139"/>
      <c r="AW712" s="139"/>
      <c r="AX712" s="139"/>
      <c r="AY712" s="139"/>
      <c r="AZ712" s="139"/>
      <c r="BA712" s="139"/>
      <c r="BB712" s="139"/>
      <c r="BC712" s="139"/>
      <c r="BD712" s="139"/>
      <c r="BE712" s="140"/>
      <c r="BF712" s="140"/>
      <c r="BG712" s="140"/>
      <c r="BH712" s="140"/>
      <c r="BI712" s="140"/>
      <c r="BJ712" s="140"/>
      <c r="BK712" s="140"/>
      <c r="BL712" s="140"/>
      <c r="BM712" s="140"/>
      <c r="BN712" s="140"/>
      <c r="BO712" s="140"/>
      <c r="BP712" s="140"/>
      <c r="BQ712" s="140"/>
      <c r="BR712" s="140"/>
      <c r="BS712" s="140">
        <v>53.3</v>
      </c>
      <c r="BT712" s="140"/>
      <c r="BU712" s="140">
        <v>20.9</v>
      </c>
      <c r="BV712" s="140"/>
      <c r="BW712" s="140">
        <v>14</v>
      </c>
      <c r="BX712" s="140"/>
      <c r="BY712" s="140">
        <v>7.7</v>
      </c>
      <c r="BZ712" s="140"/>
      <c r="CA712" s="140"/>
      <c r="CB712" s="140"/>
      <c r="CC712" s="140"/>
      <c r="CD712" s="140"/>
      <c r="CE712" s="140"/>
      <c r="CF712" s="140"/>
      <c r="CG712" s="140"/>
      <c r="CH712" s="140"/>
      <c r="CI712" s="140"/>
      <c r="CJ712" s="140" t="s">
        <v>8140</v>
      </c>
      <c r="CK712" s="140"/>
      <c r="CL712" s="140"/>
      <c r="CM712" s="140"/>
    </row>
    <row r="713" spans="1:91" s="198" customFormat="1">
      <c r="A713" s="158" t="s">
        <v>7706</v>
      </c>
      <c r="B713" s="112" t="s">
        <v>271</v>
      </c>
      <c r="C713" s="112">
        <v>3</v>
      </c>
      <c r="D713">
        <v>91</v>
      </c>
      <c r="E713" s="113">
        <v>79</v>
      </c>
      <c r="F713" s="113">
        <v>4</v>
      </c>
      <c r="G713" s="113"/>
      <c r="H713" s="113"/>
      <c r="I713" s="112">
        <v>28</v>
      </c>
      <c r="J713" s="183">
        <v>41705</v>
      </c>
      <c r="K713" s="139"/>
      <c r="L713" s="157"/>
      <c r="M713" s="184">
        <v>4.43</v>
      </c>
      <c r="N713" s="157">
        <v>41853</v>
      </c>
      <c r="O713" s="139"/>
      <c r="P713" s="157"/>
      <c r="Q713" s="139"/>
      <c r="R713" s="157"/>
      <c r="S713" s="139">
        <v>14.28</v>
      </c>
      <c r="T713" s="157">
        <v>41853</v>
      </c>
      <c r="U713" s="139">
        <v>15.3</v>
      </c>
      <c r="V713" s="157"/>
      <c r="W713" s="139"/>
      <c r="X713" s="157"/>
      <c r="Y713" s="139">
        <f t="shared" si="11"/>
        <v>6.1633100000000001</v>
      </c>
      <c r="Z713" s="157"/>
      <c r="AA713" s="139">
        <v>59.61</v>
      </c>
      <c r="AB713" s="157"/>
      <c r="AC713" s="139"/>
      <c r="AD713" s="157"/>
      <c r="AE713" s="139">
        <v>29.21</v>
      </c>
      <c r="AF713" s="157"/>
      <c r="AG713" s="185">
        <v>4.9000000000000004</v>
      </c>
      <c r="AH713" s="157"/>
      <c r="AI713" s="185">
        <v>130</v>
      </c>
      <c r="AJ713" s="157">
        <v>41803</v>
      </c>
      <c r="AK713" s="139"/>
      <c r="AL713" s="157"/>
      <c r="AM713" s="139"/>
      <c r="AN713" s="157"/>
      <c r="AO713" s="139">
        <v>96</v>
      </c>
      <c r="AP713" s="157">
        <v>41738</v>
      </c>
      <c r="AQ713" s="139"/>
      <c r="AR713" s="139"/>
      <c r="AS713" s="139">
        <v>129</v>
      </c>
      <c r="AT713" s="157">
        <v>41766</v>
      </c>
      <c r="AU713" s="139"/>
      <c r="AV713" s="139"/>
      <c r="AW713" s="139"/>
      <c r="AX713" s="139"/>
      <c r="AY713" s="139"/>
      <c r="AZ713" s="139"/>
      <c r="BA713" s="139"/>
      <c r="BB713" s="139"/>
      <c r="BC713" s="139"/>
      <c r="BD713" s="139"/>
      <c r="BE713" s="140"/>
      <c r="BF713" s="140"/>
      <c r="BG713" s="140"/>
      <c r="BH713" s="140"/>
      <c r="BI713" s="140"/>
      <c r="BJ713" s="140"/>
      <c r="BK713" s="140"/>
      <c r="BL713" s="140"/>
      <c r="BM713" s="140"/>
      <c r="BN713" s="140"/>
      <c r="BO713" s="140"/>
      <c r="BP713" s="140"/>
      <c r="BQ713" s="140"/>
      <c r="BR713" s="140"/>
      <c r="BS713" s="140">
        <v>48.9</v>
      </c>
      <c r="BT713" s="140"/>
      <c r="BU713" s="140">
        <v>21.1</v>
      </c>
      <c r="BV713" s="140"/>
      <c r="BW713" s="140">
        <v>16.3</v>
      </c>
      <c r="BX713" s="140"/>
      <c r="BY713" s="140">
        <v>8.1999999999999993</v>
      </c>
      <c r="BZ713" s="140"/>
      <c r="CA713" s="140"/>
      <c r="CB713" s="140"/>
      <c r="CC713" s="140"/>
      <c r="CD713" s="140"/>
      <c r="CE713" s="140"/>
      <c r="CF713" s="140"/>
      <c r="CG713" s="140"/>
      <c r="CH713" s="140"/>
      <c r="CI713" s="140"/>
      <c r="CJ713" s="140" t="s">
        <v>8131</v>
      </c>
      <c r="CK713" s="140"/>
      <c r="CL713" s="140"/>
      <c r="CM713" s="140"/>
    </row>
    <row r="714" spans="1:91">
      <c r="A714" s="158" t="s">
        <v>7630</v>
      </c>
      <c r="B714" s="112" t="s">
        <v>271</v>
      </c>
      <c r="C714" s="112">
        <v>3</v>
      </c>
      <c r="D714">
        <v>15</v>
      </c>
      <c r="E714" s="113">
        <v>79</v>
      </c>
      <c r="F714" s="113">
        <v>5</v>
      </c>
      <c r="I714" s="187">
        <v>38</v>
      </c>
      <c r="J714" s="183">
        <v>41705</v>
      </c>
      <c r="K714" s="142"/>
      <c r="M714" s="184">
        <v>2.59</v>
      </c>
      <c r="N714" s="157">
        <v>41853</v>
      </c>
      <c r="O714" s="141"/>
      <c r="Q714" s="142"/>
      <c r="S714" s="142">
        <v>8.26</v>
      </c>
      <c r="T714" s="157">
        <v>41853</v>
      </c>
      <c r="U714" s="142">
        <v>15.3</v>
      </c>
      <c r="W714" s="142"/>
      <c r="Y714" s="139">
        <f t="shared" si="11"/>
        <v>4.1796999999999995</v>
      </c>
      <c r="AA714" s="142">
        <v>48.74</v>
      </c>
      <c r="AE714" s="142">
        <v>17.059999999999999</v>
      </c>
      <c r="AG714" s="185">
        <v>3.5</v>
      </c>
      <c r="AI714" s="185">
        <v>95</v>
      </c>
      <c r="AJ714" s="157">
        <v>41803</v>
      </c>
      <c r="AK714" s="142"/>
      <c r="AM714" s="142"/>
      <c r="AO714" s="139">
        <v>89</v>
      </c>
      <c r="AP714" s="157">
        <v>41738</v>
      </c>
      <c r="AS714" s="139">
        <v>127</v>
      </c>
      <c r="AT714" s="157">
        <v>41766</v>
      </c>
      <c r="BS714" s="140">
        <v>48.4</v>
      </c>
      <c r="BU714" s="140">
        <v>24.5</v>
      </c>
      <c r="BW714" s="140">
        <v>58.3</v>
      </c>
      <c r="BY714" s="140">
        <v>8.3000000000000007</v>
      </c>
      <c r="CJ714" s="140" t="s">
        <v>8140</v>
      </c>
    </row>
    <row r="715" spans="1:91">
      <c r="A715" s="158" t="s">
        <v>7747</v>
      </c>
      <c r="B715" s="112" t="s">
        <v>271</v>
      </c>
      <c r="C715" s="112">
        <v>3</v>
      </c>
      <c r="D715">
        <v>132</v>
      </c>
      <c r="E715" s="113">
        <v>79</v>
      </c>
      <c r="F715" s="113">
        <v>6</v>
      </c>
      <c r="I715" s="112">
        <v>35</v>
      </c>
      <c r="J715" s="183">
        <v>41705</v>
      </c>
      <c r="M715" s="184">
        <v>2.59</v>
      </c>
      <c r="N715" s="157">
        <v>41853</v>
      </c>
      <c r="S715" s="139">
        <v>8.5299999999999994</v>
      </c>
      <c r="T715" s="157">
        <v>41853</v>
      </c>
      <c r="U715" s="139">
        <v>15.3</v>
      </c>
      <c r="Y715" s="139">
        <f t="shared" si="11"/>
        <v>3.6849599999999998</v>
      </c>
      <c r="AA715" s="139">
        <v>37.909999999999997</v>
      </c>
      <c r="AE715" s="139">
        <v>17.059999999999999</v>
      </c>
      <c r="AG715" s="185">
        <v>4.5</v>
      </c>
      <c r="AI715" s="185">
        <v>120</v>
      </c>
      <c r="AJ715" s="157">
        <v>41803</v>
      </c>
      <c r="AO715" s="139">
        <v>97</v>
      </c>
      <c r="AP715" s="157">
        <v>41738</v>
      </c>
      <c r="AS715" s="139">
        <v>128</v>
      </c>
      <c r="AT715" s="157">
        <v>41766</v>
      </c>
      <c r="BS715" s="140">
        <v>50</v>
      </c>
      <c r="BU715" s="140">
        <v>21.6</v>
      </c>
      <c r="BW715" s="140">
        <v>62.5</v>
      </c>
      <c r="BY715" s="140">
        <v>8.3000000000000007</v>
      </c>
      <c r="CJ715" s="140" t="s">
        <v>8131</v>
      </c>
    </row>
    <row r="716" spans="1:91">
      <c r="A716" s="158" t="s">
        <v>7784</v>
      </c>
      <c r="B716" s="112" t="s">
        <v>269</v>
      </c>
      <c r="C716" s="112">
        <v>4</v>
      </c>
      <c r="D716">
        <v>169</v>
      </c>
      <c r="E716" s="113">
        <v>79</v>
      </c>
      <c r="F716" s="113">
        <v>7</v>
      </c>
      <c r="I716" s="112">
        <v>50</v>
      </c>
      <c r="J716" s="183">
        <v>41705</v>
      </c>
      <c r="M716" s="184">
        <v>2.1800000000000002</v>
      </c>
      <c r="N716" s="157">
        <v>41853</v>
      </c>
      <c r="S716" s="139">
        <v>7.54</v>
      </c>
      <c r="T716" s="157">
        <v>41853</v>
      </c>
      <c r="U716" s="139">
        <v>15.3</v>
      </c>
      <c r="Y716" s="139">
        <f t="shared" si="11"/>
        <v>2.5273600000000003</v>
      </c>
      <c r="AA716" s="139">
        <v>35.020000000000003</v>
      </c>
      <c r="AE716" s="139">
        <v>14.36</v>
      </c>
      <c r="AG716" s="185">
        <v>4.0999999999999996</v>
      </c>
      <c r="AI716" s="185">
        <v>105</v>
      </c>
      <c r="AJ716" s="157">
        <v>41803</v>
      </c>
      <c r="AO716" s="139">
        <v>94</v>
      </c>
      <c r="AP716" s="157">
        <v>41738</v>
      </c>
      <c r="AS716" s="139">
        <v>127</v>
      </c>
      <c r="AT716" s="157">
        <v>41766</v>
      </c>
      <c r="BS716" s="140">
        <v>52.5</v>
      </c>
      <c r="BU716" s="140">
        <v>17.600000000000001</v>
      </c>
      <c r="BW716" s="140">
        <v>15.5</v>
      </c>
      <c r="BY716" s="140">
        <v>8.3000000000000007</v>
      </c>
      <c r="CJ716" s="140" t="s">
        <v>8140</v>
      </c>
    </row>
    <row r="717" spans="1:91">
      <c r="A717" s="158" t="s">
        <v>7640</v>
      </c>
      <c r="B717" s="112" t="s">
        <v>269</v>
      </c>
      <c r="C717" s="112">
        <v>4</v>
      </c>
      <c r="D717">
        <v>25</v>
      </c>
      <c r="E717" s="113">
        <v>79</v>
      </c>
      <c r="F717" s="113">
        <v>8</v>
      </c>
      <c r="I717" s="112">
        <v>42</v>
      </c>
      <c r="J717" s="183">
        <v>41705</v>
      </c>
      <c r="M717" s="184">
        <v>1.21</v>
      </c>
      <c r="N717" s="157">
        <v>41853</v>
      </c>
      <c r="S717" s="139">
        <v>3.96</v>
      </c>
      <c r="T717" s="157">
        <v>41853</v>
      </c>
      <c r="U717" s="139">
        <v>15.3</v>
      </c>
      <c r="Y717" s="139">
        <f t="shared" si="11"/>
        <v>1.73746</v>
      </c>
      <c r="AA717" s="139">
        <v>18.98</v>
      </c>
      <c r="AE717" s="139">
        <v>7.97</v>
      </c>
      <c r="AG717" s="185">
        <v>4.2</v>
      </c>
      <c r="AI717" s="185">
        <v>110</v>
      </c>
      <c r="AJ717" s="157">
        <v>41803</v>
      </c>
      <c r="AO717" s="139">
        <v>80</v>
      </c>
      <c r="AP717" s="157">
        <v>41738</v>
      </c>
      <c r="AS717" s="139">
        <v>124</v>
      </c>
      <c r="AT717" s="157">
        <v>41766</v>
      </c>
      <c r="BS717" s="140">
        <v>49.7</v>
      </c>
      <c r="BU717" s="140">
        <v>21.8</v>
      </c>
      <c r="BW717" s="140">
        <v>55.4</v>
      </c>
      <c r="BY717" s="140">
        <v>8.3000000000000007</v>
      </c>
      <c r="CJ717" s="140" t="s">
        <v>8147</v>
      </c>
    </row>
    <row r="718" spans="1:91">
      <c r="A718" s="158" t="s">
        <v>7671</v>
      </c>
      <c r="B718" s="112" t="s">
        <v>269</v>
      </c>
      <c r="C718" s="112">
        <v>4</v>
      </c>
      <c r="D718">
        <v>56</v>
      </c>
      <c r="E718" s="113">
        <v>79</v>
      </c>
      <c r="F718" s="113">
        <v>9</v>
      </c>
      <c r="I718" s="112">
        <v>54</v>
      </c>
      <c r="J718" s="183">
        <v>41705</v>
      </c>
      <c r="M718" s="184">
        <v>2.17</v>
      </c>
      <c r="N718" s="157">
        <v>41853</v>
      </c>
      <c r="S718" s="139">
        <v>7.35</v>
      </c>
      <c r="T718" s="157">
        <v>41853</v>
      </c>
      <c r="U718" s="139">
        <v>15.3</v>
      </c>
      <c r="Y718" s="139">
        <f t="shared" si="11"/>
        <v>2.6293599999999997</v>
      </c>
      <c r="AA718" s="139">
        <v>32.479999999999997</v>
      </c>
      <c r="AE718" s="139">
        <v>14.29</v>
      </c>
      <c r="AG718" s="185">
        <v>4.4000000000000004</v>
      </c>
      <c r="AI718" s="185">
        <v>115</v>
      </c>
      <c r="AJ718" s="157">
        <v>41803</v>
      </c>
      <c r="AO718" s="139">
        <v>95</v>
      </c>
      <c r="AP718" s="157">
        <v>41738</v>
      </c>
      <c r="AS718" s="139">
        <v>127</v>
      </c>
      <c r="AT718" s="157">
        <v>41766</v>
      </c>
      <c r="BS718" s="140">
        <v>51.4</v>
      </c>
      <c r="BU718" s="140">
        <v>18.399999999999999</v>
      </c>
      <c r="BW718" s="140">
        <v>9.8000000000000007</v>
      </c>
      <c r="BY718" s="140">
        <v>8.3000000000000007</v>
      </c>
      <c r="CJ718" s="140" t="s">
        <v>8140</v>
      </c>
    </row>
    <row r="719" spans="1:91">
      <c r="A719" s="158" t="s">
        <v>7726</v>
      </c>
      <c r="B719" s="112" t="s">
        <v>269</v>
      </c>
      <c r="C719" s="112">
        <v>4</v>
      </c>
      <c r="D719">
        <v>111</v>
      </c>
      <c r="E719" s="113">
        <v>79</v>
      </c>
      <c r="F719" s="113">
        <v>10</v>
      </c>
      <c r="I719" s="112">
        <v>29</v>
      </c>
      <c r="J719" s="183">
        <v>41705</v>
      </c>
      <c r="M719" s="184">
        <v>2.4300000000000002</v>
      </c>
      <c r="N719" s="157">
        <v>41853</v>
      </c>
      <c r="S719" s="139">
        <v>8.3699999999999992</v>
      </c>
      <c r="T719" s="157">
        <v>41853</v>
      </c>
      <c r="U719" s="139">
        <v>15.3</v>
      </c>
      <c r="Y719" s="139">
        <f t="shared" si="11"/>
        <v>2.9119999999999999</v>
      </c>
      <c r="AA719" s="139">
        <v>33.33</v>
      </c>
      <c r="AE719" s="139">
        <v>16</v>
      </c>
      <c r="AG719" s="185">
        <v>4.8</v>
      </c>
      <c r="AI719" s="185">
        <v>105</v>
      </c>
      <c r="AJ719" s="157">
        <v>41803</v>
      </c>
      <c r="AO719" s="139">
        <v>91</v>
      </c>
      <c r="AP719" s="157">
        <v>41738</v>
      </c>
      <c r="AS719" s="139">
        <v>128</v>
      </c>
      <c r="AT719" s="157">
        <v>41766</v>
      </c>
      <c r="BS719" s="140">
        <v>52.3</v>
      </c>
      <c r="BU719" s="140">
        <v>18.2</v>
      </c>
      <c r="BW719" s="140">
        <v>17.399999999999999</v>
      </c>
      <c r="BY719" s="140">
        <v>8.3000000000000007</v>
      </c>
      <c r="CJ719" s="140" t="s">
        <v>8140</v>
      </c>
    </row>
    <row r="720" spans="1:91">
      <c r="A720" s="158" t="s">
        <v>7902</v>
      </c>
      <c r="B720" s="112" t="s">
        <v>269</v>
      </c>
      <c r="C720" s="112">
        <v>4</v>
      </c>
      <c r="D720">
        <v>208</v>
      </c>
      <c r="E720" s="113">
        <v>79</v>
      </c>
      <c r="F720" s="113">
        <v>11</v>
      </c>
      <c r="I720" s="112">
        <v>59</v>
      </c>
      <c r="J720" s="183">
        <v>41705</v>
      </c>
      <c r="M720" s="184">
        <v>2.2599999999999998</v>
      </c>
      <c r="N720" s="157">
        <v>41853</v>
      </c>
      <c r="S720" s="139">
        <v>7.83</v>
      </c>
      <c r="T720" s="157">
        <v>41853</v>
      </c>
      <c r="U720" s="139">
        <v>15.3</v>
      </c>
      <c r="Y720" s="139">
        <f t="shared" si="11"/>
        <v>2.5891199999999999</v>
      </c>
      <c r="AA720" s="139">
        <v>33.07</v>
      </c>
      <c r="AE720" s="139">
        <v>14.88</v>
      </c>
      <c r="AG720" s="185">
        <v>4.5</v>
      </c>
      <c r="AI720" s="185">
        <v>115</v>
      </c>
      <c r="AJ720" s="157">
        <v>41803</v>
      </c>
      <c r="AO720" s="139">
        <v>89</v>
      </c>
      <c r="AP720" s="157">
        <v>41738</v>
      </c>
      <c r="AS720" s="139">
        <v>125</v>
      </c>
      <c r="AT720" s="157">
        <v>41766</v>
      </c>
      <c r="BS720" s="140">
        <v>52.6</v>
      </c>
      <c r="BU720" s="140">
        <v>17.399999999999999</v>
      </c>
      <c r="BW720" s="140">
        <v>20.6</v>
      </c>
      <c r="BY720" s="140">
        <v>8.3000000000000007</v>
      </c>
      <c r="CJ720" s="140" t="s">
        <v>8144</v>
      </c>
    </row>
    <row r="721" spans="1:91">
      <c r="A721" s="158" t="s">
        <v>7627</v>
      </c>
      <c r="B721" s="112" t="s">
        <v>269</v>
      </c>
      <c r="C721" s="112">
        <v>4</v>
      </c>
      <c r="D721">
        <v>12</v>
      </c>
      <c r="E721" s="113">
        <v>79</v>
      </c>
      <c r="F721" s="113">
        <v>12</v>
      </c>
      <c r="I721" s="187">
        <v>48</v>
      </c>
      <c r="J721" s="183">
        <v>41705</v>
      </c>
      <c r="K721" s="142"/>
      <c r="M721" s="184">
        <v>1.98</v>
      </c>
      <c r="N721" s="157">
        <v>41853</v>
      </c>
      <c r="O721" s="141"/>
      <c r="Q721" s="142"/>
      <c r="S721" s="142">
        <v>6.96</v>
      </c>
      <c r="T721" s="157">
        <v>41853</v>
      </c>
      <c r="U721" s="142">
        <v>15.3</v>
      </c>
      <c r="W721" s="142"/>
      <c r="Y721" s="139">
        <f t="shared" si="11"/>
        <v>2.4384799999999998</v>
      </c>
      <c r="AA721" s="142">
        <v>29.64</v>
      </c>
      <c r="AE721" s="142">
        <v>13.04</v>
      </c>
      <c r="AG721" s="185">
        <v>4.4000000000000004</v>
      </c>
      <c r="AI721" s="185">
        <v>110</v>
      </c>
      <c r="AJ721" s="157">
        <v>41803</v>
      </c>
      <c r="AK721" s="142"/>
      <c r="AM721" s="142"/>
      <c r="AO721" s="139">
        <v>100</v>
      </c>
      <c r="AP721" s="157">
        <v>41738</v>
      </c>
      <c r="AS721" s="139">
        <v>127</v>
      </c>
      <c r="AT721" s="157">
        <v>41766</v>
      </c>
      <c r="BS721" s="140">
        <v>53.4</v>
      </c>
      <c r="BU721" s="140">
        <v>18.7</v>
      </c>
      <c r="BW721" s="140">
        <v>50.7</v>
      </c>
      <c r="BY721" s="140">
        <v>8.3000000000000007</v>
      </c>
      <c r="CJ721" s="140" t="s">
        <v>8131</v>
      </c>
    </row>
    <row r="722" spans="1:91" s="198" customFormat="1">
      <c r="A722" s="158" t="s">
        <v>7750</v>
      </c>
      <c r="B722" s="112" t="s">
        <v>271</v>
      </c>
      <c r="C722" s="112">
        <v>3</v>
      </c>
      <c r="D722">
        <v>135</v>
      </c>
      <c r="E722" s="113">
        <v>80</v>
      </c>
      <c r="F722" s="113">
        <v>1</v>
      </c>
      <c r="G722" s="113"/>
      <c r="H722" s="113"/>
      <c r="I722" s="112">
        <v>48</v>
      </c>
      <c r="J722" s="183">
        <v>41705</v>
      </c>
      <c r="K722" s="139"/>
      <c r="L722" s="157"/>
      <c r="M722" s="184">
        <v>2.02</v>
      </c>
      <c r="N722" s="157">
        <v>41853</v>
      </c>
      <c r="O722" s="139"/>
      <c r="P722" s="157"/>
      <c r="Q722" s="139"/>
      <c r="R722" s="157"/>
      <c r="S722" s="139">
        <v>6.18</v>
      </c>
      <c r="T722" s="157">
        <v>41853</v>
      </c>
      <c r="U722" s="139">
        <v>15.3</v>
      </c>
      <c r="V722" s="157"/>
      <c r="W722" s="139"/>
      <c r="X722" s="157"/>
      <c r="Y722" s="139">
        <f t="shared" si="11"/>
        <v>3.2850999999999999</v>
      </c>
      <c r="Z722" s="157"/>
      <c r="AA722" s="139">
        <v>33.25</v>
      </c>
      <c r="AB722" s="157"/>
      <c r="AC722" s="139"/>
      <c r="AD722" s="157"/>
      <c r="AE722" s="139">
        <v>13.3</v>
      </c>
      <c r="AF722" s="157"/>
      <c r="AG722" s="185">
        <v>4</v>
      </c>
      <c r="AH722" s="157"/>
      <c r="AI722" s="185">
        <v>110</v>
      </c>
      <c r="AJ722" s="157">
        <v>41803</v>
      </c>
      <c r="AK722" s="139"/>
      <c r="AL722" s="157"/>
      <c r="AM722" s="139"/>
      <c r="AN722" s="157"/>
      <c r="AO722" s="139">
        <v>91</v>
      </c>
      <c r="AP722" s="157">
        <v>41738</v>
      </c>
      <c r="AQ722" s="139"/>
      <c r="AR722" s="139"/>
      <c r="AS722" s="139">
        <v>128</v>
      </c>
      <c r="AT722" s="157">
        <v>41766</v>
      </c>
      <c r="AU722" s="139"/>
      <c r="AV722" s="139"/>
      <c r="AW722" s="139"/>
      <c r="AX722" s="139"/>
      <c r="AY722" s="139"/>
      <c r="AZ722" s="139"/>
      <c r="BA722" s="139"/>
      <c r="BB722" s="139"/>
      <c r="BC722" s="139"/>
      <c r="BD722" s="139"/>
      <c r="BE722" s="140"/>
      <c r="BF722" s="140"/>
      <c r="BG722" s="140"/>
      <c r="BH722" s="140"/>
      <c r="BI722" s="140"/>
      <c r="BJ722" s="140"/>
      <c r="BK722" s="140"/>
      <c r="BL722" s="140"/>
      <c r="BM722" s="140"/>
      <c r="BN722" s="140"/>
      <c r="BO722" s="140"/>
      <c r="BP722" s="140"/>
      <c r="BQ722" s="140"/>
      <c r="BR722" s="140"/>
      <c r="BS722" s="140">
        <v>46.5</v>
      </c>
      <c r="BT722" s="140"/>
      <c r="BU722" s="140">
        <v>24.7</v>
      </c>
      <c r="BV722" s="140"/>
      <c r="BW722" s="140">
        <v>64.2</v>
      </c>
      <c r="BX722" s="140"/>
      <c r="BY722" s="140">
        <v>8.3000000000000007</v>
      </c>
      <c r="BZ722" s="140"/>
      <c r="CA722" s="140"/>
      <c r="CB722" s="140"/>
      <c r="CC722" s="140"/>
      <c r="CD722" s="140"/>
      <c r="CE722" s="140"/>
      <c r="CF722" s="140"/>
      <c r="CG722" s="140"/>
      <c r="CH722" s="140"/>
      <c r="CI722" s="140"/>
      <c r="CJ722" s="140" t="s">
        <v>8139</v>
      </c>
      <c r="CK722" s="140"/>
      <c r="CL722" s="140"/>
      <c r="CM722" s="140"/>
    </row>
    <row r="723" spans="1:91" s="198" customFormat="1">
      <c r="A723" s="188" t="s">
        <v>7754</v>
      </c>
      <c r="B723" s="189" t="s">
        <v>271</v>
      </c>
      <c r="C723" s="189">
        <v>3</v>
      </c>
      <c r="D723" s="190">
        <v>139</v>
      </c>
      <c r="E723" s="191">
        <v>80</v>
      </c>
      <c r="F723" s="191">
        <v>2</v>
      </c>
      <c r="G723" s="191"/>
      <c r="H723" s="191"/>
      <c r="I723" s="189">
        <v>40</v>
      </c>
      <c r="J723" s="193">
        <v>41705</v>
      </c>
      <c r="K723" s="194"/>
      <c r="L723" s="195"/>
      <c r="M723" s="196">
        <v>1.45</v>
      </c>
      <c r="N723" s="195">
        <v>41853</v>
      </c>
      <c r="O723" s="194"/>
      <c r="P723" s="195"/>
      <c r="Q723" s="194"/>
      <c r="R723" s="195"/>
      <c r="S723" s="194">
        <v>4.3600000000000003</v>
      </c>
      <c r="T723" s="195">
        <v>41853</v>
      </c>
      <c r="U723" s="194">
        <v>15.3</v>
      </c>
      <c r="V723" s="195"/>
      <c r="W723" s="194"/>
      <c r="X723" s="195"/>
      <c r="Y723" s="139">
        <f t="shared" si="11"/>
        <v>2.4257</v>
      </c>
      <c r="Z723" s="195"/>
      <c r="AA723" s="194">
        <v>22.21</v>
      </c>
      <c r="AB723" s="195"/>
      <c r="AC723" s="194"/>
      <c r="AD723" s="195"/>
      <c r="AE723" s="194">
        <v>9.5500000000000007</v>
      </c>
      <c r="AF723" s="195"/>
      <c r="AG723" s="197">
        <v>4.3</v>
      </c>
      <c r="AH723" s="195"/>
      <c r="AI723" s="197">
        <v>120</v>
      </c>
      <c r="AJ723" s="195">
        <v>41803</v>
      </c>
      <c r="AK723" s="194"/>
      <c r="AL723" s="195"/>
      <c r="AM723" s="194"/>
      <c r="AN723" s="195"/>
      <c r="AO723" s="194">
        <v>97</v>
      </c>
      <c r="AP723" s="195">
        <v>41738</v>
      </c>
      <c r="AQ723" s="194"/>
      <c r="AR723" s="194"/>
      <c r="AS723" s="194">
        <v>128</v>
      </c>
      <c r="AT723" s="195">
        <v>41766</v>
      </c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S723" s="198">
        <v>45.7</v>
      </c>
      <c r="BU723" s="198">
        <v>25.4</v>
      </c>
      <c r="BW723" s="198">
        <v>82.3</v>
      </c>
      <c r="BY723" s="198">
        <v>8.3000000000000007</v>
      </c>
      <c r="CJ723" s="198" t="s">
        <v>8132</v>
      </c>
    </row>
    <row r="724" spans="1:91" s="198" customFormat="1">
      <c r="A724" s="158" t="s">
        <v>7792</v>
      </c>
      <c r="B724" s="112" t="s">
        <v>271</v>
      </c>
      <c r="C724" s="112">
        <v>3</v>
      </c>
      <c r="D724">
        <v>177</v>
      </c>
      <c r="E724" s="113">
        <v>80</v>
      </c>
      <c r="F724" s="113">
        <v>3</v>
      </c>
      <c r="G724" s="113"/>
      <c r="H724" s="113"/>
      <c r="I724" s="112">
        <v>27</v>
      </c>
      <c r="J724" s="183">
        <v>41705</v>
      </c>
      <c r="K724" s="139"/>
      <c r="L724" s="157"/>
      <c r="M724" s="184">
        <v>3.18</v>
      </c>
      <c r="N724" s="157">
        <v>41853</v>
      </c>
      <c r="O724" s="139"/>
      <c r="P724" s="157"/>
      <c r="Q724" s="139"/>
      <c r="R724" s="157"/>
      <c r="S724" s="139">
        <v>10.39</v>
      </c>
      <c r="T724" s="157">
        <v>41853</v>
      </c>
      <c r="U724" s="139">
        <v>15.3</v>
      </c>
      <c r="V724" s="157"/>
      <c r="W724" s="139"/>
      <c r="X724" s="157"/>
      <c r="Y724" s="139">
        <f t="shared" si="11"/>
        <v>4.5235999999999992</v>
      </c>
      <c r="Z724" s="157"/>
      <c r="AA724" s="139">
        <v>42.94</v>
      </c>
      <c r="AB724" s="157"/>
      <c r="AC724" s="139"/>
      <c r="AD724" s="157"/>
      <c r="AE724" s="139">
        <v>21.04</v>
      </c>
      <c r="AF724" s="157"/>
      <c r="AG724" s="185">
        <v>4.9000000000000004</v>
      </c>
      <c r="AH724" s="157"/>
      <c r="AI724" s="185">
        <v>120</v>
      </c>
      <c r="AJ724" s="157">
        <v>41803</v>
      </c>
      <c r="AK724" s="139"/>
      <c r="AL724" s="157"/>
      <c r="AM724" s="139"/>
      <c r="AN724" s="157"/>
      <c r="AO724" s="139">
        <v>90</v>
      </c>
      <c r="AP724" s="157">
        <v>41738</v>
      </c>
      <c r="AQ724" s="139"/>
      <c r="AR724" s="139"/>
      <c r="AS724" s="139">
        <v>128</v>
      </c>
      <c r="AT724" s="157">
        <v>41766</v>
      </c>
      <c r="AU724" s="139"/>
      <c r="AV724" s="139"/>
      <c r="AW724" s="139"/>
      <c r="AX724" s="139"/>
      <c r="AY724" s="139"/>
      <c r="AZ724" s="139"/>
      <c r="BA724" s="139"/>
      <c r="BB724" s="139"/>
      <c r="BC724" s="139"/>
      <c r="BD724" s="139"/>
      <c r="BE724" s="140"/>
      <c r="BF724" s="140"/>
      <c r="BG724" s="140"/>
      <c r="BH724" s="140"/>
      <c r="BI724" s="140"/>
      <c r="BJ724" s="140"/>
      <c r="BK724" s="140"/>
      <c r="BL724" s="140"/>
      <c r="BM724" s="140"/>
      <c r="BN724" s="140"/>
      <c r="BO724" s="140"/>
      <c r="BP724" s="140"/>
      <c r="BQ724" s="140"/>
      <c r="BR724" s="140"/>
      <c r="BS724" s="140">
        <v>49.4</v>
      </c>
      <c r="BT724" s="140"/>
      <c r="BU724" s="140">
        <v>21.5</v>
      </c>
      <c r="BV724" s="140"/>
      <c r="BW724" s="140">
        <v>12</v>
      </c>
      <c r="BX724" s="140"/>
      <c r="BY724" s="140">
        <v>7.9</v>
      </c>
      <c r="BZ724" s="140"/>
      <c r="CA724" s="140"/>
      <c r="CB724" s="140"/>
      <c r="CC724" s="140"/>
      <c r="CD724" s="140"/>
      <c r="CE724" s="140"/>
      <c r="CF724" s="140"/>
      <c r="CG724" s="140"/>
      <c r="CH724" s="140"/>
      <c r="CI724" s="140"/>
      <c r="CJ724" s="140" t="s">
        <v>8140</v>
      </c>
      <c r="CK724" s="140"/>
      <c r="CL724" s="140"/>
      <c r="CM724" s="140"/>
    </row>
    <row r="725" spans="1:91" s="198" customFormat="1">
      <c r="A725" s="158" t="s">
        <v>7765</v>
      </c>
      <c r="B725" s="112" t="s">
        <v>271</v>
      </c>
      <c r="C725" s="112">
        <v>3</v>
      </c>
      <c r="D725">
        <v>150</v>
      </c>
      <c r="E725" s="113">
        <v>80</v>
      </c>
      <c r="F725" s="113">
        <v>4</v>
      </c>
      <c r="G725" s="113"/>
      <c r="H725" s="113"/>
      <c r="I725" s="112">
        <v>42</v>
      </c>
      <c r="J725" s="183">
        <v>41705</v>
      </c>
      <c r="K725" s="139"/>
      <c r="L725" s="157"/>
      <c r="M725" s="184">
        <v>2.63</v>
      </c>
      <c r="N725" s="157">
        <v>41853</v>
      </c>
      <c r="O725" s="139"/>
      <c r="P725" s="157"/>
      <c r="Q725" s="139"/>
      <c r="R725" s="157"/>
      <c r="S725" s="139">
        <v>8.57</v>
      </c>
      <c r="T725" s="157">
        <v>41853</v>
      </c>
      <c r="U725" s="139">
        <v>15.3</v>
      </c>
      <c r="V725" s="157"/>
      <c r="W725" s="139"/>
      <c r="X725" s="157"/>
      <c r="Y725" s="139">
        <f t="shared" si="11"/>
        <v>3.5679200000000004</v>
      </c>
      <c r="Z725" s="157"/>
      <c r="AA725" s="139">
        <v>41.24</v>
      </c>
      <c r="AB725" s="157"/>
      <c r="AC725" s="139"/>
      <c r="AD725" s="157"/>
      <c r="AE725" s="139">
        <v>17.32</v>
      </c>
      <c r="AF725" s="157"/>
      <c r="AG725" s="185">
        <v>4.2</v>
      </c>
      <c r="AH725" s="157"/>
      <c r="AI725" s="185">
        <v>125</v>
      </c>
      <c r="AJ725" s="157">
        <v>41803</v>
      </c>
      <c r="AK725" s="139"/>
      <c r="AL725" s="157"/>
      <c r="AM725" s="139"/>
      <c r="AN725" s="157"/>
      <c r="AO725" s="139">
        <v>94</v>
      </c>
      <c r="AP725" s="157">
        <v>41738</v>
      </c>
      <c r="AQ725" s="139"/>
      <c r="AR725" s="139"/>
      <c r="AS725" s="139">
        <v>129</v>
      </c>
      <c r="AT725" s="157">
        <v>41766</v>
      </c>
      <c r="AU725" s="139"/>
      <c r="AV725" s="139"/>
      <c r="AW725" s="139"/>
      <c r="AX725" s="139"/>
      <c r="AY725" s="139"/>
      <c r="AZ725" s="139"/>
      <c r="BA725" s="139"/>
      <c r="BB725" s="139"/>
      <c r="BC725" s="139"/>
      <c r="BD725" s="139"/>
      <c r="BE725" s="140"/>
      <c r="BF725" s="140"/>
      <c r="BG725" s="140"/>
      <c r="BH725" s="140"/>
      <c r="BI725" s="140"/>
      <c r="BJ725" s="140"/>
      <c r="BK725" s="140"/>
      <c r="BL725" s="140"/>
      <c r="BM725" s="140"/>
      <c r="BN725" s="140"/>
      <c r="BO725" s="140"/>
      <c r="BP725" s="140"/>
      <c r="BQ725" s="140"/>
      <c r="BR725" s="140"/>
      <c r="BS725" s="140">
        <v>49.5</v>
      </c>
      <c r="BT725" s="140"/>
      <c r="BU725" s="140">
        <v>20.6</v>
      </c>
      <c r="BV725" s="140"/>
      <c r="BW725" s="140">
        <v>11.9</v>
      </c>
      <c r="BX725" s="140"/>
      <c r="BY725" s="140">
        <v>8.3000000000000007</v>
      </c>
      <c r="BZ725" s="140"/>
      <c r="CA725" s="140"/>
      <c r="CB725" s="140"/>
      <c r="CC725" s="140"/>
      <c r="CD725" s="140"/>
      <c r="CE725" s="140"/>
      <c r="CF725" s="140"/>
      <c r="CG725" s="140"/>
      <c r="CH725" s="140"/>
      <c r="CI725" s="140"/>
      <c r="CJ725" s="140" t="s">
        <v>8140</v>
      </c>
      <c r="CK725" s="140"/>
      <c r="CL725" s="140"/>
      <c r="CM725" s="140"/>
    </row>
    <row r="726" spans="1:91">
      <c r="A726" s="158" t="s">
        <v>7707</v>
      </c>
      <c r="B726" s="112" t="s">
        <v>271</v>
      </c>
      <c r="C726" s="112">
        <v>3</v>
      </c>
      <c r="D726">
        <v>92</v>
      </c>
      <c r="E726" s="113">
        <v>80</v>
      </c>
      <c r="F726" s="113">
        <v>5</v>
      </c>
      <c r="I726" s="112">
        <v>34</v>
      </c>
      <c r="J726" s="183">
        <v>41705</v>
      </c>
      <c r="M726" s="184">
        <v>3.27</v>
      </c>
      <c r="N726" s="157">
        <v>41853</v>
      </c>
      <c r="S726" s="139">
        <v>11.19</v>
      </c>
      <c r="T726" s="157">
        <v>41853</v>
      </c>
      <c r="U726" s="139">
        <v>15.3</v>
      </c>
      <c r="Y726" s="139">
        <f t="shared" si="11"/>
        <v>4.12751</v>
      </c>
      <c r="AA726" s="139">
        <v>48.02</v>
      </c>
      <c r="AE726" s="139">
        <v>21.61</v>
      </c>
      <c r="AG726" s="185">
        <v>4.5</v>
      </c>
      <c r="AI726" s="185">
        <v>125</v>
      </c>
      <c r="AJ726" s="157">
        <v>41803</v>
      </c>
      <c r="AO726" s="139">
        <v>96</v>
      </c>
      <c r="AP726" s="157">
        <v>41738</v>
      </c>
      <c r="AS726" s="139">
        <v>129</v>
      </c>
      <c r="AT726" s="157">
        <v>41766</v>
      </c>
      <c r="BS726" s="140">
        <v>51.8</v>
      </c>
      <c r="BU726" s="140">
        <v>19.100000000000001</v>
      </c>
      <c r="BW726" s="140">
        <v>13.9</v>
      </c>
      <c r="BY726" s="140">
        <v>8</v>
      </c>
      <c r="CJ726" s="140" t="s">
        <v>8131</v>
      </c>
    </row>
    <row r="727" spans="1:91">
      <c r="A727" s="158" t="s">
        <v>7689</v>
      </c>
      <c r="B727" s="112" t="s">
        <v>271</v>
      </c>
      <c r="C727" s="112">
        <v>3</v>
      </c>
      <c r="D727">
        <v>74</v>
      </c>
      <c r="E727" s="113">
        <v>80</v>
      </c>
      <c r="F727" s="113">
        <v>6</v>
      </c>
      <c r="I727" s="112">
        <v>31</v>
      </c>
      <c r="J727" s="183">
        <v>41705</v>
      </c>
      <c r="M727" s="184">
        <v>3.58</v>
      </c>
      <c r="N727" s="157">
        <v>41853</v>
      </c>
      <c r="S727" s="139">
        <v>11.39</v>
      </c>
      <c r="T727" s="157">
        <v>41853</v>
      </c>
      <c r="U727" s="139">
        <v>15.3</v>
      </c>
      <c r="Y727" s="139">
        <f t="shared" si="11"/>
        <v>5.1404399999999999</v>
      </c>
      <c r="AA727" s="139">
        <v>48.12</v>
      </c>
      <c r="AE727" s="139">
        <v>23.58</v>
      </c>
      <c r="AG727" s="185">
        <v>4.9000000000000004</v>
      </c>
      <c r="AI727" s="185">
        <v>120</v>
      </c>
      <c r="AJ727" s="157">
        <v>41803</v>
      </c>
      <c r="AO727" s="139">
        <v>93</v>
      </c>
      <c r="AP727" s="157">
        <v>41738</v>
      </c>
      <c r="AS727" s="139">
        <v>128</v>
      </c>
      <c r="AT727" s="157">
        <v>41766</v>
      </c>
      <c r="BS727" s="140">
        <v>48.3</v>
      </c>
      <c r="BU727" s="140">
        <v>21.8</v>
      </c>
      <c r="BW727" s="140">
        <v>14.2</v>
      </c>
      <c r="BY727" s="140">
        <v>8.3000000000000007</v>
      </c>
      <c r="CJ727" s="140" t="s">
        <v>8140</v>
      </c>
    </row>
    <row r="728" spans="1:91">
      <c r="A728" s="158" t="s">
        <v>7654</v>
      </c>
      <c r="B728" s="112" t="s">
        <v>269</v>
      </c>
      <c r="C728" s="112">
        <v>4</v>
      </c>
      <c r="D728">
        <v>39</v>
      </c>
      <c r="E728" s="113">
        <v>80</v>
      </c>
      <c r="F728" s="113">
        <v>7</v>
      </c>
      <c r="I728" s="112">
        <v>29</v>
      </c>
      <c r="J728" s="183">
        <v>41705</v>
      </c>
      <c r="M728" s="184">
        <v>1.59</v>
      </c>
      <c r="N728" s="157">
        <v>41853</v>
      </c>
      <c r="S728" s="139">
        <v>5.07</v>
      </c>
      <c r="T728" s="157">
        <v>41853</v>
      </c>
      <c r="U728" s="139">
        <v>15.3</v>
      </c>
      <c r="Y728" s="139">
        <f t="shared" si="11"/>
        <v>2.1568200000000002</v>
      </c>
      <c r="AA728" s="139">
        <v>20.53</v>
      </c>
      <c r="AE728" s="139">
        <v>10.47</v>
      </c>
      <c r="AG728" s="185">
        <v>5.0999999999999996</v>
      </c>
      <c r="AI728" s="185">
        <v>130</v>
      </c>
      <c r="AJ728" s="157">
        <v>41803</v>
      </c>
      <c r="AO728" s="139">
        <v>94</v>
      </c>
      <c r="AP728" s="157">
        <v>41738</v>
      </c>
      <c r="AS728" s="139">
        <v>128</v>
      </c>
      <c r="AT728" s="157">
        <v>41766</v>
      </c>
      <c r="BS728" s="140">
        <v>48.4</v>
      </c>
      <c r="BU728" s="140">
        <v>20.6</v>
      </c>
      <c r="BW728" s="140">
        <v>57</v>
      </c>
      <c r="BY728" s="140">
        <v>8.3000000000000007</v>
      </c>
      <c r="CJ728" s="140" t="s">
        <v>8140</v>
      </c>
    </row>
    <row r="729" spans="1:91">
      <c r="A729" s="158" t="s">
        <v>7644</v>
      </c>
      <c r="B729" s="112" t="s">
        <v>269</v>
      </c>
      <c r="C729" s="112">
        <v>4</v>
      </c>
      <c r="D729">
        <v>29</v>
      </c>
      <c r="E729" s="113">
        <v>80</v>
      </c>
      <c r="F729" s="113">
        <v>8</v>
      </c>
      <c r="I729" s="112">
        <v>52</v>
      </c>
      <c r="J729" s="183">
        <v>41705</v>
      </c>
      <c r="M729" s="184">
        <v>1.85</v>
      </c>
      <c r="N729" s="157">
        <v>41853</v>
      </c>
      <c r="S729" s="139">
        <v>6.35</v>
      </c>
      <c r="T729" s="157">
        <v>41853</v>
      </c>
      <c r="U729" s="139">
        <v>15.3</v>
      </c>
      <c r="Y729" s="139">
        <f t="shared" si="11"/>
        <v>2.4238199999999996</v>
      </c>
      <c r="AA729" s="139">
        <v>24.36</v>
      </c>
      <c r="AE729" s="139">
        <v>12.18</v>
      </c>
      <c r="AG729" s="185">
        <v>5</v>
      </c>
      <c r="AI729" s="185">
        <v>115</v>
      </c>
      <c r="AJ729" s="157">
        <v>41803</v>
      </c>
      <c r="AO729" s="139">
        <v>94</v>
      </c>
      <c r="AP729" s="157">
        <v>41738</v>
      </c>
      <c r="AS729" s="139">
        <v>127</v>
      </c>
      <c r="AT729" s="157">
        <v>41766</v>
      </c>
      <c r="BS729" s="140">
        <v>52.1</v>
      </c>
      <c r="BU729" s="140">
        <v>19.899999999999999</v>
      </c>
      <c r="BW729" s="140">
        <v>76.7</v>
      </c>
      <c r="BY729" s="140">
        <v>8.3000000000000007</v>
      </c>
      <c r="CJ729" s="140" t="s">
        <v>8140</v>
      </c>
    </row>
    <row r="730" spans="1:91">
      <c r="A730" s="158" t="s">
        <v>7655</v>
      </c>
      <c r="B730" s="112" t="s">
        <v>269</v>
      </c>
      <c r="C730" s="112">
        <v>4</v>
      </c>
      <c r="D730">
        <v>40</v>
      </c>
      <c r="E730" s="113">
        <v>80</v>
      </c>
      <c r="F730" s="113">
        <v>9</v>
      </c>
      <c r="I730" s="112">
        <v>30</v>
      </c>
      <c r="J730" s="183">
        <v>41705</v>
      </c>
      <c r="M730" s="184">
        <v>1.67</v>
      </c>
      <c r="N730" s="157">
        <v>41853</v>
      </c>
      <c r="S730" s="139">
        <v>5.49</v>
      </c>
      <c r="T730" s="157">
        <v>41853</v>
      </c>
      <c r="U730" s="139">
        <v>15.3</v>
      </c>
      <c r="Y730" s="139">
        <f t="shared" si="11"/>
        <v>2.145</v>
      </c>
      <c r="AA730" s="139">
        <v>23.4</v>
      </c>
      <c r="AE730" s="139">
        <v>11</v>
      </c>
      <c r="AG730" s="185">
        <v>4.7</v>
      </c>
      <c r="AI730" s="185">
        <v>100</v>
      </c>
      <c r="AJ730" s="157">
        <v>41803</v>
      </c>
      <c r="AO730" s="139">
        <v>92</v>
      </c>
      <c r="AP730" s="157">
        <v>41738</v>
      </c>
      <c r="AS730" s="139">
        <v>125</v>
      </c>
      <c r="AT730" s="157">
        <v>41766</v>
      </c>
      <c r="BS730" s="140">
        <v>49.9</v>
      </c>
      <c r="BU730" s="140">
        <v>19.5</v>
      </c>
      <c r="BW730" s="140">
        <v>50.5</v>
      </c>
      <c r="BY730" s="140">
        <v>8.3000000000000007</v>
      </c>
      <c r="CJ730" s="140" t="s">
        <v>8140</v>
      </c>
    </row>
    <row r="731" spans="1:91">
      <c r="A731" s="158" t="s">
        <v>7683</v>
      </c>
      <c r="B731" s="112" t="s">
        <v>269</v>
      </c>
      <c r="C731" s="112">
        <v>4</v>
      </c>
      <c r="D731">
        <v>68</v>
      </c>
      <c r="E731" s="113">
        <v>80</v>
      </c>
      <c r="F731" s="113">
        <v>10</v>
      </c>
      <c r="I731" s="112">
        <v>28</v>
      </c>
      <c r="J731" s="183">
        <v>41705</v>
      </c>
      <c r="M731" s="184">
        <v>1.83</v>
      </c>
      <c r="N731" s="157">
        <v>41853</v>
      </c>
      <c r="S731" s="139">
        <v>6.33</v>
      </c>
      <c r="T731" s="157">
        <v>41853</v>
      </c>
      <c r="U731" s="139">
        <v>15.3</v>
      </c>
      <c r="Y731" s="139">
        <f t="shared" si="11"/>
        <v>2.1810500000000004</v>
      </c>
      <c r="AA731" s="139">
        <v>22.31</v>
      </c>
      <c r="AE731" s="139">
        <v>12.05</v>
      </c>
      <c r="AG731" s="185">
        <v>5.4</v>
      </c>
      <c r="AI731" s="185">
        <v>115</v>
      </c>
      <c r="AJ731" s="157">
        <v>41803</v>
      </c>
      <c r="AO731" s="139">
        <v>95</v>
      </c>
      <c r="AP731" s="157">
        <v>41738</v>
      </c>
      <c r="AS731" s="139">
        <v>127</v>
      </c>
      <c r="AT731" s="157">
        <v>41766</v>
      </c>
      <c r="BS731" s="140">
        <v>52.5</v>
      </c>
      <c r="BU731" s="140">
        <v>18.100000000000001</v>
      </c>
      <c r="BW731" s="140">
        <v>15.5</v>
      </c>
      <c r="BY731" s="140">
        <v>8.3000000000000007</v>
      </c>
      <c r="CJ731" s="140" t="s">
        <v>8140</v>
      </c>
    </row>
    <row r="732" spans="1:91">
      <c r="A732" s="158" t="s">
        <v>7759</v>
      </c>
      <c r="B732" s="112" t="s">
        <v>269</v>
      </c>
      <c r="C732" s="112">
        <v>4</v>
      </c>
      <c r="D732">
        <v>144</v>
      </c>
      <c r="E732" s="113">
        <v>80</v>
      </c>
      <c r="F732" s="113">
        <v>11</v>
      </c>
      <c r="I732" s="112">
        <v>21</v>
      </c>
      <c r="J732" s="183">
        <v>41705</v>
      </c>
      <c r="M732" s="184">
        <v>1.66</v>
      </c>
      <c r="N732" s="157">
        <v>41853</v>
      </c>
      <c r="S732" s="139">
        <v>5.38</v>
      </c>
      <c r="T732" s="157">
        <v>41853</v>
      </c>
      <c r="U732" s="139">
        <v>15.3</v>
      </c>
      <c r="Y732" s="139">
        <f t="shared" si="11"/>
        <v>2.4045999999999998</v>
      </c>
      <c r="AA732" s="139">
        <v>21.43</v>
      </c>
      <c r="AE732" s="139">
        <v>10.93</v>
      </c>
      <c r="AG732" s="185">
        <v>5.0999999999999996</v>
      </c>
      <c r="AI732" s="185">
        <v>105</v>
      </c>
      <c r="AJ732" s="157">
        <v>41803</v>
      </c>
      <c r="AO732" s="139">
        <v>93</v>
      </c>
      <c r="AP732" s="157">
        <v>41738</v>
      </c>
      <c r="AS732" s="139">
        <v>126</v>
      </c>
      <c r="AT732" s="157">
        <v>41766</v>
      </c>
      <c r="BS732" s="140">
        <v>49.2</v>
      </c>
      <c r="BU732" s="140">
        <v>22</v>
      </c>
      <c r="BW732" s="140">
        <v>73.900000000000006</v>
      </c>
      <c r="BY732" s="140">
        <v>8.3000000000000007</v>
      </c>
      <c r="CJ732" s="140" t="s">
        <v>8144</v>
      </c>
    </row>
    <row r="733" spans="1:91">
      <c r="A733" s="158" t="s">
        <v>7753</v>
      </c>
      <c r="B733" s="112" t="s">
        <v>269</v>
      </c>
      <c r="C733" s="112">
        <v>4</v>
      </c>
      <c r="D733">
        <v>138</v>
      </c>
      <c r="E733" s="113">
        <v>80</v>
      </c>
      <c r="F733" s="113">
        <v>12</v>
      </c>
      <c r="I733" s="112">
        <v>42</v>
      </c>
      <c r="J733" s="183">
        <v>41705</v>
      </c>
      <c r="M733" s="184">
        <v>1.46</v>
      </c>
      <c r="N733" s="157">
        <v>41853</v>
      </c>
      <c r="S733" s="139">
        <v>4.71</v>
      </c>
      <c r="T733" s="157">
        <v>41853</v>
      </c>
      <c r="U733" s="139">
        <v>15.3</v>
      </c>
      <c r="Y733" s="139">
        <f t="shared" si="11"/>
        <v>2.12602</v>
      </c>
      <c r="AA733" s="139">
        <v>20.04</v>
      </c>
      <c r="AE733" s="139">
        <v>9.6199999999999992</v>
      </c>
      <c r="AG733" s="185">
        <v>4.8</v>
      </c>
      <c r="AI733" s="185">
        <v>110</v>
      </c>
      <c r="AJ733" s="157">
        <v>41803</v>
      </c>
      <c r="AO733" s="139">
        <v>91</v>
      </c>
      <c r="AP733" s="157">
        <v>41738</v>
      </c>
      <c r="AS733" s="139">
        <v>125</v>
      </c>
      <c r="AT733" s="157">
        <v>41766</v>
      </c>
      <c r="BS733" s="140">
        <v>49</v>
      </c>
      <c r="BU733" s="140">
        <v>22.1</v>
      </c>
      <c r="BW733" s="140">
        <v>74.7</v>
      </c>
      <c r="BY733" s="140">
        <v>8.3000000000000007</v>
      </c>
      <c r="CJ733" s="140" t="s">
        <v>8144</v>
      </c>
    </row>
    <row r="734" spans="1:91">
      <c r="A734" s="158" t="s">
        <v>7696</v>
      </c>
      <c r="B734" s="112" t="s">
        <v>271</v>
      </c>
      <c r="C734" s="112">
        <v>3</v>
      </c>
      <c r="D734">
        <v>81</v>
      </c>
      <c r="E734" s="113">
        <v>81</v>
      </c>
      <c r="F734" s="113">
        <v>1</v>
      </c>
      <c r="I734" s="112">
        <v>33</v>
      </c>
      <c r="J734" s="183">
        <v>41705</v>
      </c>
      <c r="M734" s="184">
        <v>2.93</v>
      </c>
      <c r="N734" s="157">
        <v>41853</v>
      </c>
      <c r="S734" s="139">
        <v>9.2200000000000006</v>
      </c>
      <c r="T734" s="157">
        <v>41853</v>
      </c>
      <c r="U734" s="139">
        <v>15.3</v>
      </c>
      <c r="Y734" s="139">
        <f t="shared" si="11"/>
        <v>4.4151199999999999</v>
      </c>
      <c r="AA734" s="139">
        <v>32.68</v>
      </c>
      <c r="AE734" s="139">
        <v>19.28</v>
      </c>
      <c r="AG734" s="185">
        <v>5.9</v>
      </c>
      <c r="AI734" s="185">
        <v>135</v>
      </c>
      <c r="AJ734" s="157">
        <v>41803</v>
      </c>
      <c r="AO734" s="139">
        <v>93</v>
      </c>
      <c r="AP734" s="157">
        <v>41738</v>
      </c>
      <c r="AS734" s="139">
        <v>127</v>
      </c>
      <c r="AT734" s="157">
        <v>41766</v>
      </c>
      <c r="BS734" s="140">
        <v>47.8</v>
      </c>
      <c r="BU734" s="140">
        <v>22.9</v>
      </c>
      <c r="BW734" s="140">
        <v>18.600000000000001</v>
      </c>
      <c r="BY734" s="140">
        <v>8.4</v>
      </c>
      <c r="CJ734" s="140" t="s">
        <v>8140</v>
      </c>
    </row>
    <row r="735" spans="1:91">
      <c r="A735" s="158" t="s">
        <v>7694</v>
      </c>
      <c r="B735" s="112" t="s">
        <v>271</v>
      </c>
      <c r="C735" s="112">
        <v>3</v>
      </c>
      <c r="D735">
        <v>79</v>
      </c>
      <c r="E735" s="113">
        <v>81</v>
      </c>
      <c r="F735" s="113">
        <v>2</v>
      </c>
      <c r="I735" s="112">
        <v>43</v>
      </c>
      <c r="J735" s="183">
        <v>41705</v>
      </c>
      <c r="M735" s="184">
        <v>3.84</v>
      </c>
      <c r="N735" s="157">
        <v>41853</v>
      </c>
      <c r="S735" s="139">
        <v>12.28</v>
      </c>
      <c r="T735" s="157">
        <v>41853</v>
      </c>
      <c r="U735" s="139">
        <v>15.3</v>
      </c>
      <c r="Y735" s="139">
        <f t="shared" si="11"/>
        <v>5.5691699999999988</v>
      </c>
      <c r="AA735" s="139">
        <v>55.28</v>
      </c>
      <c r="AE735" s="139">
        <v>25.43</v>
      </c>
      <c r="AG735" s="185">
        <v>4.5999999999999996</v>
      </c>
      <c r="AI735" s="185">
        <v>135</v>
      </c>
      <c r="AJ735" s="157">
        <v>41803</v>
      </c>
      <c r="AO735" s="139">
        <v>90</v>
      </c>
      <c r="AP735" s="157">
        <v>41738</v>
      </c>
      <c r="AS735" s="139">
        <v>124</v>
      </c>
      <c r="AT735" s="157">
        <v>41766</v>
      </c>
      <c r="BS735" s="140">
        <v>48.3</v>
      </c>
      <c r="BU735" s="140">
        <v>21.9</v>
      </c>
      <c r="BW735" s="140">
        <v>16.7</v>
      </c>
      <c r="BY735" s="140">
        <v>7.8</v>
      </c>
      <c r="CJ735" s="140" t="s">
        <v>8140</v>
      </c>
    </row>
    <row r="736" spans="1:91">
      <c r="A736" s="158" t="s">
        <v>7708</v>
      </c>
      <c r="B736" s="112" t="s">
        <v>271</v>
      </c>
      <c r="C736" s="112">
        <v>3</v>
      </c>
      <c r="D736">
        <v>93</v>
      </c>
      <c r="E736" s="113">
        <v>81</v>
      </c>
      <c r="F736" s="113">
        <v>3</v>
      </c>
      <c r="I736" s="112">
        <v>34</v>
      </c>
      <c r="J736" s="183">
        <v>41705</v>
      </c>
      <c r="M736" s="184">
        <v>3.79</v>
      </c>
      <c r="N736" s="157">
        <v>41853</v>
      </c>
      <c r="S736" s="139">
        <v>12.21</v>
      </c>
      <c r="T736" s="157">
        <v>41853</v>
      </c>
      <c r="U736" s="139">
        <v>15.3</v>
      </c>
      <c r="Y736" s="139">
        <f t="shared" si="11"/>
        <v>4.8672000000000004</v>
      </c>
      <c r="AA736" s="139">
        <v>49.92</v>
      </c>
      <c r="AE736" s="139">
        <v>24.96</v>
      </c>
      <c r="AG736" s="185">
        <v>5</v>
      </c>
      <c r="AI736" s="185">
        <v>115</v>
      </c>
      <c r="AJ736" s="157">
        <v>41803</v>
      </c>
      <c r="AO736" s="139">
        <v>89</v>
      </c>
      <c r="AP736" s="157">
        <v>41738</v>
      </c>
      <c r="AS736" s="139">
        <v>127</v>
      </c>
      <c r="AT736" s="157">
        <v>41766</v>
      </c>
      <c r="BS736" s="140">
        <v>48.9</v>
      </c>
      <c r="BU736" s="140">
        <v>19.5</v>
      </c>
      <c r="BW736" s="140">
        <v>16.100000000000001</v>
      </c>
      <c r="BY736" s="140">
        <v>8.3000000000000007</v>
      </c>
      <c r="CJ736" s="140" t="s">
        <v>8140</v>
      </c>
    </row>
    <row r="737" spans="1:91">
      <c r="A737" s="158" t="s">
        <v>7806</v>
      </c>
      <c r="B737" s="112" t="s">
        <v>271</v>
      </c>
      <c r="C737" s="112">
        <v>3</v>
      </c>
      <c r="D737">
        <v>191</v>
      </c>
      <c r="E737" s="113">
        <v>81</v>
      </c>
      <c r="F737" s="113">
        <v>4</v>
      </c>
      <c r="I737" s="112">
        <v>45</v>
      </c>
      <c r="J737" s="183">
        <v>41705</v>
      </c>
      <c r="M737" s="184">
        <v>3.73</v>
      </c>
      <c r="N737" s="157">
        <v>41853</v>
      </c>
      <c r="S737" s="139">
        <v>12.29</v>
      </c>
      <c r="T737" s="157">
        <v>41853</v>
      </c>
      <c r="U737" s="139">
        <v>15.3</v>
      </c>
      <c r="Y737" s="139">
        <f t="shared" si="11"/>
        <v>5.4410200000000009</v>
      </c>
      <c r="AA737" s="139">
        <v>60.05</v>
      </c>
      <c r="AE737" s="139">
        <v>24.62</v>
      </c>
      <c r="AG737" s="185">
        <v>4.0999999999999996</v>
      </c>
      <c r="AI737" s="185">
        <v>130</v>
      </c>
      <c r="AJ737" s="157">
        <v>41803</v>
      </c>
      <c r="AO737" s="139">
        <v>95</v>
      </c>
      <c r="AP737" s="157">
        <v>41738</v>
      </c>
      <c r="AS737" s="139">
        <v>128</v>
      </c>
      <c r="AT737" s="157">
        <v>41766</v>
      </c>
      <c r="BS737" s="140">
        <v>49.9</v>
      </c>
      <c r="BU737" s="140">
        <v>22.1</v>
      </c>
      <c r="BW737" s="140">
        <v>14.6</v>
      </c>
      <c r="BY737" s="140">
        <v>8.1</v>
      </c>
      <c r="CJ737" s="140" t="s">
        <v>8140</v>
      </c>
    </row>
    <row r="738" spans="1:91">
      <c r="A738" s="158" t="s">
        <v>7642</v>
      </c>
      <c r="B738" s="112" t="s">
        <v>271</v>
      </c>
      <c r="C738" s="112">
        <v>3</v>
      </c>
      <c r="D738">
        <v>27</v>
      </c>
      <c r="E738" s="113">
        <v>81</v>
      </c>
      <c r="F738" s="113">
        <v>5</v>
      </c>
      <c r="I738" s="112">
        <v>28</v>
      </c>
      <c r="J738" s="183">
        <v>41705</v>
      </c>
      <c r="M738" s="184">
        <v>2.36</v>
      </c>
      <c r="N738" s="157">
        <v>41853</v>
      </c>
      <c r="S738" s="139">
        <v>7.24</v>
      </c>
      <c r="T738" s="157">
        <v>41853</v>
      </c>
      <c r="U738" s="139">
        <v>15.3</v>
      </c>
      <c r="Y738" s="139">
        <f t="shared" si="11"/>
        <v>3.6363599999999998</v>
      </c>
      <c r="AA738" s="139">
        <v>32.380000000000003</v>
      </c>
      <c r="AE738" s="139">
        <v>15.54</v>
      </c>
      <c r="AG738" s="185">
        <v>4.8</v>
      </c>
      <c r="AI738" s="185">
        <v>120</v>
      </c>
      <c r="AJ738" s="157">
        <v>41803</v>
      </c>
      <c r="AO738" s="139">
        <v>95</v>
      </c>
      <c r="AP738" s="157">
        <v>41738</v>
      </c>
      <c r="AS738" s="139">
        <v>128</v>
      </c>
      <c r="AT738" s="157">
        <v>41766</v>
      </c>
      <c r="BS738" s="140">
        <v>46.6</v>
      </c>
      <c r="BU738" s="140">
        <v>23.4</v>
      </c>
      <c r="BW738" s="140">
        <v>55.7</v>
      </c>
      <c r="BY738" s="140">
        <v>8.3000000000000007</v>
      </c>
      <c r="CJ738" s="140" t="s">
        <v>8131</v>
      </c>
    </row>
    <row r="739" spans="1:91">
      <c r="A739" s="158" t="s">
        <v>7770</v>
      </c>
      <c r="B739" s="112" t="s">
        <v>271</v>
      </c>
      <c r="C739" s="112">
        <v>3</v>
      </c>
      <c r="D739">
        <v>155</v>
      </c>
      <c r="E739" s="113">
        <v>81</v>
      </c>
      <c r="F739" s="113">
        <v>6</v>
      </c>
      <c r="I739" s="112">
        <v>39</v>
      </c>
      <c r="J739" s="183">
        <v>41705</v>
      </c>
      <c r="M739" s="184">
        <v>3.99</v>
      </c>
      <c r="N739" s="157">
        <v>41853</v>
      </c>
      <c r="S739" s="139">
        <v>12.97</v>
      </c>
      <c r="T739" s="157">
        <v>41853</v>
      </c>
      <c r="U739" s="139">
        <v>15.3</v>
      </c>
      <c r="Y739" s="139">
        <f t="shared" si="11"/>
        <v>5.37948</v>
      </c>
      <c r="AA739" s="139">
        <v>52.74</v>
      </c>
      <c r="AE739" s="139">
        <v>26.37</v>
      </c>
      <c r="AG739" s="185">
        <v>5</v>
      </c>
      <c r="AI739" s="185">
        <v>120</v>
      </c>
      <c r="AJ739" s="157">
        <v>41803</v>
      </c>
      <c r="AO739" s="139">
        <v>97</v>
      </c>
      <c r="AP739" s="157">
        <v>41738</v>
      </c>
      <c r="AS739" s="139">
        <v>128</v>
      </c>
      <c r="AT739" s="157">
        <v>41766</v>
      </c>
      <c r="BS739" s="140">
        <v>49.2</v>
      </c>
      <c r="BU739" s="140">
        <v>20.399999999999999</v>
      </c>
      <c r="BW739" s="140">
        <v>18.8</v>
      </c>
      <c r="BY739" s="140">
        <v>8</v>
      </c>
      <c r="CJ739" s="140" t="s">
        <v>8131</v>
      </c>
    </row>
    <row r="740" spans="1:91">
      <c r="A740" s="158" t="s">
        <v>7684</v>
      </c>
      <c r="B740" s="112" t="s">
        <v>269</v>
      </c>
      <c r="C740" s="112">
        <v>4</v>
      </c>
      <c r="D740">
        <v>69</v>
      </c>
      <c r="E740" s="113">
        <v>81</v>
      </c>
      <c r="F740" s="113">
        <v>7</v>
      </c>
      <c r="I740" s="112">
        <v>58</v>
      </c>
      <c r="J740" s="183">
        <v>41705</v>
      </c>
      <c r="M740" s="184">
        <v>1.81</v>
      </c>
      <c r="N740" s="157">
        <v>41853</v>
      </c>
      <c r="S740" s="139">
        <v>6.14</v>
      </c>
      <c r="T740" s="157">
        <v>41853</v>
      </c>
      <c r="U740" s="139">
        <v>15.3</v>
      </c>
      <c r="Y740" s="139">
        <f t="shared" si="11"/>
        <v>2.3363200000000002</v>
      </c>
      <c r="AA740" s="139">
        <v>22.92</v>
      </c>
      <c r="AE740" s="139">
        <v>11.92</v>
      </c>
      <c r="AG740" s="185">
        <v>5.2</v>
      </c>
      <c r="AI740" s="185">
        <v>105</v>
      </c>
      <c r="AJ740" s="157">
        <v>41803</v>
      </c>
      <c r="AO740" s="139">
        <v>97</v>
      </c>
      <c r="AP740" s="157">
        <v>41738</v>
      </c>
      <c r="AS740" s="139">
        <v>128</v>
      </c>
      <c r="AT740" s="157">
        <v>41766</v>
      </c>
      <c r="BS740" s="140">
        <v>51.5</v>
      </c>
      <c r="BU740" s="140">
        <v>19.600000000000001</v>
      </c>
      <c r="BW740" s="140">
        <v>17.600000000000001</v>
      </c>
      <c r="BY740" s="140">
        <v>8.3000000000000007</v>
      </c>
      <c r="CJ740" s="140" t="s">
        <v>8131</v>
      </c>
    </row>
    <row r="741" spans="1:91">
      <c r="A741" s="158" t="s">
        <v>7749</v>
      </c>
      <c r="B741" s="112" t="s">
        <v>269</v>
      </c>
      <c r="C741" s="112">
        <v>4</v>
      </c>
      <c r="D741">
        <v>134</v>
      </c>
      <c r="E741" s="113">
        <v>81</v>
      </c>
      <c r="F741" s="113">
        <v>8</v>
      </c>
      <c r="I741" s="112">
        <v>55</v>
      </c>
      <c r="J741" s="183">
        <v>41705</v>
      </c>
      <c r="M741" s="184">
        <v>0.81</v>
      </c>
      <c r="N741" s="157">
        <v>41853</v>
      </c>
      <c r="S741" s="139">
        <v>2.67</v>
      </c>
      <c r="T741" s="157">
        <v>41853</v>
      </c>
      <c r="U741" s="139">
        <v>15.3</v>
      </c>
      <c r="Y741" s="139">
        <f t="shared" si="11"/>
        <v>1.18859</v>
      </c>
      <c r="AA741" s="139">
        <v>10.66</v>
      </c>
      <c r="AE741" s="139">
        <v>5.33</v>
      </c>
      <c r="AG741" s="185">
        <v>5</v>
      </c>
      <c r="AI741" s="185">
        <v>115</v>
      </c>
      <c r="AJ741" s="157">
        <v>41803</v>
      </c>
      <c r="AO741" s="139">
        <v>100</v>
      </c>
      <c r="AP741" s="157">
        <v>41738</v>
      </c>
      <c r="AS741" s="139">
        <v>128</v>
      </c>
      <c r="AT741" s="157">
        <v>41766</v>
      </c>
      <c r="BS741" s="140">
        <v>50</v>
      </c>
      <c r="BU741" s="140">
        <v>22.3</v>
      </c>
      <c r="BW741" s="140">
        <v>66.099999999999994</v>
      </c>
      <c r="BY741" s="140">
        <v>8.3000000000000007</v>
      </c>
      <c r="CJ741" s="140" t="s">
        <v>8131</v>
      </c>
    </row>
    <row r="742" spans="1:91">
      <c r="A742" s="158" t="s">
        <v>7761</v>
      </c>
      <c r="B742" s="112" t="s">
        <v>269</v>
      </c>
      <c r="C742" s="112">
        <v>4</v>
      </c>
      <c r="D742">
        <v>146</v>
      </c>
      <c r="E742" s="113">
        <v>81</v>
      </c>
      <c r="F742" s="113">
        <v>9</v>
      </c>
      <c r="I742" s="112">
        <v>24</v>
      </c>
      <c r="J742" s="183">
        <v>41705</v>
      </c>
      <c r="M742" s="184">
        <v>1.46</v>
      </c>
      <c r="N742" s="157">
        <v>41853</v>
      </c>
      <c r="S742" s="139">
        <v>4.9400000000000004</v>
      </c>
      <c r="T742" s="157">
        <v>41853</v>
      </c>
      <c r="U742" s="139">
        <v>15.3</v>
      </c>
      <c r="Y742" s="139">
        <f t="shared" si="11"/>
        <v>1.9720999999999997</v>
      </c>
      <c r="AA742" s="139">
        <v>22.37</v>
      </c>
      <c r="AE742" s="139">
        <v>9.6199999999999992</v>
      </c>
      <c r="AG742" s="185">
        <v>4.3</v>
      </c>
      <c r="AI742" s="185">
        <v>105</v>
      </c>
      <c r="AJ742" s="157">
        <v>41803</v>
      </c>
      <c r="AO742" s="139">
        <v>94</v>
      </c>
      <c r="AP742" s="157">
        <v>41738</v>
      </c>
      <c r="AS742" s="139">
        <v>127</v>
      </c>
      <c r="AT742" s="157">
        <v>41766</v>
      </c>
      <c r="BS742" s="140">
        <v>51.3</v>
      </c>
      <c r="BU742" s="140">
        <v>20.5</v>
      </c>
      <c r="BW742" s="140">
        <v>64.900000000000006</v>
      </c>
      <c r="BY742" s="140">
        <v>8.3000000000000007</v>
      </c>
      <c r="CJ742" s="140" t="s">
        <v>8140</v>
      </c>
    </row>
    <row r="743" spans="1:91">
      <c r="A743" s="158" t="s">
        <v>7658</v>
      </c>
      <c r="B743" s="112" t="s">
        <v>269</v>
      </c>
      <c r="C743" s="112">
        <v>4</v>
      </c>
      <c r="D743">
        <v>43</v>
      </c>
      <c r="E743" s="113">
        <v>81</v>
      </c>
      <c r="F743" s="113">
        <v>10</v>
      </c>
      <c r="I743" s="112">
        <v>38</v>
      </c>
      <c r="J743" s="183">
        <v>41705</v>
      </c>
      <c r="M743" s="184">
        <v>1.35</v>
      </c>
      <c r="N743" s="157">
        <v>41853</v>
      </c>
      <c r="S743" s="139">
        <v>4.6100000000000003</v>
      </c>
      <c r="T743" s="157">
        <v>41853</v>
      </c>
      <c r="U743" s="139">
        <v>15.3</v>
      </c>
      <c r="Y743" s="139">
        <f t="shared" si="11"/>
        <v>1.7157700000000002</v>
      </c>
      <c r="AA743" s="139">
        <v>19.329999999999998</v>
      </c>
      <c r="AE743" s="139">
        <v>8.89</v>
      </c>
      <c r="AG743" s="185">
        <v>4.5999999999999996</v>
      </c>
      <c r="AI743" s="185">
        <v>120</v>
      </c>
      <c r="AJ743" s="157">
        <v>41803</v>
      </c>
      <c r="AO743" s="139">
        <v>93</v>
      </c>
      <c r="AP743" s="157">
        <v>41738</v>
      </c>
      <c r="AS743" s="139">
        <v>126</v>
      </c>
      <c r="AT743" s="157">
        <v>41766</v>
      </c>
      <c r="BS743" s="140">
        <v>51.9</v>
      </c>
      <c r="BU743" s="140">
        <v>19.3</v>
      </c>
      <c r="BW743" s="140">
        <v>56.8</v>
      </c>
      <c r="BY743" s="140">
        <v>8.3000000000000007</v>
      </c>
      <c r="CJ743" s="140" t="s">
        <v>8140</v>
      </c>
    </row>
    <row r="744" spans="1:91">
      <c r="A744" s="158" t="s">
        <v>7779</v>
      </c>
      <c r="B744" s="112" t="s">
        <v>269</v>
      </c>
      <c r="C744" s="112">
        <v>4</v>
      </c>
      <c r="D744">
        <v>164</v>
      </c>
      <c r="E744" s="113">
        <v>81</v>
      </c>
      <c r="F744" s="113">
        <v>11</v>
      </c>
      <c r="I744" s="112">
        <v>58</v>
      </c>
      <c r="J744" s="183">
        <v>41705</v>
      </c>
      <c r="M744" s="184">
        <v>1.95</v>
      </c>
      <c r="N744" s="157">
        <v>41853</v>
      </c>
      <c r="S744" s="139">
        <v>6.45</v>
      </c>
      <c r="T744" s="157">
        <v>41853</v>
      </c>
      <c r="U744" s="139">
        <v>15.3</v>
      </c>
      <c r="Y744" s="139">
        <f t="shared" si="11"/>
        <v>2.5680000000000001</v>
      </c>
      <c r="AA744" s="139">
        <v>32.1</v>
      </c>
      <c r="AE744" s="139">
        <v>12.84</v>
      </c>
      <c r="AG744" s="185">
        <v>4</v>
      </c>
      <c r="AI744" s="185">
        <v>100</v>
      </c>
      <c r="AJ744" s="157">
        <v>41803</v>
      </c>
      <c r="AO744" s="139">
        <v>93</v>
      </c>
      <c r="AP744" s="157">
        <v>41738</v>
      </c>
      <c r="AS744" s="139">
        <v>127</v>
      </c>
      <c r="AT744" s="157">
        <v>41766</v>
      </c>
      <c r="BS744" s="140">
        <v>50.2</v>
      </c>
      <c r="BU744" s="140">
        <v>20</v>
      </c>
      <c r="BW744" s="140">
        <v>10.6</v>
      </c>
      <c r="BY744" s="140">
        <v>8.3000000000000007</v>
      </c>
      <c r="CJ744" s="140" t="s">
        <v>8140</v>
      </c>
    </row>
    <row r="745" spans="1:91">
      <c r="A745" s="158" t="s">
        <v>7730</v>
      </c>
      <c r="B745" s="112" t="s">
        <v>269</v>
      </c>
      <c r="C745" s="112">
        <v>4</v>
      </c>
      <c r="D745">
        <v>115</v>
      </c>
      <c r="E745" s="113">
        <v>81</v>
      </c>
      <c r="F745" s="113">
        <v>12</v>
      </c>
      <c r="I745" s="112">
        <v>41</v>
      </c>
      <c r="J745" s="183">
        <v>41705</v>
      </c>
      <c r="M745" s="184">
        <v>2.15</v>
      </c>
      <c r="N745" s="157">
        <v>41853</v>
      </c>
      <c r="S745" s="139">
        <v>7.35</v>
      </c>
      <c r="T745" s="157">
        <v>41853</v>
      </c>
      <c r="U745" s="139">
        <v>15.3</v>
      </c>
      <c r="Y745" s="139">
        <f t="shared" si="11"/>
        <v>2.4638399999999998</v>
      </c>
      <c r="AA745" s="139">
        <v>30.78</v>
      </c>
      <c r="AE745" s="139">
        <v>14.16</v>
      </c>
      <c r="AG745" s="185">
        <v>4.5999999999999996</v>
      </c>
      <c r="AI745" s="185"/>
      <c r="AJ745" s="157">
        <v>41803</v>
      </c>
      <c r="AO745" s="139">
        <v>93</v>
      </c>
      <c r="AP745" s="157">
        <v>41738</v>
      </c>
      <c r="AS745" s="139">
        <v>125</v>
      </c>
      <c r="AT745" s="157">
        <v>41766</v>
      </c>
      <c r="BS745" s="140">
        <v>51.9</v>
      </c>
      <c r="BU745" s="140">
        <v>17.399999999999999</v>
      </c>
      <c r="BW745" s="140">
        <v>14</v>
      </c>
      <c r="BY745" s="140">
        <v>8.3000000000000007</v>
      </c>
      <c r="CJ745" s="140" t="s">
        <v>8140</v>
      </c>
    </row>
    <row r="746" spans="1:91" s="198" customFormat="1">
      <c r="A746" s="158" t="s">
        <v>7685</v>
      </c>
      <c r="B746" s="112" t="s">
        <v>271</v>
      </c>
      <c r="C746" s="112">
        <v>3</v>
      </c>
      <c r="D746">
        <v>70</v>
      </c>
      <c r="E746" s="113">
        <v>82</v>
      </c>
      <c r="F746" s="113">
        <v>1</v>
      </c>
      <c r="G746" s="113"/>
      <c r="H746" s="113"/>
      <c r="I746" s="112">
        <v>32</v>
      </c>
      <c r="J746" s="183">
        <v>41705</v>
      </c>
      <c r="K746" s="139"/>
      <c r="L746" s="157"/>
      <c r="M746" s="184">
        <v>4.4000000000000004</v>
      </c>
      <c r="N746" s="157">
        <v>41853</v>
      </c>
      <c r="O746" s="139"/>
      <c r="P746" s="157"/>
      <c r="Q746" s="139"/>
      <c r="R746" s="157"/>
      <c r="S746" s="139">
        <v>14.59</v>
      </c>
      <c r="T746" s="157">
        <v>41853</v>
      </c>
      <c r="U746" s="139">
        <v>15.3</v>
      </c>
      <c r="V746" s="157"/>
      <c r="W746" s="139"/>
      <c r="X746" s="157"/>
      <c r="Y746" s="139">
        <f t="shared" si="11"/>
        <v>6.0465600000000004</v>
      </c>
      <c r="Z746" s="157"/>
      <c r="AA746" s="139">
        <v>58.14</v>
      </c>
      <c r="AB746" s="157"/>
      <c r="AC746" s="139"/>
      <c r="AD746" s="157"/>
      <c r="AE746" s="139">
        <v>29.07</v>
      </c>
      <c r="AF746" s="157"/>
      <c r="AG746" s="185">
        <v>5</v>
      </c>
      <c r="AH746" s="157"/>
      <c r="AI746" s="185">
        <v>135</v>
      </c>
      <c r="AJ746" s="157">
        <v>41803</v>
      </c>
      <c r="AK746" s="139"/>
      <c r="AL746" s="157"/>
      <c r="AM746" s="139"/>
      <c r="AN746" s="157"/>
      <c r="AO746" s="139">
        <v>93</v>
      </c>
      <c r="AP746" s="157">
        <v>41738</v>
      </c>
      <c r="AQ746" s="139"/>
      <c r="AR746" s="139"/>
      <c r="AS746" s="139">
        <v>129</v>
      </c>
      <c r="AT746" s="157">
        <v>41766</v>
      </c>
      <c r="AU746" s="139"/>
      <c r="AV746" s="139"/>
      <c r="AW746" s="139"/>
      <c r="AX746" s="139"/>
      <c r="AY746" s="139"/>
      <c r="AZ746" s="139"/>
      <c r="BA746" s="139"/>
      <c r="BB746" s="139"/>
      <c r="BC746" s="139"/>
      <c r="BD746" s="139"/>
      <c r="BE746" s="140"/>
      <c r="BF746" s="140"/>
      <c r="BG746" s="140"/>
      <c r="BH746" s="140"/>
      <c r="BI746" s="140"/>
      <c r="BJ746" s="140"/>
      <c r="BK746" s="140"/>
      <c r="BL746" s="140"/>
      <c r="BM746" s="140"/>
      <c r="BN746" s="140"/>
      <c r="BO746" s="140"/>
      <c r="BP746" s="140"/>
      <c r="BQ746" s="140"/>
      <c r="BR746" s="140"/>
      <c r="BS746" s="140">
        <v>50.2</v>
      </c>
      <c r="BT746" s="140"/>
      <c r="BU746" s="140">
        <v>20.8</v>
      </c>
      <c r="BV746" s="140"/>
      <c r="BW746" s="140">
        <v>17</v>
      </c>
      <c r="BX746" s="140"/>
      <c r="BY746" s="140">
        <v>8</v>
      </c>
      <c r="BZ746" s="140"/>
      <c r="CA746" s="140"/>
      <c r="CB746" s="140"/>
      <c r="CC746" s="140"/>
      <c r="CD746" s="140"/>
      <c r="CE746" s="140"/>
      <c r="CF746" s="140"/>
      <c r="CG746" s="140"/>
      <c r="CH746" s="140"/>
      <c r="CI746" s="140"/>
      <c r="CJ746" s="140" t="s">
        <v>8140</v>
      </c>
      <c r="CK746" s="140"/>
      <c r="CL746" s="140"/>
      <c r="CM746" s="140"/>
    </row>
    <row r="747" spans="1:91" s="198" customFormat="1">
      <c r="A747" s="188" t="s">
        <v>7619</v>
      </c>
      <c r="B747" s="189" t="s">
        <v>271</v>
      </c>
      <c r="C747" s="189">
        <v>3</v>
      </c>
      <c r="D747" s="190">
        <v>4</v>
      </c>
      <c r="E747" s="191">
        <v>82</v>
      </c>
      <c r="F747" s="191">
        <v>2</v>
      </c>
      <c r="G747" s="191"/>
      <c r="H747" s="191"/>
      <c r="I747" s="385">
        <v>46</v>
      </c>
      <c r="J747" s="193">
        <v>41705</v>
      </c>
      <c r="K747" s="200"/>
      <c r="L747" s="195"/>
      <c r="M747" s="196">
        <v>1.55</v>
      </c>
      <c r="N747" s="195">
        <v>41853</v>
      </c>
      <c r="O747" s="199"/>
      <c r="P747" s="195"/>
      <c r="Q747" s="200"/>
      <c r="R747" s="195"/>
      <c r="S747" s="200">
        <v>4.63</v>
      </c>
      <c r="T747" s="195">
        <v>41853</v>
      </c>
      <c r="U747" s="200">
        <v>15.3</v>
      </c>
      <c r="V747" s="195"/>
      <c r="W747" s="200"/>
      <c r="X747" s="195"/>
      <c r="Y747" s="139">
        <f t="shared" si="11"/>
        <v>2.56271</v>
      </c>
      <c r="Z747" s="195"/>
      <c r="AA747" s="200">
        <v>23.2</v>
      </c>
      <c r="AB747" s="195"/>
      <c r="AC747" s="194"/>
      <c r="AD747" s="195"/>
      <c r="AE747" s="200">
        <v>10.210000000000001</v>
      </c>
      <c r="AF747" s="195"/>
      <c r="AG747" s="197">
        <v>4.4000000000000004</v>
      </c>
      <c r="AH747" s="195"/>
      <c r="AI747" s="197">
        <v>110</v>
      </c>
      <c r="AJ747" s="195">
        <v>41803</v>
      </c>
      <c r="AK747" s="200"/>
      <c r="AL747" s="195"/>
      <c r="AM747" s="200"/>
      <c r="AN747" s="195"/>
      <c r="AO747" s="194">
        <v>88</v>
      </c>
      <c r="AP747" s="195">
        <v>41738</v>
      </c>
      <c r="AQ747" s="194"/>
      <c r="AR747" s="194"/>
      <c r="AS747" s="194">
        <v>125</v>
      </c>
      <c r="AT747" s="195">
        <v>41766</v>
      </c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S747" s="198">
        <v>45.3</v>
      </c>
      <c r="BU747" s="198">
        <v>25.1</v>
      </c>
      <c r="BW747" s="198">
        <v>59.3</v>
      </c>
      <c r="BY747" s="198">
        <v>8.3000000000000007</v>
      </c>
      <c r="CJ747" s="198" t="s">
        <v>8143</v>
      </c>
    </row>
    <row r="748" spans="1:91" s="198" customFormat="1">
      <c r="A748" s="158" t="s">
        <v>7722</v>
      </c>
      <c r="B748" s="112" t="s">
        <v>271</v>
      </c>
      <c r="C748" s="112">
        <v>3</v>
      </c>
      <c r="D748">
        <v>107</v>
      </c>
      <c r="E748" s="113">
        <v>82</v>
      </c>
      <c r="F748" s="113">
        <v>3</v>
      </c>
      <c r="G748" s="113"/>
      <c r="H748" s="113"/>
      <c r="I748" s="112">
        <v>40</v>
      </c>
      <c r="J748" s="183">
        <v>41705</v>
      </c>
      <c r="K748" s="139"/>
      <c r="L748" s="157"/>
      <c r="M748" s="184">
        <v>3.32</v>
      </c>
      <c r="N748" s="157">
        <v>41853</v>
      </c>
      <c r="O748" s="139"/>
      <c r="P748" s="157"/>
      <c r="Q748" s="139"/>
      <c r="R748" s="157"/>
      <c r="S748" s="139">
        <v>11.42</v>
      </c>
      <c r="T748" s="157">
        <v>41853</v>
      </c>
      <c r="U748" s="139">
        <v>15.3</v>
      </c>
      <c r="V748" s="157"/>
      <c r="W748" s="139"/>
      <c r="X748" s="157"/>
      <c r="Y748" s="139">
        <f t="shared" si="11"/>
        <v>4.3041600000000004</v>
      </c>
      <c r="Z748" s="157"/>
      <c r="AA748" s="139">
        <v>47.74</v>
      </c>
      <c r="AB748" s="157"/>
      <c r="AC748" s="139"/>
      <c r="AD748" s="157"/>
      <c r="AE748" s="139">
        <v>21.96</v>
      </c>
      <c r="AF748" s="157"/>
      <c r="AG748" s="185">
        <v>4.5999999999999996</v>
      </c>
      <c r="AH748" s="157"/>
      <c r="AI748" s="185">
        <v>125</v>
      </c>
      <c r="AJ748" s="157">
        <v>41803</v>
      </c>
      <c r="AK748" s="139"/>
      <c r="AL748" s="157"/>
      <c r="AM748" s="139"/>
      <c r="AN748" s="157"/>
      <c r="AO748" s="139">
        <v>91</v>
      </c>
      <c r="AP748" s="157">
        <v>41738</v>
      </c>
      <c r="AQ748" s="139"/>
      <c r="AR748" s="139"/>
      <c r="AS748" s="139">
        <v>127</v>
      </c>
      <c r="AT748" s="157">
        <v>41766</v>
      </c>
      <c r="AU748" s="139"/>
      <c r="AV748" s="139"/>
      <c r="AW748" s="139"/>
      <c r="AX748" s="139"/>
      <c r="AY748" s="139"/>
      <c r="AZ748" s="139"/>
      <c r="BA748" s="139"/>
      <c r="BB748" s="139"/>
      <c r="BC748" s="139"/>
      <c r="BD748" s="139"/>
      <c r="BE748" s="140"/>
      <c r="BF748" s="140"/>
      <c r="BG748" s="140"/>
      <c r="BH748" s="140"/>
      <c r="BI748" s="140"/>
      <c r="BJ748" s="140"/>
      <c r="BK748" s="140"/>
      <c r="BL748" s="140"/>
      <c r="BM748" s="140"/>
      <c r="BN748" s="140"/>
      <c r="BO748" s="140"/>
      <c r="BP748" s="140"/>
      <c r="BQ748" s="140"/>
      <c r="BR748" s="140"/>
      <c r="BS748" s="140">
        <v>52</v>
      </c>
      <c r="BT748" s="140"/>
      <c r="BU748" s="140">
        <v>19.600000000000001</v>
      </c>
      <c r="BV748" s="140"/>
      <c r="BW748" s="140">
        <v>14.1</v>
      </c>
      <c r="BX748" s="140"/>
      <c r="BY748" s="140">
        <v>7.9</v>
      </c>
      <c r="BZ748" s="140"/>
      <c r="CA748" s="140"/>
      <c r="CB748" s="140"/>
      <c r="CC748" s="140"/>
      <c r="CD748" s="140"/>
      <c r="CE748" s="140"/>
      <c r="CF748" s="140"/>
      <c r="CG748" s="140"/>
      <c r="CH748" s="140"/>
      <c r="CI748" s="140"/>
      <c r="CJ748" s="140" t="s">
        <v>8140</v>
      </c>
      <c r="CK748" s="140"/>
      <c r="CL748" s="140"/>
      <c r="CM748" s="140"/>
    </row>
    <row r="749" spans="1:91" s="198" customFormat="1">
      <c r="A749" s="158" t="s">
        <v>7701</v>
      </c>
      <c r="B749" s="112" t="s">
        <v>271</v>
      </c>
      <c r="C749" s="112">
        <v>3</v>
      </c>
      <c r="D749">
        <v>86</v>
      </c>
      <c r="E749" s="113">
        <v>82</v>
      </c>
      <c r="F749" s="113">
        <v>4</v>
      </c>
      <c r="G749" s="113"/>
      <c r="H749" s="113"/>
      <c r="I749" s="112">
        <v>38</v>
      </c>
      <c r="J749" s="183">
        <v>41705</v>
      </c>
      <c r="K749" s="139"/>
      <c r="L749" s="157"/>
      <c r="M749" s="184">
        <v>3.62</v>
      </c>
      <c r="N749" s="157">
        <v>41853</v>
      </c>
      <c r="O749" s="139"/>
      <c r="P749" s="157"/>
      <c r="Q749" s="139"/>
      <c r="R749" s="157"/>
      <c r="S749" s="139">
        <v>11.75</v>
      </c>
      <c r="T749" s="157">
        <v>41853</v>
      </c>
      <c r="U749" s="139">
        <v>15.3</v>
      </c>
      <c r="V749" s="157"/>
      <c r="W749" s="139"/>
      <c r="X749" s="157"/>
      <c r="Y749" s="139">
        <f t="shared" si="11"/>
        <v>4.9587200000000005</v>
      </c>
      <c r="Z749" s="157"/>
      <c r="AA749" s="139">
        <v>51.83</v>
      </c>
      <c r="AB749" s="157"/>
      <c r="AC749" s="139"/>
      <c r="AD749" s="157"/>
      <c r="AE749" s="139">
        <v>23.84</v>
      </c>
      <c r="AF749" s="157"/>
      <c r="AG749" s="185">
        <v>4.5999999999999996</v>
      </c>
      <c r="AH749" s="157"/>
      <c r="AI749" s="185">
        <v>130</v>
      </c>
      <c r="AJ749" s="157">
        <v>41803</v>
      </c>
      <c r="AK749" s="139"/>
      <c r="AL749" s="157"/>
      <c r="AM749" s="139"/>
      <c r="AN749" s="157"/>
      <c r="AO749" s="139">
        <v>95</v>
      </c>
      <c r="AP749" s="157">
        <v>41738</v>
      </c>
      <c r="AQ749" s="139"/>
      <c r="AR749" s="139"/>
      <c r="AS749" s="139">
        <v>128</v>
      </c>
      <c r="AT749" s="157">
        <v>41766</v>
      </c>
      <c r="AU749" s="139"/>
      <c r="AV749" s="139"/>
      <c r="AW749" s="139"/>
      <c r="AX749" s="139"/>
      <c r="AY749" s="139"/>
      <c r="AZ749" s="139"/>
      <c r="BA749" s="139"/>
      <c r="BB749" s="139"/>
      <c r="BC749" s="139"/>
      <c r="BD749" s="139"/>
      <c r="BE749" s="140"/>
      <c r="BF749" s="140"/>
      <c r="BG749" s="140"/>
      <c r="BH749" s="140"/>
      <c r="BI749" s="140"/>
      <c r="BJ749" s="140"/>
      <c r="BK749" s="140"/>
      <c r="BL749" s="140"/>
      <c r="BM749" s="140"/>
      <c r="BN749" s="140"/>
      <c r="BO749" s="140"/>
      <c r="BP749" s="140"/>
      <c r="BQ749" s="140"/>
      <c r="BR749" s="140"/>
      <c r="BS749" s="140">
        <v>49.3</v>
      </c>
      <c r="BT749" s="140"/>
      <c r="BU749" s="140">
        <v>20.8</v>
      </c>
      <c r="BV749" s="140"/>
      <c r="BW749" s="140">
        <v>18.100000000000001</v>
      </c>
      <c r="BX749" s="140"/>
      <c r="BY749" s="140">
        <v>8.3000000000000007</v>
      </c>
      <c r="BZ749" s="140"/>
      <c r="CA749" s="140"/>
      <c r="CB749" s="140"/>
      <c r="CC749" s="140"/>
      <c r="CD749" s="140"/>
      <c r="CE749" s="140"/>
      <c r="CF749" s="140"/>
      <c r="CG749" s="140"/>
      <c r="CH749" s="140"/>
      <c r="CI749" s="140"/>
      <c r="CJ749" s="140" t="s">
        <v>8140</v>
      </c>
      <c r="CK749" s="140"/>
      <c r="CL749" s="140"/>
      <c r="CM749" s="140"/>
    </row>
    <row r="750" spans="1:91">
      <c r="A750" s="158" t="s">
        <v>7819</v>
      </c>
      <c r="B750" s="112" t="s">
        <v>271</v>
      </c>
      <c r="C750" s="112">
        <v>3</v>
      </c>
      <c r="D750">
        <v>204</v>
      </c>
      <c r="E750" s="113">
        <v>82</v>
      </c>
      <c r="F750" s="113">
        <v>5</v>
      </c>
      <c r="I750" s="112">
        <v>50</v>
      </c>
      <c r="J750" s="183">
        <v>41705</v>
      </c>
      <c r="M750" s="184">
        <v>4.4400000000000004</v>
      </c>
      <c r="N750" s="157">
        <v>41853</v>
      </c>
      <c r="S750" s="139">
        <v>14.69</v>
      </c>
      <c r="T750" s="157">
        <v>41853</v>
      </c>
      <c r="U750" s="139">
        <v>15.3</v>
      </c>
      <c r="Y750" s="139">
        <f t="shared" si="11"/>
        <v>5.8540000000000001</v>
      </c>
      <c r="AA750" s="139">
        <v>68.069999999999993</v>
      </c>
      <c r="AE750" s="139">
        <v>29.27</v>
      </c>
      <c r="AG750" s="185">
        <v>4.3</v>
      </c>
      <c r="AI750" s="185">
        <v>130</v>
      </c>
      <c r="AJ750" s="157">
        <v>41803</v>
      </c>
      <c r="AO750" s="139">
        <v>95</v>
      </c>
      <c r="AP750" s="157">
        <v>41738</v>
      </c>
      <c r="AS750" s="139">
        <v>129</v>
      </c>
      <c r="AT750" s="157">
        <v>41766</v>
      </c>
      <c r="BS750" s="140">
        <v>50.2</v>
      </c>
      <c r="BU750" s="140">
        <v>20</v>
      </c>
      <c r="BW750" s="140">
        <v>12.6</v>
      </c>
      <c r="BY750" s="140">
        <v>8.1999999999999993</v>
      </c>
      <c r="CJ750" s="140" t="s">
        <v>8155</v>
      </c>
    </row>
    <row r="751" spans="1:91">
      <c r="A751" s="158" t="s">
        <v>7778</v>
      </c>
      <c r="B751" s="112" t="s">
        <v>271</v>
      </c>
      <c r="C751" s="112">
        <v>3</v>
      </c>
      <c r="D751">
        <v>163</v>
      </c>
      <c r="E751" s="113">
        <v>82</v>
      </c>
      <c r="F751" s="113">
        <v>6</v>
      </c>
      <c r="I751" s="112">
        <v>35</v>
      </c>
      <c r="J751" s="183">
        <v>41705</v>
      </c>
      <c r="M751" s="184">
        <v>4.0599999999999996</v>
      </c>
      <c r="N751" s="157">
        <v>41853</v>
      </c>
      <c r="S751" s="139">
        <v>13.93</v>
      </c>
      <c r="T751" s="157">
        <v>41853</v>
      </c>
      <c r="U751" s="139">
        <v>15.3</v>
      </c>
      <c r="Y751" s="139">
        <f t="shared" si="11"/>
        <v>5.1608200000000002</v>
      </c>
      <c r="AA751" s="139">
        <v>59.42</v>
      </c>
      <c r="AE751" s="139">
        <v>26.74</v>
      </c>
      <c r="AG751" s="185">
        <v>4.5</v>
      </c>
      <c r="AI751" s="185">
        <v>125</v>
      </c>
      <c r="AJ751" s="157">
        <v>41803</v>
      </c>
      <c r="AO751" s="139">
        <v>94</v>
      </c>
      <c r="AP751" s="157">
        <v>41738</v>
      </c>
      <c r="AS751" s="139">
        <v>128</v>
      </c>
      <c r="AT751" s="157">
        <v>41766</v>
      </c>
      <c r="BS751" s="140">
        <v>52.1</v>
      </c>
      <c r="BU751" s="140">
        <v>19.3</v>
      </c>
      <c r="BW751" s="140">
        <v>13.7</v>
      </c>
      <c r="BY751" s="140">
        <v>8.3000000000000007</v>
      </c>
      <c r="CJ751" s="140" t="s">
        <v>8140</v>
      </c>
    </row>
    <row r="752" spans="1:91">
      <c r="A752" s="158" t="s">
        <v>7668</v>
      </c>
      <c r="B752" s="112" t="s">
        <v>269</v>
      </c>
      <c r="C752" s="112">
        <v>4</v>
      </c>
      <c r="D752">
        <v>53</v>
      </c>
      <c r="E752" s="113">
        <v>82</v>
      </c>
      <c r="F752" s="113">
        <v>7</v>
      </c>
      <c r="I752" s="112">
        <v>43</v>
      </c>
      <c r="J752" s="183">
        <v>41705</v>
      </c>
      <c r="M752" s="184">
        <v>2.57</v>
      </c>
      <c r="N752" s="157">
        <v>41853</v>
      </c>
      <c r="S752" s="139">
        <v>9.4</v>
      </c>
      <c r="T752" s="157">
        <v>41853</v>
      </c>
      <c r="U752" s="139">
        <v>15.3</v>
      </c>
      <c r="Y752" s="139">
        <f t="shared" si="11"/>
        <v>2.65801</v>
      </c>
      <c r="AA752" s="139">
        <v>36.020000000000003</v>
      </c>
      <c r="AE752" s="139">
        <v>16.93</v>
      </c>
      <c r="AG752" s="185">
        <v>4.7</v>
      </c>
      <c r="AI752" s="185">
        <v>115</v>
      </c>
      <c r="AJ752" s="157">
        <v>41803</v>
      </c>
      <c r="AO752" s="139">
        <v>97</v>
      </c>
      <c r="AP752" s="157">
        <v>41738</v>
      </c>
      <c r="AS752" s="139">
        <v>127</v>
      </c>
      <c r="AT752" s="157">
        <v>41766</v>
      </c>
      <c r="BS752" s="140">
        <v>55.5</v>
      </c>
      <c r="BU752" s="140">
        <v>15.7</v>
      </c>
      <c r="BW752" s="140">
        <v>11.3</v>
      </c>
      <c r="BY752" s="140">
        <v>8.3000000000000007</v>
      </c>
      <c r="CJ752" s="140" t="s">
        <v>8131</v>
      </c>
    </row>
    <row r="753" spans="1:91">
      <c r="A753" s="158" t="s">
        <v>7628</v>
      </c>
      <c r="B753" s="112" t="s">
        <v>269</v>
      </c>
      <c r="C753" s="112">
        <v>4</v>
      </c>
      <c r="D753">
        <v>13</v>
      </c>
      <c r="E753" s="113">
        <v>82</v>
      </c>
      <c r="F753" s="113">
        <v>8</v>
      </c>
      <c r="I753" s="187">
        <v>57</v>
      </c>
      <c r="J753" s="183">
        <v>41705</v>
      </c>
      <c r="K753" s="142"/>
      <c r="M753" s="184">
        <v>1.67</v>
      </c>
      <c r="N753" s="157">
        <v>41853</v>
      </c>
      <c r="O753" s="141"/>
      <c r="Q753" s="142"/>
      <c r="S753" s="142">
        <v>5.54</v>
      </c>
      <c r="T753" s="157">
        <v>41853</v>
      </c>
      <c r="U753" s="142">
        <v>15.3</v>
      </c>
      <c r="W753" s="142"/>
      <c r="Y753" s="139">
        <f t="shared" si="11"/>
        <v>2.2989999999999999</v>
      </c>
      <c r="AA753" s="142">
        <v>24.44</v>
      </c>
      <c r="AE753" s="142">
        <v>11</v>
      </c>
      <c r="AG753" s="185">
        <v>4.5</v>
      </c>
      <c r="AI753" s="185">
        <v>105</v>
      </c>
      <c r="AJ753" s="157">
        <v>41803</v>
      </c>
      <c r="AK753" s="142"/>
      <c r="AM753" s="142"/>
      <c r="AO753" s="139">
        <v>91</v>
      </c>
      <c r="AP753" s="157">
        <v>41738</v>
      </c>
      <c r="AS753" s="139">
        <v>124</v>
      </c>
      <c r="AT753" s="157">
        <v>41766</v>
      </c>
      <c r="BS753" s="140">
        <v>50.4</v>
      </c>
      <c r="BU753" s="140">
        <v>20.9</v>
      </c>
      <c r="BW753" s="140">
        <v>64.2</v>
      </c>
      <c r="BY753" s="140">
        <v>8.3000000000000007</v>
      </c>
      <c r="CJ753" s="140" t="s">
        <v>8140</v>
      </c>
    </row>
    <row r="754" spans="1:91" s="198" customFormat="1">
      <c r="A754" s="158" t="s">
        <v>7690</v>
      </c>
      <c r="B754" s="112" t="s">
        <v>269</v>
      </c>
      <c r="C754" s="112">
        <v>4</v>
      </c>
      <c r="D754">
        <v>75</v>
      </c>
      <c r="E754" s="113">
        <v>82</v>
      </c>
      <c r="F754" s="113">
        <v>9</v>
      </c>
      <c r="G754" s="113"/>
      <c r="H754" s="113"/>
      <c r="I754" s="112">
        <v>29</v>
      </c>
      <c r="J754" s="183">
        <v>41705</v>
      </c>
      <c r="K754" s="139"/>
      <c r="L754" s="157"/>
      <c r="M754" s="184">
        <v>1.77</v>
      </c>
      <c r="N754" s="157">
        <v>41853</v>
      </c>
      <c r="O754" s="139"/>
      <c r="P754" s="157"/>
      <c r="Q754" s="139"/>
      <c r="R754" s="157"/>
      <c r="S754" s="139">
        <v>5.99</v>
      </c>
      <c r="T754" s="157">
        <v>41853</v>
      </c>
      <c r="U754" s="139">
        <v>15.3</v>
      </c>
      <c r="V754" s="157"/>
      <c r="W754" s="139"/>
      <c r="X754" s="157"/>
      <c r="Y754" s="139">
        <f t="shared" si="11"/>
        <v>2.2853600000000003</v>
      </c>
      <c r="Z754" s="157"/>
      <c r="AA754" s="139">
        <v>24.81</v>
      </c>
      <c r="AB754" s="157"/>
      <c r="AC754" s="139"/>
      <c r="AD754" s="157"/>
      <c r="AE754" s="139">
        <v>11.66</v>
      </c>
      <c r="AF754" s="157"/>
      <c r="AG754" s="185">
        <v>4.7</v>
      </c>
      <c r="AH754" s="157"/>
      <c r="AI754" s="185">
        <v>115</v>
      </c>
      <c r="AJ754" s="157">
        <v>41803</v>
      </c>
      <c r="AK754" s="139"/>
      <c r="AL754" s="157"/>
      <c r="AM754" s="139"/>
      <c r="AN754" s="157"/>
      <c r="AO754" s="139">
        <v>92</v>
      </c>
      <c r="AP754" s="157">
        <v>41738</v>
      </c>
      <c r="AQ754" s="139"/>
      <c r="AR754" s="139"/>
      <c r="AS754" s="139">
        <v>127</v>
      </c>
      <c r="AT754" s="157">
        <v>41766</v>
      </c>
      <c r="AU754" s="139"/>
      <c r="AV754" s="139"/>
      <c r="AW754" s="139"/>
      <c r="AX754" s="139"/>
      <c r="AY754" s="139"/>
      <c r="AZ754" s="139"/>
      <c r="BA754" s="139"/>
      <c r="BB754" s="139"/>
      <c r="BC754" s="139"/>
      <c r="BD754" s="139"/>
      <c r="BE754" s="140"/>
      <c r="BF754" s="140"/>
      <c r="BG754" s="140"/>
      <c r="BH754" s="140"/>
      <c r="BI754" s="140"/>
      <c r="BJ754" s="140"/>
      <c r="BK754" s="140"/>
      <c r="BL754" s="140"/>
      <c r="BM754" s="140"/>
      <c r="BN754" s="140"/>
      <c r="BO754" s="140"/>
      <c r="BP754" s="140"/>
      <c r="BQ754" s="140"/>
      <c r="BR754" s="140"/>
      <c r="BS754" s="140">
        <v>51.4</v>
      </c>
      <c r="BT754" s="140"/>
      <c r="BU754" s="140">
        <v>19.600000000000001</v>
      </c>
      <c r="BV754" s="140"/>
      <c r="BW754" s="140">
        <v>18.8</v>
      </c>
      <c r="BX754" s="140"/>
      <c r="BY754" s="140">
        <v>8.3000000000000007</v>
      </c>
      <c r="BZ754" s="140"/>
      <c r="CA754" s="140"/>
      <c r="CB754" s="140"/>
      <c r="CC754" s="140"/>
      <c r="CD754" s="140"/>
      <c r="CE754" s="140"/>
      <c r="CF754" s="140"/>
      <c r="CG754" s="140"/>
      <c r="CH754" s="140"/>
      <c r="CI754" s="140"/>
      <c r="CJ754" s="140" t="s">
        <v>8140</v>
      </c>
      <c r="CK754" s="140"/>
      <c r="CL754" s="140"/>
      <c r="CM754" s="140"/>
    </row>
    <row r="755" spans="1:91" s="198" customFormat="1">
      <c r="A755" s="158" t="s">
        <v>7714</v>
      </c>
      <c r="B755" s="112" t="s">
        <v>269</v>
      </c>
      <c r="C755" s="112">
        <v>4</v>
      </c>
      <c r="D755">
        <v>99</v>
      </c>
      <c r="E755" s="113">
        <v>82</v>
      </c>
      <c r="F755" s="113">
        <v>10</v>
      </c>
      <c r="G755" s="113"/>
      <c r="H755" s="113"/>
      <c r="I755" s="112">
        <v>40</v>
      </c>
      <c r="J755" s="183">
        <v>41705</v>
      </c>
      <c r="K755" s="139"/>
      <c r="L755" s="157"/>
      <c r="M755" s="184">
        <v>1.66</v>
      </c>
      <c r="N755" s="157">
        <v>41853</v>
      </c>
      <c r="O755" s="139"/>
      <c r="P755" s="157"/>
      <c r="Q755" s="139"/>
      <c r="R755" s="157"/>
      <c r="S755" s="139">
        <v>5.51</v>
      </c>
      <c r="T755" s="157">
        <v>41853</v>
      </c>
      <c r="U755" s="139">
        <v>15.3</v>
      </c>
      <c r="V755" s="157"/>
      <c r="W755" s="139"/>
      <c r="X755" s="157"/>
      <c r="Y755" s="139">
        <f t="shared" si="11"/>
        <v>1.9346099999999999</v>
      </c>
      <c r="Z755" s="157"/>
      <c r="AA755" s="139">
        <v>28.03</v>
      </c>
      <c r="AB755" s="157"/>
      <c r="AC755" s="139"/>
      <c r="AD755" s="157"/>
      <c r="AE755" s="139">
        <v>10.93</v>
      </c>
      <c r="AF755" s="157"/>
      <c r="AG755" s="185">
        <v>3.9</v>
      </c>
      <c r="AH755" s="157"/>
      <c r="AI755" s="185">
        <v>110</v>
      </c>
      <c r="AJ755" s="157">
        <v>41803</v>
      </c>
      <c r="AK755" s="139"/>
      <c r="AL755" s="157"/>
      <c r="AM755" s="139"/>
      <c r="AN755" s="157"/>
      <c r="AO755" s="139">
        <v>95</v>
      </c>
      <c r="AP755" s="157">
        <v>41738</v>
      </c>
      <c r="AQ755" s="139"/>
      <c r="AR755" s="139"/>
      <c r="AS755" s="139">
        <v>127</v>
      </c>
      <c r="AT755" s="157">
        <v>41766</v>
      </c>
      <c r="AU755" s="139"/>
      <c r="AV755" s="139"/>
      <c r="AW755" s="139"/>
      <c r="AX755" s="139"/>
      <c r="AY755" s="139"/>
      <c r="AZ755" s="139"/>
      <c r="BA755" s="139"/>
      <c r="BB755" s="139"/>
      <c r="BC755" s="139"/>
      <c r="BD755" s="139"/>
      <c r="BE755" s="140"/>
      <c r="BF755" s="140"/>
      <c r="BG755" s="140"/>
      <c r="BH755" s="140"/>
      <c r="BI755" s="140"/>
      <c r="BJ755" s="140"/>
      <c r="BK755" s="140"/>
      <c r="BL755" s="140"/>
      <c r="BM755" s="140"/>
      <c r="BN755" s="140"/>
      <c r="BO755" s="140"/>
      <c r="BP755" s="140"/>
      <c r="BQ755" s="140"/>
      <c r="BR755" s="140"/>
      <c r="BS755" s="140">
        <v>50.4</v>
      </c>
      <c r="BT755" s="140"/>
      <c r="BU755" s="140">
        <v>17.7</v>
      </c>
      <c r="BV755" s="140"/>
      <c r="BW755" s="140">
        <v>15.9</v>
      </c>
      <c r="BX755" s="140"/>
      <c r="BY755" s="140">
        <v>8.3000000000000007</v>
      </c>
      <c r="BZ755" s="140"/>
      <c r="CA755" s="140"/>
      <c r="CB755" s="140"/>
      <c r="CC755" s="140"/>
      <c r="CD755" s="140"/>
      <c r="CE755" s="140"/>
      <c r="CF755" s="140"/>
      <c r="CG755" s="140"/>
      <c r="CH755" s="140"/>
      <c r="CI755" s="140"/>
      <c r="CJ755" s="140" t="s">
        <v>8140</v>
      </c>
      <c r="CK755" s="140"/>
      <c r="CL755" s="140"/>
      <c r="CM755" s="140"/>
    </row>
    <row r="756" spans="1:91" s="198" customFormat="1">
      <c r="A756" s="158" t="s">
        <v>7733</v>
      </c>
      <c r="B756" s="112" t="s">
        <v>269</v>
      </c>
      <c r="C756" s="112">
        <v>4</v>
      </c>
      <c r="D756">
        <v>118</v>
      </c>
      <c r="E756" s="113">
        <v>82</v>
      </c>
      <c r="F756" s="113">
        <v>11</v>
      </c>
      <c r="G756" s="113"/>
      <c r="H756" s="113"/>
      <c r="I756" s="112">
        <v>32</v>
      </c>
      <c r="J756" s="183">
        <v>41705</v>
      </c>
      <c r="K756" s="139"/>
      <c r="L756" s="157"/>
      <c r="M756" s="184">
        <v>1.64</v>
      </c>
      <c r="N756" s="157">
        <v>41853</v>
      </c>
      <c r="O756" s="139"/>
      <c r="P756" s="157"/>
      <c r="Q756" s="139"/>
      <c r="R756" s="157"/>
      <c r="S756" s="139">
        <v>5.66</v>
      </c>
      <c r="T756" s="157">
        <v>41853</v>
      </c>
      <c r="U756" s="139">
        <v>15.3</v>
      </c>
      <c r="V756" s="157"/>
      <c r="W756" s="139"/>
      <c r="X756" s="157"/>
      <c r="Y756" s="139">
        <f t="shared" si="11"/>
        <v>1.9224000000000001</v>
      </c>
      <c r="Z756" s="157"/>
      <c r="AA756" s="139">
        <v>22.5</v>
      </c>
      <c r="AB756" s="157"/>
      <c r="AC756" s="139"/>
      <c r="AD756" s="157"/>
      <c r="AE756" s="139">
        <v>10.8</v>
      </c>
      <c r="AF756" s="157"/>
      <c r="AG756" s="185">
        <v>4.8</v>
      </c>
      <c r="AH756" s="157"/>
      <c r="AI756" s="185">
        <v>115</v>
      </c>
      <c r="AJ756" s="157">
        <v>41803</v>
      </c>
      <c r="AK756" s="139"/>
      <c r="AL756" s="157"/>
      <c r="AM756" s="139"/>
      <c r="AN756" s="157"/>
      <c r="AO756" s="139">
        <v>93</v>
      </c>
      <c r="AP756" s="157">
        <v>41738</v>
      </c>
      <c r="AQ756" s="139"/>
      <c r="AR756" s="139"/>
      <c r="AS756" s="139">
        <v>128</v>
      </c>
      <c r="AT756" s="157">
        <v>41766</v>
      </c>
      <c r="AU756" s="139"/>
      <c r="AV756" s="139"/>
      <c r="AW756" s="139"/>
      <c r="AX756" s="139"/>
      <c r="AY756" s="139"/>
      <c r="AZ756" s="139"/>
      <c r="BA756" s="139"/>
      <c r="BB756" s="139"/>
      <c r="BC756" s="139"/>
      <c r="BD756" s="139"/>
      <c r="BE756" s="140"/>
      <c r="BF756" s="140"/>
      <c r="BG756" s="140"/>
      <c r="BH756" s="140"/>
      <c r="BI756" s="140"/>
      <c r="BJ756" s="140"/>
      <c r="BK756" s="140"/>
      <c r="BL756" s="140"/>
      <c r="BM756" s="140"/>
      <c r="BN756" s="140"/>
      <c r="BO756" s="140"/>
      <c r="BP756" s="140"/>
      <c r="BQ756" s="140"/>
      <c r="BR756" s="140"/>
      <c r="BS756" s="140">
        <v>52.4</v>
      </c>
      <c r="BT756" s="140"/>
      <c r="BU756" s="140">
        <v>17.8</v>
      </c>
      <c r="BV756" s="140"/>
      <c r="BW756" s="140">
        <v>9.3000000000000007</v>
      </c>
      <c r="BX756" s="140"/>
      <c r="BY756" s="140">
        <v>8.3000000000000007</v>
      </c>
      <c r="BZ756" s="140"/>
      <c r="CA756" s="140"/>
      <c r="CB756" s="140"/>
      <c r="CC756" s="140"/>
      <c r="CD756" s="140"/>
      <c r="CE756" s="140"/>
      <c r="CF756" s="140"/>
      <c r="CG756" s="140"/>
      <c r="CH756" s="140"/>
      <c r="CI756" s="140"/>
      <c r="CJ756" s="140" t="s">
        <v>8140</v>
      </c>
      <c r="CK756" s="140"/>
      <c r="CL756" s="140"/>
      <c r="CM756" s="140"/>
    </row>
    <row r="757" spans="1:91" s="198" customFormat="1">
      <c r="A757" s="158" t="s">
        <v>7648</v>
      </c>
      <c r="B757" s="112" t="s">
        <v>269</v>
      </c>
      <c r="C757" s="112">
        <v>4</v>
      </c>
      <c r="D757">
        <v>33</v>
      </c>
      <c r="E757" s="113">
        <v>82</v>
      </c>
      <c r="F757" s="113">
        <v>12</v>
      </c>
      <c r="G757" s="113"/>
      <c r="H757" s="113"/>
      <c r="I757" s="112">
        <v>36</v>
      </c>
      <c r="J757" s="183">
        <v>41705</v>
      </c>
      <c r="K757" s="139"/>
      <c r="L757" s="157"/>
      <c r="M757" s="184">
        <v>1.96</v>
      </c>
      <c r="N757" s="157">
        <v>41853</v>
      </c>
      <c r="O757" s="139"/>
      <c r="P757" s="157"/>
      <c r="Q757" s="139"/>
      <c r="R757" s="157"/>
      <c r="S757" s="139">
        <v>6.27</v>
      </c>
      <c r="T757" s="157">
        <v>41853</v>
      </c>
      <c r="U757" s="139">
        <v>15.3</v>
      </c>
      <c r="V757" s="157"/>
      <c r="W757" s="139"/>
      <c r="X757" s="157"/>
      <c r="Y757" s="139">
        <f t="shared" si="11"/>
        <v>2.8401999999999998</v>
      </c>
      <c r="Z757" s="157"/>
      <c r="AA757" s="139">
        <v>28.69</v>
      </c>
      <c r="AB757" s="157"/>
      <c r="AC757" s="139"/>
      <c r="AD757" s="157"/>
      <c r="AE757" s="139">
        <v>12.91</v>
      </c>
      <c r="AF757" s="157"/>
      <c r="AG757" s="185">
        <v>4.5</v>
      </c>
      <c r="AH757" s="157"/>
      <c r="AI757" s="185">
        <v>100</v>
      </c>
      <c r="AJ757" s="157">
        <v>41803</v>
      </c>
      <c r="AK757" s="139"/>
      <c r="AL757" s="157"/>
      <c r="AM757" s="139"/>
      <c r="AN757" s="157"/>
      <c r="AO757" s="139">
        <v>93</v>
      </c>
      <c r="AP757" s="157">
        <v>41738</v>
      </c>
      <c r="AQ757" s="139"/>
      <c r="AR757" s="139"/>
      <c r="AS757" s="139">
        <v>126</v>
      </c>
      <c r="AT757" s="157">
        <v>41766</v>
      </c>
      <c r="AU757" s="139"/>
      <c r="AV757" s="139"/>
      <c r="AW757" s="139"/>
      <c r="AX757" s="139"/>
      <c r="AY757" s="139"/>
      <c r="AZ757" s="139"/>
      <c r="BA757" s="139"/>
      <c r="BB757" s="139"/>
      <c r="BC757" s="139"/>
      <c r="BD757" s="139"/>
      <c r="BE757" s="140"/>
      <c r="BF757" s="140"/>
      <c r="BG757" s="140"/>
      <c r="BH757" s="140"/>
      <c r="BI757" s="140"/>
      <c r="BJ757" s="140"/>
      <c r="BK757" s="140"/>
      <c r="BL757" s="140"/>
      <c r="BM757" s="140"/>
      <c r="BN757" s="140"/>
      <c r="BO757" s="140"/>
      <c r="BP757" s="140"/>
      <c r="BQ757" s="140"/>
      <c r="BR757" s="140"/>
      <c r="BS757" s="140">
        <v>48.6</v>
      </c>
      <c r="BT757" s="140"/>
      <c r="BU757" s="140">
        <v>22</v>
      </c>
      <c r="BV757" s="140"/>
      <c r="BW757" s="140">
        <v>63.3</v>
      </c>
      <c r="BX757" s="140"/>
      <c r="BY757" s="140">
        <v>8.3000000000000007</v>
      </c>
      <c r="BZ757" s="140"/>
      <c r="CA757" s="140"/>
      <c r="CB757" s="140"/>
      <c r="CC757" s="140"/>
      <c r="CD757" s="140"/>
      <c r="CE757" s="140"/>
      <c r="CF757" s="140"/>
      <c r="CG757" s="140"/>
      <c r="CH757" s="140"/>
      <c r="CI757" s="140"/>
      <c r="CJ757" s="140" t="s">
        <v>8140</v>
      </c>
      <c r="CK757" s="140"/>
      <c r="CL757" s="140"/>
      <c r="CM757" s="140"/>
    </row>
    <row r="758" spans="1:91">
      <c r="A758" s="158" t="s">
        <v>7638</v>
      </c>
      <c r="B758" s="112" t="s">
        <v>271</v>
      </c>
      <c r="C758" s="112">
        <v>3</v>
      </c>
      <c r="D758">
        <v>23</v>
      </c>
      <c r="E758" s="113">
        <v>83</v>
      </c>
      <c r="F758" s="113">
        <v>1</v>
      </c>
      <c r="I758" s="112">
        <v>23</v>
      </c>
      <c r="J758" s="183">
        <v>41705</v>
      </c>
      <c r="M758" s="184">
        <v>2.54</v>
      </c>
      <c r="N758" s="157">
        <v>41853</v>
      </c>
      <c r="S758" s="139">
        <v>7.95</v>
      </c>
      <c r="T758" s="157">
        <v>41853</v>
      </c>
      <c r="U758" s="139">
        <v>15.3</v>
      </c>
      <c r="Y758" s="139">
        <f t="shared" si="11"/>
        <v>3.9984699999999997</v>
      </c>
      <c r="AA758" s="139">
        <v>32.17</v>
      </c>
      <c r="AE758" s="139">
        <v>16.73</v>
      </c>
      <c r="AG758" s="185">
        <v>5.2</v>
      </c>
      <c r="AI758" s="185">
        <v>135</v>
      </c>
      <c r="AJ758" s="157">
        <v>41803</v>
      </c>
      <c r="AO758" s="139">
        <v>92</v>
      </c>
      <c r="AP758" s="157">
        <v>41738</v>
      </c>
      <c r="AS758" s="139">
        <v>128</v>
      </c>
      <c r="AT758" s="157">
        <v>41766</v>
      </c>
      <c r="BS758" s="140">
        <v>47.5</v>
      </c>
      <c r="BU758" s="140">
        <v>23.9</v>
      </c>
      <c r="BW758" s="140">
        <v>50.8</v>
      </c>
      <c r="BY758" s="140">
        <v>8.3000000000000007</v>
      </c>
      <c r="CJ758" s="140" t="s">
        <v>8140</v>
      </c>
    </row>
    <row r="759" spans="1:91">
      <c r="A759" s="158" t="s">
        <v>7710</v>
      </c>
      <c r="B759" s="112" t="s">
        <v>271</v>
      </c>
      <c r="C759" s="112">
        <v>3</v>
      </c>
      <c r="D759">
        <v>95</v>
      </c>
      <c r="E759" s="113">
        <v>83</v>
      </c>
      <c r="F759" s="113">
        <v>2</v>
      </c>
      <c r="I759" s="112">
        <v>19</v>
      </c>
      <c r="J759" s="183">
        <v>41705</v>
      </c>
      <c r="M759" s="184">
        <v>3.59</v>
      </c>
      <c r="N759" s="157">
        <v>41853</v>
      </c>
      <c r="S759" s="139">
        <v>11.63</v>
      </c>
      <c r="T759" s="157">
        <v>41853</v>
      </c>
      <c r="U759" s="139">
        <v>15.3</v>
      </c>
      <c r="Y759" s="139">
        <f t="shared" si="11"/>
        <v>4.9904799999999998</v>
      </c>
      <c r="AA759" s="139">
        <v>53.5</v>
      </c>
      <c r="AE759" s="139">
        <v>23.54</v>
      </c>
      <c r="AG759" s="185">
        <v>4.4000000000000004</v>
      </c>
      <c r="AI759" s="185">
        <v>140</v>
      </c>
      <c r="AJ759" s="157">
        <v>41803</v>
      </c>
      <c r="AO759" s="139">
        <v>90</v>
      </c>
      <c r="AP759" s="157">
        <v>41738</v>
      </c>
      <c r="AS759" s="139">
        <v>129</v>
      </c>
      <c r="AT759" s="157">
        <v>41766</v>
      </c>
      <c r="BS759" s="140">
        <v>49.4</v>
      </c>
      <c r="BU759" s="140">
        <v>21.2</v>
      </c>
      <c r="BW759" s="140">
        <v>21.4</v>
      </c>
      <c r="BY759" s="140">
        <v>8.6999999999999993</v>
      </c>
      <c r="CJ759" s="140" t="s">
        <v>8140</v>
      </c>
    </row>
    <row r="760" spans="1:91">
      <c r="A760" s="158" t="s">
        <v>7625</v>
      </c>
      <c r="B760" s="112" t="s">
        <v>271</v>
      </c>
      <c r="C760" s="112">
        <v>3</v>
      </c>
      <c r="D760">
        <v>10</v>
      </c>
      <c r="E760" s="113">
        <v>83</v>
      </c>
      <c r="F760" s="113">
        <v>3</v>
      </c>
      <c r="I760" s="187">
        <v>49</v>
      </c>
      <c r="J760" s="183">
        <v>41705</v>
      </c>
      <c r="K760" s="142"/>
      <c r="M760" s="184">
        <v>2.0099999999999998</v>
      </c>
      <c r="N760" s="157">
        <v>41853</v>
      </c>
      <c r="O760" s="141"/>
      <c r="Q760" s="142"/>
      <c r="S760" s="142">
        <v>6.26</v>
      </c>
      <c r="T760" s="157">
        <v>41853</v>
      </c>
      <c r="U760" s="142">
        <v>15.3</v>
      </c>
      <c r="W760" s="142"/>
      <c r="Y760" s="139">
        <f t="shared" si="11"/>
        <v>3.1643599999999998</v>
      </c>
      <c r="AA760" s="142">
        <v>26.48</v>
      </c>
      <c r="AE760" s="142">
        <v>13.24</v>
      </c>
      <c r="AG760" s="185">
        <v>5</v>
      </c>
      <c r="AI760" s="185">
        <v>125</v>
      </c>
      <c r="AJ760" s="157">
        <v>41803</v>
      </c>
      <c r="AK760" s="142"/>
      <c r="AM760" s="142"/>
      <c r="AO760" s="139">
        <v>99</v>
      </c>
      <c r="AP760" s="157">
        <v>41738</v>
      </c>
      <c r="AS760" s="139">
        <v>128</v>
      </c>
      <c r="AT760" s="157">
        <v>41766</v>
      </c>
      <c r="BS760" s="140">
        <v>47.3</v>
      </c>
      <c r="BU760" s="140">
        <v>23.9</v>
      </c>
      <c r="BW760" s="140">
        <v>72.8</v>
      </c>
      <c r="BY760" s="140">
        <v>8.3000000000000007</v>
      </c>
      <c r="CJ760" s="140" t="s">
        <v>8131</v>
      </c>
    </row>
    <row r="761" spans="1:91">
      <c r="A761" s="158" t="s">
        <v>7626</v>
      </c>
      <c r="B761" s="112" t="s">
        <v>271</v>
      </c>
      <c r="C761" s="112">
        <v>3</v>
      </c>
      <c r="D761">
        <v>11</v>
      </c>
      <c r="E761" s="113">
        <v>83</v>
      </c>
      <c r="F761" s="113">
        <v>4</v>
      </c>
      <c r="I761" s="187">
        <v>30</v>
      </c>
      <c r="J761" s="183">
        <v>41705</v>
      </c>
      <c r="K761" s="142"/>
      <c r="M761" s="184">
        <v>2.88</v>
      </c>
      <c r="N761" s="157">
        <v>41853</v>
      </c>
      <c r="O761" s="141"/>
      <c r="Q761" s="142"/>
      <c r="S761" s="142">
        <v>9.35</v>
      </c>
      <c r="T761" s="157">
        <v>41853</v>
      </c>
      <c r="U761" s="142">
        <v>15.3</v>
      </c>
      <c r="W761" s="142"/>
      <c r="Y761" s="139">
        <f t="shared" si="11"/>
        <v>4.2303100000000002</v>
      </c>
      <c r="AA761" s="142">
        <v>41.24</v>
      </c>
      <c r="AE761" s="142">
        <v>18.97</v>
      </c>
      <c r="AG761" s="185">
        <v>4.5999999999999996</v>
      </c>
      <c r="AI761" s="185">
        <v>125</v>
      </c>
      <c r="AJ761" s="157">
        <v>41803</v>
      </c>
      <c r="AK761" s="142"/>
      <c r="AM761" s="142"/>
      <c r="AO761" s="139">
        <v>94</v>
      </c>
      <c r="AP761" s="157">
        <v>41738</v>
      </c>
      <c r="AS761" s="139">
        <v>128</v>
      </c>
      <c r="AT761" s="157">
        <v>41766</v>
      </c>
      <c r="BS761" s="140">
        <v>49.3</v>
      </c>
      <c r="BU761" s="140">
        <v>22.3</v>
      </c>
      <c r="BW761" s="140">
        <v>70.099999999999994</v>
      </c>
      <c r="BY761" s="140">
        <v>8.3000000000000007</v>
      </c>
      <c r="CJ761" s="140" t="s">
        <v>8140</v>
      </c>
    </row>
    <row r="762" spans="1:91">
      <c r="A762" s="158" t="s">
        <v>7649</v>
      </c>
      <c r="B762" s="112" t="s">
        <v>271</v>
      </c>
      <c r="C762" s="112">
        <v>3</v>
      </c>
      <c r="D762">
        <v>34</v>
      </c>
      <c r="E762" s="113">
        <v>83</v>
      </c>
      <c r="F762" s="113">
        <v>5</v>
      </c>
      <c r="I762" s="112">
        <v>32</v>
      </c>
      <c r="J762" s="183">
        <v>41705</v>
      </c>
      <c r="M762" s="184">
        <v>2.84</v>
      </c>
      <c r="N762" s="157">
        <v>41853</v>
      </c>
      <c r="S762" s="139">
        <v>8.5500000000000007</v>
      </c>
      <c r="T762" s="157">
        <v>41853</v>
      </c>
      <c r="U762" s="139">
        <v>15.3</v>
      </c>
      <c r="Y762" s="139">
        <f t="shared" si="11"/>
        <v>4.2362399999999996</v>
      </c>
      <c r="AA762" s="139">
        <v>39.53</v>
      </c>
      <c r="AE762" s="139">
        <v>18.579999999999998</v>
      </c>
      <c r="AG762" s="185">
        <v>4.7</v>
      </c>
      <c r="AI762" s="185">
        <v>120</v>
      </c>
      <c r="AJ762" s="157">
        <v>41803</v>
      </c>
      <c r="AO762" s="139">
        <v>97</v>
      </c>
      <c r="AP762" s="157">
        <v>41738</v>
      </c>
      <c r="AS762" s="139">
        <v>127</v>
      </c>
      <c r="AT762" s="157">
        <v>41766</v>
      </c>
      <c r="BS762" s="140">
        <v>46</v>
      </c>
      <c r="BU762" s="140">
        <v>22.8</v>
      </c>
      <c r="BW762" s="140">
        <v>68.900000000000006</v>
      </c>
      <c r="BY762" s="140">
        <v>8.9</v>
      </c>
      <c r="CJ762" s="140" t="s">
        <v>8131</v>
      </c>
    </row>
    <row r="763" spans="1:91">
      <c r="A763" s="158" t="s">
        <v>7713</v>
      </c>
      <c r="B763" s="112" t="s">
        <v>271</v>
      </c>
      <c r="C763" s="112">
        <v>3</v>
      </c>
      <c r="D763">
        <v>98</v>
      </c>
      <c r="E763" s="113">
        <v>83</v>
      </c>
      <c r="F763" s="113">
        <v>6</v>
      </c>
      <c r="I763" s="112">
        <v>33</v>
      </c>
      <c r="J763" s="183">
        <v>41705</v>
      </c>
      <c r="M763" s="184">
        <v>2.84</v>
      </c>
      <c r="N763" s="157">
        <v>41853</v>
      </c>
      <c r="S763" s="139">
        <v>9.26</v>
      </c>
      <c r="T763" s="157">
        <v>41853</v>
      </c>
      <c r="U763" s="139">
        <v>15.3</v>
      </c>
      <c r="Y763" s="139">
        <f t="shared" si="11"/>
        <v>3.8147999999999995</v>
      </c>
      <c r="AA763" s="139">
        <v>40.65</v>
      </c>
      <c r="AE763" s="139">
        <v>18.7</v>
      </c>
      <c r="AG763" s="185">
        <v>4.5999999999999996</v>
      </c>
      <c r="AI763" s="185">
        <v>125</v>
      </c>
      <c r="AJ763" s="157">
        <v>41803</v>
      </c>
      <c r="AO763" s="139">
        <v>97</v>
      </c>
      <c r="AP763" s="157">
        <v>41738</v>
      </c>
      <c r="AS763" s="139">
        <v>128</v>
      </c>
      <c r="AT763" s="157">
        <v>41766</v>
      </c>
      <c r="BS763" s="140">
        <v>49.5</v>
      </c>
      <c r="BU763" s="140">
        <v>20.399999999999999</v>
      </c>
      <c r="BW763" s="140">
        <v>14.4</v>
      </c>
      <c r="BY763" s="140">
        <v>8.3000000000000007</v>
      </c>
      <c r="CJ763" s="140" t="s">
        <v>8131</v>
      </c>
    </row>
    <row r="764" spans="1:91">
      <c r="A764" s="158" t="s">
        <v>7735</v>
      </c>
      <c r="B764" s="112" t="s">
        <v>269</v>
      </c>
      <c r="C764" s="112">
        <v>4</v>
      </c>
      <c r="D764">
        <v>120</v>
      </c>
      <c r="E764" s="113">
        <v>83</v>
      </c>
      <c r="F764" s="113">
        <v>7</v>
      </c>
      <c r="I764" s="112">
        <v>52</v>
      </c>
      <c r="J764" s="183">
        <v>41705</v>
      </c>
      <c r="M764" s="184">
        <v>2.27</v>
      </c>
      <c r="N764" s="157">
        <v>41853</v>
      </c>
      <c r="S764" s="139">
        <v>7.8</v>
      </c>
      <c r="T764" s="157">
        <v>41853</v>
      </c>
      <c r="U764" s="139">
        <v>15.3</v>
      </c>
      <c r="Y764" s="139">
        <f t="shared" si="11"/>
        <v>2.6611000000000002</v>
      </c>
      <c r="AA764" s="139">
        <v>33.22</v>
      </c>
      <c r="AE764" s="139">
        <v>14.95</v>
      </c>
      <c r="AG764" s="185">
        <v>4.5</v>
      </c>
      <c r="AI764" s="185">
        <v>110</v>
      </c>
      <c r="AJ764" s="157">
        <v>41803</v>
      </c>
      <c r="AO764" s="139">
        <v>94</v>
      </c>
      <c r="AP764" s="157">
        <v>41738</v>
      </c>
      <c r="AS764" s="139">
        <v>127</v>
      </c>
      <c r="AT764" s="157">
        <v>41766</v>
      </c>
      <c r="BS764" s="140">
        <v>52.2</v>
      </c>
      <c r="BU764" s="140">
        <v>17.8</v>
      </c>
      <c r="BW764" s="140">
        <v>13.8</v>
      </c>
      <c r="BY764" s="140">
        <v>8.3000000000000007</v>
      </c>
      <c r="CJ764" s="140" t="s">
        <v>8140</v>
      </c>
    </row>
    <row r="765" spans="1:91">
      <c r="A765" s="158" t="s">
        <v>7777</v>
      </c>
      <c r="B765" s="112" t="s">
        <v>269</v>
      </c>
      <c r="C765" s="112">
        <v>4</v>
      </c>
      <c r="D765">
        <v>162</v>
      </c>
      <c r="E765" s="113">
        <v>83</v>
      </c>
      <c r="F765" s="113">
        <v>8</v>
      </c>
      <c r="I765" s="112">
        <v>31</v>
      </c>
      <c r="J765" s="183">
        <v>41705</v>
      </c>
      <c r="M765" s="184">
        <v>2.6</v>
      </c>
      <c r="N765" s="157">
        <v>41853</v>
      </c>
      <c r="S765" s="139">
        <v>9.14</v>
      </c>
      <c r="T765" s="157">
        <v>41853</v>
      </c>
      <c r="U765" s="139">
        <v>15.3</v>
      </c>
      <c r="Y765" s="139">
        <f t="shared" si="11"/>
        <v>2.8419200000000004</v>
      </c>
      <c r="AA765" s="139">
        <v>39.81</v>
      </c>
      <c r="AE765" s="139">
        <v>17.12</v>
      </c>
      <c r="AG765" s="185">
        <v>4.3</v>
      </c>
      <c r="AI765" s="185">
        <v>115</v>
      </c>
      <c r="AJ765" s="157">
        <v>41803</v>
      </c>
      <c r="AO765" s="139">
        <v>99</v>
      </c>
      <c r="AP765" s="157">
        <v>41738</v>
      </c>
      <c r="AS765" s="139">
        <v>128</v>
      </c>
      <c r="AT765" s="157">
        <v>41766</v>
      </c>
      <c r="BS765" s="140">
        <v>53.4</v>
      </c>
      <c r="BU765" s="140">
        <v>16.600000000000001</v>
      </c>
      <c r="BW765" s="140">
        <v>16.2</v>
      </c>
      <c r="BY765" s="140">
        <v>8.3000000000000007</v>
      </c>
      <c r="CJ765" s="140" t="s">
        <v>8131</v>
      </c>
    </row>
    <row r="766" spans="1:91">
      <c r="A766" s="158" t="s">
        <v>7672</v>
      </c>
      <c r="B766" s="112" t="s">
        <v>269</v>
      </c>
      <c r="C766" s="112">
        <v>4</v>
      </c>
      <c r="D766">
        <v>57</v>
      </c>
      <c r="E766" s="113">
        <v>83</v>
      </c>
      <c r="F766" s="113">
        <v>9</v>
      </c>
      <c r="I766" s="112">
        <v>40</v>
      </c>
      <c r="J766" s="183">
        <v>41705</v>
      </c>
      <c r="M766" s="184">
        <v>1.95</v>
      </c>
      <c r="N766" s="157">
        <v>41853</v>
      </c>
      <c r="S766" s="139">
        <v>6.78</v>
      </c>
      <c r="T766" s="157">
        <v>41853</v>
      </c>
      <c r="U766" s="139">
        <v>15.3</v>
      </c>
      <c r="Y766" s="139">
        <f t="shared" si="11"/>
        <v>2.2598400000000001</v>
      </c>
      <c r="AA766" s="139">
        <v>29.18</v>
      </c>
      <c r="AE766" s="139">
        <v>12.84</v>
      </c>
      <c r="AG766" s="185">
        <v>4.4000000000000004</v>
      </c>
      <c r="AI766" s="185">
        <v>115</v>
      </c>
      <c r="AJ766" s="157">
        <v>41803</v>
      </c>
      <c r="AO766" s="139">
        <v>93</v>
      </c>
      <c r="AP766" s="157">
        <v>41738</v>
      </c>
      <c r="AS766" s="139">
        <v>127</v>
      </c>
      <c r="AT766" s="157">
        <v>41766</v>
      </c>
      <c r="BS766" s="140">
        <v>52.8</v>
      </c>
      <c r="BU766" s="140">
        <v>17.600000000000001</v>
      </c>
      <c r="BW766" s="140">
        <v>12.8</v>
      </c>
      <c r="BY766" s="140">
        <v>8.3000000000000007</v>
      </c>
      <c r="CJ766" s="140" t="s">
        <v>8140</v>
      </c>
    </row>
    <row r="767" spans="1:91">
      <c r="A767" s="158" t="s">
        <v>7705</v>
      </c>
      <c r="B767" s="112" t="s">
        <v>269</v>
      </c>
      <c r="C767" s="112">
        <v>4</v>
      </c>
      <c r="D767">
        <v>90</v>
      </c>
      <c r="E767" s="113">
        <v>83</v>
      </c>
      <c r="F767" s="113">
        <v>10</v>
      </c>
      <c r="I767" s="112">
        <v>38</v>
      </c>
      <c r="J767" s="183">
        <v>41705</v>
      </c>
      <c r="M767" s="184">
        <v>1.87</v>
      </c>
      <c r="N767" s="157">
        <v>41853</v>
      </c>
      <c r="S767" s="139">
        <v>6.33</v>
      </c>
      <c r="T767" s="157">
        <v>41853</v>
      </c>
      <c r="U767" s="139">
        <v>15.3</v>
      </c>
      <c r="Y767" s="139">
        <f t="shared" si="11"/>
        <v>2.2915200000000002</v>
      </c>
      <c r="AA767" s="139">
        <v>29.33</v>
      </c>
      <c r="AE767" s="139">
        <v>12.32</v>
      </c>
      <c r="AG767" s="185">
        <v>4.2</v>
      </c>
      <c r="AI767" s="185">
        <v>100</v>
      </c>
      <c r="AJ767" s="157">
        <v>41803</v>
      </c>
      <c r="AO767" s="139">
        <v>95</v>
      </c>
      <c r="AP767" s="157">
        <v>41738</v>
      </c>
      <c r="AS767" s="139">
        <v>127</v>
      </c>
      <c r="AT767" s="157">
        <v>41766</v>
      </c>
      <c r="BS767" s="140">
        <v>51.4</v>
      </c>
      <c r="BU767" s="140">
        <v>18.600000000000001</v>
      </c>
      <c r="BW767" s="140">
        <v>13.8</v>
      </c>
      <c r="BY767" s="140">
        <v>8.3000000000000007</v>
      </c>
      <c r="CJ767" s="140" t="s">
        <v>8140</v>
      </c>
    </row>
    <row r="768" spans="1:91">
      <c r="A768" s="158" t="s">
        <v>7767</v>
      </c>
      <c r="B768" s="112" t="s">
        <v>269</v>
      </c>
      <c r="C768" s="112">
        <v>4</v>
      </c>
      <c r="D768">
        <v>152</v>
      </c>
      <c r="E768" s="113">
        <v>83</v>
      </c>
      <c r="F768" s="113">
        <v>11</v>
      </c>
      <c r="I768" s="112">
        <v>45</v>
      </c>
      <c r="J768" s="183">
        <v>41705</v>
      </c>
      <c r="M768" s="184">
        <v>1.62</v>
      </c>
      <c r="N768" s="157">
        <v>41853</v>
      </c>
      <c r="S768" s="139">
        <v>5.56</v>
      </c>
      <c r="T768" s="157">
        <v>41853</v>
      </c>
      <c r="U768" s="139">
        <v>15.3</v>
      </c>
      <c r="Y768" s="139">
        <f t="shared" si="11"/>
        <v>1.8245700000000002</v>
      </c>
      <c r="AA768" s="139">
        <v>23.2</v>
      </c>
      <c r="AE768" s="139">
        <v>10.67</v>
      </c>
      <c r="AG768" s="185">
        <v>4.5999999999999996</v>
      </c>
      <c r="AI768" s="185">
        <v>115</v>
      </c>
      <c r="AJ768" s="157">
        <v>41803</v>
      </c>
      <c r="AO768" s="139">
        <v>93</v>
      </c>
      <c r="AP768" s="157">
        <v>41738</v>
      </c>
      <c r="AS768" s="139">
        <v>128</v>
      </c>
      <c r="AT768" s="157">
        <v>41766</v>
      </c>
      <c r="BS768" s="140">
        <v>52.1</v>
      </c>
      <c r="BU768" s="140">
        <v>17.100000000000001</v>
      </c>
      <c r="BW768" s="140">
        <v>61.8</v>
      </c>
      <c r="BY768" s="140">
        <v>8.3000000000000007</v>
      </c>
      <c r="CJ768" s="140" t="s">
        <v>8140</v>
      </c>
    </row>
    <row r="769" spans="1:91">
      <c r="A769" s="158" t="s">
        <v>7680</v>
      </c>
      <c r="B769" s="112" t="s">
        <v>269</v>
      </c>
      <c r="C769" s="112">
        <v>4</v>
      </c>
      <c r="D769">
        <v>65</v>
      </c>
      <c r="E769" s="113">
        <v>83</v>
      </c>
      <c r="F769" s="113">
        <v>12</v>
      </c>
      <c r="I769" s="112">
        <v>47</v>
      </c>
      <c r="J769" s="183">
        <v>41705</v>
      </c>
      <c r="M769" s="184">
        <v>2.4</v>
      </c>
      <c r="N769" s="157">
        <v>41853</v>
      </c>
      <c r="S769" s="139">
        <v>8.4</v>
      </c>
      <c r="T769" s="157">
        <v>41853</v>
      </c>
      <c r="U769" s="139">
        <v>15.3</v>
      </c>
      <c r="Y769" s="139">
        <f t="shared" si="11"/>
        <v>2.8141799999999999</v>
      </c>
      <c r="AA769" s="139">
        <v>35.93</v>
      </c>
      <c r="AE769" s="139">
        <v>15.81</v>
      </c>
      <c r="AG769" s="185">
        <v>4.4000000000000004</v>
      </c>
      <c r="AI769" s="185">
        <v>110</v>
      </c>
      <c r="AJ769" s="157">
        <v>41803</v>
      </c>
      <c r="AO769" s="139">
        <v>95</v>
      </c>
      <c r="AP769" s="157">
        <v>41738</v>
      </c>
      <c r="AS769" s="139">
        <v>128</v>
      </c>
      <c r="AT769" s="157">
        <v>41766</v>
      </c>
      <c r="BS769" s="140">
        <v>53.1</v>
      </c>
      <c r="BU769" s="140">
        <v>17.8</v>
      </c>
      <c r="BW769" s="140">
        <v>13.5</v>
      </c>
      <c r="BY769" s="140">
        <v>8.3000000000000007</v>
      </c>
      <c r="CJ769" s="140" t="s">
        <v>8140</v>
      </c>
    </row>
    <row r="770" spans="1:91">
      <c r="A770" s="158" t="s">
        <v>7902</v>
      </c>
      <c r="B770" s="112" t="s">
        <v>271</v>
      </c>
      <c r="C770" s="112">
        <v>3</v>
      </c>
      <c r="D770">
        <v>207</v>
      </c>
      <c r="E770" s="113">
        <v>84</v>
      </c>
      <c r="F770" s="113">
        <v>1</v>
      </c>
      <c r="I770" s="112">
        <v>27</v>
      </c>
      <c r="J770" s="183">
        <v>41705</v>
      </c>
      <c r="M770" s="184"/>
      <c r="N770" s="157">
        <v>41853</v>
      </c>
      <c r="T770" s="157">
        <v>41853</v>
      </c>
      <c r="U770" s="139">
        <v>15.3</v>
      </c>
      <c r="Y770" s="139">
        <f t="shared" ref="Y770:Y833" si="12">(AE770*BU770)/100</f>
        <v>0</v>
      </c>
      <c r="AG770" s="185"/>
      <c r="AI770" s="185">
        <v>135</v>
      </c>
      <c r="AJ770" s="157">
        <v>41803</v>
      </c>
      <c r="AO770" s="139">
        <v>89</v>
      </c>
      <c r="AP770" s="157">
        <v>41738</v>
      </c>
      <c r="AS770" s="139">
        <v>127</v>
      </c>
      <c r="AT770" s="157">
        <v>41766</v>
      </c>
      <c r="CJ770" s="140" t="s">
        <v>8156</v>
      </c>
    </row>
    <row r="771" spans="1:91">
      <c r="A771" s="158" t="s">
        <v>7677</v>
      </c>
      <c r="B771" s="112" t="s">
        <v>271</v>
      </c>
      <c r="C771" s="112">
        <v>3</v>
      </c>
      <c r="D771">
        <v>62</v>
      </c>
      <c r="E771" s="113">
        <v>84</v>
      </c>
      <c r="F771" s="113">
        <v>2</v>
      </c>
      <c r="I771" s="112">
        <v>41</v>
      </c>
      <c r="J771" s="183">
        <v>41705</v>
      </c>
      <c r="M771" s="184">
        <v>2.88</v>
      </c>
      <c r="N771" s="157">
        <v>41853</v>
      </c>
      <c r="S771" s="139">
        <v>8.93</v>
      </c>
      <c r="T771" s="157">
        <v>41853</v>
      </c>
      <c r="U771" s="139">
        <v>15.3</v>
      </c>
      <c r="Y771" s="139">
        <f t="shared" si="12"/>
        <v>4.30619</v>
      </c>
      <c r="AA771" s="139">
        <v>32.71</v>
      </c>
      <c r="AE771" s="139">
        <v>18.97</v>
      </c>
      <c r="AG771" s="185">
        <v>5.8</v>
      </c>
      <c r="AI771" s="185">
        <v>130</v>
      </c>
      <c r="AJ771" s="157">
        <v>41803</v>
      </c>
      <c r="AO771" s="139">
        <v>96</v>
      </c>
      <c r="AP771" s="157">
        <v>41738</v>
      </c>
      <c r="AS771" s="139">
        <v>128</v>
      </c>
      <c r="AT771" s="157">
        <v>41766</v>
      </c>
      <c r="BS771" s="140">
        <v>47.1</v>
      </c>
      <c r="BU771" s="140">
        <v>22.7</v>
      </c>
      <c r="BW771" s="140">
        <v>12</v>
      </c>
      <c r="BY771" s="140">
        <v>8.3000000000000007</v>
      </c>
      <c r="CJ771" s="140" t="s">
        <v>8131</v>
      </c>
    </row>
    <row r="772" spans="1:91">
      <c r="A772" s="158" t="s">
        <v>7617</v>
      </c>
      <c r="B772" s="112" t="s">
        <v>271</v>
      </c>
      <c r="C772" s="112">
        <v>3</v>
      </c>
      <c r="D772">
        <v>2</v>
      </c>
      <c r="E772" s="113">
        <v>84</v>
      </c>
      <c r="F772" s="113">
        <v>3</v>
      </c>
      <c r="I772" s="187">
        <v>34</v>
      </c>
      <c r="J772" s="183">
        <v>41705</v>
      </c>
      <c r="K772" s="142"/>
      <c r="M772" s="184">
        <v>2.66</v>
      </c>
      <c r="N772" s="157">
        <v>41853</v>
      </c>
      <c r="O772" s="141"/>
      <c r="Q772" s="142"/>
      <c r="S772" s="142">
        <v>8.32</v>
      </c>
      <c r="T772" s="157">
        <v>41853</v>
      </c>
      <c r="U772" s="142">
        <v>15.3</v>
      </c>
      <c r="W772" s="142"/>
      <c r="Y772" s="139">
        <f t="shared" si="12"/>
        <v>4.0295999999999994</v>
      </c>
      <c r="AA772" s="142">
        <v>33.06</v>
      </c>
      <c r="AE772" s="142">
        <v>17.52</v>
      </c>
      <c r="AG772" s="185">
        <v>5.3</v>
      </c>
      <c r="AI772" s="185">
        <v>110</v>
      </c>
      <c r="AJ772" s="157">
        <v>41803</v>
      </c>
      <c r="AK772" s="142"/>
      <c r="AM772" s="142"/>
      <c r="AO772" s="139">
        <v>94</v>
      </c>
      <c r="AP772" s="157">
        <v>41738</v>
      </c>
      <c r="AS772" s="139">
        <v>128</v>
      </c>
      <c r="AT772" s="157">
        <v>41766</v>
      </c>
      <c r="BS772" s="140">
        <v>47.5</v>
      </c>
      <c r="BU772" s="140">
        <v>23</v>
      </c>
      <c r="BW772" s="140">
        <v>60.2</v>
      </c>
      <c r="BY772" s="140">
        <v>8.3000000000000007</v>
      </c>
      <c r="CJ772" s="140" t="s">
        <v>8139</v>
      </c>
    </row>
    <row r="773" spans="1:91">
      <c r="A773" s="158" t="s">
        <v>7732</v>
      </c>
      <c r="B773" s="112" t="s">
        <v>271</v>
      </c>
      <c r="C773" s="112">
        <v>3</v>
      </c>
      <c r="D773">
        <v>117</v>
      </c>
      <c r="E773" s="113">
        <v>84</v>
      </c>
      <c r="F773" s="113">
        <v>4</v>
      </c>
      <c r="I773" s="112">
        <v>28</v>
      </c>
      <c r="J773" s="183">
        <v>41705</v>
      </c>
      <c r="M773" s="184">
        <v>3.79</v>
      </c>
      <c r="N773" s="157">
        <v>41853</v>
      </c>
      <c r="S773" s="139">
        <v>12.6</v>
      </c>
      <c r="T773" s="157">
        <v>41853</v>
      </c>
      <c r="U773" s="139">
        <v>15.3</v>
      </c>
      <c r="Y773" s="139">
        <f t="shared" si="12"/>
        <v>4.9820000000000002</v>
      </c>
      <c r="AA773" s="139">
        <v>47</v>
      </c>
      <c r="AE773" s="139">
        <v>24.91</v>
      </c>
      <c r="AG773" s="185">
        <v>5.3</v>
      </c>
      <c r="AI773" s="185">
        <v>130</v>
      </c>
      <c r="AJ773" s="157">
        <v>41803</v>
      </c>
      <c r="AO773" s="139">
        <v>93</v>
      </c>
      <c r="AP773" s="157">
        <v>41738</v>
      </c>
      <c r="AS773" s="139">
        <v>128</v>
      </c>
      <c r="AT773" s="157">
        <v>41766</v>
      </c>
      <c r="BS773" s="140">
        <v>50.6</v>
      </c>
      <c r="BU773" s="140">
        <v>20</v>
      </c>
      <c r="BW773" s="140">
        <v>18.100000000000001</v>
      </c>
      <c r="BY773" s="140">
        <v>8.5</v>
      </c>
      <c r="CJ773" s="140" t="s">
        <v>8140</v>
      </c>
    </row>
    <row r="774" spans="1:91">
      <c r="A774" s="158" t="s">
        <v>7703</v>
      </c>
      <c r="B774" s="112" t="s">
        <v>271</v>
      </c>
      <c r="C774" s="112">
        <v>3</v>
      </c>
      <c r="D774">
        <v>88</v>
      </c>
      <c r="E774" s="113">
        <v>84</v>
      </c>
      <c r="F774" s="113">
        <v>5</v>
      </c>
      <c r="I774" s="112">
        <v>41</v>
      </c>
      <c r="J774" s="183">
        <v>41705</v>
      </c>
      <c r="M774" s="184">
        <v>3.87</v>
      </c>
      <c r="N774" s="157">
        <v>41853</v>
      </c>
      <c r="S774" s="139">
        <v>13.23</v>
      </c>
      <c r="T774" s="157">
        <v>41853</v>
      </c>
      <c r="U774" s="139">
        <v>15.3</v>
      </c>
      <c r="Y774" s="139">
        <f t="shared" si="12"/>
        <v>4.9292199999999999</v>
      </c>
      <c r="AA774" s="139">
        <v>65.489999999999995</v>
      </c>
      <c r="AE774" s="139">
        <v>25.54</v>
      </c>
      <c r="AG774" s="185">
        <v>3.9</v>
      </c>
      <c r="AI774" s="185">
        <v>130</v>
      </c>
      <c r="AJ774" s="157">
        <v>41803</v>
      </c>
      <c r="AO774" s="139">
        <v>98</v>
      </c>
      <c r="AP774" s="157">
        <v>41738</v>
      </c>
      <c r="AS774" s="139">
        <v>128</v>
      </c>
      <c r="AT774" s="157">
        <v>41766</v>
      </c>
      <c r="BS774" s="140">
        <v>51.8</v>
      </c>
      <c r="BU774" s="140">
        <v>19.3</v>
      </c>
      <c r="BW774" s="140">
        <v>12</v>
      </c>
      <c r="BY774" s="140">
        <v>8.1</v>
      </c>
      <c r="CJ774" s="140" t="s">
        <v>8131</v>
      </c>
    </row>
    <row r="775" spans="1:91">
      <c r="A775" s="158" t="s">
        <v>7790</v>
      </c>
      <c r="B775" s="112" t="s">
        <v>271</v>
      </c>
      <c r="C775" s="112">
        <v>3</v>
      </c>
      <c r="D775">
        <v>175</v>
      </c>
      <c r="E775" s="113">
        <v>84</v>
      </c>
      <c r="F775" s="113">
        <v>6</v>
      </c>
      <c r="I775" s="112">
        <v>44</v>
      </c>
      <c r="J775" s="183">
        <v>41705</v>
      </c>
      <c r="M775" s="184">
        <v>4.4400000000000004</v>
      </c>
      <c r="N775" s="157">
        <v>41853</v>
      </c>
      <c r="S775" s="139">
        <v>14.56</v>
      </c>
      <c r="T775" s="157">
        <v>41853</v>
      </c>
      <c r="U775" s="139">
        <v>15.3</v>
      </c>
      <c r="Y775" s="139">
        <f t="shared" si="12"/>
        <v>6.0234400000000008</v>
      </c>
      <c r="AA775" s="139">
        <v>59.67</v>
      </c>
      <c r="AE775" s="139">
        <v>29.24</v>
      </c>
      <c r="AG775" s="185">
        <v>4.9000000000000004</v>
      </c>
      <c r="AI775" s="185">
        <v>125</v>
      </c>
      <c r="AJ775" s="157">
        <v>41803</v>
      </c>
      <c r="AO775" s="139">
        <v>94</v>
      </c>
      <c r="AP775" s="157">
        <v>41738</v>
      </c>
      <c r="AS775" s="139">
        <v>127</v>
      </c>
      <c r="AT775" s="157">
        <v>41766</v>
      </c>
      <c r="BS775" s="140">
        <v>49.8</v>
      </c>
      <c r="BU775" s="140">
        <v>20.6</v>
      </c>
      <c r="BW775" s="140">
        <v>15.9</v>
      </c>
      <c r="BY775" s="140">
        <v>8.3000000000000007</v>
      </c>
      <c r="CJ775" s="140" t="s">
        <v>8140</v>
      </c>
    </row>
    <row r="776" spans="1:91">
      <c r="A776" s="158" t="s">
        <v>7707</v>
      </c>
      <c r="B776" s="112" t="s">
        <v>269</v>
      </c>
      <c r="C776" s="112">
        <v>4</v>
      </c>
      <c r="D776">
        <v>92</v>
      </c>
      <c r="E776" s="113">
        <v>84</v>
      </c>
      <c r="F776" s="113">
        <v>7</v>
      </c>
      <c r="I776" s="112">
        <v>30</v>
      </c>
      <c r="J776" s="183">
        <v>41705</v>
      </c>
      <c r="M776" s="184">
        <v>2.12</v>
      </c>
      <c r="N776" s="157">
        <v>41853</v>
      </c>
      <c r="S776" s="139">
        <v>7.5</v>
      </c>
      <c r="T776" s="157">
        <v>41853</v>
      </c>
      <c r="U776" s="139">
        <v>15.3</v>
      </c>
      <c r="Y776" s="139">
        <f t="shared" si="12"/>
        <v>2.4430000000000001</v>
      </c>
      <c r="AA776" s="139">
        <v>31.02</v>
      </c>
      <c r="AE776" s="139">
        <v>13.96</v>
      </c>
      <c r="AG776" s="185">
        <v>4.5</v>
      </c>
      <c r="AI776" s="185">
        <v>105</v>
      </c>
      <c r="AJ776" s="157">
        <v>41803</v>
      </c>
      <c r="AO776" s="139">
        <v>97</v>
      </c>
      <c r="AP776" s="157">
        <v>41738</v>
      </c>
      <c r="AS776" s="139">
        <v>128</v>
      </c>
      <c r="AT776" s="157">
        <v>41766</v>
      </c>
      <c r="BS776" s="140">
        <v>53.7</v>
      </c>
      <c r="BU776" s="140">
        <v>17.5</v>
      </c>
      <c r="BW776" s="140">
        <v>14</v>
      </c>
      <c r="BY776" s="140">
        <v>8.3000000000000007</v>
      </c>
      <c r="CJ776" s="140" t="s">
        <v>8131</v>
      </c>
    </row>
    <row r="777" spans="1:91">
      <c r="A777" s="158" t="s">
        <v>7616</v>
      </c>
      <c r="B777" s="112" t="s">
        <v>269</v>
      </c>
      <c r="C777" s="112">
        <v>4</v>
      </c>
      <c r="D777">
        <v>1</v>
      </c>
      <c r="E777" s="113">
        <v>84</v>
      </c>
      <c r="F777" s="113">
        <v>8</v>
      </c>
      <c r="I777" s="187">
        <v>55</v>
      </c>
      <c r="J777" s="183">
        <v>41705</v>
      </c>
      <c r="K777" s="142"/>
      <c r="M777" s="184">
        <v>1.73</v>
      </c>
      <c r="N777" s="157">
        <v>41853</v>
      </c>
      <c r="O777" s="141"/>
      <c r="Q777" s="142"/>
      <c r="S777" s="142">
        <v>5.76</v>
      </c>
      <c r="T777" s="157">
        <v>41853</v>
      </c>
      <c r="U777" s="142">
        <v>15.3</v>
      </c>
      <c r="W777" s="142"/>
      <c r="Y777" s="139">
        <f t="shared" si="12"/>
        <v>2.30078</v>
      </c>
      <c r="AA777" s="142">
        <v>28.48</v>
      </c>
      <c r="AE777" s="142">
        <v>11.39</v>
      </c>
      <c r="AG777" s="185">
        <v>4</v>
      </c>
      <c r="AI777" s="185">
        <v>115</v>
      </c>
      <c r="AJ777" s="157">
        <v>41803</v>
      </c>
      <c r="AK777" s="142"/>
      <c r="AM777" s="142"/>
      <c r="AO777" s="139">
        <v>95</v>
      </c>
      <c r="AP777" s="157">
        <v>41738</v>
      </c>
      <c r="AS777" s="139">
        <v>127</v>
      </c>
      <c r="AT777" s="157">
        <v>41766</v>
      </c>
      <c r="BS777" s="140">
        <v>50.6</v>
      </c>
      <c r="BU777" s="140">
        <v>20.2</v>
      </c>
      <c r="BW777" s="140">
        <v>54</v>
      </c>
      <c r="BY777" s="140">
        <v>8.3000000000000007</v>
      </c>
      <c r="CJ777" s="140" t="s">
        <v>8140</v>
      </c>
    </row>
    <row r="778" spans="1:91" s="198" customFormat="1">
      <c r="A778" s="158" t="s">
        <v>7711</v>
      </c>
      <c r="B778" s="112" t="s">
        <v>269</v>
      </c>
      <c r="C778" s="112">
        <v>4</v>
      </c>
      <c r="D778">
        <v>96</v>
      </c>
      <c r="E778" s="113">
        <v>84</v>
      </c>
      <c r="F778" s="113">
        <v>9</v>
      </c>
      <c r="G778" s="113"/>
      <c r="H778" s="113"/>
      <c r="I778" s="112">
        <v>36</v>
      </c>
      <c r="J778" s="183">
        <v>41705</v>
      </c>
      <c r="K778" s="139"/>
      <c r="L778" s="157"/>
      <c r="M778" s="184">
        <v>2.4700000000000002</v>
      </c>
      <c r="N778" s="157">
        <v>41853</v>
      </c>
      <c r="O778" s="139"/>
      <c r="P778" s="157"/>
      <c r="Q778" s="139"/>
      <c r="R778" s="157"/>
      <c r="S778" s="139">
        <v>8.83</v>
      </c>
      <c r="T778" s="157">
        <v>41853</v>
      </c>
      <c r="U778" s="139">
        <v>15.3</v>
      </c>
      <c r="V778" s="157"/>
      <c r="W778" s="139"/>
      <c r="X778" s="157"/>
      <c r="Y778" s="139">
        <f t="shared" si="12"/>
        <v>2.8960599999999999</v>
      </c>
      <c r="Z778" s="157"/>
      <c r="AA778" s="139">
        <v>41.72</v>
      </c>
      <c r="AB778" s="157"/>
      <c r="AC778" s="139"/>
      <c r="AD778" s="157"/>
      <c r="AE778" s="139">
        <v>16.27</v>
      </c>
      <c r="AF778" s="157"/>
      <c r="AG778" s="185">
        <v>3.9</v>
      </c>
      <c r="AH778" s="157"/>
      <c r="AI778" s="185">
        <v>110</v>
      </c>
      <c r="AJ778" s="157">
        <v>41803</v>
      </c>
      <c r="AK778" s="139"/>
      <c r="AL778" s="157"/>
      <c r="AM778" s="139"/>
      <c r="AN778" s="157"/>
      <c r="AO778" s="139">
        <v>91</v>
      </c>
      <c r="AP778" s="157">
        <v>41738</v>
      </c>
      <c r="AQ778" s="139"/>
      <c r="AR778" s="139"/>
      <c r="AS778" s="139">
        <v>127</v>
      </c>
      <c r="AT778" s="157">
        <v>41766</v>
      </c>
      <c r="AU778" s="139"/>
      <c r="AV778" s="139"/>
      <c r="AW778" s="139"/>
      <c r="AX778" s="139"/>
      <c r="AY778" s="139"/>
      <c r="AZ778" s="139"/>
      <c r="BA778" s="139"/>
      <c r="BB778" s="139"/>
      <c r="BC778" s="139"/>
      <c r="BD778" s="139"/>
      <c r="BE778" s="140"/>
      <c r="BF778" s="140"/>
      <c r="BG778" s="140"/>
      <c r="BH778" s="140"/>
      <c r="BI778" s="140"/>
      <c r="BJ778" s="140"/>
      <c r="BK778" s="140"/>
      <c r="BL778" s="140"/>
      <c r="BM778" s="140"/>
      <c r="BN778" s="140"/>
      <c r="BO778" s="140"/>
      <c r="BP778" s="140"/>
      <c r="BQ778" s="140"/>
      <c r="BR778" s="140"/>
      <c r="BS778" s="140">
        <v>54.3</v>
      </c>
      <c r="BT778" s="140"/>
      <c r="BU778" s="140">
        <v>17.8</v>
      </c>
      <c r="BV778" s="140"/>
      <c r="BW778" s="140">
        <v>8.3000000000000007</v>
      </c>
      <c r="BX778" s="140"/>
      <c r="BY778" s="140">
        <v>8.3000000000000007</v>
      </c>
      <c r="BZ778" s="140"/>
      <c r="CA778" s="140"/>
      <c r="CB778" s="140"/>
      <c r="CC778" s="140"/>
      <c r="CD778" s="140"/>
      <c r="CE778" s="140"/>
      <c r="CF778" s="140"/>
      <c r="CG778" s="140"/>
      <c r="CH778" s="140"/>
      <c r="CI778" s="140"/>
      <c r="CJ778" s="140" t="s">
        <v>8140</v>
      </c>
      <c r="CK778" s="140"/>
      <c r="CL778" s="140"/>
      <c r="CM778" s="140"/>
    </row>
    <row r="779" spans="1:91" s="198" customFormat="1">
      <c r="A779" s="158" t="s">
        <v>7802</v>
      </c>
      <c r="B779" s="112" t="s">
        <v>269</v>
      </c>
      <c r="C779" s="112">
        <v>4</v>
      </c>
      <c r="D779">
        <v>187</v>
      </c>
      <c r="E779" s="113">
        <v>84</v>
      </c>
      <c r="F779" s="113">
        <v>10</v>
      </c>
      <c r="G779" s="113"/>
      <c r="H779" s="113"/>
      <c r="I779" s="112">
        <v>34</v>
      </c>
      <c r="J779" s="183">
        <v>41705</v>
      </c>
      <c r="K779" s="139"/>
      <c r="L779" s="157"/>
      <c r="M779" s="184">
        <v>2.21</v>
      </c>
      <c r="N779" s="157">
        <v>41853</v>
      </c>
      <c r="O779" s="139"/>
      <c r="P779" s="157"/>
      <c r="Q779" s="139"/>
      <c r="R779" s="157"/>
      <c r="S779" s="139">
        <v>7.5</v>
      </c>
      <c r="T779" s="157">
        <v>41853</v>
      </c>
      <c r="U779" s="139">
        <v>15.3</v>
      </c>
      <c r="V779" s="157"/>
      <c r="W779" s="139"/>
      <c r="X779" s="157"/>
      <c r="Y779" s="139">
        <f t="shared" si="12"/>
        <v>2.82464</v>
      </c>
      <c r="Z779" s="157"/>
      <c r="AA779" s="139">
        <v>30.98</v>
      </c>
      <c r="AB779" s="157"/>
      <c r="AC779" s="139"/>
      <c r="AD779" s="157"/>
      <c r="AE779" s="139">
        <v>14.56</v>
      </c>
      <c r="AF779" s="157"/>
      <c r="AG779" s="185">
        <v>4.7</v>
      </c>
      <c r="AH779" s="157"/>
      <c r="AI779" s="185">
        <v>110</v>
      </c>
      <c r="AJ779" s="157">
        <v>41803</v>
      </c>
      <c r="AK779" s="139"/>
      <c r="AL779" s="157"/>
      <c r="AM779" s="139"/>
      <c r="AN779" s="157"/>
      <c r="AO779" s="139">
        <v>92</v>
      </c>
      <c r="AP779" s="157">
        <v>41738</v>
      </c>
      <c r="AQ779" s="139"/>
      <c r="AR779" s="139"/>
      <c r="AS779" s="139">
        <v>126</v>
      </c>
      <c r="AT779" s="157">
        <v>41766</v>
      </c>
      <c r="AU779" s="139"/>
      <c r="AV779" s="139"/>
      <c r="AW779" s="139"/>
      <c r="AX779" s="139"/>
      <c r="AY779" s="139"/>
      <c r="AZ779" s="139"/>
      <c r="BA779" s="139"/>
      <c r="BB779" s="139"/>
      <c r="BC779" s="139"/>
      <c r="BD779" s="139"/>
      <c r="BE779" s="140"/>
      <c r="BF779" s="140"/>
      <c r="BG779" s="140"/>
      <c r="BH779" s="140"/>
      <c r="BI779" s="140"/>
      <c r="BJ779" s="140"/>
      <c r="BK779" s="140"/>
      <c r="BL779" s="140"/>
      <c r="BM779" s="140"/>
      <c r="BN779" s="140"/>
      <c r="BO779" s="140"/>
      <c r="BP779" s="140"/>
      <c r="BQ779" s="140"/>
      <c r="BR779" s="140"/>
      <c r="BS779" s="140">
        <v>51.5</v>
      </c>
      <c r="BT779" s="140"/>
      <c r="BU779" s="140">
        <v>19.399999999999999</v>
      </c>
      <c r="BV779" s="140"/>
      <c r="BW779" s="140">
        <v>12.5</v>
      </c>
      <c r="BX779" s="140"/>
      <c r="BY779" s="140">
        <v>8.3000000000000007</v>
      </c>
      <c r="BZ779" s="140"/>
      <c r="CA779" s="140"/>
      <c r="CB779" s="140"/>
      <c r="CC779" s="140"/>
      <c r="CD779" s="140"/>
      <c r="CE779" s="140"/>
      <c r="CF779" s="140"/>
      <c r="CG779" s="140"/>
      <c r="CH779" s="140"/>
      <c r="CI779" s="140"/>
      <c r="CJ779" s="140" t="s">
        <v>8140</v>
      </c>
      <c r="CK779" s="140"/>
      <c r="CL779" s="140"/>
      <c r="CM779" s="140"/>
    </row>
    <row r="780" spans="1:91" s="198" customFormat="1">
      <c r="A780" s="188" t="s">
        <v>7619</v>
      </c>
      <c r="B780" s="189" t="s">
        <v>269</v>
      </c>
      <c r="C780" s="189">
        <v>4</v>
      </c>
      <c r="D780" s="190">
        <v>4</v>
      </c>
      <c r="E780" s="191">
        <v>84</v>
      </c>
      <c r="F780" s="191">
        <v>11</v>
      </c>
      <c r="G780" s="191"/>
      <c r="H780" s="191"/>
      <c r="I780" s="385">
        <v>61</v>
      </c>
      <c r="J780" s="193">
        <v>41705</v>
      </c>
      <c r="K780" s="200"/>
      <c r="L780" s="195"/>
      <c r="M780" s="196">
        <v>0.56999999999999995</v>
      </c>
      <c r="N780" s="195">
        <v>41853</v>
      </c>
      <c r="O780" s="199"/>
      <c r="P780" s="195"/>
      <c r="Q780" s="200"/>
      <c r="R780" s="195"/>
      <c r="S780" s="200">
        <v>1.83</v>
      </c>
      <c r="T780" s="195">
        <v>41853</v>
      </c>
      <c r="U780" s="200">
        <v>15.3</v>
      </c>
      <c r="V780" s="195"/>
      <c r="W780" s="200"/>
      <c r="X780" s="195"/>
      <c r="Y780" s="139">
        <f t="shared" si="12"/>
        <v>0.77249999999999996</v>
      </c>
      <c r="Z780" s="195"/>
      <c r="AA780" s="200">
        <v>8.93</v>
      </c>
      <c r="AB780" s="195"/>
      <c r="AC780" s="194"/>
      <c r="AD780" s="195"/>
      <c r="AE780" s="200">
        <v>3.75</v>
      </c>
      <c r="AF780" s="195"/>
      <c r="AG780" s="197">
        <v>4.2</v>
      </c>
      <c r="AH780" s="195"/>
      <c r="AI780" s="197">
        <v>90</v>
      </c>
      <c r="AJ780" s="195">
        <v>41803</v>
      </c>
      <c r="AK780" s="200"/>
      <c r="AL780" s="195"/>
      <c r="AM780" s="200"/>
      <c r="AN780" s="195"/>
      <c r="AO780" s="194">
        <v>89</v>
      </c>
      <c r="AP780" s="195">
        <v>41738</v>
      </c>
      <c r="AQ780" s="194"/>
      <c r="AR780" s="194"/>
      <c r="AS780" s="194">
        <v>128</v>
      </c>
      <c r="AT780" s="195">
        <v>41766</v>
      </c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S780" s="198">
        <v>48.9</v>
      </c>
      <c r="BU780" s="198">
        <v>20.6</v>
      </c>
      <c r="BW780" s="198">
        <v>60.8</v>
      </c>
      <c r="BY780" s="198">
        <v>8.3000000000000007</v>
      </c>
      <c r="CJ780" s="198" t="s">
        <v>8144</v>
      </c>
    </row>
    <row r="781" spans="1:91" s="198" customFormat="1">
      <c r="A781" s="158" t="s">
        <v>7694</v>
      </c>
      <c r="B781" s="112" t="s">
        <v>269</v>
      </c>
      <c r="C781" s="112">
        <v>4</v>
      </c>
      <c r="D781">
        <v>79</v>
      </c>
      <c r="E781" s="113">
        <v>84</v>
      </c>
      <c r="F781" s="113">
        <v>12</v>
      </c>
      <c r="G781" s="113"/>
      <c r="H781" s="113"/>
      <c r="I781" s="112">
        <v>32</v>
      </c>
      <c r="J781" s="183">
        <v>41705</v>
      </c>
      <c r="K781" s="139"/>
      <c r="L781" s="157"/>
      <c r="M781" s="184">
        <v>2.21</v>
      </c>
      <c r="N781" s="157">
        <v>41853</v>
      </c>
      <c r="O781" s="139"/>
      <c r="P781" s="157"/>
      <c r="Q781" s="139"/>
      <c r="R781" s="157"/>
      <c r="S781" s="139">
        <v>7.75</v>
      </c>
      <c r="T781" s="157">
        <v>41853</v>
      </c>
      <c r="U781" s="139">
        <v>15.3</v>
      </c>
      <c r="V781" s="157"/>
      <c r="W781" s="139"/>
      <c r="X781" s="157"/>
      <c r="Y781" s="139">
        <f t="shared" si="12"/>
        <v>2.4606399999999997</v>
      </c>
      <c r="Z781" s="157"/>
      <c r="AA781" s="139">
        <v>38.32</v>
      </c>
      <c r="AB781" s="157"/>
      <c r="AC781" s="139"/>
      <c r="AD781" s="157"/>
      <c r="AE781" s="139">
        <v>14.56</v>
      </c>
      <c r="AF781" s="157"/>
      <c r="AG781" s="185">
        <v>3.8</v>
      </c>
      <c r="AH781" s="157"/>
      <c r="AI781" s="185">
        <v>105</v>
      </c>
      <c r="AJ781" s="157">
        <v>41803</v>
      </c>
      <c r="AK781" s="139"/>
      <c r="AL781" s="157"/>
      <c r="AM781" s="139"/>
      <c r="AN781" s="157"/>
      <c r="AO781" s="139">
        <v>90</v>
      </c>
      <c r="AP781" s="157">
        <v>41738</v>
      </c>
      <c r="AQ781" s="139"/>
      <c r="AR781" s="139"/>
      <c r="AS781" s="139">
        <v>126</v>
      </c>
      <c r="AT781" s="157">
        <v>41766</v>
      </c>
      <c r="AU781" s="139"/>
      <c r="AV781" s="139"/>
      <c r="AW781" s="139"/>
      <c r="AX781" s="139"/>
      <c r="AY781" s="139"/>
      <c r="AZ781" s="139"/>
      <c r="BA781" s="139"/>
      <c r="BB781" s="139"/>
      <c r="BC781" s="139"/>
      <c r="BD781" s="139"/>
      <c r="BE781" s="140"/>
      <c r="BF781" s="140"/>
      <c r="BG781" s="140"/>
      <c r="BH781" s="140"/>
      <c r="BI781" s="140"/>
      <c r="BJ781" s="140"/>
      <c r="BK781" s="140"/>
      <c r="BL781" s="140"/>
      <c r="BM781" s="140"/>
      <c r="BN781" s="140"/>
      <c r="BO781" s="140"/>
      <c r="BP781" s="140"/>
      <c r="BQ781" s="140"/>
      <c r="BR781" s="140"/>
      <c r="BS781" s="140">
        <v>53.2</v>
      </c>
      <c r="BT781" s="140"/>
      <c r="BU781" s="140">
        <v>16.899999999999999</v>
      </c>
      <c r="BV781" s="140"/>
      <c r="BW781" s="140">
        <v>12.5</v>
      </c>
      <c r="BX781" s="140"/>
      <c r="BY781" s="140">
        <v>8.3000000000000007</v>
      </c>
      <c r="BZ781" s="140"/>
      <c r="CA781" s="140"/>
      <c r="CB781" s="140"/>
      <c r="CC781" s="140"/>
      <c r="CD781" s="140"/>
      <c r="CE781" s="140"/>
      <c r="CF781" s="140"/>
      <c r="CG781" s="140"/>
      <c r="CH781" s="140"/>
      <c r="CI781" s="140"/>
      <c r="CJ781" s="140" t="s">
        <v>8140</v>
      </c>
      <c r="CK781" s="140"/>
      <c r="CL781" s="140"/>
      <c r="CM781" s="140"/>
    </row>
    <row r="782" spans="1:91">
      <c r="A782" s="158" t="s">
        <v>7738</v>
      </c>
      <c r="B782" s="112" t="s">
        <v>271</v>
      </c>
      <c r="C782" s="112">
        <v>3</v>
      </c>
      <c r="D782">
        <v>123</v>
      </c>
      <c r="E782" s="113">
        <v>85</v>
      </c>
      <c r="F782" s="113">
        <v>1</v>
      </c>
      <c r="I782" s="112">
        <v>31</v>
      </c>
      <c r="J782" s="183">
        <v>41705</v>
      </c>
      <c r="M782" s="184">
        <v>3.05</v>
      </c>
      <c r="N782" s="157">
        <v>41853</v>
      </c>
      <c r="S782" s="139">
        <v>10.17</v>
      </c>
      <c r="T782" s="157">
        <v>41853</v>
      </c>
      <c r="U782" s="139">
        <v>15.3</v>
      </c>
      <c r="Y782" s="139">
        <f t="shared" si="12"/>
        <v>4.5091199999999994</v>
      </c>
      <c r="AA782" s="139">
        <v>41.08</v>
      </c>
      <c r="AE782" s="139">
        <v>20.13</v>
      </c>
      <c r="AG782" s="185">
        <v>4.9000000000000004</v>
      </c>
      <c r="AI782" s="185">
        <v>135</v>
      </c>
      <c r="AJ782" s="157">
        <v>41803</v>
      </c>
      <c r="AO782" s="139">
        <v>93</v>
      </c>
      <c r="AP782" s="157">
        <v>41738</v>
      </c>
      <c r="AS782" s="139">
        <v>127</v>
      </c>
      <c r="AT782" s="157">
        <v>41766</v>
      </c>
      <c r="BS782" s="140">
        <v>50.5</v>
      </c>
      <c r="BU782" s="140">
        <v>22.4</v>
      </c>
      <c r="BW782" s="140">
        <v>19</v>
      </c>
      <c r="BY782" s="140">
        <v>8.1</v>
      </c>
      <c r="CJ782" s="140" t="s">
        <v>8140</v>
      </c>
    </row>
    <row r="783" spans="1:91">
      <c r="A783" s="158" t="s">
        <v>7902</v>
      </c>
      <c r="B783" s="112" t="s">
        <v>271</v>
      </c>
      <c r="C783" s="112">
        <v>3</v>
      </c>
      <c r="D783">
        <v>208</v>
      </c>
      <c r="E783" s="113">
        <v>85</v>
      </c>
      <c r="F783" s="113">
        <v>2</v>
      </c>
      <c r="I783" s="112">
        <v>50</v>
      </c>
      <c r="J783" s="183">
        <v>41705</v>
      </c>
      <c r="M783" s="184">
        <v>4.22</v>
      </c>
      <c r="N783" s="157">
        <v>41853</v>
      </c>
      <c r="S783" s="139">
        <v>13.75</v>
      </c>
      <c r="T783" s="157">
        <v>41853</v>
      </c>
      <c r="U783" s="139">
        <v>15.3</v>
      </c>
      <c r="Y783" s="139">
        <f t="shared" si="12"/>
        <v>5.7678399999999996</v>
      </c>
      <c r="AA783" s="139">
        <v>66.02</v>
      </c>
      <c r="AE783" s="139">
        <v>27.73</v>
      </c>
      <c r="AG783" s="185">
        <v>4.2</v>
      </c>
      <c r="AI783" s="185">
        <v>130</v>
      </c>
      <c r="AJ783" s="157">
        <v>41803</v>
      </c>
      <c r="AO783" s="139">
        <v>88</v>
      </c>
      <c r="AP783" s="157">
        <v>41738</v>
      </c>
      <c r="AS783" s="139">
        <v>127</v>
      </c>
      <c r="AT783" s="157">
        <v>41766</v>
      </c>
      <c r="BS783" s="140">
        <v>49.6</v>
      </c>
      <c r="BU783" s="140">
        <v>20.8</v>
      </c>
      <c r="BW783" s="140">
        <v>21.2</v>
      </c>
      <c r="BY783" s="140">
        <v>8.5</v>
      </c>
      <c r="CJ783" s="140" t="s">
        <v>8140</v>
      </c>
    </row>
    <row r="784" spans="1:91">
      <c r="A784" s="158" t="s">
        <v>7719</v>
      </c>
      <c r="B784" s="112" t="s">
        <v>271</v>
      </c>
      <c r="C784" s="112">
        <v>3</v>
      </c>
      <c r="D784">
        <v>104</v>
      </c>
      <c r="E784" s="113">
        <v>85</v>
      </c>
      <c r="F784" s="113">
        <v>3</v>
      </c>
      <c r="I784" s="112">
        <v>31</v>
      </c>
      <c r="J784" s="183">
        <v>41705</v>
      </c>
      <c r="M784" s="184">
        <v>3.93</v>
      </c>
      <c r="N784" s="157">
        <v>41853</v>
      </c>
      <c r="S784" s="139">
        <v>12.79</v>
      </c>
      <c r="T784" s="157">
        <v>41853</v>
      </c>
      <c r="U784" s="139">
        <v>15.3</v>
      </c>
      <c r="Y784" s="139">
        <f t="shared" si="12"/>
        <v>5.656769999999999</v>
      </c>
      <c r="AA784" s="139">
        <v>63</v>
      </c>
      <c r="AE784" s="139">
        <v>25.83</v>
      </c>
      <c r="AG784" s="185">
        <v>4.0999999999999996</v>
      </c>
      <c r="AI784" s="185">
        <v>115</v>
      </c>
      <c r="AJ784" s="157">
        <v>41803</v>
      </c>
      <c r="AO784" s="139">
        <v>93</v>
      </c>
      <c r="AP784" s="157">
        <v>41738</v>
      </c>
      <c r="AS784" s="139">
        <v>127</v>
      </c>
      <c r="AT784" s="157">
        <v>41766</v>
      </c>
      <c r="BS784" s="140">
        <v>49.5</v>
      </c>
      <c r="BU784" s="140">
        <v>21.9</v>
      </c>
      <c r="BW784" s="140">
        <v>11.7</v>
      </c>
      <c r="BY784" s="140">
        <v>8.5</v>
      </c>
      <c r="CJ784" s="140" t="s">
        <v>8140</v>
      </c>
    </row>
    <row r="785" spans="1:91">
      <c r="A785" s="158" t="s">
        <v>7662</v>
      </c>
      <c r="B785" s="112" t="s">
        <v>271</v>
      </c>
      <c r="C785" s="112">
        <v>3</v>
      </c>
      <c r="D785">
        <v>47</v>
      </c>
      <c r="E785" s="113">
        <v>85</v>
      </c>
      <c r="F785" s="113">
        <v>4</v>
      </c>
      <c r="I785" s="112">
        <v>64</v>
      </c>
      <c r="J785" s="183">
        <v>41705</v>
      </c>
      <c r="M785" s="184">
        <v>4.01</v>
      </c>
      <c r="N785" s="157">
        <v>41853</v>
      </c>
      <c r="S785" s="139">
        <v>13.1</v>
      </c>
      <c r="T785" s="157">
        <v>41853</v>
      </c>
      <c r="U785" s="139">
        <v>15.3</v>
      </c>
      <c r="Y785" s="139">
        <f t="shared" si="12"/>
        <v>5.8102</v>
      </c>
      <c r="AA785" s="139">
        <v>71.38</v>
      </c>
      <c r="AE785" s="139">
        <v>26.41</v>
      </c>
      <c r="AG785" s="185">
        <v>3.7</v>
      </c>
      <c r="AI785" s="185">
        <v>130</v>
      </c>
      <c r="AJ785" s="157">
        <v>41803</v>
      </c>
      <c r="AO785" s="139">
        <v>94</v>
      </c>
      <c r="AP785" s="157">
        <v>41738</v>
      </c>
      <c r="AS785" s="139">
        <v>128</v>
      </c>
      <c r="AT785" s="157">
        <v>41766</v>
      </c>
      <c r="BS785" s="140">
        <v>49.6</v>
      </c>
      <c r="BU785" s="140">
        <v>22</v>
      </c>
      <c r="BW785" s="140">
        <v>46.7</v>
      </c>
      <c r="BY785" s="140">
        <v>8.3000000000000007</v>
      </c>
      <c r="CJ785" s="140" t="s">
        <v>8140</v>
      </c>
    </row>
    <row r="786" spans="1:91">
      <c r="A786" s="158" t="s">
        <v>7776</v>
      </c>
      <c r="B786" s="112" t="s">
        <v>271</v>
      </c>
      <c r="C786" s="112">
        <v>3</v>
      </c>
      <c r="D786">
        <v>161</v>
      </c>
      <c r="E786" s="113">
        <v>85</v>
      </c>
      <c r="F786" s="113">
        <v>5</v>
      </c>
      <c r="I786" s="112">
        <v>33</v>
      </c>
      <c r="J786" s="183">
        <v>41705</v>
      </c>
      <c r="M786" s="184">
        <v>4.24</v>
      </c>
      <c r="N786" s="157">
        <v>41853</v>
      </c>
      <c r="S786" s="139">
        <v>13.94</v>
      </c>
      <c r="T786" s="157">
        <v>41853</v>
      </c>
      <c r="U786" s="139">
        <v>15.3</v>
      </c>
      <c r="Y786" s="139">
        <f t="shared" si="12"/>
        <v>6.0026999999999999</v>
      </c>
      <c r="AA786" s="139">
        <v>59.68</v>
      </c>
      <c r="AE786" s="139">
        <v>28.05</v>
      </c>
      <c r="AG786" s="185">
        <v>4.7</v>
      </c>
      <c r="AI786" s="185">
        <v>120</v>
      </c>
      <c r="AJ786" s="157">
        <v>41803</v>
      </c>
      <c r="AO786" s="139">
        <v>91</v>
      </c>
      <c r="AP786" s="157">
        <v>41738</v>
      </c>
      <c r="AS786" s="139">
        <v>127</v>
      </c>
      <c r="AT786" s="157">
        <v>41766</v>
      </c>
      <c r="BS786" s="140">
        <v>49.7</v>
      </c>
      <c r="BU786" s="140">
        <v>21.4</v>
      </c>
      <c r="BW786" s="140">
        <v>13.8</v>
      </c>
      <c r="BY786" s="140">
        <v>7.9</v>
      </c>
      <c r="CJ786" s="140" t="s">
        <v>8140</v>
      </c>
    </row>
    <row r="787" spans="1:91">
      <c r="A787" s="158" t="s">
        <v>7712</v>
      </c>
      <c r="B787" s="112" t="s">
        <v>271</v>
      </c>
      <c r="C787" s="112">
        <v>3</v>
      </c>
      <c r="D787">
        <v>97</v>
      </c>
      <c r="E787" s="113">
        <v>85</v>
      </c>
      <c r="F787" s="113">
        <v>6</v>
      </c>
      <c r="I787" s="112">
        <v>40</v>
      </c>
      <c r="J787" s="183">
        <v>41705</v>
      </c>
      <c r="M787" s="184">
        <v>3.93</v>
      </c>
      <c r="N787" s="157">
        <v>41853</v>
      </c>
      <c r="S787" s="139">
        <v>13.11</v>
      </c>
      <c r="T787" s="157">
        <v>41853</v>
      </c>
      <c r="U787" s="139">
        <v>15.3</v>
      </c>
      <c r="Y787" s="139">
        <f t="shared" si="12"/>
        <v>5.3498199999999994</v>
      </c>
      <c r="AA787" s="139">
        <v>56.46</v>
      </c>
      <c r="AE787" s="139">
        <v>25.97</v>
      </c>
      <c r="AG787" s="185">
        <v>4.5999999999999996</v>
      </c>
      <c r="AI787" s="185">
        <v>125</v>
      </c>
      <c r="AJ787" s="157">
        <v>41803</v>
      </c>
      <c r="AO787" s="139">
        <v>94</v>
      </c>
      <c r="AP787" s="157">
        <v>41738</v>
      </c>
      <c r="AS787" s="139">
        <v>128</v>
      </c>
      <c r="AT787" s="157">
        <v>41766</v>
      </c>
      <c r="BS787" s="140">
        <v>50.5</v>
      </c>
      <c r="BU787" s="140">
        <v>20.6</v>
      </c>
      <c r="BW787" s="140">
        <v>14</v>
      </c>
      <c r="BY787" s="140">
        <v>8</v>
      </c>
      <c r="CJ787" s="140" t="s">
        <v>8140</v>
      </c>
    </row>
    <row r="788" spans="1:91">
      <c r="A788" s="188" t="s">
        <v>7645</v>
      </c>
      <c r="B788" s="189" t="s">
        <v>269</v>
      </c>
      <c r="C788" s="189">
        <v>4</v>
      </c>
      <c r="D788" s="190">
        <v>30</v>
      </c>
      <c r="E788" s="191">
        <v>85</v>
      </c>
      <c r="F788" s="191">
        <v>7</v>
      </c>
      <c r="G788" s="191"/>
      <c r="H788" s="191"/>
      <c r="I788" s="189">
        <v>42</v>
      </c>
      <c r="J788" s="193">
        <v>41705</v>
      </c>
      <c r="K788" s="194"/>
      <c r="L788" s="195"/>
      <c r="M788" s="196">
        <v>1.22</v>
      </c>
      <c r="N788" s="195">
        <v>41853</v>
      </c>
      <c r="O788" s="194"/>
      <c r="P788" s="195"/>
      <c r="Q788" s="194"/>
      <c r="R788" s="195"/>
      <c r="S788" s="194">
        <v>4.03</v>
      </c>
      <c r="T788" s="195">
        <v>41853</v>
      </c>
      <c r="U788" s="194">
        <v>15.3</v>
      </c>
      <c r="V788" s="195"/>
      <c r="W788" s="194"/>
      <c r="X788" s="195"/>
      <c r="Y788" s="139">
        <f t="shared" si="12"/>
        <v>1.62408</v>
      </c>
      <c r="Z788" s="195"/>
      <c r="AA788" s="194">
        <v>20.100000000000001</v>
      </c>
      <c r="AB788" s="195"/>
      <c r="AC788" s="194"/>
      <c r="AD788" s="195"/>
      <c r="AE788" s="194">
        <v>8.0399999999999991</v>
      </c>
      <c r="AF788" s="195"/>
      <c r="AG788" s="197">
        <v>4</v>
      </c>
      <c r="AH788" s="195"/>
      <c r="AI788" s="197">
        <v>100</v>
      </c>
      <c r="AJ788" s="195">
        <v>41803</v>
      </c>
      <c r="AK788" s="194"/>
      <c r="AL788" s="195"/>
      <c r="AM788" s="194"/>
      <c r="AN788" s="195"/>
      <c r="AO788" s="194">
        <v>87</v>
      </c>
      <c r="AP788" s="195">
        <v>41738</v>
      </c>
      <c r="AQ788" s="194"/>
      <c r="AR788" s="194"/>
      <c r="AS788" s="194">
        <v>127</v>
      </c>
      <c r="AT788" s="195">
        <v>41766</v>
      </c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8"/>
      <c r="BF788" s="198"/>
      <c r="BG788" s="198"/>
      <c r="BH788" s="198"/>
      <c r="BI788" s="198"/>
      <c r="BJ788" s="198"/>
      <c r="BK788" s="198"/>
      <c r="BL788" s="198"/>
      <c r="BM788" s="198"/>
      <c r="BN788" s="198"/>
      <c r="BO788" s="198"/>
      <c r="BP788" s="198"/>
      <c r="BQ788" s="198"/>
      <c r="BR788" s="198"/>
      <c r="BS788" s="198">
        <v>50.1</v>
      </c>
      <c r="BT788" s="198"/>
      <c r="BU788" s="198">
        <v>20.2</v>
      </c>
      <c r="BV788" s="198"/>
      <c r="BW788" s="198">
        <v>60.8</v>
      </c>
      <c r="BX788" s="198"/>
      <c r="BY788" s="198">
        <v>8.3000000000000007</v>
      </c>
      <c r="BZ788" s="198"/>
      <c r="CA788" s="198"/>
      <c r="CB788" s="198"/>
      <c r="CC788" s="198"/>
      <c r="CD788" s="198"/>
      <c r="CE788" s="198"/>
      <c r="CF788" s="198"/>
      <c r="CG788" s="198"/>
      <c r="CH788" s="198"/>
      <c r="CI788" s="198"/>
      <c r="CJ788" s="198" t="s">
        <v>8140</v>
      </c>
      <c r="CK788" s="198"/>
      <c r="CL788" s="198"/>
      <c r="CM788" s="198"/>
    </row>
    <row r="789" spans="1:91">
      <c r="A789" s="158" t="s">
        <v>7774</v>
      </c>
      <c r="B789" s="112" t="s">
        <v>269</v>
      </c>
      <c r="C789" s="112">
        <v>4</v>
      </c>
      <c r="D789">
        <v>159</v>
      </c>
      <c r="E789" s="113">
        <v>85</v>
      </c>
      <c r="F789" s="113">
        <v>8</v>
      </c>
      <c r="I789" s="112">
        <v>27</v>
      </c>
      <c r="J789" s="183">
        <v>41705</v>
      </c>
      <c r="M789" s="184">
        <v>2.5099999999999998</v>
      </c>
      <c r="N789" s="157">
        <v>41853</v>
      </c>
      <c r="S789" s="139">
        <v>8.6</v>
      </c>
      <c r="T789" s="157">
        <v>41853</v>
      </c>
      <c r="U789" s="139">
        <v>15.3</v>
      </c>
      <c r="Y789" s="139">
        <f t="shared" si="12"/>
        <v>2.9588700000000001</v>
      </c>
      <c r="AA789" s="139">
        <v>34.44</v>
      </c>
      <c r="AE789" s="139">
        <v>16.53</v>
      </c>
      <c r="AG789" s="185">
        <v>4.8</v>
      </c>
      <c r="AI789" s="185">
        <v>110</v>
      </c>
      <c r="AJ789" s="157">
        <v>41803</v>
      </c>
      <c r="AO789" s="139">
        <v>90</v>
      </c>
      <c r="AP789" s="157">
        <v>41738</v>
      </c>
      <c r="AS789" s="139">
        <v>127</v>
      </c>
      <c r="AT789" s="157">
        <v>41766</v>
      </c>
      <c r="BS789" s="140">
        <v>52</v>
      </c>
      <c r="BU789" s="140">
        <v>17.899999999999999</v>
      </c>
      <c r="BW789" s="140">
        <v>13.5</v>
      </c>
      <c r="BY789" s="140">
        <v>8.3000000000000007</v>
      </c>
      <c r="CJ789" s="140" t="s">
        <v>8140</v>
      </c>
    </row>
    <row r="790" spans="1:91">
      <c r="A790" s="158" t="s">
        <v>7676</v>
      </c>
      <c r="B790" s="112" t="s">
        <v>269</v>
      </c>
      <c r="C790" s="112">
        <v>4</v>
      </c>
      <c r="D790">
        <v>61</v>
      </c>
      <c r="E790" s="113">
        <v>85</v>
      </c>
      <c r="F790" s="113">
        <v>9</v>
      </c>
      <c r="I790" s="112">
        <v>25</v>
      </c>
      <c r="J790" s="183">
        <v>41705</v>
      </c>
      <c r="M790" s="184">
        <v>2.4300000000000002</v>
      </c>
      <c r="N790" s="157">
        <v>41853</v>
      </c>
      <c r="S790" s="139">
        <v>8.56</v>
      </c>
      <c r="T790" s="157">
        <v>41853</v>
      </c>
      <c r="U790" s="139">
        <v>15.3</v>
      </c>
      <c r="Y790" s="139">
        <f t="shared" si="12"/>
        <v>2.7680000000000002</v>
      </c>
      <c r="AA790" s="139">
        <v>38.1</v>
      </c>
      <c r="AE790" s="139">
        <v>16</v>
      </c>
      <c r="AG790" s="185">
        <v>4.2</v>
      </c>
      <c r="AI790" s="185">
        <v>105</v>
      </c>
      <c r="AJ790" s="157">
        <v>41803</v>
      </c>
      <c r="AO790" s="139">
        <v>93</v>
      </c>
      <c r="AP790" s="157">
        <v>41738</v>
      </c>
      <c r="AS790" s="139">
        <v>127</v>
      </c>
      <c r="AT790" s="157">
        <v>41766</v>
      </c>
      <c r="BS790" s="140">
        <v>53.5</v>
      </c>
      <c r="BU790" s="140">
        <v>17.3</v>
      </c>
      <c r="BW790" s="140">
        <v>20.5</v>
      </c>
      <c r="BY790" s="140">
        <v>8.3000000000000007</v>
      </c>
      <c r="CJ790" s="140" t="s">
        <v>8140</v>
      </c>
    </row>
    <row r="791" spans="1:91">
      <c r="A791" s="188" t="s">
        <v>7746</v>
      </c>
      <c r="B791" s="189" t="s">
        <v>269</v>
      </c>
      <c r="C791" s="189">
        <v>4</v>
      </c>
      <c r="D791" s="190">
        <v>131</v>
      </c>
      <c r="E791" s="191">
        <v>85</v>
      </c>
      <c r="F791" s="191">
        <v>10</v>
      </c>
      <c r="G791" s="191"/>
      <c r="H791" s="191"/>
      <c r="I791" s="189">
        <v>40</v>
      </c>
      <c r="J791" s="193">
        <v>41705</v>
      </c>
      <c r="K791" s="194"/>
      <c r="L791" s="195"/>
      <c r="M791" s="196">
        <v>0.17</v>
      </c>
      <c r="N791" s="195">
        <v>41853</v>
      </c>
      <c r="O791" s="194"/>
      <c r="P791" s="195"/>
      <c r="Q791" s="194"/>
      <c r="R791" s="195"/>
      <c r="S791" s="194">
        <v>0.51</v>
      </c>
      <c r="T791" s="195">
        <v>41853</v>
      </c>
      <c r="U791" s="194">
        <v>15.3</v>
      </c>
      <c r="V791" s="195"/>
      <c r="W791" s="194"/>
      <c r="X791" s="195"/>
      <c r="Y791" s="139">
        <f t="shared" si="12"/>
        <v>0.29792000000000007</v>
      </c>
      <c r="Z791" s="195"/>
      <c r="AA791" s="194">
        <v>2.6</v>
      </c>
      <c r="AB791" s="195"/>
      <c r="AC791" s="194"/>
      <c r="AD791" s="195"/>
      <c r="AE791" s="194">
        <v>1.1200000000000001</v>
      </c>
      <c r="AF791" s="195"/>
      <c r="AG791" s="197">
        <v>4.3</v>
      </c>
      <c r="AH791" s="195"/>
      <c r="AI791" s="197">
        <v>100</v>
      </c>
      <c r="AJ791" s="195">
        <v>41803</v>
      </c>
      <c r="AK791" s="194"/>
      <c r="AL791" s="195"/>
      <c r="AM791" s="194"/>
      <c r="AN791" s="195"/>
      <c r="AO791" s="194">
        <v>75</v>
      </c>
      <c r="AP791" s="195">
        <v>41738</v>
      </c>
      <c r="AQ791" s="194"/>
      <c r="AR791" s="194"/>
      <c r="AS791" s="194">
        <v>126</v>
      </c>
      <c r="AT791" s="195">
        <v>41766</v>
      </c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8"/>
      <c r="BF791" s="198"/>
      <c r="BG791" s="198"/>
      <c r="BH791" s="198"/>
      <c r="BI791" s="198"/>
      <c r="BJ791" s="198"/>
      <c r="BK791" s="198"/>
      <c r="BL791" s="198"/>
      <c r="BM791" s="198"/>
      <c r="BN791" s="198"/>
      <c r="BO791" s="198"/>
      <c r="BP791" s="198"/>
      <c r="BQ791" s="198"/>
      <c r="BR791" s="198"/>
      <c r="BS791" s="198">
        <v>45.9</v>
      </c>
      <c r="BT791" s="198"/>
      <c r="BU791" s="198">
        <v>26.6</v>
      </c>
      <c r="BV791" s="198"/>
      <c r="BW791" s="198">
        <v>69.7</v>
      </c>
      <c r="BX791" s="198"/>
      <c r="BY791" s="198">
        <v>8.3000000000000007</v>
      </c>
      <c r="BZ791" s="198"/>
      <c r="CA791" s="198"/>
      <c r="CB791" s="198"/>
      <c r="CC791" s="198"/>
      <c r="CD791" s="198"/>
      <c r="CE791" s="198"/>
      <c r="CF791" s="198"/>
      <c r="CG791" s="198"/>
      <c r="CH791" s="198"/>
      <c r="CI791" s="198"/>
      <c r="CJ791" s="198" t="s">
        <v>8146</v>
      </c>
      <c r="CK791" s="198"/>
      <c r="CL791" s="198"/>
      <c r="CM791" s="198"/>
    </row>
    <row r="792" spans="1:91">
      <c r="A792" s="158" t="s">
        <v>7696</v>
      </c>
      <c r="B792" s="112" t="s">
        <v>269</v>
      </c>
      <c r="C792" s="112">
        <v>4</v>
      </c>
      <c r="D792">
        <v>81</v>
      </c>
      <c r="E792" s="113">
        <v>85</v>
      </c>
      <c r="F792" s="113">
        <v>11</v>
      </c>
      <c r="I792" s="112">
        <v>28</v>
      </c>
      <c r="J792" s="183">
        <v>41705</v>
      </c>
      <c r="M792" s="184">
        <v>2.14</v>
      </c>
      <c r="N792" s="157">
        <v>41853</v>
      </c>
      <c r="S792" s="139">
        <v>7.35</v>
      </c>
      <c r="T792" s="157">
        <v>41853</v>
      </c>
      <c r="U792" s="139">
        <v>15.3</v>
      </c>
      <c r="Y792" s="139">
        <f t="shared" si="12"/>
        <v>2.6207400000000001</v>
      </c>
      <c r="AA792" s="139">
        <v>29.98</v>
      </c>
      <c r="AE792" s="139">
        <v>14.09</v>
      </c>
      <c r="AG792" s="185">
        <v>4.7</v>
      </c>
      <c r="AI792" s="185">
        <v>105</v>
      </c>
      <c r="AJ792" s="157">
        <v>41803</v>
      </c>
      <c r="AO792" s="139">
        <v>92</v>
      </c>
      <c r="AP792" s="157">
        <v>41738</v>
      </c>
      <c r="AS792" s="139">
        <v>127</v>
      </c>
      <c r="AT792" s="157">
        <v>41766</v>
      </c>
      <c r="BS792" s="140">
        <v>52.2</v>
      </c>
      <c r="BU792" s="140">
        <v>18.600000000000001</v>
      </c>
      <c r="BW792" s="140">
        <v>14.1</v>
      </c>
      <c r="BY792" s="140">
        <v>8.3000000000000007</v>
      </c>
      <c r="CJ792" s="140" t="s">
        <v>8140</v>
      </c>
    </row>
    <row r="793" spans="1:91">
      <c r="A793" s="158" t="s">
        <v>7809</v>
      </c>
      <c r="B793" s="112" t="s">
        <v>269</v>
      </c>
      <c r="C793" s="112">
        <v>4</v>
      </c>
      <c r="D793">
        <v>194</v>
      </c>
      <c r="E793" s="113">
        <v>85</v>
      </c>
      <c r="F793" s="113">
        <v>12</v>
      </c>
      <c r="I793" s="112">
        <v>58</v>
      </c>
      <c r="J793" s="183">
        <v>41705</v>
      </c>
      <c r="M793" s="184">
        <v>2.4700000000000002</v>
      </c>
      <c r="N793" s="157">
        <v>41853</v>
      </c>
      <c r="S793" s="139">
        <v>8.83</v>
      </c>
      <c r="T793" s="157">
        <v>41853</v>
      </c>
      <c r="U793" s="139">
        <v>15.3</v>
      </c>
      <c r="Y793" s="139">
        <f t="shared" si="12"/>
        <v>2.5218500000000001</v>
      </c>
      <c r="AA793" s="139">
        <v>36.979999999999997</v>
      </c>
      <c r="AE793" s="139">
        <v>16.27</v>
      </c>
      <c r="AG793" s="185">
        <v>4.4000000000000004</v>
      </c>
      <c r="AI793" s="185">
        <v>105</v>
      </c>
      <c r="AJ793" s="157">
        <v>41803</v>
      </c>
      <c r="AO793" s="139">
        <v>93</v>
      </c>
      <c r="AP793" s="157">
        <v>41738</v>
      </c>
      <c r="AS793" s="139">
        <v>127</v>
      </c>
      <c r="AT793" s="157">
        <v>41766</v>
      </c>
      <c r="BS793" s="140">
        <v>54.3</v>
      </c>
      <c r="BU793" s="140">
        <v>15.5</v>
      </c>
      <c r="BW793" s="140">
        <v>12.6</v>
      </c>
      <c r="BY793" s="140">
        <v>8.3000000000000007</v>
      </c>
      <c r="CJ793" s="140" t="s">
        <v>8140</v>
      </c>
    </row>
    <row r="794" spans="1:91">
      <c r="A794" s="158" t="s">
        <v>7643</v>
      </c>
      <c r="B794" s="112" t="s">
        <v>271</v>
      </c>
      <c r="C794" s="112">
        <v>3</v>
      </c>
      <c r="D794">
        <v>28</v>
      </c>
      <c r="E794" s="113">
        <v>86</v>
      </c>
      <c r="F794" s="113">
        <v>1</v>
      </c>
      <c r="I794" s="112">
        <v>45</v>
      </c>
      <c r="J794" s="183">
        <v>41705</v>
      </c>
      <c r="M794" s="184">
        <v>2.04</v>
      </c>
      <c r="N794" s="157">
        <v>41853</v>
      </c>
      <c r="S794" s="139">
        <v>6.33</v>
      </c>
      <c r="T794" s="157">
        <v>41853</v>
      </c>
      <c r="U794" s="139">
        <v>15.3</v>
      </c>
      <c r="Y794" s="139">
        <f t="shared" si="12"/>
        <v>3.1781700000000002</v>
      </c>
      <c r="AA794" s="139">
        <v>24.38</v>
      </c>
      <c r="AE794" s="139">
        <v>13.41</v>
      </c>
      <c r="AG794" s="185">
        <v>5.5</v>
      </c>
      <c r="AI794" s="185">
        <v>130</v>
      </c>
      <c r="AJ794" s="157">
        <v>41803</v>
      </c>
      <c r="AO794" s="139">
        <v>94</v>
      </c>
      <c r="AP794" s="157">
        <v>41738</v>
      </c>
      <c r="AS794" s="139">
        <v>129</v>
      </c>
      <c r="AT794" s="157">
        <v>41766</v>
      </c>
      <c r="BS794" s="140">
        <v>47.2</v>
      </c>
      <c r="BU794" s="140">
        <v>23.7</v>
      </c>
      <c r="BW794" s="140">
        <v>70.3</v>
      </c>
      <c r="BY794" s="140">
        <v>8.5</v>
      </c>
      <c r="CJ794" s="140" t="s">
        <v>8139</v>
      </c>
    </row>
    <row r="795" spans="1:91">
      <c r="A795" s="158" t="s">
        <v>7795</v>
      </c>
      <c r="B795" s="112" t="s">
        <v>271</v>
      </c>
      <c r="C795" s="112">
        <v>3</v>
      </c>
      <c r="D795">
        <v>180</v>
      </c>
      <c r="E795" s="113">
        <v>86</v>
      </c>
      <c r="F795" s="113">
        <v>2</v>
      </c>
      <c r="I795" s="112">
        <v>50</v>
      </c>
      <c r="J795" s="183">
        <v>41705</v>
      </c>
      <c r="M795" s="184">
        <v>3.95</v>
      </c>
      <c r="N795" s="157">
        <v>41853</v>
      </c>
      <c r="S795" s="139">
        <v>12.66</v>
      </c>
      <c r="T795" s="157">
        <v>41853</v>
      </c>
      <c r="U795" s="139">
        <v>15.3</v>
      </c>
      <c r="Y795" s="139">
        <f t="shared" si="12"/>
        <v>5.4955199999999991</v>
      </c>
      <c r="AA795" s="139">
        <v>45.05</v>
      </c>
      <c r="AE795" s="139">
        <v>25.68</v>
      </c>
      <c r="AG795" s="185">
        <v>5.7</v>
      </c>
      <c r="AI795" s="185">
        <v>135</v>
      </c>
      <c r="AJ795" s="157">
        <v>41803</v>
      </c>
      <c r="AO795" s="139">
        <v>92</v>
      </c>
      <c r="AP795" s="157">
        <v>41738</v>
      </c>
      <c r="AS795" s="139">
        <v>127</v>
      </c>
      <c r="AT795" s="157">
        <v>41766</v>
      </c>
      <c r="BS795" s="140">
        <v>49.3</v>
      </c>
      <c r="BU795" s="140">
        <v>21.4</v>
      </c>
      <c r="BW795" s="140">
        <v>17.7</v>
      </c>
      <c r="BY795" s="140">
        <v>9.5</v>
      </c>
      <c r="CJ795" s="140" t="s">
        <v>8140</v>
      </c>
    </row>
    <row r="796" spans="1:91">
      <c r="A796" s="158" t="s">
        <v>7618</v>
      </c>
      <c r="B796" s="112" t="s">
        <v>271</v>
      </c>
      <c r="C796" s="112">
        <v>3</v>
      </c>
      <c r="D796">
        <v>3</v>
      </c>
      <c r="E796" s="113">
        <v>86</v>
      </c>
      <c r="F796" s="113">
        <v>3</v>
      </c>
      <c r="I796" s="187">
        <v>33</v>
      </c>
      <c r="J796" s="183">
        <v>41705</v>
      </c>
      <c r="K796" s="142"/>
      <c r="M796" s="184">
        <v>2.19</v>
      </c>
      <c r="N796" s="157">
        <v>41853</v>
      </c>
      <c r="O796" s="141"/>
      <c r="Q796" s="142"/>
      <c r="S796" s="142">
        <v>6.71</v>
      </c>
      <c r="T796" s="157">
        <v>41853</v>
      </c>
      <c r="U796" s="142">
        <v>15.3</v>
      </c>
      <c r="W796" s="142"/>
      <c r="Y796" s="139">
        <f t="shared" si="12"/>
        <v>3.3528700000000002</v>
      </c>
      <c r="AA796" s="142">
        <v>31.28</v>
      </c>
      <c r="AE796" s="142">
        <v>14.39</v>
      </c>
      <c r="AG796" s="185">
        <v>4.5999999999999996</v>
      </c>
      <c r="AI796" s="185">
        <v>120</v>
      </c>
      <c r="AJ796" s="157">
        <v>41803</v>
      </c>
      <c r="AK796" s="142"/>
      <c r="AM796" s="142"/>
      <c r="AO796" s="139">
        <v>94</v>
      </c>
      <c r="AP796" s="157">
        <v>41738</v>
      </c>
      <c r="AS796" s="139">
        <v>126</v>
      </c>
      <c r="AT796" s="157">
        <v>41766</v>
      </c>
      <c r="BS796" s="140">
        <v>46.6</v>
      </c>
      <c r="BU796" s="140">
        <v>23.3</v>
      </c>
      <c r="BW796" s="140">
        <v>68.400000000000006</v>
      </c>
      <c r="BY796" s="140">
        <v>8.5</v>
      </c>
      <c r="CJ796" s="140" t="s">
        <v>8140</v>
      </c>
    </row>
    <row r="797" spans="1:91">
      <c r="A797" s="158" t="s">
        <v>7718</v>
      </c>
      <c r="B797" s="112" t="s">
        <v>271</v>
      </c>
      <c r="C797" s="112">
        <v>3</v>
      </c>
      <c r="D797">
        <v>103</v>
      </c>
      <c r="E797" s="113">
        <v>86</v>
      </c>
      <c r="F797" s="113">
        <v>4</v>
      </c>
      <c r="I797" s="112">
        <v>24</v>
      </c>
      <c r="J797" s="183">
        <v>41705</v>
      </c>
      <c r="M797" s="184">
        <v>4.04</v>
      </c>
      <c r="N797" s="157">
        <v>41853</v>
      </c>
      <c r="S797" s="139">
        <v>13.44</v>
      </c>
      <c r="T797" s="157">
        <v>41853</v>
      </c>
      <c r="U797" s="139">
        <v>15.3</v>
      </c>
      <c r="Y797" s="139">
        <f t="shared" si="12"/>
        <v>5.4507599999999998</v>
      </c>
      <c r="AA797" s="139">
        <v>58.8</v>
      </c>
      <c r="AE797" s="139">
        <v>26.46</v>
      </c>
      <c r="AG797" s="185">
        <v>4.5</v>
      </c>
      <c r="AI797" s="185">
        <v>125</v>
      </c>
      <c r="AJ797" s="157">
        <v>41803</v>
      </c>
      <c r="AO797" s="139">
        <v>94</v>
      </c>
      <c r="AP797" s="157">
        <v>41738</v>
      </c>
      <c r="AS797" s="139">
        <v>128</v>
      </c>
      <c r="AT797" s="157">
        <v>41766</v>
      </c>
      <c r="BS797" s="140">
        <v>50.8</v>
      </c>
      <c r="BU797" s="140">
        <v>20.6</v>
      </c>
      <c r="BW797" s="140">
        <v>15.9</v>
      </c>
      <c r="BY797" s="140">
        <v>8.8000000000000007</v>
      </c>
      <c r="CJ797" s="140" t="s">
        <v>8140</v>
      </c>
    </row>
    <row r="798" spans="1:91">
      <c r="A798" s="158" t="s">
        <v>7651</v>
      </c>
      <c r="B798" s="112" t="s">
        <v>271</v>
      </c>
      <c r="C798" s="112">
        <v>3</v>
      </c>
      <c r="D798">
        <v>36</v>
      </c>
      <c r="E798" s="113">
        <v>86</v>
      </c>
      <c r="F798" s="113">
        <v>5</v>
      </c>
      <c r="I798" s="112">
        <v>11</v>
      </c>
      <c r="J798" s="183">
        <v>41705</v>
      </c>
      <c r="M798" s="184">
        <v>2.65</v>
      </c>
      <c r="N798" s="157">
        <v>41853</v>
      </c>
      <c r="S798" s="139">
        <v>8.73</v>
      </c>
      <c r="T798" s="157">
        <v>41853</v>
      </c>
      <c r="U798" s="139">
        <v>15.3</v>
      </c>
      <c r="Y798" s="139">
        <f t="shared" si="12"/>
        <v>3.5362600000000004</v>
      </c>
      <c r="AA798" s="139">
        <v>44.67</v>
      </c>
      <c r="AE798" s="139">
        <v>17.420000000000002</v>
      </c>
      <c r="AG798" s="185">
        <v>3.9</v>
      </c>
      <c r="AI798" s="185">
        <v>120</v>
      </c>
      <c r="AJ798" s="157">
        <v>41803</v>
      </c>
      <c r="AO798" s="139">
        <v>89</v>
      </c>
      <c r="AP798" s="157">
        <v>41738</v>
      </c>
      <c r="AS798" s="139">
        <v>128</v>
      </c>
      <c r="AT798" s="157">
        <v>41766</v>
      </c>
      <c r="BS798" s="140">
        <v>50.1</v>
      </c>
      <c r="BU798" s="140">
        <v>20.3</v>
      </c>
      <c r="BW798" s="140">
        <v>45.1</v>
      </c>
      <c r="BY798" s="140">
        <v>8.5</v>
      </c>
      <c r="CJ798" s="140" t="s">
        <v>8140</v>
      </c>
    </row>
    <row r="799" spans="1:91">
      <c r="A799" s="158" t="s">
        <v>7648</v>
      </c>
      <c r="B799" s="112" t="s">
        <v>271</v>
      </c>
      <c r="C799" s="112">
        <v>3</v>
      </c>
      <c r="D799">
        <v>33</v>
      </c>
      <c r="E799" s="113">
        <v>86</v>
      </c>
      <c r="F799" s="113">
        <v>6</v>
      </c>
      <c r="I799" s="112">
        <v>37</v>
      </c>
      <c r="J799" s="183">
        <v>41705</v>
      </c>
      <c r="M799" s="184">
        <v>3.06</v>
      </c>
      <c r="N799" s="157">
        <v>41853</v>
      </c>
      <c r="S799" s="139">
        <v>9.5</v>
      </c>
      <c r="T799" s="157">
        <v>41853</v>
      </c>
      <c r="U799" s="139">
        <v>15.3</v>
      </c>
      <c r="Y799" s="139">
        <f t="shared" si="12"/>
        <v>4.8835600000000001</v>
      </c>
      <c r="AA799" s="139">
        <v>44.84</v>
      </c>
      <c r="AE799" s="139">
        <v>20.18</v>
      </c>
      <c r="AG799" s="185">
        <v>4.5</v>
      </c>
      <c r="AI799" s="185">
        <v>120</v>
      </c>
      <c r="AJ799" s="157">
        <v>41803</v>
      </c>
      <c r="AO799" s="139">
        <v>94</v>
      </c>
      <c r="AP799" s="157">
        <v>41738</v>
      </c>
      <c r="AS799" s="139">
        <v>128</v>
      </c>
      <c r="AT799" s="157">
        <v>41766</v>
      </c>
      <c r="BS799" s="140">
        <v>47.1</v>
      </c>
      <c r="BU799" s="140">
        <v>24.2</v>
      </c>
      <c r="BW799" s="140">
        <v>70.900000000000006</v>
      </c>
      <c r="BY799" s="140">
        <v>8.1999999999999993</v>
      </c>
      <c r="CJ799" s="140" t="s">
        <v>8140</v>
      </c>
    </row>
    <row r="800" spans="1:91">
      <c r="A800" s="158" t="s">
        <v>7750</v>
      </c>
      <c r="B800" s="112" t="s">
        <v>269</v>
      </c>
      <c r="C800" s="112">
        <v>4</v>
      </c>
      <c r="D800">
        <v>135</v>
      </c>
      <c r="E800" s="113">
        <v>86</v>
      </c>
      <c r="F800" s="113">
        <v>7</v>
      </c>
      <c r="I800" s="112">
        <v>31</v>
      </c>
      <c r="J800" s="183">
        <v>41705</v>
      </c>
      <c r="M800" s="184">
        <v>1.62</v>
      </c>
      <c r="N800" s="157">
        <v>41853</v>
      </c>
      <c r="S800" s="139">
        <v>5.34</v>
      </c>
      <c r="T800" s="157">
        <v>41853</v>
      </c>
      <c r="U800" s="139">
        <v>15.3</v>
      </c>
      <c r="Y800" s="139">
        <f t="shared" si="12"/>
        <v>2.2684500000000001</v>
      </c>
      <c r="AA800" s="139">
        <v>26.63</v>
      </c>
      <c r="AE800" s="139">
        <v>10.65</v>
      </c>
      <c r="AG800" s="185">
        <v>4</v>
      </c>
      <c r="AI800" s="185">
        <v>120</v>
      </c>
      <c r="AJ800" s="157">
        <v>41803</v>
      </c>
      <c r="AO800" s="139">
        <v>90</v>
      </c>
      <c r="AP800" s="157">
        <v>41738</v>
      </c>
      <c r="AS800" s="139">
        <v>127</v>
      </c>
      <c r="AT800" s="157">
        <v>41766</v>
      </c>
      <c r="BS800" s="140">
        <v>50.1</v>
      </c>
      <c r="BU800" s="140">
        <v>21.3</v>
      </c>
      <c r="BW800" s="140">
        <v>58.5</v>
      </c>
      <c r="BY800" s="140">
        <v>8.5</v>
      </c>
      <c r="CJ800" s="140" t="s">
        <v>8140</v>
      </c>
    </row>
    <row r="801" spans="1:91">
      <c r="A801" s="158" t="s">
        <v>7816</v>
      </c>
      <c r="B801" s="112" t="s">
        <v>269</v>
      </c>
      <c r="C801" s="112">
        <v>4</v>
      </c>
      <c r="D801">
        <v>201</v>
      </c>
      <c r="E801" s="113">
        <v>86</v>
      </c>
      <c r="F801" s="113">
        <v>8</v>
      </c>
      <c r="I801" s="112">
        <v>42</v>
      </c>
      <c r="J801" s="183">
        <v>41705</v>
      </c>
      <c r="M801" s="184">
        <v>2.5499999999999998</v>
      </c>
      <c r="N801" s="157">
        <v>41853</v>
      </c>
      <c r="S801" s="139">
        <v>8.83</v>
      </c>
      <c r="T801" s="157">
        <v>41853</v>
      </c>
      <c r="U801" s="139">
        <v>15.3</v>
      </c>
      <c r="Y801" s="139">
        <f t="shared" si="12"/>
        <v>2.8827199999999999</v>
      </c>
      <c r="AA801" s="139">
        <v>38.090000000000003</v>
      </c>
      <c r="AE801" s="139">
        <v>16.760000000000002</v>
      </c>
      <c r="AG801" s="185">
        <v>4.4000000000000004</v>
      </c>
      <c r="AI801" s="185">
        <v>115</v>
      </c>
      <c r="AJ801" s="157">
        <v>41803</v>
      </c>
      <c r="AO801" s="139">
        <v>93</v>
      </c>
      <c r="AP801" s="157">
        <v>41738</v>
      </c>
      <c r="AS801" s="139">
        <v>127</v>
      </c>
      <c r="AT801" s="157">
        <v>41766</v>
      </c>
      <c r="BS801" s="140">
        <v>52.7</v>
      </c>
      <c r="BU801" s="140">
        <v>17.2</v>
      </c>
      <c r="BW801" s="140">
        <v>13.6</v>
      </c>
      <c r="BY801" s="140">
        <v>8.5</v>
      </c>
      <c r="CJ801" s="140" t="s">
        <v>8140</v>
      </c>
    </row>
    <row r="802" spans="1:91">
      <c r="A802" s="158" t="s">
        <v>7807</v>
      </c>
      <c r="B802" s="112" t="s">
        <v>269</v>
      </c>
      <c r="C802" s="112">
        <v>4</v>
      </c>
      <c r="D802">
        <v>192</v>
      </c>
      <c r="E802" s="113">
        <v>86</v>
      </c>
      <c r="F802" s="113">
        <v>9</v>
      </c>
      <c r="I802" s="112">
        <v>46</v>
      </c>
      <c r="J802" s="183">
        <v>41705</v>
      </c>
      <c r="M802" s="184">
        <v>3.13</v>
      </c>
      <c r="N802" s="157">
        <v>41853</v>
      </c>
      <c r="S802" s="139">
        <v>10.93</v>
      </c>
      <c r="T802" s="157">
        <v>41853</v>
      </c>
      <c r="U802" s="139">
        <v>15.3</v>
      </c>
      <c r="Y802" s="139">
        <f t="shared" si="12"/>
        <v>3.2880000000000003</v>
      </c>
      <c r="AA802" s="139">
        <v>46.7</v>
      </c>
      <c r="AE802" s="139">
        <v>20.55</v>
      </c>
      <c r="AG802" s="185">
        <v>4.4000000000000004</v>
      </c>
      <c r="AI802" s="185">
        <v>105</v>
      </c>
      <c r="AJ802" s="157">
        <v>41803</v>
      </c>
      <c r="AO802" s="139">
        <v>93</v>
      </c>
      <c r="AP802" s="157">
        <v>41738</v>
      </c>
      <c r="AS802" s="139">
        <v>127</v>
      </c>
      <c r="AT802" s="157">
        <v>41766</v>
      </c>
      <c r="BS802" s="140">
        <v>53.2</v>
      </c>
      <c r="BU802" s="140">
        <v>16</v>
      </c>
      <c r="BW802" s="140">
        <v>8.5</v>
      </c>
      <c r="BY802" s="140">
        <v>8.6</v>
      </c>
      <c r="CJ802" s="140" t="s">
        <v>8140</v>
      </c>
    </row>
    <row r="803" spans="1:91">
      <c r="A803" s="158" t="s">
        <v>7653</v>
      </c>
      <c r="B803" s="112" t="s">
        <v>269</v>
      </c>
      <c r="C803" s="112">
        <v>4</v>
      </c>
      <c r="D803">
        <v>38</v>
      </c>
      <c r="E803" s="113">
        <v>86</v>
      </c>
      <c r="F803" s="113">
        <v>10</v>
      </c>
      <c r="I803" s="112">
        <v>42</v>
      </c>
      <c r="J803" s="183">
        <v>41705</v>
      </c>
      <c r="M803" s="184">
        <v>0.98</v>
      </c>
      <c r="N803" s="157">
        <v>41853</v>
      </c>
      <c r="S803" s="139">
        <v>3.07</v>
      </c>
      <c r="T803" s="157">
        <v>41853</v>
      </c>
      <c r="U803" s="139">
        <v>15.3</v>
      </c>
      <c r="Y803" s="139">
        <f t="shared" si="12"/>
        <v>1.4812000000000001</v>
      </c>
      <c r="AA803" s="139">
        <v>9.4700000000000006</v>
      </c>
      <c r="AE803" s="139">
        <v>6.44</v>
      </c>
      <c r="AG803" s="185">
        <v>6.8</v>
      </c>
      <c r="AI803" s="185">
        <v>105</v>
      </c>
      <c r="AJ803" s="157">
        <v>41803</v>
      </c>
      <c r="AO803" s="139">
        <v>89</v>
      </c>
      <c r="AP803" s="157">
        <v>41738</v>
      </c>
      <c r="AS803" s="139">
        <v>127</v>
      </c>
      <c r="AT803" s="157">
        <v>41766</v>
      </c>
      <c r="BS803" s="140">
        <v>47.6</v>
      </c>
      <c r="BU803" s="140">
        <v>23</v>
      </c>
      <c r="BW803" s="140">
        <v>69.099999999999994</v>
      </c>
      <c r="BY803" s="140">
        <v>8.5</v>
      </c>
      <c r="CJ803" s="140" t="s">
        <v>8140</v>
      </c>
    </row>
    <row r="804" spans="1:91">
      <c r="A804" s="158" t="s">
        <v>7706</v>
      </c>
      <c r="B804" s="112" t="s">
        <v>269</v>
      </c>
      <c r="C804" s="112">
        <v>4</v>
      </c>
      <c r="D804">
        <v>91</v>
      </c>
      <c r="E804" s="113">
        <v>86</v>
      </c>
      <c r="F804" s="113">
        <v>11</v>
      </c>
      <c r="I804" s="112">
        <v>23</v>
      </c>
      <c r="J804" s="183">
        <v>41705</v>
      </c>
      <c r="M804" s="184">
        <v>1.82</v>
      </c>
      <c r="N804" s="157">
        <v>41853</v>
      </c>
      <c r="S804" s="139">
        <v>6.16</v>
      </c>
      <c r="T804" s="157">
        <v>41853</v>
      </c>
      <c r="U804" s="139">
        <v>15.3</v>
      </c>
      <c r="Y804" s="139">
        <f t="shared" si="12"/>
        <v>2.17672</v>
      </c>
      <c r="AA804" s="139">
        <v>26.58</v>
      </c>
      <c r="AE804" s="139">
        <v>11.96</v>
      </c>
      <c r="AG804" s="185">
        <v>4.5</v>
      </c>
      <c r="AI804" s="185">
        <v>115</v>
      </c>
      <c r="AJ804" s="157">
        <v>41803</v>
      </c>
      <c r="AO804" s="139">
        <v>97</v>
      </c>
      <c r="AP804" s="157">
        <v>41738</v>
      </c>
      <c r="AS804" s="139">
        <v>128</v>
      </c>
      <c r="AT804" s="157">
        <v>41766</v>
      </c>
      <c r="BS804" s="140">
        <v>51.5</v>
      </c>
      <c r="BU804" s="140">
        <v>18.2</v>
      </c>
      <c r="BW804" s="140">
        <v>15.5</v>
      </c>
      <c r="BY804" s="140">
        <v>8.5</v>
      </c>
      <c r="CJ804" s="140" t="s">
        <v>8131</v>
      </c>
    </row>
    <row r="805" spans="1:91">
      <c r="A805" s="158" t="s">
        <v>7729</v>
      </c>
      <c r="B805" s="112" t="s">
        <v>269</v>
      </c>
      <c r="C805" s="112">
        <v>4</v>
      </c>
      <c r="D805">
        <v>114</v>
      </c>
      <c r="E805" s="113">
        <v>86</v>
      </c>
      <c r="F805" s="113">
        <v>12</v>
      </c>
      <c r="I805" s="112">
        <v>44</v>
      </c>
      <c r="J805" s="183">
        <v>41705</v>
      </c>
      <c r="M805" s="184">
        <v>2</v>
      </c>
      <c r="N805" s="157">
        <v>41853</v>
      </c>
      <c r="S805" s="139">
        <v>6.81</v>
      </c>
      <c r="T805" s="157">
        <v>41853</v>
      </c>
      <c r="U805" s="139">
        <v>15.3</v>
      </c>
      <c r="Y805" s="139">
        <f t="shared" si="12"/>
        <v>2.3652000000000002</v>
      </c>
      <c r="AA805" s="139">
        <v>29.2</v>
      </c>
      <c r="AE805" s="139">
        <v>13.14</v>
      </c>
      <c r="AG805" s="185">
        <v>4.5</v>
      </c>
      <c r="AI805" s="185">
        <v>100</v>
      </c>
      <c r="AJ805" s="157">
        <v>41803</v>
      </c>
      <c r="AO805" s="139">
        <v>93</v>
      </c>
      <c r="AP805" s="157">
        <v>41738</v>
      </c>
      <c r="AS805" s="139">
        <v>128</v>
      </c>
      <c r="AT805" s="157">
        <v>41766</v>
      </c>
      <c r="BS805" s="140">
        <v>51.8</v>
      </c>
      <c r="BU805" s="140">
        <v>18</v>
      </c>
      <c r="BW805" s="140">
        <v>16.3</v>
      </c>
      <c r="BY805" s="140">
        <v>8.5</v>
      </c>
      <c r="CJ805" s="140" t="s">
        <v>8140</v>
      </c>
    </row>
    <row r="806" spans="1:91">
      <c r="A806" s="158" t="s">
        <v>7633</v>
      </c>
      <c r="B806" s="112" t="s">
        <v>271</v>
      </c>
      <c r="C806" s="112">
        <v>3</v>
      </c>
      <c r="D806">
        <v>18</v>
      </c>
      <c r="E806" s="113">
        <v>87</v>
      </c>
      <c r="F806" s="113">
        <v>1</v>
      </c>
      <c r="I806" s="187">
        <v>28</v>
      </c>
      <c r="J806" s="183">
        <v>41705</v>
      </c>
      <c r="K806" s="142"/>
      <c r="M806" s="184">
        <v>2.37</v>
      </c>
      <c r="N806" s="157">
        <v>41853</v>
      </c>
      <c r="O806" s="141"/>
      <c r="Q806" s="142"/>
      <c r="S806" s="142">
        <v>7.51</v>
      </c>
      <c r="T806" s="157">
        <v>41853</v>
      </c>
      <c r="U806" s="142">
        <v>15.3</v>
      </c>
      <c r="W806" s="142"/>
      <c r="Y806" s="139">
        <f t="shared" si="12"/>
        <v>3.9261599999999999</v>
      </c>
      <c r="AA806" s="142">
        <v>29.4</v>
      </c>
      <c r="AE806" s="142">
        <v>15.58</v>
      </c>
      <c r="AG806" s="185">
        <v>5.3</v>
      </c>
      <c r="AI806" s="185">
        <v>130</v>
      </c>
      <c r="AJ806" s="157">
        <v>41803</v>
      </c>
      <c r="AK806" s="142"/>
      <c r="AM806" s="142"/>
      <c r="AO806" s="139">
        <v>91</v>
      </c>
      <c r="AP806" s="157">
        <v>41738</v>
      </c>
      <c r="AS806" s="139">
        <v>128</v>
      </c>
      <c r="AT806" s="157">
        <v>41766</v>
      </c>
      <c r="BS806" s="140">
        <v>48.2</v>
      </c>
      <c r="BU806" s="140">
        <v>25.2</v>
      </c>
      <c r="BW806" s="140">
        <v>66.400000000000006</v>
      </c>
      <c r="BY806" s="140">
        <v>8.5</v>
      </c>
      <c r="CJ806" s="140" t="s">
        <v>8140</v>
      </c>
    </row>
    <row r="807" spans="1:91">
      <c r="A807" s="158" t="s">
        <v>7793</v>
      </c>
      <c r="B807" s="112" t="s">
        <v>271</v>
      </c>
      <c r="C807" s="112">
        <v>3</v>
      </c>
      <c r="D807">
        <v>178</v>
      </c>
      <c r="E807" s="113">
        <v>87</v>
      </c>
      <c r="F807" s="113">
        <v>2</v>
      </c>
      <c r="I807" s="112">
        <v>42</v>
      </c>
      <c r="J807" s="183">
        <v>41705</v>
      </c>
      <c r="M807" s="184">
        <v>4.24</v>
      </c>
      <c r="N807" s="157">
        <v>41853</v>
      </c>
      <c r="S807" s="139">
        <v>13.84</v>
      </c>
      <c r="T807" s="157">
        <v>41853</v>
      </c>
      <c r="U807" s="139">
        <v>15.3</v>
      </c>
      <c r="Y807" s="139">
        <f t="shared" si="12"/>
        <v>5.8404800000000003</v>
      </c>
      <c r="AA807" s="139">
        <v>48.56</v>
      </c>
      <c r="AE807" s="139">
        <v>27.68</v>
      </c>
      <c r="AG807" s="185">
        <v>5.7</v>
      </c>
      <c r="AI807" s="185">
        <v>125</v>
      </c>
      <c r="AJ807" s="157">
        <v>41803</v>
      </c>
      <c r="AO807" s="139">
        <v>92</v>
      </c>
      <c r="AP807" s="157">
        <v>41738</v>
      </c>
      <c r="AS807" s="139">
        <v>127</v>
      </c>
      <c r="AT807" s="157">
        <v>41766</v>
      </c>
      <c r="BS807" s="140">
        <v>50</v>
      </c>
      <c r="BU807" s="140">
        <v>21.1</v>
      </c>
      <c r="BW807" s="140">
        <v>13.6</v>
      </c>
      <c r="BY807" s="140">
        <v>9.1</v>
      </c>
      <c r="CJ807" s="140" t="s">
        <v>8140</v>
      </c>
    </row>
    <row r="808" spans="1:91">
      <c r="A808" s="158" t="s">
        <v>7812</v>
      </c>
      <c r="B808" s="112" t="s">
        <v>271</v>
      </c>
      <c r="C808" s="112">
        <v>3</v>
      </c>
      <c r="D808">
        <v>197</v>
      </c>
      <c r="E808" s="113">
        <v>87</v>
      </c>
      <c r="F808" s="113">
        <v>3</v>
      </c>
      <c r="I808" s="112">
        <v>27</v>
      </c>
      <c r="J808" s="183">
        <v>41705</v>
      </c>
      <c r="M808" s="184">
        <v>3.72</v>
      </c>
      <c r="N808" s="157">
        <v>41853</v>
      </c>
      <c r="S808" s="139">
        <v>12.13</v>
      </c>
      <c r="T808" s="157">
        <v>41853</v>
      </c>
      <c r="U808" s="139">
        <v>15.3</v>
      </c>
      <c r="Y808" s="139">
        <f t="shared" si="12"/>
        <v>5.2429999999999994</v>
      </c>
      <c r="AA808" s="139">
        <v>49</v>
      </c>
      <c r="AE808" s="139">
        <v>24.5</v>
      </c>
      <c r="AG808" s="185">
        <v>5</v>
      </c>
      <c r="AI808" s="185">
        <v>125</v>
      </c>
      <c r="AJ808" s="157">
        <v>41803</v>
      </c>
      <c r="AO808" s="139">
        <v>92</v>
      </c>
      <c r="AP808" s="157">
        <v>41738</v>
      </c>
      <c r="AS808" s="139">
        <v>127</v>
      </c>
      <c r="AT808" s="157">
        <v>41766</v>
      </c>
      <c r="BS808" s="140">
        <v>49.5</v>
      </c>
      <c r="BU808" s="140">
        <v>21.4</v>
      </c>
      <c r="BW808" s="140">
        <v>13.9</v>
      </c>
      <c r="BY808" s="140">
        <v>8.3000000000000007</v>
      </c>
      <c r="CJ808" s="140" t="s">
        <v>8140</v>
      </c>
    </row>
    <row r="809" spans="1:91">
      <c r="A809" s="158" t="s">
        <v>7794</v>
      </c>
      <c r="B809" s="112" t="s">
        <v>271</v>
      </c>
      <c r="C809" s="112">
        <v>3</v>
      </c>
      <c r="D809">
        <v>179</v>
      </c>
      <c r="E809" s="113">
        <v>87</v>
      </c>
      <c r="F809" s="113">
        <v>4</v>
      </c>
      <c r="I809" s="112">
        <v>24</v>
      </c>
      <c r="J809" s="183">
        <v>41705</v>
      </c>
      <c r="M809" s="184">
        <v>4.0199999999999996</v>
      </c>
      <c r="N809" s="157">
        <v>41853</v>
      </c>
      <c r="S809" s="139">
        <v>13.27</v>
      </c>
      <c r="T809" s="157">
        <v>41853</v>
      </c>
      <c r="U809" s="139">
        <v>15.3</v>
      </c>
      <c r="Y809" s="139">
        <f t="shared" si="12"/>
        <v>5.5078399999999998</v>
      </c>
      <c r="AA809" s="139">
        <v>60.18</v>
      </c>
      <c r="AE809" s="139">
        <v>26.48</v>
      </c>
      <c r="AG809" s="185">
        <v>4.4000000000000004</v>
      </c>
      <c r="AI809" s="185">
        <v>125</v>
      </c>
      <c r="AJ809" s="157">
        <v>41803</v>
      </c>
      <c r="AO809" s="139">
        <v>90</v>
      </c>
      <c r="AP809" s="157">
        <v>41738</v>
      </c>
      <c r="AS809" s="139">
        <v>127</v>
      </c>
      <c r="AT809" s="157">
        <v>41766</v>
      </c>
      <c r="BS809" s="140">
        <v>50.1</v>
      </c>
      <c r="BU809" s="140">
        <v>20.8</v>
      </c>
      <c r="BW809" s="140">
        <v>20.6</v>
      </c>
      <c r="BY809" s="140">
        <v>8.3000000000000007</v>
      </c>
      <c r="CJ809" s="140" t="s">
        <v>8140</v>
      </c>
    </row>
    <row r="810" spans="1:91">
      <c r="A810" s="158" t="s">
        <v>7716</v>
      </c>
      <c r="B810" s="112" t="s">
        <v>271</v>
      </c>
      <c r="C810" s="112">
        <v>3</v>
      </c>
      <c r="D810">
        <v>101</v>
      </c>
      <c r="E810" s="113">
        <v>87</v>
      </c>
      <c r="F810" s="113">
        <v>5</v>
      </c>
      <c r="I810" s="112">
        <v>27</v>
      </c>
      <c r="J810" s="183">
        <v>41705</v>
      </c>
      <c r="M810" s="184">
        <v>3.6</v>
      </c>
      <c r="N810" s="157">
        <v>41853</v>
      </c>
      <c r="S810" s="139">
        <v>11.92</v>
      </c>
      <c r="T810" s="157">
        <v>41853</v>
      </c>
      <c r="U810" s="139">
        <v>15.3</v>
      </c>
      <c r="Y810" s="139">
        <f t="shared" si="12"/>
        <v>4.7793199999999993</v>
      </c>
      <c r="AA810" s="139">
        <v>59.15</v>
      </c>
      <c r="AE810" s="139">
        <v>23.66</v>
      </c>
      <c r="AG810" s="185">
        <v>4</v>
      </c>
      <c r="AI810" s="185">
        <v>140</v>
      </c>
      <c r="AJ810" s="157">
        <v>41803</v>
      </c>
      <c r="AO810" s="139">
        <v>93</v>
      </c>
      <c r="AP810" s="157">
        <v>41738</v>
      </c>
      <c r="AS810" s="139">
        <v>128</v>
      </c>
      <c r="AT810" s="157">
        <v>41766</v>
      </c>
      <c r="BS810" s="140">
        <v>50.4</v>
      </c>
      <c r="BU810" s="140">
        <v>20.2</v>
      </c>
      <c r="BW810" s="140">
        <v>17.2</v>
      </c>
      <c r="BY810" s="140">
        <v>8.5</v>
      </c>
      <c r="CJ810" s="140" t="s">
        <v>8140</v>
      </c>
    </row>
    <row r="811" spans="1:91">
      <c r="A811" s="158" t="s">
        <v>7785</v>
      </c>
      <c r="B811" s="112" t="s">
        <v>271</v>
      </c>
      <c r="C811" s="112">
        <v>3</v>
      </c>
      <c r="D811">
        <v>170</v>
      </c>
      <c r="E811" s="113">
        <v>87</v>
      </c>
      <c r="F811" s="113">
        <v>6</v>
      </c>
      <c r="I811" s="112">
        <v>30</v>
      </c>
      <c r="J811" s="183">
        <v>41705</v>
      </c>
      <c r="M811" s="184">
        <v>3.47</v>
      </c>
      <c r="N811" s="157">
        <v>41853</v>
      </c>
      <c r="S811" s="139">
        <v>11.56</v>
      </c>
      <c r="T811" s="157">
        <v>41853</v>
      </c>
      <c r="U811" s="139">
        <v>15.3</v>
      </c>
      <c r="Y811" s="139">
        <f t="shared" si="12"/>
        <v>4.5243000000000002</v>
      </c>
      <c r="AA811" s="139">
        <v>50.78</v>
      </c>
      <c r="AE811" s="139">
        <v>22.85</v>
      </c>
      <c r="AG811" s="185">
        <v>4.5</v>
      </c>
      <c r="AI811" s="185">
        <v>130</v>
      </c>
      <c r="AJ811" s="157">
        <v>41803</v>
      </c>
      <c r="AO811" s="139">
        <v>94</v>
      </c>
      <c r="AP811" s="157">
        <v>41738</v>
      </c>
      <c r="AS811" s="139">
        <v>128</v>
      </c>
      <c r="AT811" s="157">
        <v>41766</v>
      </c>
      <c r="BS811" s="140">
        <v>50.6</v>
      </c>
      <c r="BU811" s="140">
        <v>19.8</v>
      </c>
      <c r="BW811" s="140">
        <v>11.7</v>
      </c>
      <c r="BY811" s="140">
        <v>8.3000000000000007</v>
      </c>
      <c r="CJ811" s="140" t="s">
        <v>8140</v>
      </c>
    </row>
    <row r="812" spans="1:91">
      <c r="A812" s="158" t="s">
        <v>7704</v>
      </c>
      <c r="B812" s="112" t="s">
        <v>269</v>
      </c>
      <c r="C812" s="112">
        <v>4</v>
      </c>
      <c r="D812">
        <v>89</v>
      </c>
      <c r="E812" s="113">
        <v>87</v>
      </c>
      <c r="F812" s="113">
        <v>7</v>
      </c>
      <c r="I812" s="112">
        <v>52</v>
      </c>
      <c r="J812" s="183">
        <v>41705</v>
      </c>
      <c r="M812" s="184">
        <v>2.11</v>
      </c>
      <c r="N812" s="157">
        <v>41853</v>
      </c>
      <c r="S812" s="139">
        <v>7.11</v>
      </c>
      <c r="T812" s="157">
        <v>41853</v>
      </c>
      <c r="U812" s="139">
        <v>15.3</v>
      </c>
      <c r="Y812" s="139">
        <f t="shared" si="12"/>
        <v>2.6207199999999999</v>
      </c>
      <c r="AA812" s="139">
        <v>25.81</v>
      </c>
      <c r="AE812" s="139">
        <v>13.94</v>
      </c>
      <c r="AG812" s="185">
        <v>5.4</v>
      </c>
      <c r="AI812" s="185">
        <v>120</v>
      </c>
      <c r="AJ812" s="157">
        <v>41803</v>
      </c>
      <c r="AO812" s="139">
        <v>93</v>
      </c>
      <c r="AP812" s="157">
        <v>41738</v>
      </c>
      <c r="AS812" s="139">
        <v>126</v>
      </c>
      <c r="AT812" s="157">
        <v>41766</v>
      </c>
      <c r="BS812" s="140">
        <v>51</v>
      </c>
      <c r="BU812" s="140">
        <v>18.8</v>
      </c>
      <c r="BW812" s="140">
        <v>14.8</v>
      </c>
      <c r="BY812" s="140">
        <v>8</v>
      </c>
      <c r="CJ812" s="140" t="s">
        <v>8140</v>
      </c>
    </row>
    <row r="813" spans="1:91">
      <c r="A813" s="158" t="s">
        <v>7685</v>
      </c>
      <c r="B813" s="112" t="s">
        <v>269</v>
      </c>
      <c r="C813" s="112">
        <v>4</v>
      </c>
      <c r="D813">
        <v>70</v>
      </c>
      <c r="E813" s="113">
        <v>87</v>
      </c>
      <c r="F813" s="113">
        <v>8</v>
      </c>
      <c r="I813" s="112">
        <v>39</v>
      </c>
      <c r="J813" s="183">
        <v>41705</v>
      </c>
      <c r="M813" s="184">
        <v>2.76</v>
      </c>
      <c r="N813" s="157">
        <v>41853</v>
      </c>
      <c r="S813" s="139">
        <v>9.6300000000000008</v>
      </c>
      <c r="T813" s="157">
        <v>41853</v>
      </c>
      <c r="U813" s="139">
        <v>15.3</v>
      </c>
      <c r="Y813" s="139">
        <f t="shared" si="12"/>
        <v>3.2467199999999998</v>
      </c>
      <c r="AA813" s="139">
        <v>37.22</v>
      </c>
      <c r="AE813" s="139">
        <v>18.239999999999998</v>
      </c>
      <c r="AG813" s="185">
        <v>4.9000000000000004</v>
      </c>
      <c r="AI813" s="185">
        <v>115</v>
      </c>
      <c r="AJ813" s="157">
        <v>41803</v>
      </c>
      <c r="AO813" s="139">
        <v>95</v>
      </c>
      <c r="AP813" s="157">
        <v>41738</v>
      </c>
      <c r="AS813" s="139">
        <v>127</v>
      </c>
      <c r="AT813" s="157">
        <v>41766</v>
      </c>
      <c r="BS813" s="140">
        <v>52.8</v>
      </c>
      <c r="BU813" s="140">
        <v>17.8</v>
      </c>
      <c r="BW813" s="140">
        <v>16.5</v>
      </c>
      <c r="BY813" s="140">
        <v>8</v>
      </c>
      <c r="CJ813" s="140" t="s">
        <v>8140</v>
      </c>
    </row>
    <row r="814" spans="1:91">
      <c r="A814" s="158" t="s">
        <v>7817</v>
      </c>
      <c r="B814" s="112" t="s">
        <v>269</v>
      </c>
      <c r="C814" s="112">
        <v>4</v>
      </c>
      <c r="D814">
        <v>202</v>
      </c>
      <c r="E814" s="113">
        <v>87</v>
      </c>
      <c r="F814" s="113">
        <v>9</v>
      </c>
      <c r="I814" s="112">
        <v>45</v>
      </c>
      <c r="J814" s="183">
        <v>41705</v>
      </c>
      <c r="M814" s="184">
        <v>2.77</v>
      </c>
      <c r="N814" s="157">
        <v>41853</v>
      </c>
      <c r="S814" s="139">
        <v>9.4600000000000009</v>
      </c>
      <c r="T814" s="157">
        <v>41853</v>
      </c>
      <c r="U814" s="139">
        <v>15.3</v>
      </c>
      <c r="Y814" s="139">
        <f t="shared" si="12"/>
        <v>3.0690399999999998</v>
      </c>
      <c r="AA814" s="139">
        <v>45.4</v>
      </c>
      <c r="AE814" s="139">
        <v>18.16</v>
      </c>
      <c r="AG814" s="185">
        <v>4</v>
      </c>
      <c r="AI814" s="185">
        <v>105</v>
      </c>
      <c r="AJ814" s="157">
        <v>41803</v>
      </c>
      <c r="AO814" s="139">
        <v>94</v>
      </c>
      <c r="AP814" s="157">
        <v>41738</v>
      </c>
      <c r="AS814" s="139">
        <v>127</v>
      </c>
      <c r="AT814" s="157">
        <v>41766</v>
      </c>
      <c r="BS814" s="140">
        <v>52.1</v>
      </c>
      <c r="BU814" s="140">
        <v>16.899999999999999</v>
      </c>
      <c r="BW814" s="140">
        <v>12.8</v>
      </c>
      <c r="BY814" s="140">
        <v>8.6999999999999993</v>
      </c>
      <c r="CJ814" s="140" t="s">
        <v>8140</v>
      </c>
    </row>
    <row r="815" spans="1:91">
      <c r="A815" s="158" t="s">
        <v>7731</v>
      </c>
      <c r="B815" s="112" t="s">
        <v>269</v>
      </c>
      <c r="C815" s="112">
        <v>4</v>
      </c>
      <c r="D815">
        <v>116</v>
      </c>
      <c r="E815" s="113">
        <v>87</v>
      </c>
      <c r="F815" s="113">
        <v>10</v>
      </c>
      <c r="I815" s="112">
        <v>35</v>
      </c>
      <c r="J815" s="183">
        <v>41705</v>
      </c>
      <c r="M815" s="184">
        <v>1.97</v>
      </c>
      <c r="N815" s="157">
        <v>41853</v>
      </c>
      <c r="S815" s="139">
        <v>6.71</v>
      </c>
      <c r="T815" s="157">
        <v>41853</v>
      </c>
      <c r="U815" s="139">
        <v>15.3</v>
      </c>
      <c r="Y815" s="139">
        <f t="shared" si="12"/>
        <v>2.4087000000000001</v>
      </c>
      <c r="AA815" s="139">
        <v>28.93</v>
      </c>
      <c r="AE815" s="139">
        <v>13.02</v>
      </c>
      <c r="AG815" s="185">
        <v>4.5</v>
      </c>
      <c r="AI815" s="185">
        <v>105</v>
      </c>
      <c r="AJ815" s="157">
        <v>41803</v>
      </c>
      <c r="AO815" s="139">
        <v>90</v>
      </c>
      <c r="AP815" s="157">
        <v>41738</v>
      </c>
      <c r="AS815" s="139">
        <v>127</v>
      </c>
      <c r="AT815" s="157">
        <v>41766</v>
      </c>
      <c r="BS815" s="140">
        <v>51.5</v>
      </c>
      <c r="BU815" s="140">
        <v>18.5</v>
      </c>
      <c r="BW815" s="140">
        <v>12.1</v>
      </c>
      <c r="BY815" s="140">
        <v>8</v>
      </c>
      <c r="CJ815" s="140" t="s">
        <v>8140</v>
      </c>
    </row>
    <row r="816" spans="1:91">
      <c r="A816" s="188" t="s">
        <v>7657</v>
      </c>
      <c r="B816" s="189" t="s">
        <v>269</v>
      </c>
      <c r="C816" s="189">
        <v>4</v>
      </c>
      <c r="D816" s="190">
        <v>42</v>
      </c>
      <c r="E816" s="191">
        <v>87</v>
      </c>
      <c r="F816" s="191">
        <v>11</v>
      </c>
      <c r="G816" s="191"/>
      <c r="H816" s="191"/>
      <c r="I816" s="189">
        <v>31</v>
      </c>
      <c r="J816" s="193">
        <v>41705</v>
      </c>
      <c r="K816" s="194"/>
      <c r="L816" s="195"/>
      <c r="M816" s="196">
        <v>0.79</v>
      </c>
      <c r="N816" s="195">
        <v>41853</v>
      </c>
      <c r="O816" s="194"/>
      <c r="P816" s="195"/>
      <c r="Q816" s="194"/>
      <c r="R816" s="195"/>
      <c r="S816" s="194">
        <v>2.5299999999999998</v>
      </c>
      <c r="T816" s="195">
        <v>41853</v>
      </c>
      <c r="U816" s="194">
        <v>15.3</v>
      </c>
      <c r="V816" s="195"/>
      <c r="W816" s="194"/>
      <c r="X816" s="195"/>
      <c r="Y816" s="139">
        <f t="shared" si="12"/>
        <v>1.1222999999999999</v>
      </c>
      <c r="Z816" s="195"/>
      <c r="AA816" s="194">
        <v>10.039999999999999</v>
      </c>
      <c r="AB816" s="195"/>
      <c r="AC816" s="194"/>
      <c r="AD816" s="195"/>
      <c r="AE816" s="194">
        <v>5.22</v>
      </c>
      <c r="AF816" s="195"/>
      <c r="AG816" s="197">
        <v>5.2</v>
      </c>
      <c r="AH816" s="195"/>
      <c r="AI816" s="197">
        <v>115</v>
      </c>
      <c r="AJ816" s="195">
        <v>41803</v>
      </c>
      <c r="AK816" s="194"/>
      <c r="AL816" s="195"/>
      <c r="AM816" s="194"/>
      <c r="AN816" s="195"/>
      <c r="AO816" s="194">
        <v>94</v>
      </c>
      <c r="AP816" s="195">
        <v>41738</v>
      </c>
      <c r="AQ816" s="194"/>
      <c r="AR816" s="194"/>
      <c r="AS816" s="194">
        <v>127</v>
      </c>
      <c r="AT816" s="195">
        <v>41766</v>
      </c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8"/>
      <c r="BF816" s="198"/>
      <c r="BG816" s="198"/>
      <c r="BH816" s="198"/>
      <c r="BI816" s="198"/>
      <c r="BJ816" s="198"/>
      <c r="BK816" s="198"/>
      <c r="BL816" s="198"/>
      <c r="BM816" s="198"/>
      <c r="BN816" s="198"/>
      <c r="BO816" s="198"/>
      <c r="BP816" s="198"/>
      <c r="BQ816" s="198"/>
      <c r="BR816" s="198"/>
      <c r="BS816" s="198">
        <v>48.5</v>
      </c>
      <c r="BT816" s="198"/>
      <c r="BU816" s="198">
        <v>21.5</v>
      </c>
      <c r="BV816" s="198"/>
      <c r="BW816" s="198">
        <v>64.599999999999994</v>
      </c>
      <c r="BX816" s="198"/>
      <c r="BY816" s="198">
        <v>8</v>
      </c>
      <c r="BZ816" s="198"/>
      <c r="CA816" s="198"/>
      <c r="CB816" s="198"/>
      <c r="CC816" s="198"/>
      <c r="CD816" s="198"/>
      <c r="CE816" s="198"/>
      <c r="CF816" s="198"/>
      <c r="CG816" s="198"/>
      <c r="CH816" s="198"/>
      <c r="CI816" s="198"/>
      <c r="CJ816" s="198" t="s">
        <v>8140</v>
      </c>
      <c r="CK816" s="198"/>
      <c r="CL816" s="198"/>
      <c r="CM816" s="198"/>
    </row>
    <row r="817" spans="1:91">
      <c r="A817" s="158" t="s">
        <v>7791</v>
      </c>
      <c r="B817" s="112" t="s">
        <v>269</v>
      </c>
      <c r="C817" s="112">
        <v>4</v>
      </c>
      <c r="D817">
        <v>176</v>
      </c>
      <c r="E817" s="113">
        <v>87</v>
      </c>
      <c r="F817" s="113">
        <v>12</v>
      </c>
      <c r="I817" s="112">
        <v>30</v>
      </c>
      <c r="J817" s="183">
        <v>41705</v>
      </c>
      <c r="M817" s="184">
        <v>1.83</v>
      </c>
      <c r="N817" s="157">
        <v>41853</v>
      </c>
      <c r="S817" s="139">
        <v>6.54</v>
      </c>
      <c r="T817" s="157">
        <v>41853</v>
      </c>
      <c r="U817" s="139">
        <v>15.3</v>
      </c>
      <c r="Y817" s="139">
        <f t="shared" si="12"/>
        <v>1.9948499999999998</v>
      </c>
      <c r="AA817" s="139">
        <v>28.79</v>
      </c>
      <c r="AE817" s="139">
        <v>12.09</v>
      </c>
      <c r="AG817" s="185">
        <v>4.2</v>
      </c>
      <c r="AI817" s="185">
        <v>105</v>
      </c>
      <c r="AJ817" s="157">
        <v>41803</v>
      </c>
      <c r="AO817" s="139">
        <v>93</v>
      </c>
      <c r="AP817" s="157">
        <v>41738</v>
      </c>
      <c r="AS817" s="139">
        <v>127</v>
      </c>
      <c r="AT817" s="157">
        <v>41766</v>
      </c>
      <c r="BS817" s="140">
        <v>54.1</v>
      </c>
      <c r="BU817" s="140">
        <v>16.5</v>
      </c>
      <c r="BW817" s="140">
        <v>10</v>
      </c>
      <c r="BY817" s="140">
        <v>8</v>
      </c>
      <c r="CJ817" s="140" t="s">
        <v>8140</v>
      </c>
    </row>
    <row r="818" spans="1:91">
      <c r="A818" s="158" t="s">
        <v>7623</v>
      </c>
      <c r="B818" s="112" t="s">
        <v>271</v>
      </c>
      <c r="C818" s="112">
        <v>3</v>
      </c>
      <c r="D818">
        <v>8</v>
      </c>
      <c r="E818" s="113">
        <v>88</v>
      </c>
      <c r="F818" s="113">
        <v>1</v>
      </c>
      <c r="I818" s="187">
        <v>52</v>
      </c>
      <c r="J818" s="183">
        <v>41705</v>
      </c>
      <c r="K818" s="142"/>
      <c r="M818" s="184">
        <v>2.09</v>
      </c>
      <c r="N818" s="157">
        <v>41853</v>
      </c>
      <c r="O818" s="141"/>
      <c r="Q818" s="142"/>
      <c r="S818" s="142">
        <v>6.44</v>
      </c>
      <c r="T818" s="157">
        <v>41853</v>
      </c>
      <c r="U818" s="142">
        <v>15.3</v>
      </c>
      <c r="W818" s="142"/>
      <c r="Y818" s="139">
        <f t="shared" si="12"/>
        <v>3.4110700000000005</v>
      </c>
      <c r="AA818" s="142">
        <v>25.11</v>
      </c>
      <c r="AE818" s="142">
        <v>13.81</v>
      </c>
      <c r="AG818" s="185">
        <v>5.5</v>
      </c>
      <c r="AI818" s="185">
        <v>110</v>
      </c>
      <c r="AJ818" s="157">
        <v>41803</v>
      </c>
      <c r="AK818" s="142"/>
      <c r="AM818" s="142"/>
      <c r="AO818" s="139">
        <v>89</v>
      </c>
      <c r="AP818" s="157">
        <v>41738</v>
      </c>
      <c r="AS818" s="139">
        <v>126</v>
      </c>
      <c r="AT818" s="157">
        <v>41766</v>
      </c>
      <c r="BS818" s="140">
        <v>46.6</v>
      </c>
      <c r="BU818" s="140">
        <v>24.7</v>
      </c>
      <c r="BW818" s="140">
        <v>71.2</v>
      </c>
      <c r="BY818" s="140">
        <v>8</v>
      </c>
      <c r="CJ818" s="140" t="s">
        <v>8139</v>
      </c>
    </row>
    <row r="819" spans="1:91">
      <c r="A819" s="158" t="s">
        <v>8129</v>
      </c>
      <c r="B819" s="112" t="s">
        <v>271</v>
      </c>
      <c r="C819" s="112">
        <v>3</v>
      </c>
      <c r="D819">
        <v>216</v>
      </c>
      <c r="E819" s="113">
        <v>88</v>
      </c>
      <c r="F819" s="113">
        <v>2</v>
      </c>
      <c r="I819" s="112">
        <v>36</v>
      </c>
      <c r="J819" s="183">
        <v>41705</v>
      </c>
      <c r="M819" s="184">
        <v>4.29</v>
      </c>
      <c r="N819" s="157">
        <v>41853</v>
      </c>
      <c r="S819" s="139">
        <v>14.5</v>
      </c>
      <c r="T819" s="157">
        <v>41853</v>
      </c>
      <c r="U819" s="139">
        <v>15.3</v>
      </c>
      <c r="Y819" s="139">
        <f t="shared" si="12"/>
        <v>5.6073599999999999</v>
      </c>
      <c r="AA819" s="139">
        <v>67.430000000000007</v>
      </c>
      <c r="AE819" s="139">
        <v>28.32</v>
      </c>
      <c r="AG819" s="185">
        <v>4.2</v>
      </c>
      <c r="AI819" s="185">
        <v>140</v>
      </c>
      <c r="AJ819" s="157">
        <v>41803</v>
      </c>
      <c r="AO819" s="139">
        <v>90</v>
      </c>
      <c r="AP819" s="157">
        <v>41738</v>
      </c>
      <c r="AS819" s="139">
        <v>127</v>
      </c>
      <c r="AT819" s="157">
        <v>41766</v>
      </c>
      <c r="BS819" s="140">
        <v>51.2</v>
      </c>
      <c r="BU819" s="140">
        <v>19.8</v>
      </c>
      <c r="BW819" s="140">
        <v>14.1</v>
      </c>
      <c r="BY819" s="140">
        <v>8.1</v>
      </c>
      <c r="CJ819" s="140" t="s">
        <v>8140</v>
      </c>
    </row>
    <row r="820" spans="1:91">
      <c r="A820" s="188" t="s">
        <v>7743</v>
      </c>
      <c r="B820" s="189" t="s">
        <v>271</v>
      </c>
      <c r="C820" s="189">
        <v>3</v>
      </c>
      <c r="D820" s="190">
        <v>128</v>
      </c>
      <c r="E820" s="191">
        <v>88</v>
      </c>
      <c r="F820" s="191">
        <v>3</v>
      </c>
      <c r="G820" s="191"/>
      <c r="H820" s="191"/>
      <c r="I820" s="189">
        <v>44</v>
      </c>
      <c r="J820" s="193">
        <v>41705</v>
      </c>
      <c r="K820" s="194"/>
      <c r="L820" s="195"/>
      <c r="M820" s="196">
        <v>1.78</v>
      </c>
      <c r="N820" s="195">
        <v>41853</v>
      </c>
      <c r="O820" s="194"/>
      <c r="P820" s="195"/>
      <c r="Q820" s="194"/>
      <c r="R820" s="195"/>
      <c r="S820" s="194">
        <v>5.35</v>
      </c>
      <c r="T820" s="195">
        <v>41853</v>
      </c>
      <c r="U820" s="194">
        <v>15.3</v>
      </c>
      <c r="V820" s="195"/>
      <c r="W820" s="194"/>
      <c r="X820" s="195"/>
      <c r="Y820" s="139">
        <f t="shared" si="12"/>
        <v>2.9870399999999995</v>
      </c>
      <c r="Z820" s="195"/>
      <c r="AA820" s="194">
        <v>28</v>
      </c>
      <c r="AB820" s="195"/>
      <c r="AC820" s="194"/>
      <c r="AD820" s="195"/>
      <c r="AE820" s="194">
        <v>11.76</v>
      </c>
      <c r="AF820" s="195"/>
      <c r="AG820" s="197">
        <v>4.2</v>
      </c>
      <c r="AH820" s="195"/>
      <c r="AI820" s="197">
        <v>115</v>
      </c>
      <c r="AJ820" s="195">
        <v>41803</v>
      </c>
      <c r="AK820" s="194"/>
      <c r="AL820" s="195"/>
      <c r="AM820" s="194"/>
      <c r="AN820" s="195"/>
      <c r="AO820" s="194">
        <v>87</v>
      </c>
      <c r="AP820" s="195">
        <v>41738</v>
      </c>
      <c r="AQ820" s="194"/>
      <c r="AR820" s="194"/>
      <c r="AS820" s="194">
        <v>128</v>
      </c>
      <c r="AT820" s="195">
        <v>41766</v>
      </c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8"/>
      <c r="BF820" s="198"/>
      <c r="BG820" s="198"/>
      <c r="BH820" s="198"/>
      <c r="BI820" s="198"/>
      <c r="BJ820" s="198"/>
      <c r="BK820" s="198"/>
      <c r="BL820" s="198"/>
      <c r="BM820" s="198"/>
      <c r="BN820" s="198"/>
      <c r="BO820" s="198"/>
      <c r="BP820" s="198"/>
      <c r="BQ820" s="198"/>
      <c r="BR820" s="198"/>
      <c r="BS820" s="198">
        <v>45.5</v>
      </c>
      <c r="BT820" s="198"/>
      <c r="BU820" s="198">
        <v>25.4</v>
      </c>
      <c r="BV820" s="198"/>
      <c r="BW820" s="198">
        <v>63.6</v>
      </c>
      <c r="BX820" s="198"/>
      <c r="BY820" s="198">
        <v>8</v>
      </c>
      <c r="BZ820" s="198"/>
      <c r="CA820" s="198"/>
      <c r="CB820" s="198"/>
      <c r="CC820" s="198"/>
      <c r="CD820" s="198"/>
      <c r="CE820" s="198"/>
      <c r="CF820" s="198"/>
      <c r="CG820" s="198"/>
      <c r="CH820" s="198"/>
      <c r="CI820" s="198"/>
      <c r="CJ820" s="198" t="s">
        <v>8140</v>
      </c>
      <c r="CK820" s="198"/>
      <c r="CL820" s="198"/>
      <c r="CM820" s="198"/>
    </row>
    <row r="821" spans="1:91">
      <c r="A821" s="158" t="s">
        <v>7695</v>
      </c>
      <c r="B821" s="112" t="s">
        <v>271</v>
      </c>
      <c r="C821" s="112">
        <v>3</v>
      </c>
      <c r="D821">
        <v>80</v>
      </c>
      <c r="E821" s="113">
        <v>88</v>
      </c>
      <c r="F821" s="113">
        <v>4</v>
      </c>
      <c r="I821" s="112">
        <v>24</v>
      </c>
      <c r="J821" s="183">
        <v>41705</v>
      </c>
      <c r="M821" s="184">
        <v>2.96</v>
      </c>
      <c r="N821" s="157">
        <v>41853</v>
      </c>
      <c r="S821" s="139">
        <v>9.92</v>
      </c>
      <c r="T821" s="157">
        <v>41853</v>
      </c>
      <c r="U821" s="139">
        <v>15.3</v>
      </c>
      <c r="Y821" s="139">
        <f t="shared" si="12"/>
        <v>3.9820799999999998</v>
      </c>
      <c r="AA821" s="139">
        <v>38.270000000000003</v>
      </c>
      <c r="AE821" s="139">
        <v>19.52</v>
      </c>
      <c r="AG821" s="185">
        <v>5.0999999999999996</v>
      </c>
      <c r="AI821" s="185">
        <v>140</v>
      </c>
      <c r="AJ821" s="157">
        <v>41803</v>
      </c>
      <c r="AO821" s="139">
        <v>91</v>
      </c>
      <c r="AP821" s="157">
        <v>41738</v>
      </c>
      <c r="AS821" s="139">
        <v>128</v>
      </c>
      <c r="AT821" s="157">
        <v>41766</v>
      </c>
      <c r="BS821" s="140">
        <v>50.8</v>
      </c>
      <c r="BU821" s="140">
        <v>20.399999999999999</v>
      </c>
      <c r="BW821" s="140">
        <v>15.2</v>
      </c>
      <c r="BY821" s="140">
        <v>8.1999999999999993</v>
      </c>
      <c r="CJ821" s="140" t="s">
        <v>8140</v>
      </c>
    </row>
    <row r="822" spans="1:91">
      <c r="A822" s="158" t="s">
        <v>7659</v>
      </c>
      <c r="B822" s="112" t="s">
        <v>271</v>
      </c>
      <c r="C822" s="112">
        <v>3</v>
      </c>
      <c r="D822">
        <v>44</v>
      </c>
      <c r="E822" s="113">
        <v>88</v>
      </c>
      <c r="F822" s="113">
        <v>5</v>
      </c>
      <c r="I822" s="112">
        <v>38</v>
      </c>
      <c r="J822" s="183">
        <v>41705</v>
      </c>
      <c r="M822" s="184">
        <v>3.16</v>
      </c>
      <c r="N822" s="157">
        <v>41853</v>
      </c>
      <c r="S822" s="139">
        <v>9.7200000000000006</v>
      </c>
      <c r="T822" s="157">
        <v>41853</v>
      </c>
      <c r="U822" s="139">
        <v>15.3</v>
      </c>
      <c r="Y822" s="139">
        <f t="shared" si="12"/>
        <v>4.6614399999999998</v>
      </c>
      <c r="AA822" s="139">
        <v>49.55</v>
      </c>
      <c r="AE822" s="139">
        <v>20.81</v>
      </c>
      <c r="AG822" s="185">
        <v>4.2</v>
      </c>
      <c r="AI822" s="185">
        <v>130</v>
      </c>
      <c r="AJ822" s="157">
        <v>41803</v>
      </c>
      <c r="AO822" s="139">
        <v>91</v>
      </c>
      <c r="AP822" s="157">
        <v>41738</v>
      </c>
      <c r="AS822" s="139">
        <v>128</v>
      </c>
      <c r="AT822" s="157">
        <v>41766</v>
      </c>
      <c r="BS822" s="140">
        <v>46.7</v>
      </c>
      <c r="BU822" s="140">
        <v>22.4</v>
      </c>
      <c r="BW822" s="140">
        <v>59.1</v>
      </c>
      <c r="BY822" s="140">
        <v>8.3000000000000007</v>
      </c>
      <c r="CJ822" s="140" t="s">
        <v>8140</v>
      </c>
    </row>
    <row r="823" spans="1:91">
      <c r="A823" s="158" t="s">
        <v>7650</v>
      </c>
      <c r="B823" s="112" t="s">
        <v>271</v>
      </c>
      <c r="C823" s="112">
        <v>3</v>
      </c>
      <c r="D823">
        <v>35</v>
      </c>
      <c r="E823" s="113">
        <v>88</v>
      </c>
      <c r="F823" s="113">
        <v>6</v>
      </c>
      <c r="I823" s="112">
        <v>32</v>
      </c>
      <c r="J823" s="183">
        <v>41705</v>
      </c>
      <c r="M823" s="184">
        <v>2.29</v>
      </c>
      <c r="N823" s="157">
        <v>41853</v>
      </c>
      <c r="S823" s="139">
        <v>7.14</v>
      </c>
      <c r="T823" s="157">
        <v>41853</v>
      </c>
      <c r="U823" s="139">
        <v>15.3</v>
      </c>
      <c r="Y823" s="139">
        <f t="shared" si="12"/>
        <v>3.6009400000000005</v>
      </c>
      <c r="AA823" s="139">
        <v>24.4</v>
      </c>
      <c r="AE823" s="139">
        <v>15.13</v>
      </c>
      <c r="AG823" s="185">
        <v>6.2</v>
      </c>
      <c r="AI823" s="185">
        <v>130</v>
      </c>
      <c r="AJ823" s="157">
        <v>41803</v>
      </c>
      <c r="AO823" s="139">
        <v>97</v>
      </c>
      <c r="AP823" s="157">
        <v>41738</v>
      </c>
      <c r="AS823" s="139">
        <v>128</v>
      </c>
      <c r="AT823" s="157">
        <v>41766</v>
      </c>
      <c r="BS823" s="140">
        <v>47.2</v>
      </c>
      <c r="BU823" s="140">
        <v>23.8</v>
      </c>
      <c r="BW823" s="140">
        <v>72.8</v>
      </c>
      <c r="BY823" s="140">
        <v>8</v>
      </c>
      <c r="CJ823" s="140" t="s">
        <v>8131</v>
      </c>
    </row>
    <row r="824" spans="1:91">
      <c r="A824" s="158" t="s">
        <v>7801</v>
      </c>
      <c r="B824" s="112" t="s">
        <v>269</v>
      </c>
      <c r="C824" s="112">
        <v>4</v>
      </c>
      <c r="D824">
        <v>186</v>
      </c>
      <c r="E824" s="113">
        <v>88</v>
      </c>
      <c r="F824" s="113">
        <v>7</v>
      </c>
      <c r="I824" s="112">
        <v>30</v>
      </c>
      <c r="J824" s="183">
        <v>41705</v>
      </c>
      <c r="M824" s="184">
        <v>2.35</v>
      </c>
      <c r="N824" s="157">
        <v>41853</v>
      </c>
      <c r="S824" s="139">
        <v>8.2899999999999991</v>
      </c>
      <c r="T824" s="157">
        <v>41853</v>
      </c>
      <c r="U824" s="139">
        <v>15.3</v>
      </c>
      <c r="Y824" s="139">
        <f t="shared" si="12"/>
        <v>2.6090399999999998</v>
      </c>
      <c r="AA824" s="139">
        <v>29.3</v>
      </c>
      <c r="AE824" s="139">
        <v>15.53</v>
      </c>
      <c r="AG824" s="185">
        <v>5.3</v>
      </c>
      <c r="AI824" s="185">
        <v>115</v>
      </c>
      <c r="AJ824" s="157">
        <v>41803</v>
      </c>
      <c r="AO824" s="139">
        <v>93</v>
      </c>
      <c r="AP824" s="157">
        <v>41738</v>
      </c>
      <c r="AS824" s="139">
        <v>126</v>
      </c>
      <c r="AT824" s="157">
        <v>41766</v>
      </c>
      <c r="BS824" s="140">
        <v>53.4</v>
      </c>
      <c r="BU824" s="140">
        <v>16.8</v>
      </c>
      <c r="BW824" s="140">
        <v>9.6999999999999993</v>
      </c>
      <c r="BY824" s="140">
        <v>8</v>
      </c>
      <c r="CJ824" s="140" t="s">
        <v>8140</v>
      </c>
    </row>
    <row r="825" spans="1:91">
      <c r="A825" s="158" t="s">
        <v>7744</v>
      </c>
      <c r="B825" s="112" t="s">
        <v>269</v>
      </c>
      <c r="C825" s="112">
        <v>4</v>
      </c>
      <c r="D825">
        <v>129</v>
      </c>
      <c r="E825" s="113">
        <v>88</v>
      </c>
      <c r="F825" s="113">
        <v>8</v>
      </c>
      <c r="I825" s="112">
        <v>37</v>
      </c>
      <c r="J825" s="183">
        <v>41705</v>
      </c>
      <c r="M825" s="184">
        <v>2.33</v>
      </c>
      <c r="N825" s="157">
        <v>41853</v>
      </c>
      <c r="S825" s="139">
        <v>8.16</v>
      </c>
      <c r="T825" s="157">
        <v>41853</v>
      </c>
      <c r="U825" s="139">
        <v>15.3</v>
      </c>
      <c r="Y825" s="139">
        <f t="shared" si="12"/>
        <v>2.7104000000000004</v>
      </c>
      <c r="AA825" s="139">
        <v>34.22</v>
      </c>
      <c r="AE825" s="139">
        <v>15.4</v>
      </c>
      <c r="AG825" s="185">
        <v>4.5</v>
      </c>
      <c r="AI825" s="185">
        <v>110</v>
      </c>
      <c r="AJ825" s="157">
        <v>41803</v>
      </c>
      <c r="AO825" s="139">
        <v>94</v>
      </c>
      <c r="AP825" s="157">
        <v>41738</v>
      </c>
      <c r="AS825" s="139">
        <v>127</v>
      </c>
      <c r="AT825" s="157">
        <v>41766</v>
      </c>
      <c r="BS825" s="140">
        <v>53</v>
      </c>
      <c r="BU825" s="140">
        <v>17.600000000000001</v>
      </c>
      <c r="BW825" s="140">
        <v>10.8</v>
      </c>
      <c r="BY825" s="140">
        <v>8</v>
      </c>
      <c r="CJ825" s="140" t="s">
        <v>8140</v>
      </c>
    </row>
    <row r="826" spans="1:91">
      <c r="A826" s="158" t="s">
        <v>7800</v>
      </c>
      <c r="B826" s="112" t="s">
        <v>269</v>
      </c>
      <c r="C826" s="112">
        <v>4</v>
      </c>
      <c r="D826">
        <v>185</v>
      </c>
      <c r="E826" s="113">
        <v>88</v>
      </c>
      <c r="F826" s="113">
        <v>9</v>
      </c>
      <c r="I826" s="112">
        <v>38</v>
      </c>
      <c r="J826" s="183">
        <v>41705</v>
      </c>
      <c r="M826" s="184">
        <v>2.5299999999999998</v>
      </c>
      <c r="N826" s="157">
        <v>41853</v>
      </c>
      <c r="S826" s="139">
        <v>8.7799999999999994</v>
      </c>
      <c r="T826" s="157">
        <v>41853</v>
      </c>
      <c r="U826" s="139">
        <v>15.3</v>
      </c>
      <c r="Y826" s="139">
        <f t="shared" si="12"/>
        <v>2.8925599999999996</v>
      </c>
      <c r="AA826" s="139">
        <v>37.159999999999997</v>
      </c>
      <c r="AE826" s="139">
        <v>16.72</v>
      </c>
      <c r="AG826" s="185">
        <v>4.5</v>
      </c>
      <c r="AI826" s="185">
        <v>105</v>
      </c>
      <c r="AJ826" s="157">
        <v>41803</v>
      </c>
      <c r="AO826" s="139">
        <v>98</v>
      </c>
      <c r="AP826" s="157">
        <v>41738</v>
      </c>
      <c r="AS826" s="139">
        <v>127</v>
      </c>
      <c r="AT826" s="157">
        <v>41766</v>
      </c>
      <c r="BS826" s="140">
        <v>52.5</v>
      </c>
      <c r="BU826" s="140">
        <v>17.3</v>
      </c>
      <c r="BW826" s="140">
        <v>16.7</v>
      </c>
      <c r="BY826" s="140">
        <v>8</v>
      </c>
      <c r="CJ826" s="140" t="s">
        <v>8131</v>
      </c>
    </row>
    <row r="827" spans="1:91">
      <c r="A827" s="158" t="s">
        <v>7701</v>
      </c>
      <c r="B827" s="112" t="s">
        <v>269</v>
      </c>
      <c r="C827" s="112">
        <v>4</v>
      </c>
      <c r="D827">
        <v>86</v>
      </c>
      <c r="E827" s="113">
        <v>88</v>
      </c>
      <c r="F827" s="113">
        <v>10</v>
      </c>
      <c r="I827" s="112">
        <v>23</v>
      </c>
      <c r="J827" s="183">
        <v>41705</v>
      </c>
      <c r="M827" s="184">
        <v>2.13</v>
      </c>
      <c r="N827" s="157">
        <v>41853</v>
      </c>
      <c r="S827" s="139">
        <v>7.27</v>
      </c>
      <c r="T827" s="157">
        <v>41853</v>
      </c>
      <c r="U827" s="139">
        <v>15.3</v>
      </c>
      <c r="Y827" s="139">
        <f t="shared" si="12"/>
        <v>2.5185299999999997</v>
      </c>
      <c r="AA827" s="139">
        <v>31.27</v>
      </c>
      <c r="AE827" s="139">
        <v>14.07</v>
      </c>
      <c r="AG827" s="185">
        <v>4.5</v>
      </c>
      <c r="AI827" s="185">
        <v>105</v>
      </c>
      <c r="AJ827" s="157">
        <v>41803</v>
      </c>
      <c r="AO827" s="139">
        <v>94</v>
      </c>
      <c r="AP827" s="157">
        <v>41738</v>
      </c>
      <c r="AS827" s="139">
        <v>127</v>
      </c>
      <c r="AT827" s="157">
        <v>41766</v>
      </c>
      <c r="BS827" s="140">
        <v>51.7</v>
      </c>
      <c r="BU827" s="140">
        <v>17.899999999999999</v>
      </c>
      <c r="BW827" s="140">
        <v>17.399999999999999</v>
      </c>
      <c r="BY827" s="140">
        <v>8</v>
      </c>
      <c r="CJ827" s="140" t="s">
        <v>8140</v>
      </c>
    </row>
    <row r="828" spans="1:91">
      <c r="A828" s="158" t="s">
        <v>7803</v>
      </c>
      <c r="B828" s="112" t="s">
        <v>269</v>
      </c>
      <c r="C828" s="112">
        <v>4</v>
      </c>
      <c r="D828">
        <v>188</v>
      </c>
      <c r="E828" s="113">
        <v>88</v>
      </c>
      <c r="F828" s="113">
        <v>11</v>
      </c>
      <c r="I828" s="112">
        <v>49</v>
      </c>
      <c r="J828" s="183">
        <v>41705</v>
      </c>
      <c r="M828" s="184">
        <v>2.76</v>
      </c>
      <c r="N828" s="157">
        <v>41853</v>
      </c>
      <c r="S828" s="139">
        <v>9.7200000000000006</v>
      </c>
      <c r="T828" s="157">
        <v>41853</v>
      </c>
      <c r="U828" s="139">
        <v>15.3</v>
      </c>
      <c r="Y828" s="139">
        <f t="shared" si="12"/>
        <v>3.0095999999999998</v>
      </c>
      <c r="AA828" s="139">
        <v>42.42</v>
      </c>
      <c r="AE828" s="139">
        <v>18.239999999999998</v>
      </c>
      <c r="AG828" s="185">
        <v>4.3</v>
      </c>
      <c r="AI828" s="185">
        <v>115</v>
      </c>
      <c r="AJ828" s="157">
        <v>41803</v>
      </c>
      <c r="AO828" s="139">
        <v>90</v>
      </c>
      <c r="AP828" s="157">
        <v>41738</v>
      </c>
      <c r="AS828" s="139">
        <v>126</v>
      </c>
      <c r="AT828" s="157">
        <v>41766</v>
      </c>
      <c r="BS828" s="140">
        <v>53.3</v>
      </c>
      <c r="BU828" s="140">
        <v>16.5</v>
      </c>
      <c r="BW828" s="140">
        <v>13.6</v>
      </c>
      <c r="BY828" s="140">
        <v>8</v>
      </c>
      <c r="CJ828" s="140" t="s">
        <v>8140</v>
      </c>
    </row>
    <row r="829" spans="1:91">
      <c r="A829" s="158" t="s">
        <v>7903</v>
      </c>
      <c r="B829" s="112" t="s">
        <v>269</v>
      </c>
      <c r="C829" s="112">
        <v>4</v>
      </c>
      <c r="D829">
        <v>212</v>
      </c>
      <c r="E829" s="113">
        <v>88</v>
      </c>
      <c r="F829" s="113">
        <v>12</v>
      </c>
      <c r="I829" s="112">
        <v>27</v>
      </c>
      <c r="J829" s="183">
        <v>41705</v>
      </c>
      <c r="M829" s="184">
        <v>3.34</v>
      </c>
      <c r="N829" s="157">
        <v>41853</v>
      </c>
      <c r="S829" s="139">
        <v>11.89</v>
      </c>
      <c r="T829" s="157">
        <v>41853</v>
      </c>
      <c r="U829" s="139">
        <v>15.3</v>
      </c>
      <c r="Y829" s="139">
        <f t="shared" si="12"/>
        <v>3.4492899999999995</v>
      </c>
      <c r="AA829" s="139">
        <v>52.31</v>
      </c>
      <c r="AE829" s="139">
        <v>21.97</v>
      </c>
      <c r="AG829" s="185">
        <v>4.2</v>
      </c>
      <c r="AI829" s="185">
        <v>120</v>
      </c>
      <c r="AJ829" s="157">
        <v>41803</v>
      </c>
      <c r="AO829" s="139">
        <v>94</v>
      </c>
      <c r="AP829" s="157">
        <v>41738</v>
      </c>
      <c r="AS829" s="139">
        <v>127</v>
      </c>
      <c r="AT829" s="157">
        <v>41766</v>
      </c>
      <c r="BS829" s="140">
        <v>54.1</v>
      </c>
      <c r="BU829" s="140">
        <v>15.7</v>
      </c>
      <c r="BW829" s="140">
        <v>12.4</v>
      </c>
      <c r="BY829" s="140">
        <v>8.4</v>
      </c>
      <c r="CJ829" s="140" t="s">
        <v>8140</v>
      </c>
    </row>
    <row r="830" spans="1:91">
      <c r="A830" s="158" t="s">
        <v>7787</v>
      </c>
      <c r="B830" s="112" t="s">
        <v>271</v>
      </c>
      <c r="C830" s="112">
        <v>3</v>
      </c>
      <c r="D830">
        <v>172</v>
      </c>
      <c r="E830" s="113">
        <v>89</v>
      </c>
      <c r="F830" s="113">
        <v>1</v>
      </c>
      <c r="I830" s="112">
        <v>33</v>
      </c>
      <c r="J830" s="183">
        <v>41705</v>
      </c>
      <c r="M830" s="184">
        <v>3.78</v>
      </c>
      <c r="N830" s="157">
        <v>41853</v>
      </c>
      <c r="S830" s="139">
        <v>12</v>
      </c>
      <c r="T830" s="157">
        <v>41853</v>
      </c>
      <c r="U830" s="139">
        <v>15.3</v>
      </c>
      <c r="Y830" s="139">
        <f t="shared" si="12"/>
        <v>5.3405999999999993</v>
      </c>
      <c r="AA830" s="139">
        <v>44.36</v>
      </c>
      <c r="AE830" s="139">
        <v>24.84</v>
      </c>
      <c r="AG830" s="185">
        <v>5.6</v>
      </c>
      <c r="AI830" s="185">
        <v>135</v>
      </c>
      <c r="AJ830" s="157">
        <v>41803</v>
      </c>
      <c r="AO830" s="139">
        <v>92</v>
      </c>
      <c r="AP830" s="157">
        <v>41738</v>
      </c>
      <c r="AS830" s="139">
        <v>126</v>
      </c>
      <c r="AT830" s="157">
        <v>41766</v>
      </c>
      <c r="BS830" s="140">
        <v>48.3</v>
      </c>
      <c r="BU830" s="140">
        <v>21.5</v>
      </c>
      <c r="BW830" s="140">
        <v>16.5</v>
      </c>
      <c r="BY830" s="140">
        <v>8.5</v>
      </c>
      <c r="CJ830" s="140" t="s">
        <v>8140</v>
      </c>
    </row>
    <row r="831" spans="1:91">
      <c r="A831" s="158" t="s">
        <v>7632</v>
      </c>
      <c r="B831" s="112" t="s">
        <v>271</v>
      </c>
      <c r="C831" s="112">
        <v>3</v>
      </c>
      <c r="D831">
        <v>17</v>
      </c>
      <c r="E831" s="113">
        <v>89</v>
      </c>
      <c r="F831" s="113">
        <v>2</v>
      </c>
      <c r="I831" s="187">
        <v>48</v>
      </c>
      <c r="J831" s="183">
        <v>41705</v>
      </c>
      <c r="K831" s="142"/>
      <c r="M831" s="184">
        <v>3.14</v>
      </c>
      <c r="N831" s="157">
        <v>41853</v>
      </c>
      <c r="O831" s="141"/>
      <c r="Q831" s="142"/>
      <c r="S831" s="142">
        <v>9.8800000000000008</v>
      </c>
      <c r="T831" s="157">
        <v>41853</v>
      </c>
      <c r="U831" s="142">
        <v>15.3</v>
      </c>
      <c r="W831" s="142"/>
      <c r="Y831" s="139">
        <f t="shared" si="12"/>
        <v>4.8344399999999998</v>
      </c>
      <c r="AA831" s="142">
        <v>41.32</v>
      </c>
      <c r="AE831" s="142">
        <v>20.66</v>
      </c>
      <c r="AG831" s="185">
        <v>5</v>
      </c>
      <c r="AI831" s="185">
        <v>125</v>
      </c>
      <c r="AJ831" s="157">
        <v>41803</v>
      </c>
      <c r="AK831" s="142"/>
      <c r="AM831" s="142"/>
      <c r="AO831" s="139">
        <v>94</v>
      </c>
      <c r="AP831" s="157">
        <v>41738</v>
      </c>
      <c r="AS831" s="139">
        <v>128</v>
      </c>
      <c r="AT831" s="157">
        <v>41766</v>
      </c>
      <c r="BS831" s="140">
        <v>47.8</v>
      </c>
      <c r="BU831" s="140">
        <v>23.4</v>
      </c>
      <c r="BW831" s="140">
        <v>54.6</v>
      </c>
      <c r="BY831" s="140">
        <v>8.4</v>
      </c>
      <c r="CJ831" s="140" t="s">
        <v>8139</v>
      </c>
    </row>
    <row r="832" spans="1:91">
      <c r="A832" s="158" t="s">
        <v>7654</v>
      </c>
      <c r="B832" s="112" t="s">
        <v>271</v>
      </c>
      <c r="C832" s="112">
        <v>3</v>
      </c>
      <c r="D832">
        <v>39</v>
      </c>
      <c r="E832" s="113">
        <v>89</v>
      </c>
      <c r="F832" s="113">
        <v>3</v>
      </c>
      <c r="I832" s="112">
        <v>27</v>
      </c>
      <c r="J832" s="183">
        <v>41705</v>
      </c>
      <c r="M832" s="184">
        <v>2.98</v>
      </c>
      <c r="N832" s="157">
        <v>41853</v>
      </c>
      <c r="S832" s="139">
        <v>9.02</v>
      </c>
      <c r="T832" s="157">
        <v>41853</v>
      </c>
      <c r="U832" s="139">
        <v>15.3</v>
      </c>
      <c r="Y832" s="139">
        <f t="shared" si="12"/>
        <v>4.6067200000000001</v>
      </c>
      <c r="AA832" s="139">
        <v>37.54</v>
      </c>
      <c r="AE832" s="139">
        <v>19.52</v>
      </c>
      <c r="AG832" s="185">
        <v>5.2</v>
      </c>
      <c r="AI832" s="185">
        <v>145</v>
      </c>
      <c r="AJ832" s="157">
        <v>41803</v>
      </c>
      <c r="AO832" s="139">
        <v>93</v>
      </c>
      <c r="AP832" s="157">
        <v>41738</v>
      </c>
      <c r="AS832" s="139">
        <v>129</v>
      </c>
      <c r="AT832" s="157">
        <v>41766</v>
      </c>
      <c r="BS832" s="140">
        <v>46.2</v>
      </c>
      <c r="BU832" s="140">
        <v>23.6</v>
      </c>
      <c r="BW832" s="140">
        <v>67.8</v>
      </c>
      <c r="BY832" s="140">
        <v>8.8000000000000007</v>
      </c>
      <c r="CJ832" s="140" t="s">
        <v>8140</v>
      </c>
    </row>
    <row r="833" spans="1:88">
      <c r="A833" s="158" t="s">
        <v>7691</v>
      </c>
      <c r="B833" s="112" t="s">
        <v>271</v>
      </c>
      <c r="C833" s="112">
        <v>3</v>
      </c>
      <c r="D833">
        <v>76</v>
      </c>
      <c r="E833" s="113">
        <v>89</v>
      </c>
      <c r="F833" s="113">
        <v>4</v>
      </c>
      <c r="I833" s="112">
        <v>25</v>
      </c>
      <c r="J833" s="183">
        <v>41705</v>
      </c>
      <c r="M833" s="184">
        <v>4.55</v>
      </c>
      <c r="N833" s="157">
        <v>41853</v>
      </c>
      <c r="S833" s="139">
        <v>15.3</v>
      </c>
      <c r="T833" s="157">
        <v>41853</v>
      </c>
      <c r="U833" s="139">
        <v>15.3</v>
      </c>
      <c r="Y833" s="139">
        <f t="shared" si="12"/>
        <v>5.97</v>
      </c>
      <c r="AA833" s="139">
        <v>75</v>
      </c>
      <c r="AE833" s="139">
        <v>30</v>
      </c>
      <c r="AG833" s="185">
        <v>4</v>
      </c>
      <c r="AI833" s="185">
        <v>125</v>
      </c>
      <c r="AJ833" s="157">
        <v>41803</v>
      </c>
      <c r="AO833" s="139">
        <v>92</v>
      </c>
      <c r="AP833" s="157">
        <v>41738</v>
      </c>
      <c r="AS833" s="139">
        <v>127</v>
      </c>
      <c r="AT833" s="157">
        <v>41766</v>
      </c>
      <c r="BS833" s="140">
        <v>51</v>
      </c>
      <c r="BU833" s="140">
        <v>19.899999999999999</v>
      </c>
      <c r="BW833" s="140">
        <v>14.5</v>
      </c>
      <c r="BY833" s="140">
        <v>8.1999999999999993</v>
      </c>
      <c r="CJ833" s="140" t="s">
        <v>8140</v>
      </c>
    </row>
    <row r="834" spans="1:88">
      <c r="A834" s="158" t="s">
        <v>7686</v>
      </c>
      <c r="B834" s="112" t="s">
        <v>271</v>
      </c>
      <c r="C834" s="112">
        <v>3</v>
      </c>
      <c r="D834">
        <v>71</v>
      </c>
      <c r="E834" s="113">
        <v>89</v>
      </c>
      <c r="F834" s="113">
        <v>5</v>
      </c>
      <c r="I834" s="112">
        <v>21</v>
      </c>
      <c r="J834" s="183">
        <v>41705</v>
      </c>
      <c r="M834" s="184">
        <v>3.25</v>
      </c>
      <c r="N834" s="157">
        <v>41853</v>
      </c>
      <c r="S834" s="139">
        <v>10.66</v>
      </c>
      <c r="T834" s="157">
        <v>41853</v>
      </c>
      <c r="U834" s="139">
        <v>15.3</v>
      </c>
      <c r="Y834" s="139">
        <f t="shared" ref="Y834:Y865" si="13">(AE834*BU834)/100</f>
        <v>4.29</v>
      </c>
      <c r="AA834" s="139">
        <v>49.88</v>
      </c>
      <c r="AE834" s="139">
        <v>21.45</v>
      </c>
      <c r="AG834" s="185">
        <v>4.3</v>
      </c>
      <c r="AI834" s="185">
        <v>120</v>
      </c>
      <c r="AJ834" s="157">
        <v>41803</v>
      </c>
      <c r="AO834" s="139">
        <v>91</v>
      </c>
      <c r="AP834" s="157">
        <v>41738</v>
      </c>
      <c r="AS834" s="139">
        <v>128</v>
      </c>
      <c r="AT834" s="157">
        <v>41766</v>
      </c>
      <c r="BS834" s="140">
        <v>49.7</v>
      </c>
      <c r="BU834" s="140">
        <v>20</v>
      </c>
      <c r="BW834" s="140">
        <v>12.6</v>
      </c>
      <c r="BY834" s="140">
        <v>8.1</v>
      </c>
      <c r="CJ834" s="140" t="s">
        <v>8140</v>
      </c>
    </row>
    <row r="835" spans="1:88">
      <c r="A835" s="158" t="s">
        <v>7624</v>
      </c>
      <c r="B835" s="112" t="s">
        <v>271</v>
      </c>
      <c r="C835" s="112">
        <v>3</v>
      </c>
      <c r="D835">
        <v>9</v>
      </c>
      <c r="E835" s="113">
        <v>89</v>
      </c>
      <c r="F835" s="113">
        <v>6</v>
      </c>
      <c r="I835" s="187">
        <v>27</v>
      </c>
      <c r="J835" s="183">
        <v>41705</v>
      </c>
      <c r="K835" s="142"/>
      <c r="M835" s="184">
        <v>1.01</v>
      </c>
      <c r="N835" s="157">
        <v>41853</v>
      </c>
      <c r="O835" s="141"/>
      <c r="Q835" s="142"/>
      <c r="S835" s="142">
        <v>3.07</v>
      </c>
      <c r="T835" s="157">
        <v>41853</v>
      </c>
      <c r="U835" s="142">
        <v>15.3</v>
      </c>
      <c r="W835" s="142"/>
      <c r="Y835" s="139">
        <f t="shared" si="13"/>
        <v>1.6541600000000001</v>
      </c>
      <c r="AA835" s="142">
        <v>15.51</v>
      </c>
      <c r="AE835" s="142">
        <v>6.67</v>
      </c>
      <c r="AG835" s="185">
        <v>4.3</v>
      </c>
      <c r="AI835" s="185">
        <v>115</v>
      </c>
      <c r="AJ835" s="157">
        <v>41803</v>
      </c>
      <c r="AK835" s="142"/>
      <c r="AM835" s="142"/>
      <c r="AO835" s="139">
        <v>87</v>
      </c>
      <c r="AP835" s="157">
        <v>41738</v>
      </c>
      <c r="AS835" s="139">
        <v>128</v>
      </c>
      <c r="AT835" s="157">
        <v>41766</v>
      </c>
      <c r="BS835" s="140">
        <v>46</v>
      </c>
      <c r="BU835" s="140">
        <v>24.8</v>
      </c>
      <c r="BW835" s="140">
        <v>63.3</v>
      </c>
      <c r="BY835" s="140">
        <v>8</v>
      </c>
      <c r="CJ835" s="140" t="s">
        <v>8145</v>
      </c>
    </row>
    <row r="836" spans="1:88">
      <c r="A836" s="158" t="s">
        <v>7702</v>
      </c>
      <c r="B836" s="112" t="s">
        <v>269</v>
      </c>
      <c r="C836" s="112">
        <v>4</v>
      </c>
      <c r="D836">
        <v>87</v>
      </c>
      <c r="E836" s="113">
        <v>89</v>
      </c>
      <c r="F836" s="113">
        <v>7</v>
      </c>
      <c r="I836" s="112">
        <v>46</v>
      </c>
      <c r="J836" s="183">
        <v>41705</v>
      </c>
      <c r="M836" s="184">
        <v>2.29</v>
      </c>
      <c r="N836" s="157">
        <v>41853</v>
      </c>
      <c r="S836" s="139">
        <v>7.96</v>
      </c>
      <c r="T836" s="157">
        <v>41853</v>
      </c>
      <c r="U836" s="139">
        <v>15.3</v>
      </c>
      <c r="Y836" s="139">
        <f t="shared" si="13"/>
        <v>2.7687900000000001</v>
      </c>
      <c r="AA836" s="139">
        <v>36.9</v>
      </c>
      <c r="AE836" s="139">
        <v>15.13</v>
      </c>
      <c r="AG836" s="185">
        <v>4.0999999999999996</v>
      </c>
      <c r="AI836" s="185">
        <v>100</v>
      </c>
      <c r="AJ836" s="157">
        <v>41803</v>
      </c>
      <c r="AO836" s="139">
        <v>93</v>
      </c>
      <c r="AP836" s="157">
        <v>41738</v>
      </c>
      <c r="AS836" s="139">
        <v>127</v>
      </c>
      <c r="AT836" s="157">
        <v>41766</v>
      </c>
      <c r="BS836" s="140">
        <v>52.6</v>
      </c>
      <c r="BU836" s="140">
        <v>18.3</v>
      </c>
      <c r="BW836" s="140">
        <v>11.6</v>
      </c>
      <c r="BY836" s="140">
        <v>8</v>
      </c>
      <c r="CJ836" s="140" t="s">
        <v>8140</v>
      </c>
    </row>
    <row r="837" spans="1:88">
      <c r="A837" s="158" t="s">
        <v>7646</v>
      </c>
      <c r="B837" s="112" t="s">
        <v>269</v>
      </c>
      <c r="C837" s="112">
        <v>4</v>
      </c>
      <c r="D837">
        <v>31</v>
      </c>
      <c r="E837" s="113">
        <v>89</v>
      </c>
      <c r="F837" s="113">
        <v>8</v>
      </c>
      <c r="I837" s="112">
        <v>39</v>
      </c>
      <c r="J837" s="183">
        <v>41705</v>
      </c>
      <c r="M837" s="184">
        <v>2.38</v>
      </c>
      <c r="N837" s="157">
        <v>41853</v>
      </c>
      <c r="S837" s="139">
        <v>8.73</v>
      </c>
      <c r="T837" s="157">
        <v>41853</v>
      </c>
      <c r="U837" s="139">
        <v>15.3</v>
      </c>
      <c r="Y837" s="139">
        <f t="shared" si="13"/>
        <v>2.8943199999999996</v>
      </c>
      <c r="AA837" s="139">
        <v>32.770000000000003</v>
      </c>
      <c r="AE837" s="139">
        <v>15.73</v>
      </c>
      <c r="AG837" s="185">
        <v>4.8</v>
      </c>
      <c r="AI837" s="185">
        <v>115</v>
      </c>
      <c r="AJ837" s="157">
        <v>41803</v>
      </c>
      <c r="AO837" s="139">
        <v>92</v>
      </c>
      <c r="AP837" s="157">
        <v>41738</v>
      </c>
      <c r="AS837" s="139">
        <v>124</v>
      </c>
      <c r="AT837" s="157">
        <v>41766</v>
      </c>
      <c r="BS837" s="140">
        <v>55.5</v>
      </c>
      <c r="BU837" s="140">
        <v>18.399999999999999</v>
      </c>
      <c r="BW837" s="140">
        <v>12.8</v>
      </c>
      <c r="BY837" s="140">
        <v>8</v>
      </c>
      <c r="CJ837" s="140" t="s">
        <v>8140</v>
      </c>
    </row>
    <row r="838" spans="1:88">
      <c r="A838" s="158" t="s">
        <v>7698</v>
      </c>
      <c r="B838" s="112" t="s">
        <v>269</v>
      </c>
      <c r="C838" s="112">
        <v>4</v>
      </c>
      <c r="D838">
        <v>83</v>
      </c>
      <c r="E838" s="113">
        <v>89</v>
      </c>
      <c r="F838" s="113">
        <v>9</v>
      </c>
      <c r="I838" s="112">
        <v>48</v>
      </c>
      <c r="J838" s="183">
        <v>41705</v>
      </c>
      <c r="M838" s="184">
        <v>2.2200000000000002</v>
      </c>
      <c r="N838" s="157">
        <v>41853</v>
      </c>
      <c r="S838" s="139">
        <v>7.72</v>
      </c>
      <c r="T838" s="157">
        <v>41853</v>
      </c>
      <c r="U838" s="139">
        <v>15.3</v>
      </c>
      <c r="Y838" s="139">
        <f t="shared" si="13"/>
        <v>2.6112600000000001</v>
      </c>
      <c r="AA838" s="139">
        <v>38.61</v>
      </c>
      <c r="AE838" s="139">
        <v>14.67</v>
      </c>
      <c r="AG838" s="185">
        <v>3.8</v>
      </c>
      <c r="AI838" s="185">
        <v>100</v>
      </c>
      <c r="AJ838" s="157">
        <v>41803</v>
      </c>
      <c r="AO838" s="139">
        <v>91</v>
      </c>
      <c r="AP838" s="157">
        <v>41738</v>
      </c>
      <c r="AS838" s="139">
        <v>127</v>
      </c>
      <c r="AT838" s="157">
        <v>41766</v>
      </c>
      <c r="BS838" s="140">
        <v>52.6</v>
      </c>
      <c r="BU838" s="140">
        <v>17.8</v>
      </c>
      <c r="BW838" s="140">
        <v>14.1</v>
      </c>
      <c r="BY838" s="140">
        <v>8</v>
      </c>
      <c r="CJ838" s="140" t="s">
        <v>8140</v>
      </c>
    </row>
    <row r="839" spans="1:88">
      <c r="A839" s="158" t="s">
        <v>7775</v>
      </c>
      <c r="B839" s="112" t="s">
        <v>269</v>
      </c>
      <c r="C839" s="112">
        <v>4</v>
      </c>
      <c r="D839">
        <v>160</v>
      </c>
      <c r="E839" s="113">
        <v>89</v>
      </c>
      <c r="F839" s="113">
        <v>10</v>
      </c>
      <c r="I839" s="112">
        <v>39</v>
      </c>
      <c r="J839" s="183">
        <v>41705</v>
      </c>
      <c r="M839" s="184">
        <v>3.03</v>
      </c>
      <c r="N839" s="157">
        <v>41853</v>
      </c>
      <c r="S839" s="139">
        <v>10.44</v>
      </c>
      <c r="T839" s="157">
        <v>41853</v>
      </c>
      <c r="U839" s="139">
        <v>15.3</v>
      </c>
      <c r="Y839" s="139">
        <f t="shared" si="13"/>
        <v>3.6325500000000006</v>
      </c>
      <c r="AA839" s="139">
        <v>38.92</v>
      </c>
      <c r="AE839" s="139">
        <v>19.850000000000001</v>
      </c>
      <c r="AG839" s="185">
        <v>5.0999999999999996</v>
      </c>
      <c r="AI839" s="185">
        <v>110</v>
      </c>
      <c r="AJ839" s="157">
        <v>41803</v>
      </c>
      <c r="AO839" s="139">
        <v>90</v>
      </c>
      <c r="AP839" s="157">
        <v>41738</v>
      </c>
      <c r="AS839" s="139">
        <v>125</v>
      </c>
      <c r="AT839" s="157">
        <v>41766</v>
      </c>
      <c r="BS839" s="140">
        <v>52.6</v>
      </c>
      <c r="BU839" s="140">
        <v>18.3</v>
      </c>
      <c r="BW839" s="140">
        <v>15.8</v>
      </c>
      <c r="BY839" s="140">
        <v>8.8000000000000007</v>
      </c>
      <c r="CJ839" s="140" t="s">
        <v>8140</v>
      </c>
    </row>
    <row r="840" spans="1:88">
      <c r="A840" s="158" t="s">
        <v>7720</v>
      </c>
      <c r="B840" s="112" t="s">
        <v>269</v>
      </c>
      <c r="C840" s="112">
        <v>4</v>
      </c>
      <c r="D840">
        <v>105</v>
      </c>
      <c r="E840" s="113">
        <v>89</v>
      </c>
      <c r="F840" s="113">
        <v>11</v>
      </c>
      <c r="I840" s="112">
        <v>48</v>
      </c>
      <c r="J840" s="183">
        <v>41705</v>
      </c>
      <c r="M840" s="184">
        <v>2.2200000000000002</v>
      </c>
      <c r="N840" s="157">
        <v>41853</v>
      </c>
      <c r="S840" s="139">
        <v>7.69</v>
      </c>
      <c r="T840" s="157">
        <v>41853</v>
      </c>
      <c r="U840" s="139">
        <v>15.3</v>
      </c>
      <c r="Y840" s="139">
        <f t="shared" si="13"/>
        <v>2.42055</v>
      </c>
      <c r="AA840" s="139">
        <v>32.6</v>
      </c>
      <c r="AE840" s="139">
        <v>14.67</v>
      </c>
      <c r="AG840" s="185">
        <v>4.5</v>
      </c>
      <c r="AI840" s="185">
        <v>110</v>
      </c>
      <c r="AJ840" s="157">
        <v>41803</v>
      </c>
      <c r="AO840" s="139">
        <v>92</v>
      </c>
      <c r="AP840" s="157">
        <v>41738</v>
      </c>
      <c r="AS840" s="139">
        <v>127</v>
      </c>
      <c r="AT840" s="157">
        <v>41766</v>
      </c>
      <c r="BS840" s="140">
        <v>52.4</v>
      </c>
      <c r="BU840" s="140">
        <v>16.5</v>
      </c>
      <c r="BW840" s="140">
        <v>9.5</v>
      </c>
      <c r="BY840" s="140">
        <v>8</v>
      </c>
      <c r="CJ840" s="140" t="s">
        <v>8140</v>
      </c>
    </row>
    <row r="841" spans="1:88">
      <c r="A841" s="158" t="s">
        <v>7728</v>
      </c>
      <c r="B841" s="112" t="s">
        <v>269</v>
      </c>
      <c r="C841" s="112">
        <v>4</v>
      </c>
      <c r="D841">
        <v>113</v>
      </c>
      <c r="E841" s="113">
        <v>89</v>
      </c>
      <c r="F841" s="113">
        <v>12</v>
      </c>
      <c r="I841" s="112">
        <v>60</v>
      </c>
      <c r="J841" s="183">
        <v>41705</v>
      </c>
      <c r="M841" s="184">
        <v>2.2799999999999998</v>
      </c>
      <c r="N841" s="157">
        <v>41853</v>
      </c>
      <c r="S841" s="139">
        <v>8.1199999999999992</v>
      </c>
      <c r="T841" s="157">
        <v>41853</v>
      </c>
      <c r="U841" s="139">
        <v>15.3</v>
      </c>
      <c r="Y841" s="139">
        <f t="shared" si="13"/>
        <v>2.5016200000000004</v>
      </c>
      <c r="AA841" s="139">
        <v>38.64</v>
      </c>
      <c r="AE841" s="139">
        <v>15.07</v>
      </c>
      <c r="AG841" s="185">
        <v>3.9</v>
      </c>
      <c r="AI841" s="185">
        <v>100</v>
      </c>
      <c r="AJ841" s="157">
        <v>41803</v>
      </c>
      <c r="AO841" s="139">
        <v>91</v>
      </c>
      <c r="AP841" s="157">
        <v>41738</v>
      </c>
      <c r="AS841" s="139">
        <v>127</v>
      </c>
      <c r="AT841" s="157">
        <v>41766</v>
      </c>
      <c r="BS841" s="140">
        <v>53.9</v>
      </c>
      <c r="BU841" s="140">
        <v>16.600000000000001</v>
      </c>
      <c r="BW841" s="140">
        <v>14.1</v>
      </c>
      <c r="BY841" s="140">
        <v>8</v>
      </c>
      <c r="CJ841" s="140" t="s">
        <v>8140</v>
      </c>
    </row>
    <row r="842" spans="1:88">
      <c r="A842" s="158" t="s">
        <v>7641</v>
      </c>
      <c r="B842" s="112" t="s">
        <v>271</v>
      </c>
      <c r="C842" s="112">
        <v>3</v>
      </c>
      <c r="D842">
        <v>26</v>
      </c>
      <c r="E842" s="113">
        <v>90</v>
      </c>
      <c r="F842" s="113">
        <v>1</v>
      </c>
      <c r="I842" s="112">
        <v>44</v>
      </c>
      <c r="J842" s="183">
        <v>41705</v>
      </c>
      <c r="M842" s="184">
        <v>1.34</v>
      </c>
      <c r="N842" s="157">
        <v>41853</v>
      </c>
      <c r="S842" s="139">
        <v>4.05</v>
      </c>
      <c r="T842" s="157">
        <v>41853</v>
      </c>
      <c r="U842" s="139">
        <v>15.3</v>
      </c>
      <c r="Y842" s="139">
        <f t="shared" si="13"/>
        <v>2.2390500000000002</v>
      </c>
      <c r="AA842" s="139">
        <v>18.440000000000001</v>
      </c>
      <c r="AE842" s="139">
        <v>8.85</v>
      </c>
      <c r="AG842" s="185">
        <v>4.8</v>
      </c>
      <c r="AI842" s="185">
        <v>105</v>
      </c>
      <c r="AJ842" s="157">
        <v>41803</v>
      </c>
      <c r="AO842" s="139">
        <v>89</v>
      </c>
      <c r="AP842" s="157">
        <v>41738</v>
      </c>
      <c r="AS842" s="139">
        <v>124</v>
      </c>
      <c r="AT842" s="157">
        <v>41766</v>
      </c>
      <c r="BS842" s="140">
        <v>45.8</v>
      </c>
      <c r="BU842" s="140">
        <v>25.3</v>
      </c>
      <c r="BW842" s="140">
        <v>70.599999999999994</v>
      </c>
      <c r="BY842" s="140">
        <v>8</v>
      </c>
      <c r="CJ842" s="140" t="s">
        <v>8139</v>
      </c>
    </row>
    <row r="843" spans="1:88">
      <c r="A843" s="158" t="s">
        <v>7799</v>
      </c>
      <c r="B843" s="112" t="s">
        <v>271</v>
      </c>
      <c r="C843" s="112">
        <v>3</v>
      </c>
      <c r="D843">
        <v>184</v>
      </c>
      <c r="E843" s="113">
        <v>90</v>
      </c>
      <c r="F843" s="113">
        <v>2</v>
      </c>
      <c r="I843" s="112">
        <v>54</v>
      </c>
      <c r="J843" s="183">
        <v>41705</v>
      </c>
      <c r="M843" s="184">
        <v>3.34</v>
      </c>
      <c r="N843" s="157">
        <v>41853</v>
      </c>
      <c r="S843" s="139">
        <v>10.7</v>
      </c>
      <c r="T843" s="157">
        <v>41853</v>
      </c>
      <c r="U843" s="139">
        <v>15.3</v>
      </c>
      <c r="Y843" s="139">
        <f t="shared" si="13"/>
        <v>4.7479599999999991</v>
      </c>
      <c r="AA843" s="139">
        <v>35.869999999999997</v>
      </c>
      <c r="AE843" s="139">
        <v>21.88</v>
      </c>
      <c r="AG843" s="185">
        <v>6.1</v>
      </c>
      <c r="AI843" s="185">
        <v>130</v>
      </c>
      <c r="AJ843" s="157">
        <v>41803</v>
      </c>
      <c r="AO843" s="139">
        <v>91</v>
      </c>
      <c r="AP843" s="157">
        <v>41738</v>
      </c>
      <c r="AS843" s="139">
        <v>127</v>
      </c>
      <c r="AT843" s="157">
        <v>41766</v>
      </c>
      <c r="BS843" s="140">
        <v>48.9</v>
      </c>
      <c r="BU843" s="140">
        <v>21.7</v>
      </c>
      <c r="BW843" s="140">
        <v>19.8</v>
      </c>
      <c r="BY843" s="140">
        <v>8.8000000000000007</v>
      </c>
      <c r="CJ843" s="140" t="s">
        <v>8140</v>
      </c>
    </row>
    <row r="844" spans="1:88">
      <c r="A844" s="158" t="s">
        <v>7675</v>
      </c>
      <c r="B844" s="112" t="s">
        <v>271</v>
      </c>
      <c r="C844" s="112">
        <v>3</v>
      </c>
      <c r="D844">
        <v>60</v>
      </c>
      <c r="E844" s="113">
        <v>90</v>
      </c>
      <c r="F844" s="113">
        <v>3</v>
      </c>
      <c r="I844" s="112">
        <v>38</v>
      </c>
      <c r="J844" s="183">
        <v>41705</v>
      </c>
      <c r="M844" s="184">
        <v>3.02</v>
      </c>
      <c r="N844" s="157">
        <v>41853</v>
      </c>
      <c r="S844" s="139">
        <v>9.83</v>
      </c>
      <c r="T844" s="157">
        <v>41853</v>
      </c>
      <c r="U844" s="139">
        <v>15.3</v>
      </c>
      <c r="Y844" s="139">
        <f t="shared" si="13"/>
        <v>4.4045300000000003</v>
      </c>
      <c r="AA844" s="139">
        <v>46.35</v>
      </c>
      <c r="AE844" s="139">
        <v>19.93</v>
      </c>
      <c r="AG844" s="185">
        <v>4.3</v>
      </c>
      <c r="AI844" s="185">
        <v>125</v>
      </c>
      <c r="AJ844" s="157">
        <v>41803</v>
      </c>
      <c r="AO844" s="139">
        <v>91</v>
      </c>
      <c r="AP844" s="157">
        <v>41738</v>
      </c>
      <c r="AS844" s="139">
        <v>127</v>
      </c>
      <c r="AT844" s="157">
        <v>41766</v>
      </c>
      <c r="BS844" s="140">
        <v>49.3</v>
      </c>
      <c r="BU844" s="140">
        <v>22.1</v>
      </c>
      <c r="BW844" s="140">
        <v>16</v>
      </c>
      <c r="BY844" s="140">
        <v>8.1</v>
      </c>
      <c r="CJ844" s="140" t="s">
        <v>8140</v>
      </c>
    </row>
    <row r="845" spans="1:88">
      <c r="A845" s="158" t="s">
        <v>7681</v>
      </c>
      <c r="B845" s="112" t="s">
        <v>271</v>
      </c>
      <c r="C845" s="112">
        <v>3</v>
      </c>
      <c r="D845">
        <v>66</v>
      </c>
      <c r="E845" s="113">
        <v>90</v>
      </c>
      <c r="F845" s="113">
        <v>4</v>
      </c>
      <c r="I845" s="112">
        <v>48</v>
      </c>
      <c r="J845" s="183">
        <v>41705</v>
      </c>
      <c r="M845" s="184">
        <v>3.65</v>
      </c>
      <c r="N845" s="157">
        <v>41853</v>
      </c>
      <c r="S845" s="139">
        <v>11.98</v>
      </c>
      <c r="T845" s="157">
        <v>41853</v>
      </c>
      <c r="U845" s="139">
        <v>15.3</v>
      </c>
      <c r="Y845" s="139">
        <f t="shared" si="13"/>
        <v>5.2822000000000005</v>
      </c>
      <c r="AA845" s="139">
        <v>50.02</v>
      </c>
      <c r="AE845" s="139">
        <v>24.01</v>
      </c>
      <c r="AG845" s="185">
        <v>4.8</v>
      </c>
      <c r="AI845" s="185">
        <v>120</v>
      </c>
      <c r="AJ845" s="157">
        <v>41803</v>
      </c>
      <c r="AO845" s="139">
        <v>90</v>
      </c>
      <c r="AP845" s="157">
        <v>41738</v>
      </c>
      <c r="AS845" s="139">
        <v>127</v>
      </c>
      <c r="AT845" s="157">
        <v>41766</v>
      </c>
      <c r="BS845" s="140">
        <v>49.9</v>
      </c>
      <c r="BU845" s="140">
        <v>22</v>
      </c>
      <c r="BW845" s="140">
        <v>13.1</v>
      </c>
      <c r="BY845" s="140">
        <v>8.4</v>
      </c>
      <c r="CJ845" s="140" t="s">
        <v>8140</v>
      </c>
    </row>
    <row r="846" spans="1:88">
      <c r="A846" s="158" t="s">
        <v>7780</v>
      </c>
      <c r="B846" s="112" t="s">
        <v>271</v>
      </c>
      <c r="C846" s="112">
        <v>3</v>
      </c>
      <c r="D846">
        <v>165</v>
      </c>
      <c r="E846" s="113">
        <v>90</v>
      </c>
      <c r="F846" s="113">
        <v>5</v>
      </c>
      <c r="I846" s="112">
        <v>44</v>
      </c>
      <c r="J846" s="183">
        <v>41705</v>
      </c>
      <c r="M846" s="184">
        <v>4.3</v>
      </c>
      <c r="N846" s="157">
        <v>41853</v>
      </c>
      <c r="S846" s="139">
        <v>14.3</v>
      </c>
      <c r="T846" s="157">
        <v>41853</v>
      </c>
      <c r="U846" s="139">
        <v>15.3</v>
      </c>
      <c r="Y846" s="139">
        <f t="shared" si="13"/>
        <v>5.7489600000000003</v>
      </c>
      <c r="AA846" s="139">
        <v>57.8</v>
      </c>
      <c r="AE846" s="139">
        <v>28.32</v>
      </c>
      <c r="AG846" s="185">
        <v>4.9000000000000004</v>
      </c>
      <c r="AI846" s="185">
        <v>120</v>
      </c>
      <c r="AJ846" s="157">
        <v>41803</v>
      </c>
      <c r="AO846" s="139">
        <v>94</v>
      </c>
      <c r="AP846" s="157">
        <v>41738</v>
      </c>
      <c r="AS846" s="139">
        <v>128</v>
      </c>
      <c r="AT846" s="157">
        <v>41766</v>
      </c>
      <c r="BS846" s="140">
        <v>50.5</v>
      </c>
      <c r="BU846" s="140">
        <v>20.3</v>
      </c>
      <c r="BW846" s="140">
        <v>17.100000000000001</v>
      </c>
      <c r="BY846" s="140">
        <v>8.3000000000000007</v>
      </c>
      <c r="CJ846" s="140" t="s">
        <v>8140</v>
      </c>
    </row>
    <row r="847" spans="1:88">
      <c r="A847" s="158" t="s">
        <v>7749</v>
      </c>
      <c r="B847" s="112" t="s">
        <v>271</v>
      </c>
      <c r="C847" s="112">
        <v>3</v>
      </c>
      <c r="D847">
        <v>134</v>
      </c>
      <c r="E847" s="113">
        <v>90</v>
      </c>
      <c r="F847" s="113">
        <v>6</v>
      </c>
      <c r="I847" s="112">
        <v>30</v>
      </c>
      <c r="J847" s="183">
        <v>41705</v>
      </c>
      <c r="M847" s="184">
        <v>1.51</v>
      </c>
      <c r="N847" s="157">
        <v>41853</v>
      </c>
      <c r="S847" s="139">
        <v>4.8</v>
      </c>
      <c r="T847" s="157">
        <v>41853</v>
      </c>
      <c r="U847" s="139">
        <v>15.3</v>
      </c>
      <c r="Y847" s="139">
        <f t="shared" si="13"/>
        <v>2.48502</v>
      </c>
      <c r="AA847" s="139">
        <v>17.82</v>
      </c>
      <c r="AE847" s="139">
        <v>9.98</v>
      </c>
      <c r="AG847" s="185">
        <v>5.6</v>
      </c>
      <c r="AI847" s="185">
        <v>130</v>
      </c>
      <c r="AJ847" s="157">
        <v>41803</v>
      </c>
      <c r="AO847" s="139">
        <v>100</v>
      </c>
      <c r="AP847" s="157">
        <v>41738</v>
      </c>
      <c r="AS847" s="139">
        <v>129</v>
      </c>
      <c r="AT847" s="157">
        <v>41766</v>
      </c>
      <c r="BS847" s="140">
        <v>48.1</v>
      </c>
      <c r="BU847" s="140">
        <v>24.9</v>
      </c>
      <c r="BW847" s="140">
        <v>73.900000000000006</v>
      </c>
      <c r="BY847" s="140">
        <v>8</v>
      </c>
      <c r="CJ847" s="140" t="s">
        <v>8131</v>
      </c>
    </row>
    <row r="848" spans="1:88">
      <c r="A848" s="158" t="s">
        <v>7739</v>
      </c>
      <c r="B848" s="112" t="s">
        <v>269</v>
      </c>
      <c r="C848" s="112">
        <v>4</v>
      </c>
      <c r="D848">
        <v>124</v>
      </c>
      <c r="E848" s="113">
        <v>90</v>
      </c>
      <c r="F848" s="113">
        <v>7</v>
      </c>
      <c r="I848" s="112">
        <v>29</v>
      </c>
      <c r="J848" s="183">
        <v>41705</v>
      </c>
      <c r="M848" s="184">
        <v>1.58</v>
      </c>
      <c r="N848" s="157">
        <v>41853</v>
      </c>
      <c r="S848" s="139">
        <v>5.24</v>
      </c>
      <c r="T848" s="157">
        <v>41853</v>
      </c>
      <c r="U848" s="139">
        <v>15.3</v>
      </c>
      <c r="Y848" s="139">
        <f t="shared" si="13"/>
        <v>2.0253599999999996</v>
      </c>
      <c r="AA848" s="139">
        <v>25.46</v>
      </c>
      <c r="AE848" s="139">
        <v>10.44</v>
      </c>
      <c r="AG848" s="185">
        <v>4.0999999999999996</v>
      </c>
      <c r="AI848" s="185">
        <v>120</v>
      </c>
      <c r="AJ848" s="157">
        <v>41803</v>
      </c>
      <c r="AO848" s="139">
        <v>97</v>
      </c>
      <c r="AP848" s="157">
        <v>41738</v>
      </c>
      <c r="AS848" s="139">
        <v>127</v>
      </c>
      <c r="AT848" s="157">
        <v>41766</v>
      </c>
      <c r="BS848" s="140">
        <v>50.2</v>
      </c>
      <c r="BU848" s="140">
        <v>19.399999999999999</v>
      </c>
      <c r="BW848" s="140">
        <v>10.4</v>
      </c>
      <c r="BY848" s="140">
        <v>8</v>
      </c>
      <c r="CJ848" s="140" t="s">
        <v>8131</v>
      </c>
    </row>
    <row r="849" spans="1:88">
      <c r="A849" s="158" t="s">
        <v>7689</v>
      </c>
      <c r="B849" s="112" t="s">
        <v>269</v>
      </c>
      <c r="C849" s="112">
        <v>4</v>
      </c>
      <c r="D849">
        <v>74</v>
      </c>
      <c r="E849" s="113">
        <v>90</v>
      </c>
      <c r="F849" s="113">
        <v>8</v>
      </c>
      <c r="I849" s="112">
        <v>40</v>
      </c>
      <c r="J849" s="183">
        <v>41705</v>
      </c>
      <c r="M849" s="184">
        <v>2.2799999999999998</v>
      </c>
      <c r="N849" s="157">
        <v>41853</v>
      </c>
      <c r="S849" s="139">
        <v>7.64</v>
      </c>
      <c r="T849" s="157">
        <v>41853</v>
      </c>
      <c r="U849" s="139">
        <v>15.3</v>
      </c>
      <c r="Y849" s="139">
        <f t="shared" si="13"/>
        <v>3.08935</v>
      </c>
      <c r="AA849" s="139">
        <v>29.55</v>
      </c>
      <c r="AE849" s="139">
        <v>15.07</v>
      </c>
      <c r="AG849" s="185">
        <v>5.0999999999999996</v>
      </c>
      <c r="AI849" s="185">
        <v>120</v>
      </c>
      <c r="AJ849" s="157">
        <v>41803</v>
      </c>
      <c r="AO849" s="139">
        <v>93</v>
      </c>
      <c r="AP849" s="157">
        <v>41738</v>
      </c>
      <c r="AS849" s="139">
        <v>126</v>
      </c>
      <c r="AT849" s="157">
        <v>41766</v>
      </c>
      <c r="BS849" s="140">
        <v>50.7</v>
      </c>
      <c r="BU849" s="140">
        <v>20.5</v>
      </c>
      <c r="BW849" s="140">
        <v>14.4</v>
      </c>
      <c r="BY849" s="140">
        <v>8</v>
      </c>
      <c r="CJ849" s="140" t="s">
        <v>8140</v>
      </c>
    </row>
    <row r="850" spans="1:88">
      <c r="A850" s="158" t="s">
        <v>7699</v>
      </c>
      <c r="B850" s="112" t="s">
        <v>269</v>
      </c>
      <c r="C850" s="112">
        <v>4</v>
      </c>
      <c r="D850">
        <v>84</v>
      </c>
      <c r="E850" s="113">
        <v>90</v>
      </c>
      <c r="F850" s="113">
        <v>9</v>
      </c>
      <c r="I850" s="112">
        <v>35</v>
      </c>
      <c r="J850" s="183">
        <v>41705</v>
      </c>
      <c r="M850" s="184">
        <v>2.06</v>
      </c>
      <c r="N850" s="157">
        <v>41853</v>
      </c>
      <c r="S850" s="139">
        <v>7.08</v>
      </c>
      <c r="T850" s="157">
        <v>41853</v>
      </c>
      <c r="U850" s="139">
        <v>15.3</v>
      </c>
      <c r="Y850" s="139">
        <f t="shared" si="13"/>
        <v>2.3817499999999998</v>
      </c>
      <c r="AA850" s="139">
        <v>32.4</v>
      </c>
      <c r="AE850" s="139">
        <v>13.61</v>
      </c>
      <c r="AG850" s="185">
        <v>4.2</v>
      </c>
      <c r="AI850" s="185">
        <v>100</v>
      </c>
      <c r="AJ850" s="157">
        <v>41803</v>
      </c>
      <c r="AO850" s="139">
        <v>90</v>
      </c>
      <c r="AP850" s="157">
        <v>41738</v>
      </c>
      <c r="AS850" s="139">
        <v>127</v>
      </c>
      <c r="AT850" s="157">
        <v>41766</v>
      </c>
      <c r="BS850" s="140">
        <v>52</v>
      </c>
      <c r="BU850" s="140">
        <v>17.5</v>
      </c>
      <c r="BW850" s="140">
        <v>14.8</v>
      </c>
      <c r="BY850" s="140">
        <v>8</v>
      </c>
      <c r="CJ850" s="140" t="s">
        <v>8140</v>
      </c>
    </row>
    <row r="851" spans="1:88">
      <c r="A851" s="158" t="s">
        <v>7902</v>
      </c>
      <c r="B851" s="112" t="s">
        <v>269</v>
      </c>
      <c r="C851" s="112">
        <v>4</v>
      </c>
      <c r="D851">
        <v>210</v>
      </c>
      <c r="E851" s="113">
        <v>90</v>
      </c>
      <c r="F851" s="113">
        <v>10</v>
      </c>
      <c r="I851" s="112">
        <v>33</v>
      </c>
      <c r="J851" s="183">
        <v>41705</v>
      </c>
      <c r="M851" s="184">
        <v>2.48</v>
      </c>
      <c r="N851" s="157">
        <v>41853</v>
      </c>
      <c r="S851" s="139">
        <v>8.51</v>
      </c>
      <c r="T851" s="157">
        <v>41853</v>
      </c>
      <c r="U851" s="139">
        <v>15.3</v>
      </c>
      <c r="Y851" s="139">
        <f t="shared" si="13"/>
        <v>2.8978400000000004</v>
      </c>
      <c r="AA851" s="139">
        <v>37</v>
      </c>
      <c r="AE851" s="139">
        <v>16.28</v>
      </c>
      <c r="AG851" s="185">
        <v>4.4000000000000004</v>
      </c>
      <c r="AI851" s="185">
        <v>115</v>
      </c>
      <c r="AJ851" s="157">
        <v>41803</v>
      </c>
      <c r="AO851" s="139">
        <v>87</v>
      </c>
      <c r="AP851" s="157">
        <v>41738</v>
      </c>
      <c r="AS851" s="139">
        <v>126</v>
      </c>
      <c r="AT851" s="157">
        <v>41766</v>
      </c>
      <c r="BS851" s="140">
        <v>52.3</v>
      </c>
      <c r="BU851" s="140">
        <v>17.8</v>
      </c>
      <c r="BW851" s="140">
        <v>20.399999999999999</v>
      </c>
      <c r="BY851" s="140">
        <v>8.6</v>
      </c>
      <c r="CJ851" s="140" t="s">
        <v>8140</v>
      </c>
    </row>
    <row r="852" spans="1:88">
      <c r="A852" s="158" t="s">
        <v>7660</v>
      </c>
      <c r="B852" s="112" t="s">
        <v>269</v>
      </c>
      <c r="C852" s="112">
        <v>4</v>
      </c>
      <c r="D852">
        <v>45</v>
      </c>
      <c r="E852" s="113">
        <v>90</v>
      </c>
      <c r="F852" s="113">
        <v>11</v>
      </c>
      <c r="I852" s="112">
        <v>78</v>
      </c>
      <c r="J852" s="183">
        <v>41705</v>
      </c>
      <c r="M852" s="184">
        <v>1.94</v>
      </c>
      <c r="N852" s="157">
        <v>41853</v>
      </c>
      <c r="S852" s="139">
        <v>6.44</v>
      </c>
      <c r="T852" s="157">
        <v>41853</v>
      </c>
      <c r="U852" s="139">
        <v>15.3</v>
      </c>
      <c r="Y852" s="139">
        <f t="shared" si="13"/>
        <v>2.4870800000000002</v>
      </c>
      <c r="AA852" s="139">
        <v>34.65</v>
      </c>
      <c r="AE852" s="139">
        <v>12.82</v>
      </c>
      <c r="AG852" s="185">
        <v>3.7</v>
      </c>
      <c r="AI852" s="185">
        <v>100</v>
      </c>
      <c r="AJ852" s="157">
        <v>41803</v>
      </c>
      <c r="AO852" s="139">
        <v>91</v>
      </c>
      <c r="AP852" s="157">
        <v>41738</v>
      </c>
      <c r="AS852" s="139">
        <v>127</v>
      </c>
      <c r="AT852" s="157">
        <v>41766</v>
      </c>
      <c r="BS852" s="140">
        <v>50.2</v>
      </c>
      <c r="BU852" s="140">
        <v>19.399999999999999</v>
      </c>
      <c r="BW852" s="140">
        <v>57.9</v>
      </c>
      <c r="BY852" s="140">
        <v>8</v>
      </c>
      <c r="CJ852" s="140" t="s">
        <v>8140</v>
      </c>
    </row>
    <row r="853" spans="1:88">
      <c r="A853" s="158" t="s">
        <v>7674</v>
      </c>
      <c r="B853" s="112" t="s">
        <v>269</v>
      </c>
      <c r="C853" s="112">
        <v>4</v>
      </c>
      <c r="D853">
        <v>59</v>
      </c>
      <c r="E853" s="113">
        <v>90</v>
      </c>
      <c r="F853" s="113">
        <v>12</v>
      </c>
      <c r="I853" s="112">
        <v>46</v>
      </c>
      <c r="J853" s="183">
        <v>41705</v>
      </c>
      <c r="M853" s="184">
        <v>2.56</v>
      </c>
      <c r="N853" s="157">
        <v>41853</v>
      </c>
      <c r="S853" s="139">
        <v>8.93</v>
      </c>
      <c r="T853" s="157">
        <v>41853</v>
      </c>
      <c r="U853" s="139">
        <v>15.3</v>
      </c>
      <c r="Y853" s="139">
        <f t="shared" si="13"/>
        <v>3.0625200000000006</v>
      </c>
      <c r="AA853" s="139">
        <v>40.29</v>
      </c>
      <c r="AE853" s="139">
        <v>16.920000000000002</v>
      </c>
      <c r="AG853" s="185">
        <v>4.2</v>
      </c>
      <c r="AI853" s="185">
        <v>115</v>
      </c>
      <c r="AJ853" s="157">
        <v>41803</v>
      </c>
      <c r="AO853" s="139">
        <v>91</v>
      </c>
      <c r="AP853" s="157">
        <v>41738</v>
      </c>
      <c r="AS853" s="139">
        <v>125</v>
      </c>
      <c r="AT853" s="157">
        <v>41766</v>
      </c>
      <c r="BS853" s="140">
        <v>52.8</v>
      </c>
      <c r="BU853" s="140">
        <v>18.100000000000001</v>
      </c>
      <c r="BW853" s="140">
        <v>15.7</v>
      </c>
      <c r="BY853" s="140">
        <v>8</v>
      </c>
      <c r="CJ853" s="140" t="s">
        <v>8140</v>
      </c>
    </row>
    <row r="854" spans="1:88">
      <c r="A854" s="158" t="s">
        <v>7669</v>
      </c>
      <c r="B854" s="112" t="s">
        <v>271</v>
      </c>
      <c r="C854" s="112">
        <v>3</v>
      </c>
      <c r="D854">
        <v>54</v>
      </c>
      <c r="E854" s="113">
        <v>91</v>
      </c>
      <c r="F854" s="113">
        <v>1</v>
      </c>
      <c r="I854" s="112">
        <v>18</v>
      </c>
      <c r="J854" s="183">
        <v>41705</v>
      </c>
      <c r="M854" s="184">
        <v>2.4900000000000002</v>
      </c>
      <c r="N854" s="157">
        <v>41853</v>
      </c>
      <c r="S854" s="139">
        <v>7.75</v>
      </c>
      <c r="T854" s="157">
        <v>41853</v>
      </c>
      <c r="U854" s="139">
        <v>15.3</v>
      </c>
      <c r="Y854" s="139">
        <f t="shared" si="13"/>
        <v>3.8118799999999999</v>
      </c>
      <c r="AA854" s="139">
        <v>35.57</v>
      </c>
      <c r="AE854" s="139">
        <v>16.36</v>
      </c>
      <c r="AG854" s="185">
        <v>4.5999999999999996</v>
      </c>
      <c r="AI854" s="185">
        <v>135</v>
      </c>
      <c r="AJ854" s="157">
        <v>41803</v>
      </c>
      <c r="AO854" s="139">
        <v>90</v>
      </c>
      <c r="AP854" s="157">
        <v>41738</v>
      </c>
      <c r="AS854" s="139">
        <v>129</v>
      </c>
      <c r="AT854" s="157">
        <v>41766</v>
      </c>
      <c r="BS854" s="140">
        <v>47.4</v>
      </c>
      <c r="BU854" s="140">
        <v>23.3</v>
      </c>
      <c r="BW854" s="140">
        <v>46.6</v>
      </c>
      <c r="BY854" s="140">
        <v>8.5</v>
      </c>
      <c r="CJ854" s="140" t="s">
        <v>8140</v>
      </c>
    </row>
    <row r="855" spans="1:88">
      <c r="A855" s="158" t="s">
        <v>7751</v>
      </c>
      <c r="B855" s="112" t="s">
        <v>271</v>
      </c>
      <c r="C855" s="112">
        <v>3</v>
      </c>
      <c r="D855">
        <v>136</v>
      </c>
      <c r="E855" s="113">
        <v>91</v>
      </c>
      <c r="F855" s="113">
        <v>2</v>
      </c>
      <c r="I855" s="112">
        <v>50</v>
      </c>
      <c r="J855" s="183">
        <v>41705</v>
      </c>
      <c r="M855" s="184">
        <v>2.31</v>
      </c>
      <c r="N855" s="157">
        <v>41853</v>
      </c>
      <c r="S855" s="139">
        <v>7.32</v>
      </c>
      <c r="T855" s="157">
        <v>41853</v>
      </c>
      <c r="U855" s="139">
        <v>15.3</v>
      </c>
      <c r="Y855" s="139">
        <f t="shared" si="13"/>
        <v>3.6166199999999997</v>
      </c>
      <c r="AA855" s="139">
        <v>34.68</v>
      </c>
      <c r="AE855" s="139">
        <v>15.26</v>
      </c>
      <c r="AG855" s="185">
        <v>4.4000000000000004</v>
      </c>
      <c r="AI855" s="185">
        <v>145</v>
      </c>
      <c r="AJ855" s="157">
        <v>41803</v>
      </c>
      <c r="AO855" s="139">
        <v>95</v>
      </c>
      <c r="AP855" s="157">
        <v>41738</v>
      </c>
      <c r="AS855" s="139">
        <v>129</v>
      </c>
      <c r="AT855" s="157">
        <v>41766</v>
      </c>
      <c r="BS855" s="140">
        <v>48</v>
      </c>
      <c r="BU855" s="140">
        <v>23.7</v>
      </c>
      <c r="BW855" s="140">
        <v>71.8</v>
      </c>
      <c r="BY855" s="140">
        <v>8</v>
      </c>
      <c r="CJ855" s="140" t="s">
        <v>8140</v>
      </c>
    </row>
    <row r="856" spans="1:88">
      <c r="A856" s="158" t="s">
        <v>7621</v>
      </c>
      <c r="B856" s="112" t="s">
        <v>271</v>
      </c>
      <c r="C856" s="112">
        <v>3</v>
      </c>
      <c r="D856">
        <v>6</v>
      </c>
      <c r="E856" s="113">
        <v>91</v>
      </c>
      <c r="F856" s="113">
        <v>3</v>
      </c>
      <c r="I856" s="187">
        <v>26</v>
      </c>
      <c r="J856" s="183">
        <v>41705</v>
      </c>
      <c r="K856" s="142"/>
      <c r="M856" s="184">
        <v>1.76</v>
      </c>
      <c r="N856" s="157">
        <v>41853</v>
      </c>
      <c r="O856" s="141"/>
      <c r="Q856" s="142"/>
      <c r="S856" s="142">
        <v>5.56</v>
      </c>
      <c r="T856" s="157">
        <v>41853</v>
      </c>
      <c r="U856" s="142">
        <v>15.3</v>
      </c>
      <c r="W856" s="142"/>
      <c r="Y856" s="139">
        <f t="shared" si="13"/>
        <v>2.8144600000000004</v>
      </c>
      <c r="AA856" s="142">
        <v>21.54</v>
      </c>
      <c r="AE856" s="142">
        <v>11.63</v>
      </c>
      <c r="AG856" s="185">
        <v>5.4</v>
      </c>
      <c r="AI856" s="185">
        <v>135</v>
      </c>
      <c r="AJ856" s="157">
        <v>41803</v>
      </c>
      <c r="AK856" s="142"/>
      <c r="AM856" s="142"/>
      <c r="AO856" s="139">
        <v>91</v>
      </c>
      <c r="AP856" s="157">
        <v>41738</v>
      </c>
      <c r="AS856" s="139">
        <v>129</v>
      </c>
      <c r="AT856" s="157">
        <v>41766</v>
      </c>
      <c r="BS856" s="140">
        <v>47.8</v>
      </c>
      <c r="BU856" s="140">
        <v>24.2</v>
      </c>
      <c r="BW856" s="140">
        <v>80.7</v>
      </c>
      <c r="BY856" s="140">
        <v>8</v>
      </c>
      <c r="CJ856" s="140" t="s">
        <v>8140</v>
      </c>
    </row>
    <row r="857" spans="1:88">
      <c r="A857" s="158" t="s">
        <v>7678</v>
      </c>
      <c r="B857" s="112" t="s">
        <v>271</v>
      </c>
      <c r="C857" s="112">
        <v>3</v>
      </c>
      <c r="D857">
        <v>63</v>
      </c>
      <c r="E857" s="113">
        <v>91</v>
      </c>
      <c r="F857" s="113">
        <v>4</v>
      </c>
      <c r="I857" s="112">
        <v>21</v>
      </c>
      <c r="J857" s="183">
        <v>41705</v>
      </c>
      <c r="M857" s="184">
        <v>3.46</v>
      </c>
      <c r="N857" s="157">
        <v>41853</v>
      </c>
      <c r="T857" s="157">
        <v>41853</v>
      </c>
      <c r="U857" s="139">
        <v>15.3</v>
      </c>
      <c r="Y857" s="139">
        <f t="shared" si="13"/>
        <v>0</v>
      </c>
      <c r="AA857" s="139">
        <v>46.65</v>
      </c>
      <c r="AE857" s="139">
        <v>22.86</v>
      </c>
      <c r="AG857" s="185">
        <v>4.9000000000000004</v>
      </c>
      <c r="AI857" s="185">
        <v>135</v>
      </c>
      <c r="AJ857" s="157">
        <v>41803</v>
      </c>
      <c r="AO857" s="139">
        <v>93</v>
      </c>
      <c r="AP857" s="157">
        <v>41738</v>
      </c>
      <c r="AS857" s="139">
        <v>128</v>
      </c>
      <c r="AT857" s="157">
        <v>41766</v>
      </c>
      <c r="BY857" s="140">
        <v>8</v>
      </c>
      <c r="CJ857" s="140" t="s">
        <v>8140</v>
      </c>
    </row>
    <row r="858" spans="1:88">
      <c r="A858" s="158" t="s">
        <v>7709</v>
      </c>
      <c r="B858" s="112" t="s">
        <v>271</v>
      </c>
      <c r="C858" s="112">
        <v>3</v>
      </c>
      <c r="D858">
        <v>94</v>
      </c>
      <c r="E858" s="113">
        <v>91</v>
      </c>
      <c r="F858" s="113">
        <v>5</v>
      </c>
      <c r="I858" s="112">
        <v>30</v>
      </c>
      <c r="J858" s="183">
        <v>41705</v>
      </c>
      <c r="M858" s="184">
        <v>3.44</v>
      </c>
      <c r="N858" s="157">
        <v>41853</v>
      </c>
      <c r="S858" s="139">
        <v>11.4</v>
      </c>
      <c r="T858" s="157">
        <v>41853</v>
      </c>
      <c r="U858" s="139">
        <v>15.3</v>
      </c>
      <c r="Y858" s="139">
        <f t="shared" si="13"/>
        <v>4.7690999999999999</v>
      </c>
      <c r="AA858" s="139">
        <v>49.37</v>
      </c>
      <c r="AE858" s="139">
        <v>22.71</v>
      </c>
      <c r="AG858" s="185">
        <v>4.5999999999999996</v>
      </c>
      <c r="AI858" s="185">
        <v>125</v>
      </c>
      <c r="AJ858" s="157">
        <v>41803</v>
      </c>
      <c r="AO858" s="139">
        <v>93</v>
      </c>
      <c r="AP858" s="157">
        <v>41738</v>
      </c>
      <c r="AS858" s="139">
        <v>128</v>
      </c>
      <c r="AT858" s="157">
        <v>41766</v>
      </c>
      <c r="BS858" s="140">
        <v>50.2</v>
      </c>
      <c r="BU858" s="140">
        <v>21</v>
      </c>
      <c r="BW858" s="140">
        <v>19.399999999999999</v>
      </c>
      <c r="BY858" s="140">
        <v>8.1</v>
      </c>
      <c r="CJ858" s="140" t="s">
        <v>8140</v>
      </c>
    </row>
    <row r="859" spans="1:88">
      <c r="A859" s="158" t="s">
        <v>7903</v>
      </c>
      <c r="B859" s="112" t="s">
        <v>271</v>
      </c>
      <c r="C859" s="112">
        <v>3</v>
      </c>
      <c r="D859">
        <v>214</v>
      </c>
      <c r="E859" s="113">
        <v>91</v>
      </c>
      <c r="F859" s="113">
        <v>6</v>
      </c>
      <c r="I859" s="112">
        <v>12</v>
      </c>
      <c r="J859" s="183">
        <v>41705</v>
      </c>
      <c r="M859" s="184">
        <v>4.29</v>
      </c>
      <c r="N859" s="157">
        <v>41853</v>
      </c>
      <c r="S859" s="139">
        <v>14.83</v>
      </c>
      <c r="T859" s="157">
        <v>41853</v>
      </c>
      <c r="U859" s="139">
        <v>15.3</v>
      </c>
      <c r="Y859" s="139">
        <f t="shared" si="13"/>
        <v>5.2827500000000001</v>
      </c>
      <c r="AA859" s="139">
        <v>60.11</v>
      </c>
      <c r="AE859" s="139">
        <v>28.25</v>
      </c>
      <c r="AG859" s="185">
        <v>4.7</v>
      </c>
      <c r="AI859" s="185">
        <v>135</v>
      </c>
      <c r="AJ859" s="157">
        <v>41803</v>
      </c>
      <c r="AO859" s="139">
        <v>94</v>
      </c>
      <c r="AP859" s="157">
        <v>41738</v>
      </c>
      <c r="AS859" s="139">
        <v>129</v>
      </c>
      <c r="AT859" s="157">
        <v>41766</v>
      </c>
      <c r="BS859" s="140">
        <v>52.5</v>
      </c>
      <c r="BU859" s="140">
        <v>18.7</v>
      </c>
      <c r="BW859" s="140">
        <v>11.9</v>
      </c>
      <c r="BY859" s="140">
        <v>8.3000000000000007</v>
      </c>
      <c r="CJ859" s="140" t="s">
        <v>8140</v>
      </c>
    </row>
    <row r="860" spans="1:88">
      <c r="A860" s="158" t="s">
        <v>7821</v>
      </c>
      <c r="B860" s="112" t="s">
        <v>269</v>
      </c>
      <c r="C860" s="112">
        <v>4</v>
      </c>
      <c r="D860">
        <v>206</v>
      </c>
      <c r="E860" s="113">
        <v>91</v>
      </c>
      <c r="F860" s="113">
        <v>7</v>
      </c>
      <c r="I860" s="112">
        <v>48</v>
      </c>
      <c r="J860" s="183">
        <v>41705</v>
      </c>
      <c r="M860" s="184">
        <v>2.98</v>
      </c>
      <c r="N860" s="157">
        <v>41853</v>
      </c>
      <c r="S860" s="139">
        <v>10.28</v>
      </c>
      <c r="T860" s="157">
        <v>41853</v>
      </c>
      <c r="U860" s="139">
        <v>15.3</v>
      </c>
      <c r="Y860" s="139">
        <f t="shared" si="13"/>
        <v>3.2240999999999995</v>
      </c>
      <c r="AA860" s="139">
        <v>42.48</v>
      </c>
      <c r="AE860" s="139">
        <v>19.54</v>
      </c>
      <c r="AG860" s="185">
        <v>4.5999999999999996</v>
      </c>
      <c r="AI860" s="185">
        <v>115</v>
      </c>
      <c r="AJ860" s="157">
        <v>41803</v>
      </c>
      <c r="AO860" s="139">
        <v>93</v>
      </c>
      <c r="AP860" s="157">
        <v>41738</v>
      </c>
      <c r="AS860" s="139">
        <v>127</v>
      </c>
      <c r="AT860" s="157">
        <v>41766</v>
      </c>
      <c r="BS860" s="140">
        <v>52.6</v>
      </c>
      <c r="BU860" s="140">
        <v>16.5</v>
      </c>
      <c r="BW860" s="140">
        <v>15</v>
      </c>
      <c r="BY860" s="140">
        <v>8.6999999999999993</v>
      </c>
      <c r="CJ860" s="140" t="s">
        <v>8140</v>
      </c>
    </row>
    <row r="861" spans="1:88">
      <c r="A861" s="158" t="s">
        <v>7708</v>
      </c>
      <c r="B861" s="112" t="s">
        <v>269</v>
      </c>
      <c r="C861" s="112">
        <v>4</v>
      </c>
      <c r="D861">
        <v>93</v>
      </c>
      <c r="E861" s="113">
        <v>91</v>
      </c>
      <c r="F861" s="113">
        <v>8</v>
      </c>
      <c r="I861" s="112">
        <v>32</v>
      </c>
      <c r="J861" s="183">
        <v>41705</v>
      </c>
      <c r="M861" s="184">
        <v>3.19</v>
      </c>
      <c r="N861" s="157">
        <v>41853</v>
      </c>
      <c r="S861" s="139">
        <v>10.62</v>
      </c>
      <c r="T861" s="157">
        <v>41853</v>
      </c>
      <c r="U861" s="139">
        <v>15.3</v>
      </c>
      <c r="Y861" s="139">
        <f t="shared" si="13"/>
        <v>3.6784000000000003</v>
      </c>
      <c r="AA861" s="139">
        <v>44.47</v>
      </c>
      <c r="AE861" s="139">
        <v>20.9</v>
      </c>
      <c r="AG861" s="185">
        <v>4.7</v>
      </c>
      <c r="AI861" s="185">
        <v>110</v>
      </c>
      <c r="AJ861" s="157">
        <v>41803</v>
      </c>
      <c r="AO861" s="139">
        <v>89</v>
      </c>
      <c r="AP861" s="157">
        <v>41738</v>
      </c>
      <c r="AS861" s="139">
        <v>124</v>
      </c>
      <c r="AT861" s="157">
        <v>41766</v>
      </c>
      <c r="BS861" s="140">
        <v>50.8</v>
      </c>
      <c r="BU861" s="140">
        <v>17.600000000000001</v>
      </c>
      <c r="BW861" s="140">
        <v>14.7</v>
      </c>
      <c r="BY861" s="140">
        <v>8.8000000000000007</v>
      </c>
      <c r="CJ861" s="140" t="s">
        <v>8140</v>
      </c>
    </row>
    <row r="862" spans="1:88">
      <c r="A862" s="158" t="s">
        <v>7736</v>
      </c>
      <c r="B862" s="112" t="s">
        <v>269</v>
      </c>
      <c r="C862" s="112">
        <v>4</v>
      </c>
      <c r="D862">
        <v>121</v>
      </c>
      <c r="E862" s="113">
        <v>91</v>
      </c>
      <c r="F862" s="113">
        <v>9</v>
      </c>
      <c r="I862" s="112">
        <v>41</v>
      </c>
      <c r="J862" s="183">
        <v>41705</v>
      </c>
      <c r="M862" s="184">
        <v>2.91</v>
      </c>
      <c r="N862" s="157">
        <v>41853</v>
      </c>
      <c r="S862" s="139">
        <v>10.039999999999999</v>
      </c>
      <c r="T862" s="157">
        <v>41853</v>
      </c>
      <c r="U862" s="139">
        <v>15.3</v>
      </c>
      <c r="Y862" s="139">
        <f t="shared" si="13"/>
        <v>3.3736199999999998</v>
      </c>
      <c r="AA862" s="139">
        <v>44.33</v>
      </c>
      <c r="AE862" s="139">
        <v>19.059999999999999</v>
      </c>
      <c r="AG862" s="185">
        <v>4.3</v>
      </c>
      <c r="AI862" s="185">
        <v>100</v>
      </c>
      <c r="AJ862" s="157">
        <v>41803</v>
      </c>
      <c r="AO862" s="139">
        <v>91</v>
      </c>
      <c r="AP862" s="157">
        <v>41738</v>
      </c>
      <c r="AS862" s="139">
        <v>127</v>
      </c>
      <c r="AT862" s="157">
        <v>41766</v>
      </c>
      <c r="BS862" s="140">
        <v>52.7</v>
      </c>
      <c r="BU862" s="140">
        <v>17.7</v>
      </c>
      <c r="BW862" s="140">
        <v>17.100000000000001</v>
      </c>
      <c r="BY862" s="140">
        <v>8.8000000000000007</v>
      </c>
      <c r="CJ862" s="140" t="s">
        <v>8140</v>
      </c>
    </row>
    <row r="863" spans="1:88">
      <c r="A863" s="158" t="s">
        <v>7902</v>
      </c>
      <c r="B863" s="112" t="s">
        <v>269</v>
      </c>
      <c r="C863" s="112">
        <v>4</v>
      </c>
      <c r="D863">
        <v>211</v>
      </c>
      <c r="E863" s="113">
        <v>91</v>
      </c>
      <c r="F863" s="113">
        <v>10</v>
      </c>
      <c r="I863" s="112">
        <v>41</v>
      </c>
      <c r="J863" s="183">
        <v>41705</v>
      </c>
      <c r="M863" s="184">
        <v>2.5299999999999998</v>
      </c>
      <c r="N863" s="157">
        <v>41853</v>
      </c>
      <c r="S863" s="139">
        <v>8.6199999999999992</v>
      </c>
      <c r="T863" s="157">
        <v>41853</v>
      </c>
      <c r="U863" s="139">
        <v>15.3</v>
      </c>
      <c r="Y863" s="139">
        <f t="shared" si="13"/>
        <v>3.1392899999999999</v>
      </c>
      <c r="AA863" s="139">
        <v>37.75</v>
      </c>
      <c r="AE863" s="139">
        <v>16.61</v>
      </c>
      <c r="AG863" s="185">
        <v>4.4000000000000004</v>
      </c>
      <c r="AI863" s="185">
        <v>120</v>
      </c>
      <c r="AJ863" s="157">
        <v>41803</v>
      </c>
      <c r="AO863" s="139">
        <v>88</v>
      </c>
      <c r="AP863" s="157">
        <v>41738</v>
      </c>
      <c r="AS863" s="139">
        <v>126</v>
      </c>
      <c r="AT863" s="157">
        <v>41766</v>
      </c>
      <c r="BS863" s="140">
        <v>51.9</v>
      </c>
      <c r="BU863" s="140">
        <v>18.899999999999999</v>
      </c>
      <c r="BW863" s="140">
        <v>19.8</v>
      </c>
      <c r="BY863" s="140">
        <v>8.6</v>
      </c>
      <c r="CJ863" s="140" t="s">
        <v>8140</v>
      </c>
    </row>
    <row r="864" spans="1:88">
      <c r="A864" s="158" t="s">
        <v>7748</v>
      </c>
      <c r="B864" s="112" t="s">
        <v>269</v>
      </c>
      <c r="C864" s="112">
        <v>4</v>
      </c>
      <c r="D864">
        <v>133</v>
      </c>
      <c r="E864" s="113">
        <v>91</v>
      </c>
      <c r="F864" s="113">
        <v>11</v>
      </c>
      <c r="I864" s="112">
        <v>50</v>
      </c>
      <c r="J864" s="183">
        <v>41705</v>
      </c>
      <c r="M864" s="184">
        <v>1.96</v>
      </c>
      <c r="N864" s="157">
        <v>41853</v>
      </c>
      <c r="S864" s="139">
        <v>6.5</v>
      </c>
      <c r="T864" s="157">
        <v>41853</v>
      </c>
      <c r="U864" s="139">
        <v>15.3</v>
      </c>
      <c r="Y864" s="139">
        <f t="shared" si="13"/>
        <v>2.6029500000000003</v>
      </c>
      <c r="AA864" s="139">
        <v>28.15</v>
      </c>
      <c r="AE864" s="139">
        <v>12.95</v>
      </c>
      <c r="AG864" s="185">
        <v>4.5999999999999996</v>
      </c>
      <c r="AI864" s="185">
        <v>115</v>
      </c>
      <c r="AJ864" s="157">
        <v>41803</v>
      </c>
      <c r="AO864" s="139">
        <v>96</v>
      </c>
      <c r="AP864" s="157">
        <v>41738</v>
      </c>
      <c r="AS864" s="139">
        <v>128</v>
      </c>
      <c r="AT864" s="157">
        <v>41766</v>
      </c>
      <c r="BS864" s="140">
        <v>50.2</v>
      </c>
      <c r="BU864" s="140">
        <v>20.100000000000001</v>
      </c>
      <c r="BW864" s="140">
        <v>64.400000000000006</v>
      </c>
      <c r="BY864" s="140">
        <v>8</v>
      </c>
      <c r="CJ864" s="140" t="s">
        <v>8131</v>
      </c>
    </row>
    <row r="865" spans="1:88">
      <c r="A865" s="158" t="s">
        <v>7700</v>
      </c>
      <c r="B865" s="112" t="s">
        <v>269</v>
      </c>
      <c r="C865" s="112">
        <v>4</v>
      </c>
      <c r="D865">
        <v>85</v>
      </c>
      <c r="E865" s="113">
        <v>91</v>
      </c>
      <c r="F865" s="113">
        <v>12</v>
      </c>
      <c r="I865" s="112">
        <v>49</v>
      </c>
      <c r="J865" s="183">
        <v>41705</v>
      </c>
      <c r="M865" s="184">
        <v>2.0699999999999998</v>
      </c>
      <c r="N865" s="157">
        <v>41853</v>
      </c>
      <c r="S865" s="139">
        <v>7.21</v>
      </c>
      <c r="T865" s="157">
        <v>41853</v>
      </c>
      <c r="U865" s="139">
        <v>15.3</v>
      </c>
      <c r="Y865" s="139">
        <f t="shared" si="13"/>
        <v>2.2982400000000003</v>
      </c>
      <c r="AA865" s="139">
        <v>31.81</v>
      </c>
      <c r="AE865" s="139">
        <v>13.68</v>
      </c>
      <c r="AG865" s="185">
        <v>4.3</v>
      </c>
      <c r="AI865" s="185">
        <v>115</v>
      </c>
      <c r="AJ865" s="157">
        <v>41803</v>
      </c>
      <c r="AO865" s="139">
        <v>94</v>
      </c>
      <c r="AP865" s="157">
        <v>41738</v>
      </c>
      <c r="AS865" s="139">
        <v>128</v>
      </c>
      <c r="AT865" s="157">
        <v>41766</v>
      </c>
      <c r="BS865" s="140">
        <v>52.7</v>
      </c>
      <c r="BU865" s="140">
        <v>16.8</v>
      </c>
      <c r="BW865" s="140">
        <v>19</v>
      </c>
      <c r="BY865" s="140">
        <v>8</v>
      </c>
      <c r="CJ865" s="140" t="s">
        <v>8140</v>
      </c>
    </row>
  </sheetData>
  <sheetProtection selectLockedCells="1" selectUnlockedCells="1"/>
  <sortState ref="A2:CM865">
    <sortCondition ref="E2:E865"/>
    <sortCondition ref="F2:F86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E49" sqref="E49"/>
    </sheetView>
  </sheetViews>
  <sheetFormatPr baseColWidth="10" defaultColWidth="11.5703125" defaultRowHeight="12.75"/>
  <cols>
    <col min="1" max="1" width="15.140625" style="143" bestFit="1" customWidth="1"/>
    <col min="2" max="2" width="5.28515625" style="144" customWidth="1"/>
    <col min="3" max="3" width="9.42578125" style="143" customWidth="1"/>
    <col min="4" max="4" width="9" style="145" customWidth="1"/>
    <col min="5" max="5" width="14.140625" style="145" customWidth="1"/>
    <col min="6" max="6" width="12.42578125" style="145" customWidth="1"/>
    <col min="7" max="16384" width="11.5703125" style="146"/>
  </cols>
  <sheetData>
    <row r="1" spans="1:6">
      <c r="A1" s="147" t="s">
        <v>215</v>
      </c>
      <c r="B1" s="148" t="s">
        <v>216</v>
      </c>
      <c r="C1" s="147" t="s">
        <v>217</v>
      </c>
      <c r="D1" s="149" t="s">
        <v>218</v>
      </c>
      <c r="E1" s="149" t="s">
        <v>219</v>
      </c>
      <c r="F1" s="149" t="s">
        <v>29</v>
      </c>
    </row>
    <row r="2" spans="1:6">
      <c r="A2" s="143" t="s">
        <v>8157</v>
      </c>
      <c r="B2" s="144" t="s">
        <v>8158</v>
      </c>
      <c r="C2" s="143" t="s">
        <v>8159</v>
      </c>
    </row>
    <row r="3" spans="1:6">
      <c r="A3" s="143" t="s">
        <v>8160</v>
      </c>
      <c r="B3" s="144" t="s">
        <v>8158</v>
      </c>
      <c r="C3" s="143" t="s">
        <v>8159</v>
      </c>
    </row>
    <row r="4" spans="1:6">
      <c r="A4" s="143" t="s">
        <v>8161</v>
      </c>
      <c r="B4" s="144" t="s">
        <v>8158</v>
      </c>
      <c r="C4" s="143" t="s">
        <v>8159</v>
      </c>
    </row>
    <row r="5" spans="1:6">
      <c r="A5" s="143" t="s">
        <v>8162</v>
      </c>
      <c r="B5" s="144" t="s">
        <v>8158</v>
      </c>
      <c r="C5" s="143" t="s">
        <v>8159</v>
      </c>
    </row>
    <row r="6" spans="1:6">
      <c r="A6" s="143" t="s">
        <v>8163</v>
      </c>
      <c r="B6" s="144" t="s">
        <v>8158</v>
      </c>
      <c r="C6" s="143" t="s">
        <v>8159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F49" sqref="F49"/>
    </sheetView>
  </sheetViews>
  <sheetFormatPr baseColWidth="10" defaultColWidth="10.7109375" defaultRowHeight="12"/>
  <cols>
    <col min="1" max="1" width="9.28515625" style="150" customWidth="1"/>
    <col min="2" max="2" width="10.42578125" style="150" customWidth="1"/>
    <col min="3" max="3" width="11" style="150" customWidth="1"/>
  </cols>
  <sheetData>
    <row r="1" spans="1:3" s="152" customFormat="1">
      <c r="A1" s="151" t="s">
        <v>233</v>
      </c>
      <c r="B1" s="151" t="s">
        <v>234</v>
      </c>
      <c r="C1" s="151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topLeftCell="A154" zoomScale="89" zoomScaleNormal="89" workbookViewId="0">
      <selection activeCellId="1" sqref="A2:B2 A1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3" t="s">
        <v>146</v>
      </c>
      <c r="B1" s="153" t="s">
        <v>288</v>
      </c>
      <c r="C1" s="153" t="s">
        <v>149</v>
      </c>
      <c r="D1" s="153" t="s">
        <v>26</v>
      </c>
      <c r="E1" s="153" t="s">
        <v>65</v>
      </c>
    </row>
    <row r="2" spans="1:5">
      <c r="A2" s="153" t="s">
        <v>289</v>
      </c>
      <c r="B2" s="153" t="s">
        <v>290</v>
      </c>
      <c r="C2" s="153" t="s">
        <v>291</v>
      </c>
      <c r="D2" s="153" t="s">
        <v>292</v>
      </c>
      <c r="E2" s="153" t="s">
        <v>293</v>
      </c>
    </row>
    <row r="3" spans="1:5">
      <c r="A3" s="153" t="s">
        <v>294</v>
      </c>
      <c r="B3" s="153" t="s">
        <v>295</v>
      </c>
      <c r="C3" s="153" t="s">
        <v>296</v>
      </c>
      <c r="D3" s="153" t="s">
        <v>297</v>
      </c>
      <c r="E3" s="153" t="s">
        <v>298</v>
      </c>
    </row>
    <row r="4" spans="1:5">
      <c r="A4" s="153" t="s">
        <v>299</v>
      </c>
      <c r="B4" s="153" t="s">
        <v>300</v>
      </c>
      <c r="C4" s="153" t="s">
        <v>301</v>
      </c>
      <c r="D4" s="153" t="s">
        <v>302</v>
      </c>
      <c r="E4" s="153" t="s">
        <v>303</v>
      </c>
    </row>
    <row r="5" spans="1:5">
      <c r="A5" s="153" t="s">
        <v>304</v>
      </c>
      <c r="B5" s="153" t="s">
        <v>305</v>
      </c>
      <c r="C5" s="153" t="s">
        <v>306</v>
      </c>
      <c r="D5" s="153" t="s">
        <v>307</v>
      </c>
      <c r="E5" s="153" t="s">
        <v>308</v>
      </c>
    </row>
    <row r="6" spans="1:5">
      <c r="A6" s="153" t="s">
        <v>309</v>
      </c>
      <c r="B6" s="153" t="s">
        <v>310</v>
      </c>
      <c r="C6" s="153" t="s">
        <v>311</v>
      </c>
      <c r="D6" s="153" t="s">
        <v>312</v>
      </c>
      <c r="E6" s="153" t="s">
        <v>90</v>
      </c>
    </row>
    <row r="7" spans="1:5">
      <c r="A7" s="153" t="s">
        <v>313</v>
      </c>
      <c r="B7" s="153" t="s">
        <v>314</v>
      </c>
      <c r="C7" s="153" t="s">
        <v>315</v>
      </c>
      <c r="D7" s="153" t="s">
        <v>316</v>
      </c>
      <c r="E7" s="153" t="s">
        <v>317</v>
      </c>
    </row>
    <row r="8" spans="1:5">
      <c r="A8" s="153" t="s">
        <v>318</v>
      </c>
      <c r="B8" s="153" t="s">
        <v>319</v>
      </c>
      <c r="C8" s="153" t="s">
        <v>320</v>
      </c>
      <c r="D8" s="153" t="s">
        <v>321</v>
      </c>
      <c r="E8" s="153" t="s">
        <v>322</v>
      </c>
    </row>
    <row r="9" spans="1:5">
      <c r="A9" s="153" t="s">
        <v>323</v>
      </c>
      <c r="B9" s="153" t="s">
        <v>324</v>
      </c>
      <c r="C9" s="153" t="s">
        <v>325</v>
      </c>
      <c r="D9" s="153" t="s">
        <v>326</v>
      </c>
      <c r="E9" s="153" t="s">
        <v>327</v>
      </c>
    </row>
    <row r="10" spans="1:5">
      <c r="A10" s="153" t="s">
        <v>328</v>
      </c>
      <c r="B10" s="153" t="s">
        <v>329</v>
      </c>
      <c r="C10" s="153" t="s">
        <v>330</v>
      </c>
      <c r="D10" s="153" t="s">
        <v>331</v>
      </c>
      <c r="E10" s="153" t="s">
        <v>332</v>
      </c>
    </row>
    <row r="11" spans="1:5">
      <c r="A11" s="153" t="s">
        <v>333</v>
      </c>
      <c r="B11" s="153" t="s">
        <v>334</v>
      </c>
      <c r="C11" s="153" t="s">
        <v>335</v>
      </c>
      <c r="D11" s="153" t="s">
        <v>336</v>
      </c>
      <c r="E11" s="153" t="s">
        <v>337</v>
      </c>
    </row>
    <row r="12" spans="1:5">
      <c r="A12" s="153" t="s">
        <v>338</v>
      </c>
      <c r="B12" s="153" t="s">
        <v>339</v>
      </c>
      <c r="C12" s="153" t="s">
        <v>340</v>
      </c>
      <c r="D12" s="153" t="s">
        <v>341</v>
      </c>
      <c r="E12" s="153" t="s">
        <v>342</v>
      </c>
    </row>
    <row r="13" spans="1:5">
      <c r="A13" s="153" t="s">
        <v>343</v>
      </c>
      <c r="B13" s="153" t="s">
        <v>344</v>
      </c>
      <c r="C13" s="153" t="s">
        <v>345</v>
      </c>
      <c r="D13" s="153" t="s">
        <v>346</v>
      </c>
      <c r="E13" s="153" t="s">
        <v>347</v>
      </c>
    </row>
    <row r="14" spans="1:5">
      <c r="A14" s="153" t="s">
        <v>348</v>
      </c>
      <c r="B14" s="153" t="s">
        <v>349</v>
      </c>
      <c r="C14" s="153" t="s">
        <v>350</v>
      </c>
      <c r="D14" s="153" t="s">
        <v>351</v>
      </c>
      <c r="E14" s="153" t="s">
        <v>352</v>
      </c>
    </row>
    <row r="15" spans="1:5">
      <c r="A15" s="153" t="s">
        <v>353</v>
      </c>
      <c r="B15" s="153" t="s">
        <v>354</v>
      </c>
      <c r="C15" s="153" t="s">
        <v>355</v>
      </c>
      <c r="D15" s="153" t="s">
        <v>356</v>
      </c>
      <c r="E15" s="153" t="s">
        <v>357</v>
      </c>
    </row>
    <row r="16" spans="1:5">
      <c r="A16" s="153" t="s">
        <v>358</v>
      </c>
      <c r="B16" s="153" t="s">
        <v>359</v>
      </c>
      <c r="C16" s="153" t="s">
        <v>360</v>
      </c>
      <c r="D16" s="153" t="s">
        <v>361</v>
      </c>
      <c r="E16" s="153" t="s">
        <v>362</v>
      </c>
    </row>
    <row r="17" spans="1:5">
      <c r="A17" s="153" t="s">
        <v>363</v>
      </c>
      <c r="B17" s="153" t="s">
        <v>364</v>
      </c>
      <c r="C17" s="153" t="s">
        <v>365</v>
      </c>
      <c r="D17" s="153" t="s">
        <v>366</v>
      </c>
      <c r="E17" s="153" t="s">
        <v>367</v>
      </c>
    </row>
    <row r="18" spans="1:5">
      <c r="A18" s="153" t="s">
        <v>368</v>
      </c>
      <c r="B18" s="153" t="s">
        <v>369</v>
      </c>
      <c r="C18" s="153" t="s">
        <v>370</v>
      </c>
      <c r="D18" s="153" t="s">
        <v>371</v>
      </c>
      <c r="E18" s="153" t="s">
        <v>372</v>
      </c>
    </row>
    <row r="19" spans="1:5">
      <c r="A19" s="153" t="s">
        <v>373</v>
      </c>
      <c r="B19" s="153" t="s">
        <v>374</v>
      </c>
      <c r="C19" s="153" t="s">
        <v>375</v>
      </c>
      <c r="D19" s="153" t="s">
        <v>376</v>
      </c>
      <c r="E19" s="153" t="s">
        <v>377</v>
      </c>
    </row>
    <row r="20" spans="1:5">
      <c r="A20" s="153" t="s">
        <v>378</v>
      </c>
      <c r="B20" s="153" t="s">
        <v>379</v>
      </c>
      <c r="C20" s="153" t="s">
        <v>380</v>
      </c>
      <c r="D20" s="153" t="s">
        <v>381</v>
      </c>
      <c r="E20" s="153" t="s">
        <v>382</v>
      </c>
    </row>
    <row r="21" spans="1:5">
      <c r="A21" s="153" t="s">
        <v>383</v>
      </c>
      <c r="B21" s="153" t="s">
        <v>384</v>
      </c>
      <c r="C21" s="153" t="s">
        <v>385</v>
      </c>
      <c r="D21" s="153" t="s">
        <v>386</v>
      </c>
      <c r="E21" s="153" t="s">
        <v>387</v>
      </c>
    </row>
    <row r="22" spans="1:5">
      <c r="A22" s="153" t="s">
        <v>388</v>
      </c>
      <c r="B22" s="153" t="s">
        <v>389</v>
      </c>
      <c r="D22" s="153" t="s">
        <v>390</v>
      </c>
      <c r="E22" s="153" t="s">
        <v>391</v>
      </c>
    </row>
    <row r="23" spans="1:5">
      <c r="A23" s="153" t="s">
        <v>392</v>
      </c>
      <c r="B23" s="153" t="s">
        <v>393</v>
      </c>
      <c r="D23" s="153" t="s">
        <v>394</v>
      </c>
      <c r="E23" s="153" t="s">
        <v>395</v>
      </c>
    </row>
    <row r="24" spans="1:5">
      <c r="A24" s="153" t="s">
        <v>396</v>
      </c>
      <c r="B24" s="153" t="s">
        <v>397</v>
      </c>
      <c r="D24" s="153" t="s">
        <v>398</v>
      </c>
      <c r="E24" s="153" t="s">
        <v>399</v>
      </c>
    </row>
    <row r="25" spans="1:5">
      <c r="A25" s="153" t="s">
        <v>400</v>
      </c>
      <c r="B25" s="153" t="s">
        <v>401</v>
      </c>
      <c r="D25" s="153" t="s">
        <v>402</v>
      </c>
    </row>
    <row r="26" spans="1:5">
      <c r="A26" s="153" t="s">
        <v>403</v>
      </c>
      <c r="B26" s="153" t="s">
        <v>404</v>
      </c>
      <c r="D26" s="153" t="s">
        <v>405</v>
      </c>
    </row>
    <row r="27" spans="1:5">
      <c r="A27" s="153" t="s">
        <v>406</v>
      </c>
      <c r="B27" s="153" t="s">
        <v>407</v>
      </c>
      <c r="D27" s="153" t="s">
        <v>408</v>
      </c>
    </row>
    <row r="28" spans="1:5">
      <c r="A28" s="153" t="s">
        <v>409</v>
      </c>
      <c r="B28" s="153" t="s">
        <v>410</v>
      </c>
      <c r="D28" s="153" t="s">
        <v>411</v>
      </c>
    </row>
    <row r="29" spans="1:5">
      <c r="A29" s="153" t="s">
        <v>412</v>
      </c>
      <c r="B29" s="153" t="s">
        <v>413</v>
      </c>
      <c r="D29" s="153" t="s">
        <v>414</v>
      </c>
    </row>
    <row r="30" spans="1:5">
      <c r="A30" s="153" t="s">
        <v>415</v>
      </c>
      <c r="B30" s="153" t="s">
        <v>416</v>
      </c>
      <c r="D30" s="153" t="s">
        <v>417</v>
      </c>
    </row>
    <row r="31" spans="1:5">
      <c r="A31" s="153" t="s">
        <v>418</v>
      </c>
      <c r="B31" s="153" t="s">
        <v>419</v>
      </c>
      <c r="D31" s="153" t="s">
        <v>420</v>
      </c>
    </row>
    <row r="32" spans="1:5">
      <c r="A32" s="153" t="s">
        <v>421</v>
      </c>
      <c r="B32" s="153" t="s">
        <v>422</v>
      </c>
      <c r="D32" s="153" t="s">
        <v>423</v>
      </c>
    </row>
    <row r="33" spans="1:4">
      <c r="A33" s="153" t="s">
        <v>424</v>
      </c>
      <c r="B33" s="153" t="s">
        <v>425</v>
      </c>
      <c r="D33" s="153" t="s">
        <v>426</v>
      </c>
    </row>
    <row r="34" spans="1:4">
      <c r="A34" s="153" t="s">
        <v>427</v>
      </c>
      <c r="B34" s="153" t="s">
        <v>428</v>
      </c>
      <c r="D34" s="153" t="s">
        <v>429</v>
      </c>
    </row>
    <row r="35" spans="1:4">
      <c r="A35" s="153" t="s">
        <v>430</v>
      </c>
      <c r="B35" s="153" t="s">
        <v>431</v>
      </c>
      <c r="D35" s="153" t="s">
        <v>432</v>
      </c>
    </row>
    <row r="36" spans="1:4">
      <c r="A36" s="153" t="s">
        <v>433</v>
      </c>
      <c r="B36" s="153" t="s">
        <v>434</v>
      </c>
      <c r="D36" s="153" t="s">
        <v>435</v>
      </c>
    </row>
    <row r="37" spans="1:4">
      <c r="A37" s="153" t="s">
        <v>436</v>
      </c>
      <c r="B37" s="153" t="s">
        <v>437</v>
      </c>
      <c r="D37" s="153" t="s">
        <v>438</v>
      </c>
    </row>
    <row r="38" spans="1:4">
      <c r="A38" s="153" t="s">
        <v>439</v>
      </c>
      <c r="B38" s="153" t="s">
        <v>440</v>
      </c>
      <c r="D38" s="153" t="s">
        <v>441</v>
      </c>
    </row>
    <row r="39" spans="1:4">
      <c r="A39" s="153" t="s">
        <v>442</v>
      </c>
      <c r="B39" s="153" t="s">
        <v>443</v>
      </c>
      <c r="D39" s="153" t="s">
        <v>444</v>
      </c>
    </row>
    <row r="40" spans="1:4">
      <c r="A40" s="153" t="s">
        <v>445</v>
      </c>
      <c r="B40" s="153" t="s">
        <v>446</v>
      </c>
      <c r="D40" s="153" t="s">
        <v>447</v>
      </c>
    </row>
    <row r="41" spans="1:4">
      <c r="A41" s="153" t="s">
        <v>448</v>
      </c>
      <c r="B41" s="153" t="s">
        <v>449</v>
      </c>
      <c r="D41" s="153" t="s">
        <v>450</v>
      </c>
    </row>
    <row r="42" spans="1:4">
      <c r="A42" s="153" t="s">
        <v>451</v>
      </c>
      <c r="B42" s="153" t="s">
        <v>452</v>
      </c>
      <c r="D42" s="153" t="s">
        <v>453</v>
      </c>
    </row>
    <row r="43" spans="1:4">
      <c r="A43" s="153" t="s">
        <v>454</v>
      </c>
      <c r="B43" s="153" t="s">
        <v>455</v>
      </c>
      <c r="D43" s="153" t="s">
        <v>456</v>
      </c>
    </row>
    <row r="44" spans="1:4">
      <c r="A44" s="153" t="s">
        <v>457</v>
      </c>
      <c r="B44" s="153" t="s">
        <v>458</v>
      </c>
      <c r="D44" s="153" t="s">
        <v>459</v>
      </c>
    </row>
    <row r="45" spans="1:4">
      <c r="A45" s="153" t="s">
        <v>460</v>
      </c>
      <c r="B45" s="153" t="s">
        <v>461</v>
      </c>
      <c r="D45" s="153" t="s">
        <v>462</v>
      </c>
    </row>
    <row r="46" spans="1:4">
      <c r="A46" s="153" t="s">
        <v>463</v>
      </c>
      <c r="B46" s="153" t="s">
        <v>464</v>
      </c>
      <c r="D46" s="153" t="s">
        <v>465</v>
      </c>
    </row>
    <row r="47" spans="1:4">
      <c r="A47" s="153" t="s">
        <v>466</v>
      </c>
      <c r="B47" s="153" t="s">
        <v>467</v>
      </c>
      <c r="D47" s="153" t="s">
        <v>468</v>
      </c>
    </row>
    <row r="48" spans="1:4">
      <c r="A48" s="153" t="s">
        <v>469</v>
      </c>
      <c r="B48" s="153" t="s">
        <v>470</v>
      </c>
      <c r="D48" s="153" t="s">
        <v>471</v>
      </c>
    </row>
    <row r="49" spans="1:4">
      <c r="A49" s="153" t="s">
        <v>472</v>
      </c>
      <c r="B49" s="153" t="s">
        <v>473</v>
      </c>
      <c r="D49" s="153" t="s">
        <v>474</v>
      </c>
    </row>
    <row r="50" spans="1:4">
      <c r="A50" s="153" t="s">
        <v>475</v>
      </c>
      <c r="B50" s="153" t="s">
        <v>476</v>
      </c>
      <c r="D50" s="153" t="s">
        <v>477</v>
      </c>
    </row>
    <row r="51" spans="1:4">
      <c r="A51" s="153" t="s">
        <v>478</v>
      </c>
      <c r="B51" s="153" t="s">
        <v>479</v>
      </c>
      <c r="D51" s="153" t="s">
        <v>480</v>
      </c>
    </row>
    <row r="52" spans="1:4">
      <c r="A52" s="153" t="s">
        <v>481</v>
      </c>
      <c r="B52" s="153" t="s">
        <v>482</v>
      </c>
      <c r="D52" s="153" t="s">
        <v>483</v>
      </c>
    </row>
    <row r="53" spans="1:4">
      <c r="A53" s="153" t="s">
        <v>484</v>
      </c>
      <c r="B53" s="153" t="s">
        <v>485</v>
      </c>
      <c r="D53" s="153" t="s">
        <v>486</v>
      </c>
    </row>
    <row r="54" spans="1:4">
      <c r="A54" s="153" t="s">
        <v>487</v>
      </c>
      <c r="B54" s="153" t="s">
        <v>488</v>
      </c>
      <c r="D54" s="153" t="s">
        <v>489</v>
      </c>
    </row>
    <row r="55" spans="1:4">
      <c r="A55" s="153" t="s">
        <v>490</v>
      </c>
      <c r="B55" s="153" t="s">
        <v>491</v>
      </c>
      <c r="D55" s="153" t="s">
        <v>492</v>
      </c>
    </row>
    <row r="56" spans="1:4">
      <c r="A56" s="153" t="s">
        <v>493</v>
      </c>
      <c r="B56" s="153" t="s">
        <v>494</v>
      </c>
      <c r="D56" s="153" t="s">
        <v>495</v>
      </c>
    </row>
    <row r="57" spans="1:4">
      <c r="A57" s="153" t="s">
        <v>496</v>
      </c>
      <c r="B57" s="153" t="s">
        <v>497</v>
      </c>
      <c r="D57" s="153" t="s">
        <v>498</v>
      </c>
    </row>
    <row r="58" spans="1:4">
      <c r="A58" s="153" t="s">
        <v>499</v>
      </c>
      <c r="B58" s="153" t="s">
        <v>500</v>
      </c>
      <c r="D58" s="153" t="s">
        <v>501</v>
      </c>
    </row>
    <row r="59" spans="1:4">
      <c r="A59" s="153" t="s">
        <v>502</v>
      </c>
      <c r="B59" s="153" t="s">
        <v>503</v>
      </c>
      <c r="D59" s="153" t="s">
        <v>504</v>
      </c>
    </row>
    <row r="60" spans="1:4">
      <c r="A60" s="153" t="s">
        <v>505</v>
      </c>
      <c r="B60" s="153" t="s">
        <v>506</v>
      </c>
      <c r="D60" s="153" t="s">
        <v>507</v>
      </c>
    </row>
    <row r="61" spans="1:4">
      <c r="A61" s="153" t="s">
        <v>508</v>
      </c>
      <c r="B61" s="153" t="s">
        <v>509</v>
      </c>
      <c r="D61" s="153" t="s">
        <v>510</v>
      </c>
    </row>
    <row r="62" spans="1:4">
      <c r="A62" s="153" t="s">
        <v>511</v>
      </c>
      <c r="B62" s="153" t="s">
        <v>512</v>
      </c>
      <c r="D62" s="153" t="s">
        <v>513</v>
      </c>
    </row>
    <row r="63" spans="1:4">
      <c r="A63" s="153" t="s">
        <v>514</v>
      </c>
      <c r="B63" s="153" t="s">
        <v>515</v>
      </c>
      <c r="D63" s="153" t="s">
        <v>516</v>
      </c>
    </row>
    <row r="64" spans="1:4">
      <c r="A64" s="153" t="s">
        <v>517</v>
      </c>
      <c r="B64" s="153" t="s">
        <v>518</v>
      </c>
      <c r="D64" s="153" t="s">
        <v>519</v>
      </c>
    </row>
    <row r="65" spans="1:4">
      <c r="A65" s="153" t="s">
        <v>520</v>
      </c>
      <c r="B65" s="153" t="s">
        <v>521</v>
      </c>
      <c r="D65" s="153" t="s">
        <v>522</v>
      </c>
    </row>
    <row r="66" spans="1:4">
      <c r="A66" s="153" t="s">
        <v>523</v>
      </c>
      <c r="B66" s="153" t="s">
        <v>524</v>
      </c>
      <c r="D66" s="153" t="s">
        <v>525</v>
      </c>
    </row>
    <row r="67" spans="1:4">
      <c r="A67" s="153" t="s">
        <v>526</v>
      </c>
      <c r="B67" s="153" t="s">
        <v>527</v>
      </c>
      <c r="D67" s="153" t="s">
        <v>528</v>
      </c>
    </row>
    <row r="68" spans="1:4">
      <c r="A68" s="153" t="s">
        <v>529</v>
      </c>
      <c r="B68" s="153" t="s">
        <v>530</v>
      </c>
      <c r="D68" s="153" t="s">
        <v>531</v>
      </c>
    </row>
    <row r="69" spans="1:4">
      <c r="A69" s="153" t="s">
        <v>532</v>
      </c>
      <c r="B69" s="153" t="s">
        <v>533</v>
      </c>
      <c r="D69" s="153" t="s">
        <v>534</v>
      </c>
    </row>
    <row r="70" spans="1:4">
      <c r="A70" s="153" t="s">
        <v>535</v>
      </c>
      <c r="B70" s="153" t="s">
        <v>536</v>
      </c>
      <c r="D70" s="153" t="s">
        <v>537</v>
      </c>
    </row>
    <row r="71" spans="1:4">
      <c r="A71" s="153" t="s">
        <v>538</v>
      </c>
      <c r="B71" s="153" t="s">
        <v>539</v>
      </c>
      <c r="D71" s="153" t="s">
        <v>540</v>
      </c>
    </row>
    <row r="72" spans="1:4">
      <c r="A72" s="153" t="s">
        <v>541</v>
      </c>
      <c r="B72" s="153" t="s">
        <v>542</v>
      </c>
      <c r="D72" s="153" t="s">
        <v>543</v>
      </c>
    </row>
    <row r="73" spans="1:4">
      <c r="A73" s="153" t="s">
        <v>544</v>
      </c>
      <c r="B73" s="153" t="s">
        <v>545</v>
      </c>
      <c r="D73" s="153" t="s">
        <v>546</v>
      </c>
    </row>
    <row r="74" spans="1:4">
      <c r="A74" s="153" t="s">
        <v>547</v>
      </c>
      <c r="B74" s="153" t="s">
        <v>548</v>
      </c>
      <c r="D74" s="153" t="s">
        <v>549</v>
      </c>
    </row>
    <row r="75" spans="1:4">
      <c r="A75" s="153" t="s">
        <v>550</v>
      </c>
      <c r="B75" s="153" t="s">
        <v>551</v>
      </c>
      <c r="D75" s="153" t="s">
        <v>552</v>
      </c>
    </row>
    <row r="76" spans="1:4">
      <c r="A76" s="153" t="s">
        <v>259</v>
      </c>
      <c r="B76" s="153" t="s">
        <v>553</v>
      </c>
      <c r="D76" s="153" t="s">
        <v>554</v>
      </c>
    </row>
    <row r="77" spans="1:4">
      <c r="A77" s="153" t="s">
        <v>555</v>
      </c>
      <c r="B77" s="153" t="s">
        <v>556</v>
      </c>
      <c r="D77" s="153" t="s">
        <v>557</v>
      </c>
    </row>
    <row r="78" spans="1:4">
      <c r="A78" s="153" t="s">
        <v>558</v>
      </c>
      <c r="B78" s="153" t="s">
        <v>559</v>
      </c>
      <c r="D78" s="153" t="s">
        <v>560</v>
      </c>
    </row>
    <row r="79" spans="1:4">
      <c r="A79" s="153" t="s">
        <v>561</v>
      </c>
      <c r="B79" s="153" t="s">
        <v>562</v>
      </c>
      <c r="D79" s="153" t="s">
        <v>563</v>
      </c>
    </row>
    <row r="80" spans="1:4">
      <c r="A80" s="153" t="s">
        <v>564</v>
      </c>
      <c r="B80" s="153" t="s">
        <v>565</v>
      </c>
      <c r="D80" s="153" t="s">
        <v>566</v>
      </c>
    </row>
    <row r="81" spans="1:4">
      <c r="A81" s="153" t="s">
        <v>567</v>
      </c>
      <c r="B81" s="153" t="s">
        <v>568</v>
      </c>
      <c r="D81" s="153" t="s">
        <v>569</v>
      </c>
    </row>
    <row r="82" spans="1:4">
      <c r="A82" s="153" t="s">
        <v>570</v>
      </c>
      <c r="B82" s="153" t="s">
        <v>571</v>
      </c>
      <c r="D82" s="153" t="s">
        <v>572</v>
      </c>
    </row>
    <row r="83" spans="1:4">
      <c r="A83" s="153" t="s">
        <v>573</v>
      </c>
      <c r="B83" s="153" t="s">
        <v>574</v>
      </c>
      <c r="D83" s="153" t="s">
        <v>575</v>
      </c>
    </row>
    <row r="84" spans="1:4">
      <c r="A84" s="153" t="s">
        <v>576</v>
      </c>
      <c r="B84" s="153" t="s">
        <v>577</v>
      </c>
      <c r="D84" s="153" t="s">
        <v>578</v>
      </c>
    </row>
    <row r="85" spans="1:4">
      <c r="A85" s="153" t="s">
        <v>579</v>
      </c>
      <c r="B85" s="153" t="s">
        <v>580</v>
      </c>
      <c r="D85" s="153" t="s">
        <v>581</v>
      </c>
    </row>
    <row r="86" spans="1:4">
      <c r="A86" s="153" t="s">
        <v>582</v>
      </c>
      <c r="B86" s="153" t="s">
        <v>583</v>
      </c>
      <c r="D86" s="153" t="s">
        <v>584</v>
      </c>
    </row>
    <row r="87" spans="1:4">
      <c r="A87" s="153" t="s">
        <v>585</v>
      </c>
      <c r="B87" s="153" t="s">
        <v>586</v>
      </c>
      <c r="D87" s="153" t="s">
        <v>587</v>
      </c>
    </row>
    <row r="88" spans="1:4">
      <c r="A88" s="153" t="s">
        <v>588</v>
      </c>
      <c r="B88" s="153" t="s">
        <v>589</v>
      </c>
      <c r="D88" s="153" t="s">
        <v>590</v>
      </c>
    </row>
    <row r="89" spans="1:4">
      <c r="A89" s="153" t="s">
        <v>591</v>
      </c>
      <c r="B89" s="153" t="s">
        <v>592</v>
      </c>
      <c r="D89" s="153" t="s">
        <v>593</v>
      </c>
    </row>
    <row r="90" spans="1:4">
      <c r="A90" s="153" t="s">
        <v>594</v>
      </c>
      <c r="B90" s="153" t="s">
        <v>595</v>
      </c>
      <c r="D90" s="153" t="s">
        <v>596</v>
      </c>
    </row>
    <row r="91" spans="1:4">
      <c r="A91" s="153" t="s">
        <v>597</v>
      </c>
      <c r="B91" s="153" t="s">
        <v>598</v>
      </c>
      <c r="D91" s="153" t="s">
        <v>599</v>
      </c>
    </row>
    <row r="92" spans="1:4">
      <c r="A92" s="153" t="s">
        <v>600</v>
      </c>
      <c r="B92" s="153" t="s">
        <v>601</v>
      </c>
      <c r="D92" s="153" t="s">
        <v>602</v>
      </c>
    </row>
    <row r="93" spans="1:4">
      <c r="A93" s="153" t="s">
        <v>603</v>
      </c>
      <c r="B93" s="153" t="s">
        <v>604</v>
      </c>
      <c r="D93" s="153" t="s">
        <v>605</v>
      </c>
    </row>
    <row r="94" spans="1:4">
      <c r="A94" s="153" t="s">
        <v>606</v>
      </c>
      <c r="B94" s="153" t="s">
        <v>607</v>
      </c>
      <c r="D94" s="153" t="s">
        <v>608</v>
      </c>
    </row>
    <row r="95" spans="1:4">
      <c r="A95" s="153" t="s">
        <v>609</v>
      </c>
      <c r="B95" s="153" t="s">
        <v>610</v>
      </c>
      <c r="D95" s="153" t="s">
        <v>119</v>
      </c>
    </row>
    <row r="96" spans="1:4">
      <c r="A96" s="153" t="s">
        <v>611</v>
      </c>
      <c r="B96" s="153" t="s">
        <v>612</v>
      </c>
      <c r="D96" s="153" t="s">
        <v>613</v>
      </c>
    </row>
    <row r="97" spans="1:4">
      <c r="A97" s="153" t="s">
        <v>614</v>
      </c>
      <c r="B97" s="153" t="s">
        <v>615</v>
      </c>
      <c r="D97" s="153" t="s">
        <v>616</v>
      </c>
    </row>
    <row r="98" spans="1:4">
      <c r="A98" s="153" t="s">
        <v>617</v>
      </c>
      <c r="B98" s="153" t="s">
        <v>618</v>
      </c>
      <c r="D98" s="153" t="s">
        <v>619</v>
      </c>
    </row>
    <row r="99" spans="1:4">
      <c r="A99" s="153" t="s">
        <v>620</v>
      </c>
      <c r="B99" s="153" t="s">
        <v>621</v>
      </c>
      <c r="D99" s="153" t="s">
        <v>622</v>
      </c>
    </row>
    <row r="100" spans="1:4">
      <c r="A100" s="153" t="s">
        <v>623</v>
      </c>
      <c r="B100" s="153" t="s">
        <v>624</v>
      </c>
      <c r="D100" s="153" t="s">
        <v>625</v>
      </c>
    </row>
    <row r="101" spans="1:4">
      <c r="A101" s="153" t="s">
        <v>626</v>
      </c>
      <c r="B101" s="153" t="s">
        <v>627</v>
      </c>
      <c r="D101" s="153" t="s">
        <v>628</v>
      </c>
    </row>
    <row r="102" spans="1:4">
      <c r="A102" s="153" t="s">
        <v>629</v>
      </c>
      <c r="B102" s="153" t="s">
        <v>630</v>
      </c>
      <c r="D102" s="153" t="s">
        <v>631</v>
      </c>
    </row>
    <row r="103" spans="1:4">
      <c r="A103" s="153" t="s">
        <v>632</v>
      </c>
      <c r="B103" s="153" t="s">
        <v>633</v>
      </c>
      <c r="D103" s="153" t="s">
        <v>634</v>
      </c>
    </row>
    <row r="104" spans="1:4">
      <c r="A104" s="153" t="s">
        <v>635</v>
      </c>
      <c r="B104" s="153" t="s">
        <v>636</v>
      </c>
      <c r="D104" s="153" t="s">
        <v>637</v>
      </c>
    </row>
    <row r="105" spans="1:4">
      <c r="A105" s="153" t="s">
        <v>638</v>
      </c>
      <c r="B105" s="153" t="s">
        <v>639</v>
      </c>
      <c r="D105" s="153" t="s">
        <v>640</v>
      </c>
    </row>
    <row r="106" spans="1:4">
      <c r="A106" s="153" t="s">
        <v>641</v>
      </c>
      <c r="B106" s="153" t="s">
        <v>642</v>
      </c>
      <c r="D106" s="153" t="s">
        <v>643</v>
      </c>
    </row>
    <row r="107" spans="1:4">
      <c r="A107" s="153" t="s">
        <v>644</v>
      </c>
      <c r="B107" s="153" t="s">
        <v>645</v>
      </c>
      <c r="D107" s="153" t="s">
        <v>646</v>
      </c>
    </row>
    <row r="108" spans="1:4">
      <c r="A108" s="153" t="s">
        <v>647</v>
      </c>
      <c r="B108" s="153" t="s">
        <v>648</v>
      </c>
      <c r="D108" s="153" t="s">
        <v>649</v>
      </c>
    </row>
    <row r="109" spans="1:4">
      <c r="A109" s="153" t="s">
        <v>650</v>
      </c>
      <c r="B109" s="153" t="s">
        <v>651</v>
      </c>
      <c r="D109" s="153" t="s">
        <v>652</v>
      </c>
    </row>
    <row r="110" spans="1:4">
      <c r="A110" s="153" t="s">
        <v>653</v>
      </c>
      <c r="B110" s="153" t="s">
        <v>654</v>
      </c>
      <c r="D110" s="153" t="s">
        <v>655</v>
      </c>
    </row>
    <row r="111" spans="1:4">
      <c r="A111" s="153" t="s">
        <v>656</v>
      </c>
      <c r="B111" s="153" t="s">
        <v>657</v>
      </c>
      <c r="D111" s="153" t="s">
        <v>658</v>
      </c>
    </row>
    <row r="112" spans="1:4">
      <c r="A112" s="153" t="s">
        <v>659</v>
      </c>
      <c r="B112" s="153" t="s">
        <v>660</v>
      </c>
      <c r="D112" s="153" t="s">
        <v>661</v>
      </c>
    </row>
    <row r="113" spans="1:4">
      <c r="A113" s="153" t="s">
        <v>662</v>
      </c>
      <c r="B113" s="153" t="s">
        <v>663</v>
      </c>
      <c r="D113" s="153" t="s">
        <v>664</v>
      </c>
    </row>
    <row r="114" spans="1:4">
      <c r="A114" s="153" t="s">
        <v>665</v>
      </c>
      <c r="B114" s="153" t="s">
        <v>666</v>
      </c>
      <c r="D114" s="153" t="s">
        <v>667</v>
      </c>
    </row>
    <row r="115" spans="1:4">
      <c r="A115" s="153" t="s">
        <v>668</v>
      </c>
      <c r="B115" s="153" t="s">
        <v>669</v>
      </c>
      <c r="D115" s="153" t="s">
        <v>670</v>
      </c>
    </row>
    <row r="116" spans="1:4">
      <c r="A116" s="153" t="s">
        <v>671</v>
      </c>
      <c r="B116" s="153" t="s">
        <v>672</v>
      </c>
      <c r="D116" s="153" t="s">
        <v>673</v>
      </c>
    </row>
    <row r="117" spans="1:4">
      <c r="A117" s="153" t="s">
        <v>674</v>
      </c>
      <c r="B117" s="153" t="s">
        <v>675</v>
      </c>
      <c r="D117" s="153" t="s">
        <v>676</v>
      </c>
    </row>
    <row r="118" spans="1:4">
      <c r="A118" s="153" t="s">
        <v>677</v>
      </c>
      <c r="B118" s="153" t="s">
        <v>678</v>
      </c>
      <c r="D118" s="153" t="s">
        <v>679</v>
      </c>
    </row>
    <row r="119" spans="1:4">
      <c r="A119" s="153" t="s">
        <v>680</v>
      </c>
      <c r="B119" s="153" t="s">
        <v>681</v>
      </c>
      <c r="D119" s="153" t="s">
        <v>682</v>
      </c>
    </row>
    <row r="120" spans="1:4">
      <c r="A120" s="153" t="s">
        <v>683</v>
      </c>
      <c r="B120" s="153" t="s">
        <v>684</v>
      </c>
      <c r="D120" s="153" t="s">
        <v>685</v>
      </c>
    </row>
    <row r="121" spans="1:4">
      <c r="A121" s="153" t="s">
        <v>686</v>
      </c>
      <c r="B121" s="153" t="s">
        <v>687</v>
      </c>
      <c r="D121" s="153" t="s">
        <v>688</v>
      </c>
    </row>
    <row r="122" spans="1:4">
      <c r="A122" s="153" t="s">
        <v>689</v>
      </c>
      <c r="B122" s="153" t="s">
        <v>690</v>
      </c>
      <c r="D122" s="153" t="s">
        <v>691</v>
      </c>
    </row>
    <row r="123" spans="1:4">
      <c r="A123" s="153" t="s">
        <v>692</v>
      </c>
      <c r="B123" s="153" t="s">
        <v>693</v>
      </c>
      <c r="D123" s="153" t="s">
        <v>694</v>
      </c>
    </row>
    <row r="124" spans="1:4">
      <c r="A124" s="153" t="s">
        <v>695</v>
      </c>
      <c r="B124" s="153" t="s">
        <v>696</v>
      </c>
      <c r="D124" s="153" t="s">
        <v>697</v>
      </c>
    </row>
    <row r="125" spans="1:4">
      <c r="A125" s="153" t="s">
        <v>698</v>
      </c>
      <c r="B125" s="153" t="s">
        <v>699</v>
      </c>
      <c r="D125" s="153" t="s">
        <v>700</v>
      </c>
    </row>
    <row r="126" spans="1:4">
      <c r="A126" s="153" t="s">
        <v>701</v>
      </c>
      <c r="B126" s="153" t="s">
        <v>702</v>
      </c>
      <c r="D126" s="153" t="s">
        <v>703</v>
      </c>
    </row>
    <row r="127" spans="1:4">
      <c r="A127" s="153" t="s">
        <v>704</v>
      </c>
      <c r="B127" s="153" t="s">
        <v>705</v>
      </c>
      <c r="D127" s="153" t="s">
        <v>706</v>
      </c>
    </row>
    <row r="128" spans="1:4">
      <c r="A128" s="153" t="s">
        <v>707</v>
      </c>
      <c r="B128" s="153" t="s">
        <v>708</v>
      </c>
      <c r="D128" s="153" t="s">
        <v>709</v>
      </c>
    </row>
    <row r="129" spans="1:4">
      <c r="A129" s="153" t="s">
        <v>710</v>
      </c>
      <c r="B129" s="153" t="s">
        <v>711</v>
      </c>
      <c r="D129" s="153" t="s">
        <v>712</v>
      </c>
    </row>
    <row r="130" spans="1:4">
      <c r="A130" s="153" t="s">
        <v>713</v>
      </c>
      <c r="B130" s="153" t="s">
        <v>714</v>
      </c>
      <c r="D130" s="153" t="s">
        <v>715</v>
      </c>
    </row>
    <row r="131" spans="1:4">
      <c r="A131" s="153" t="s">
        <v>716</v>
      </c>
      <c r="B131" s="153" t="s">
        <v>717</v>
      </c>
      <c r="D131" s="153" t="s">
        <v>718</v>
      </c>
    </row>
    <row r="132" spans="1:4">
      <c r="A132" s="153" t="s">
        <v>719</v>
      </c>
      <c r="B132" s="153" t="s">
        <v>720</v>
      </c>
      <c r="D132" s="153" t="s">
        <v>721</v>
      </c>
    </row>
    <row r="133" spans="1:4">
      <c r="A133" s="153" t="s">
        <v>722</v>
      </c>
      <c r="B133" s="153" t="s">
        <v>723</v>
      </c>
      <c r="D133" s="153" t="s">
        <v>724</v>
      </c>
    </row>
    <row r="134" spans="1:4">
      <c r="A134" s="153" t="s">
        <v>725</v>
      </c>
      <c r="B134" s="153" t="s">
        <v>726</v>
      </c>
      <c r="D134" s="153" t="s">
        <v>727</v>
      </c>
    </row>
    <row r="135" spans="1:4">
      <c r="A135" s="153" t="s">
        <v>728</v>
      </c>
      <c r="B135" s="153" t="s">
        <v>729</v>
      </c>
      <c r="D135" s="153" t="s">
        <v>730</v>
      </c>
    </row>
    <row r="136" spans="1:4">
      <c r="A136" s="153" t="s">
        <v>731</v>
      </c>
      <c r="B136" s="153" t="s">
        <v>732</v>
      </c>
      <c r="D136" s="153" t="s">
        <v>733</v>
      </c>
    </row>
    <row r="137" spans="1:4">
      <c r="A137" s="153" t="s">
        <v>734</v>
      </c>
      <c r="B137" s="153" t="s">
        <v>735</v>
      </c>
      <c r="D137" s="153" t="s">
        <v>736</v>
      </c>
    </row>
    <row r="138" spans="1:4">
      <c r="A138" s="153" t="s">
        <v>737</v>
      </c>
      <c r="B138" s="153" t="s">
        <v>738</v>
      </c>
      <c r="D138" s="153" t="s">
        <v>739</v>
      </c>
    </row>
    <row r="139" spans="1:4">
      <c r="A139" s="153" t="s">
        <v>740</v>
      </c>
      <c r="B139" s="153" t="s">
        <v>741</v>
      </c>
      <c r="D139" s="153" t="s">
        <v>742</v>
      </c>
    </row>
    <row r="140" spans="1:4">
      <c r="A140" s="153" t="s">
        <v>743</v>
      </c>
      <c r="B140" s="153" t="s">
        <v>744</v>
      </c>
      <c r="D140" s="153" t="s">
        <v>745</v>
      </c>
    </row>
    <row r="141" spans="1:4">
      <c r="A141" s="153" t="s">
        <v>746</v>
      </c>
      <c r="B141" s="153" t="s">
        <v>747</v>
      </c>
      <c r="D141" s="153" t="s">
        <v>748</v>
      </c>
    </row>
    <row r="142" spans="1:4">
      <c r="A142" s="153" t="s">
        <v>749</v>
      </c>
      <c r="B142" s="153" t="s">
        <v>750</v>
      </c>
      <c r="D142" s="153" t="s">
        <v>751</v>
      </c>
    </row>
    <row r="143" spans="1:4">
      <c r="A143" s="153" t="s">
        <v>752</v>
      </c>
      <c r="B143" s="153" t="s">
        <v>753</v>
      </c>
      <c r="D143" s="153" t="s">
        <v>754</v>
      </c>
    </row>
    <row r="144" spans="1:4">
      <c r="A144" s="153" t="s">
        <v>755</v>
      </c>
      <c r="B144" s="153" t="s">
        <v>756</v>
      </c>
      <c r="D144" s="153" t="s">
        <v>757</v>
      </c>
    </row>
    <row r="145" spans="1:4">
      <c r="A145" s="153" t="s">
        <v>758</v>
      </c>
      <c r="B145" s="153" t="s">
        <v>759</v>
      </c>
      <c r="D145" s="153" t="s">
        <v>760</v>
      </c>
    </row>
    <row r="146" spans="1:4">
      <c r="A146" s="153" t="s">
        <v>761</v>
      </c>
      <c r="B146" s="153" t="s">
        <v>762</v>
      </c>
      <c r="D146" s="153" t="s">
        <v>763</v>
      </c>
    </row>
    <row r="147" spans="1:4">
      <c r="A147" s="153" t="s">
        <v>764</v>
      </c>
      <c r="B147" s="153" t="s">
        <v>765</v>
      </c>
      <c r="D147" s="153" t="s">
        <v>766</v>
      </c>
    </row>
    <row r="148" spans="1:4">
      <c r="A148" s="153" t="s">
        <v>767</v>
      </c>
      <c r="B148" s="153" t="s">
        <v>768</v>
      </c>
      <c r="D148" s="153" t="s">
        <v>769</v>
      </c>
    </row>
    <row r="149" spans="1:4">
      <c r="A149" s="153" t="s">
        <v>770</v>
      </c>
      <c r="B149" s="153" t="s">
        <v>771</v>
      </c>
      <c r="D149" s="153" t="s">
        <v>772</v>
      </c>
    </row>
    <row r="150" spans="1:4">
      <c r="A150" s="153" t="s">
        <v>773</v>
      </c>
      <c r="B150" s="153" t="s">
        <v>774</v>
      </c>
      <c r="D150" s="153" t="s">
        <v>775</v>
      </c>
    </row>
    <row r="151" spans="1:4">
      <c r="A151" s="153" t="s">
        <v>776</v>
      </c>
      <c r="B151" s="153" t="s">
        <v>777</v>
      </c>
      <c r="D151" s="153" t="s">
        <v>778</v>
      </c>
    </row>
    <row r="152" spans="1:4">
      <c r="A152" s="153" t="s">
        <v>779</v>
      </c>
      <c r="B152" s="153" t="s">
        <v>780</v>
      </c>
      <c r="D152" s="153" t="s">
        <v>781</v>
      </c>
    </row>
    <row r="153" spans="1:4">
      <c r="A153" s="153" t="s">
        <v>782</v>
      </c>
      <c r="B153" s="153" t="s">
        <v>783</v>
      </c>
      <c r="D153" s="153" t="s">
        <v>784</v>
      </c>
    </row>
    <row r="154" spans="1:4">
      <c r="A154" s="153" t="s">
        <v>785</v>
      </c>
      <c r="B154" s="153" t="s">
        <v>786</v>
      </c>
      <c r="D154" s="153" t="s">
        <v>787</v>
      </c>
    </row>
    <row r="155" spans="1:4">
      <c r="A155" s="153" t="s">
        <v>788</v>
      </c>
      <c r="B155" s="153" t="s">
        <v>789</v>
      </c>
      <c r="D155" s="153" t="s">
        <v>790</v>
      </c>
    </row>
    <row r="156" spans="1:4">
      <c r="A156" s="153" t="s">
        <v>791</v>
      </c>
      <c r="B156" s="153" t="s">
        <v>792</v>
      </c>
      <c r="D156" s="153" t="s">
        <v>793</v>
      </c>
    </row>
    <row r="157" spans="1:4">
      <c r="A157" s="153" t="s">
        <v>794</v>
      </c>
      <c r="B157" s="153" t="s">
        <v>795</v>
      </c>
      <c r="D157" s="153" t="s">
        <v>796</v>
      </c>
    </row>
    <row r="158" spans="1:4">
      <c r="A158" s="153" t="s">
        <v>797</v>
      </c>
      <c r="B158" s="153" t="s">
        <v>798</v>
      </c>
      <c r="D158" s="153" t="s">
        <v>799</v>
      </c>
    </row>
    <row r="159" spans="1:4">
      <c r="A159" s="153" t="s">
        <v>800</v>
      </c>
      <c r="B159" s="153" t="s">
        <v>801</v>
      </c>
      <c r="D159" s="153" t="s">
        <v>802</v>
      </c>
    </row>
    <row r="160" spans="1:4">
      <c r="A160" s="153" t="s">
        <v>803</v>
      </c>
      <c r="B160" s="153" t="s">
        <v>804</v>
      </c>
      <c r="D160" s="153" t="s">
        <v>805</v>
      </c>
    </row>
    <row r="161" spans="1:4">
      <c r="A161" s="153" t="s">
        <v>806</v>
      </c>
      <c r="B161" s="153" t="s">
        <v>807</v>
      </c>
      <c r="D161" s="153" t="s">
        <v>808</v>
      </c>
    </row>
    <row r="162" spans="1:4">
      <c r="A162" s="153" t="s">
        <v>809</v>
      </c>
      <c r="B162" s="153" t="s">
        <v>810</v>
      </c>
      <c r="D162" s="153" t="s">
        <v>811</v>
      </c>
    </row>
    <row r="163" spans="1:4">
      <c r="A163" s="153" t="s">
        <v>812</v>
      </c>
      <c r="B163" s="153" t="s">
        <v>813</v>
      </c>
      <c r="D163" s="153" t="s">
        <v>814</v>
      </c>
    </row>
    <row r="164" spans="1:4">
      <c r="A164" s="153" t="s">
        <v>815</v>
      </c>
      <c r="B164" s="153" t="s">
        <v>816</v>
      </c>
      <c r="D164" s="153" t="s">
        <v>817</v>
      </c>
    </row>
    <row r="165" spans="1:4">
      <c r="A165" s="153" t="s">
        <v>818</v>
      </c>
      <c r="B165" s="153" t="s">
        <v>819</v>
      </c>
      <c r="D165" s="153" t="s">
        <v>820</v>
      </c>
    </row>
    <row r="166" spans="1:4">
      <c r="A166" s="153" t="s">
        <v>821</v>
      </c>
      <c r="B166" s="153" t="s">
        <v>822</v>
      </c>
      <c r="D166" s="153" t="s">
        <v>823</v>
      </c>
    </row>
    <row r="167" spans="1:4">
      <c r="A167" s="153" t="s">
        <v>824</v>
      </c>
      <c r="B167" s="153" t="s">
        <v>825</v>
      </c>
      <c r="D167" s="153" t="s">
        <v>826</v>
      </c>
    </row>
    <row r="168" spans="1:4">
      <c r="A168" s="153" t="s">
        <v>827</v>
      </c>
      <c r="B168" s="153" t="s">
        <v>828</v>
      </c>
      <c r="D168" s="153" t="s">
        <v>829</v>
      </c>
    </row>
    <row r="169" spans="1:4">
      <c r="A169" s="153" t="s">
        <v>830</v>
      </c>
      <c r="B169" s="153" t="s">
        <v>831</v>
      </c>
      <c r="D169" s="153" t="s">
        <v>832</v>
      </c>
    </row>
    <row r="170" spans="1:4">
      <c r="A170" s="153" t="s">
        <v>833</v>
      </c>
      <c r="B170" s="153" t="s">
        <v>834</v>
      </c>
      <c r="D170" s="153" t="s">
        <v>835</v>
      </c>
    </row>
    <row r="171" spans="1:4">
      <c r="A171" s="153" t="s">
        <v>836</v>
      </c>
      <c r="B171" s="153" t="s">
        <v>837</v>
      </c>
      <c r="D171" s="153" t="s">
        <v>838</v>
      </c>
    </row>
    <row r="172" spans="1:4">
      <c r="A172" s="153" t="s">
        <v>839</v>
      </c>
      <c r="B172" s="153" t="s">
        <v>840</v>
      </c>
      <c r="D172" s="153" t="s">
        <v>841</v>
      </c>
    </row>
    <row r="173" spans="1:4">
      <c r="A173" s="153" t="s">
        <v>842</v>
      </c>
      <c r="B173" s="153" t="s">
        <v>843</v>
      </c>
      <c r="D173" s="153" t="s">
        <v>844</v>
      </c>
    </row>
    <row r="174" spans="1:4">
      <c r="A174" s="153" t="s">
        <v>845</v>
      </c>
      <c r="B174" s="153" t="s">
        <v>846</v>
      </c>
      <c r="D174" s="153" t="s">
        <v>847</v>
      </c>
    </row>
    <row r="175" spans="1:4">
      <c r="A175" s="153" t="s">
        <v>848</v>
      </c>
      <c r="B175" s="153" t="s">
        <v>849</v>
      </c>
      <c r="D175" s="153" t="s">
        <v>850</v>
      </c>
    </row>
    <row r="176" spans="1:4">
      <c r="A176" s="153" t="s">
        <v>851</v>
      </c>
      <c r="B176" s="153" t="s">
        <v>852</v>
      </c>
      <c r="D176" s="153" t="s">
        <v>853</v>
      </c>
    </row>
    <row r="177" spans="1:4">
      <c r="A177" s="153" t="s">
        <v>854</v>
      </c>
      <c r="B177" s="153" t="s">
        <v>855</v>
      </c>
      <c r="D177" s="153" t="s">
        <v>856</v>
      </c>
    </row>
    <row r="178" spans="1:4">
      <c r="A178" s="153" t="s">
        <v>857</v>
      </c>
      <c r="B178" s="153" t="s">
        <v>858</v>
      </c>
      <c r="D178" s="153" t="s">
        <v>859</v>
      </c>
    </row>
    <row r="179" spans="1:4">
      <c r="A179" s="153" t="s">
        <v>860</v>
      </c>
      <c r="B179" s="153" t="s">
        <v>861</v>
      </c>
      <c r="D179" s="153" t="s">
        <v>862</v>
      </c>
    </row>
    <row r="180" spans="1:4">
      <c r="A180" s="153" t="s">
        <v>863</v>
      </c>
      <c r="B180" s="153" t="s">
        <v>864</v>
      </c>
      <c r="D180" s="153" t="s">
        <v>865</v>
      </c>
    </row>
    <row r="181" spans="1:4">
      <c r="A181" s="153" t="s">
        <v>866</v>
      </c>
      <c r="B181" s="153" t="s">
        <v>867</v>
      </c>
      <c r="D181" s="153" t="s">
        <v>868</v>
      </c>
    </row>
    <row r="182" spans="1:4">
      <c r="A182" s="153" t="s">
        <v>869</v>
      </c>
      <c r="B182" s="153" t="s">
        <v>870</v>
      </c>
      <c r="D182" s="153" t="s">
        <v>871</v>
      </c>
    </row>
    <row r="183" spans="1:4">
      <c r="A183" s="153" t="s">
        <v>872</v>
      </c>
      <c r="B183" s="153" t="s">
        <v>873</v>
      </c>
      <c r="D183" s="153" t="s">
        <v>874</v>
      </c>
    </row>
    <row r="184" spans="1:4">
      <c r="A184" s="153" t="s">
        <v>875</v>
      </c>
      <c r="B184" s="153" t="s">
        <v>876</v>
      </c>
      <c r="D184" s="153" t="s">
        <v>877</v>
      </c>
    </row>
    <row r="185" spans="1:4">
      <c r="A185" s="153" t="s">
        <v>878</v>
      </c>
      <c r="B185" s="153" t="s">
        <v>879</v>
      </c>
      <c r="D185" s="153" t="s">
        <v>880</v>
      </c>
    </row>
    <row r="186" spans="1:4">
      <c r="A186" s="153" t="s">
        <v>881</v>
      </c>
      <c r="B186" s="153" t="s">
        <v>882</v>
      </c>
      <c r="D186" s="153" t="s">
        <v>883</v>
      </c>
    </row>
    <row r="187" spans="1:4">
      <c r="A187" s="153" t="s">
        <v>884</v>
      </c>
      <c r="B187" s="153" t="s">
        <v>885</v>
      </c>
      <c r="D187" s="153" t="s">
        <v>886</v>
      </c>
    </row>
    <row r="188" spans="1:4">
      <c r="A188" s="153" t="s">
        <v>887</v>
      </c>
      <c r="B188" s="153" t="s">
        <v>888</v>
      </c>
      <c r="D188" s="153" t="s">
        <v>889</v>
      </c>
    </row>
    <row r="189" spans="1:4">
      <c r="A189" s="153" t="s">
        <v>890</v>
      </c>
      <c r="B189" s="153" t="s">
        <v>891</v>
      </c>
      <c r="D189" s="153" t="s">
        <v>892</v>
      </c>
    </row>
    <row r="190" spans="1:4">
      <c r="A190" s="153" t="s">
        <v>893</v>
      </c>
      <c r="B190" s="153" t="s">
        <v>894</v>
      </c>
      <c r="D190" s="153" t="s">
        <v>895</v>
      </c>
    </row>
    <row r="191" spans="1:4">
      <c r="A191" s="153" t="s">
        <v>896</v>
      </c>
      <c r="B191" s="153" t="s">
        <v>897</v>
      </c>
      <c r="D191" s="153" t="s">
        <v>898</v>
      </c>
    </row>
    <row r="192" spans="1:4">
      <c r="A192" s="153" t="s">
        <v>899</v>
      </c>
      <c r="B192" s="153" t="s">
        <v>900</v>
      </c>
      <c r="D192" s="153" t="s">
        <v>901</v>
      </c>
    </row>
    <row r="193" spans="1:4">
      <c r="A193" s="153" t="s">
        <v>902</v>
      </c>
      <c r="B193" s="153" t="s">
        <v>903</v>
      </c>
      <c r="D193" s="153" t="s">
        <v>904</v>
      </c>
    </row>
    <row r="194" spans="1:4">
      <c r="A194" s="153" t="s">
        <v>905</v>
      </c>
      <c r="B194" s="153" t="s">
        <v>906</v>
      </c>
      <c r="D194" s="153" t="s">
        <v>907</v>
      </c>
    </row>
    <row r="195" spans="1:4">
      <c r="A195" s="153" t="s">
        <v>908</v>
      </c>
      <c r="B195" s="153" t="s">
        <v>909</v>
      </c>
      <c r="D195" s="153" t="s">
        <v>910</v>
      </c>
    </row>
    <row r="196" spans="1:4">
      <c r="A196" s="153" t="s">
        <v>911</v>
      </c>
      <c r="B196" s="153" t="s">
        <v>912</v>
      </c>
      <c r="D196" s="153" t="s">
        <v>913</v>
      </c>
    </row>
    <row r="197" spans="1:4">
      <c r="A197" s="153" t="s">
        <v>914</v>
      </c>
      <c r="B197" s="153" t="s">
        <v>915</v>
      </c>
      <c r="D197" s="153" t="s">
        <v>916</v>
      </c>
    </row>
    <row r="198" spans="1:4">
      <c r="A198" s="153" t="s">
        <v>917</v>
      </c>
      <c r="B198" s="153" t="s">
        <v>918</v>
      </c>
      <c r="D198" s="153" t="s">
        <v>919</v>
      </c>
    </row>
    <row r="199" spans="1:4">
      <c r="A199" s="153" t="s">
        <v>920</v>
      </c>
      <c r="B199" s="153" t="s">
        <v>921</v>
      </c>
      <c r="D199" s="153" t="s">
        <v>922</v>
      </c>
    </row>
    <row r="200" spans="1:4">
      <c r="A200" s="153" t="s">
        <v>923</v>
      </c>
      <c r="B200" s="153" t="s">
        <v>924</v>
      </c>
      <c r="D200" s="153" t="s">
        <v>925</v>
      </c>
    </row>
    <row r="201" spans="1:4">
      <c r="A201" s="153" t="s">
        <v>926</v>
      </c>
      <c r="B201" s="153" t="s">
        <v>927</v>
      </c>
      <c r="D201" s="153" t="s">
        <v>928</v>
      </c>
    </row>
    <row r="202" spans="1:4">
      <c r="A202" s="153" t="s">
        <v>929</v>
      </c>
      <c r="B202" s="153" t="s">
        <v>930</v>
      </c>
      <c r="D202" s="153" t="s">
        <v>931</v>
      </c>
    </row>
    <row r="203" spans="1:4">
      <c r="A203" s="153" t="s">
        <v>932</v>
      </c>
      <c r="B203" s="153" t="s">
        <v>933</v>
      </c>
      <c r="D203" s="153" t="s">
        <v>934</v>
      </c>
    </row>
    <row r="204" spans="1:4">
      <c r="A204" s="153" t="s">
        <v>935</v>
      </c>
      <c r="B204" s="153" t="s">
        <v>936</v>
      </c>
      <c r="D204" s="153" t="s">
        <v>937</v>
      </c>
    </row>
    <row r="205" spans="1:4">
      <c r="A205" s="153" t="s">
        <v>938</v>
      </c>
      <c r="B205" s="153" t="s">
        <v>939</v>
      </c>
      <c r="D205" s="153" t="s">
        <v>940</v>
      </c>
    </row>
    <row r="206" spans="1:4">
      <c r="A206" s="153" t="s">
        <v>941</v>
      </c>
      <c r="B206" s="153" t="s">
        <v>942</v>
      </c>
      <c r="D206" s="153" t="s">
        <v>943</v>
      </c>
    </row>
    <row r="207" spans="1:4">
      <c r="A207" s="153" t="s">
        <v>944</v>
      </c>
      <c r="B207" s="153" t="s">
        <v>945</v>
      </c>
      <c r="D207" s="153" t="s">
        <v>946</v>
      </c>
    </row>
    <row r="208" spans="1:4">
      <c r="A208" s="153" t="s">
        <v>947</v>
      </c>
      <c r="B208" s="153" t="s">
        <v>948</v>
      </c>
      <c r="D208" s="153" t="s">
        <v>949</v>
      </c>
    </row>
    <row r="209" spans="1:4">
      <c r="A209" s="153" t="s">
        <v>950</v>
      </c>
      <c r="B209" s="153" t="s">
        <v>951</v>
      </c>
      <c r="D209" s="153" t="s">
        <v>952</v>
      </c>
    </row>
    <row r="210" spans="1:4">
      <c r="A210" s="153" t="s">
        <v>953</v>
      </c>
      <c r="B210" s="153" t="s">
        <v>954</v>
      </c>
      <c r="D210" s="153" t="s">
        <v>955</v>
      </c>
    </row>
    <row r="211" spans="1:4">
      <c r="A211" s="153" t="s">
        <v>956</v>
      </c>
      <c r="B211" s="153" t="s">
        <v>957</v>
      </c>
      <c r="D211" s="153" t="s">
        <v>958</v>
      </c>
    </row>
    <row r="212" spans="1:4">
      <c r="A212" s="153" t="s">
        <v>959</v>
      </c>
      <c r="B212" s="153" t="s">
        <v>960</v>
      </c>
      <c r="D212" s="153" t="s">
        <v>961</v>
      </c>
    </row>
    <row r="213" spans="1:4">
      <c r="A213" s="153" t="s">
        <v>962</v>
      </c>
      <c r="B213" s="153" t="s">
        <v>963</v>
      </c>
      <c r="D213" s="153" t="s">
        <v>964</v>
      </c>
    </row>
    <row r="214" spans="1:4">
      <c r="A214" s="153" t="s">
        <v>965</v>
      </c>
      <c r="B214" s="153" t="s">
        <v>966</v>
      </c>
      <c r="D214" s="153" t="s">
        <v>967</v>
      </c>
    </row>
    <row r="215" spans="1:4">
      <c r="A215" s="153" t="s">
        <v>968</v>
      </c>
      <c r="B215" s="153" t="s">
        <v>969</v>
      </c>
      <c r="D215" s="153" t="s">
        <v>970</v>
      </c>
    </row>
    <row r="216" spans="1:4">
      <c r="A216" s="153" t="s">
        <v>971</v>
      </c>
      <c r="B216" s="153" t="s">
        <v>972</v>
      </c>
      <c r="D216" s="153" t="s">
        <v>973</v>
      </c>
    </row>
    <row r="217" spans="1:4">
      <c r="A217" s="153" t="s">
        <v>974</v>
      </c>
      <c r="B217" s="153" t="s">
        <v>975</v>
      </c>
      <c r="D217" s="153" t="s">
        <v>976</v>
      </c>
    </row>
    <row r="218" spans="1:4">
      <c r="A218" s="153" t="s">
        <v>977</v>
      </c>
      <c r="B218" s="153" t="s">
        <v>978</v>
      </c>
      <c r="D218" s="153" t="s">
        <v>979</v>
      </c>
    </row>
    <row r="219" spans="1:4">
      <c r="A219" s="153" t="s">
        <v>980</v>
      </c>
      <c r="B219" s="153" t="s">
        <v>981</v>
      </c>
      <c r="D219" s="153" t="s">
        <v>982</v>
      </c>
    </row>
    <row r="220" spans="1:4">
      <c r="A220" s="153" t="s">
        <v>983</v>
      </c>
      <c r="B220" s="153" t="s">
        <v>984</v>
      </c>
      <c r="D220" s="153" t="s">
        <v>985</v>
      </c>
    </row>
    <row r="221" spans="1:4">
      <c r="A221" s="153" t="s">
        <v>986</v>
      </c>
      <c r="B221" s="153" t="s">
        <v>987</v>
      </c>
      <c r="D221" s="153" t="s">
        <v>988</v>
      </c>
    </row>
    <row r="222" spans="1:4">
      <c r="A222" s="153" t="s">
        <v>989</v>
      </c>
      <c r="B222" s="153" t="s">
        <v>990</v>
      </c>
      <c r="D222" s="153" t="s">
        <v>991</v>
      </c>
    </row>
    <row r="223" spans="1:4">
      <c r="A223" s="153" t="s">
        <v>992</v>
      </c>
      <c r="B223" s="153" t="s">
        <v>993</v>
      </c>
      <c r="D223" s="153" t="s">
        <v>994</v>
      </c>
    </row>
    <row r="224" spans="1:4">
      <c r="A224" s="153" t="s">
        <v>995</v>
      </c>
      <c r="B224" s="153" t="s">
        <v>996</v>
      </c>
      <c r="D224" s="153" t="s">
        <v>997</v>
      </c>
    </row>
    <row r="225" spans="1:4">
      <c r="A225" s="153" t="s">
        <v>998</v>
      </c>
      <c r="B225" s="153" t="s">
        <v>999</v>
      </c>
      <c r="D225" s="154" t="s">
        <v>243</v>
      </c>
    </row>
    <row r="226" spans="1:4">
      <c r="A226" s="153" t="s">
        <v>1000</v>
      </c>
      <c r="B226" s="153" t="s">
        <v>1001</v>
      </c>
      <c r="D226" t="s">
        <v>243</v>
      </c>
    </row>
    <row r="227" spans="1:4">
      <c r="A227" s="153" t="s">
        <v>1002</v>
      </c>
      <c r="B227" s="153" t="s">
        <v>1003</v>
      </c>
    </row>
    <row r="228" spans="1:4">
      <c r="A228" s="153" t="s">
        <v>1004</v>
      </c>
      <c r="B228" s="153" t="s">
        <v>1005</v>
      </c>
    </row>
    <row r="229" spans="1:4">
      <c r="A229" s="153" t="s">
        <v>1006</v>
      </c>
      <c r="B229" s="153" t="s">
        <v>1007</v>
      </c>
    </row>
    <row r="230" spans="1:4">
      <c r="A230" s="153" t="s">
        <v>1008</v>
      </c>
      <c r="B230" s="153" t="s">
        <v>1009</v>
      </c>
    </row>
    <row r="231" spans="1:4">
      <c r="A231" s="153" t="s">
        <v>1010</v>
      </c>
      <c r="B231" s="153" t="s">
        <v>1011</v>
      </c>
    </row>
    <row r="232" spans="1:4">
      <c r="A232" s="153" t="s">
        <v>1012</v>
      </c>
      <c r="B232" s="153" t="s">
        <v>1013</v>
      </c>
    </row>
    <row r="233" spans="1:4">
      <c r="A233" s="153" t="s">
        <v>1014</v>
      </c>
      <c r="B233" s="153" t="s">
        <v>1015</v>
      </c>
    </row>
    <row r="234" spans="1:4">
      <c r="A234" s="153" t="s">
        <v>1016</v>
      </c>
      <c r="B234" s="153" t="s">
        <v>1017</v>
      </c>
    </row>
    <row r="235" spans="1:4">
      <c r="A235" s="153" t="s">
        <v>1018</v>
      </c>
      <c r="B235" s="153" t="s">
        <v>1019</v>
      </c>
    </row>
    <row r="236" spans="1:4">
      <c r="A236" s="153" t="s">
        <v>1020</v>
      </c>
      <c r="B236" s="153" t="s">
        <v>1021</v>
      </c>
    </row>
    <row r="237" spans="1:4">
      <c r="A237" s="153" t="s">
        <v>1022</v>
      </c>
      <c r="B237" s="153" t="s">
        <v>1023</v>
      </c>
    </row>
    <row r="238" spans="1:4">
      <c r="A238" s="153" t="s">
        <v>1024</v>
      </c>
      <c r="B238" s="153" t="s">
        <v>1025</v>
      </c>
    </row>
    <row r="239" spans="1:4">
      <c r="A239" s="153" t="s">
        <v>1026</v>
      </c>
      <c r="B239" s="153" t="s">
        <v>1027</v>
      </c>
    </row>
    <row r="240" spans="1:4">
      <c r="A240" s="153" t="s">
        <v>1028</v>
      </c>
      <c r="B240" s="153" t="s">
        <v>1029</v>
      </c>
    </row>
    <row r="241" spans="1:2">
      <c r="A241" s="153" t="s">
        <v>1030</v>
      </c>
      <c r="B241" s="153" t="s">
        <v>1031</v>
      </c>
    </row>
    <row r="242" spans="1:2">
      <c r="A242" s="153" t="s">
        <v>1032</v>
      </c>
      <c r="B242" s="153" t="s">
        <v>1033</v>
      </c>
    </row>
    <row r="243" spans="1:2">
      <c r="A243" s="153" t="s">
        <v>1034</v>
      </c>
      <c r="B243" s="153" t="s">
        <v>1035</v>
      </c>
    </row>
    <row r="244" spans="1:2">
      <c r="A244" s="153" t="s">
        <v>1036</v>
      </c>
      <c r="B244" s="153" t="s">
        <v>1037</v>
      </c>
    </row>
    <row r="245" spans="1:2">
      <c r="A245" s="153" t="s">
        <v>1038</v>
      </c>
      <c r="B245" s="153" t="s">
        <v>1039</v>
      </c>
    </row>
    <row r="246" spans="1:2">
      <c r="A246" s="153" t="s">
        <v>1040</v>
      </c>
      <c r="B246" s="153" t="s">
        <v>1041</v>
      </c>
    </row>
    <row r="247" spans="1:2">
      <c r="A247" s="153" t="s">
        <v>1042</v>
      </c>
      <c r="B247" s="153" t="s">
        <v>1043</v>
      </c>
    </row>
    <row r="248" spans="1:2">
      <c r="A248" s="153" t="s">
        <v>1044</v>
      </c>
      <c r="B248" s="153" t="s">
        <v>1045</v>
      </c>
    </row>
    <row r="249" spans="1:2">
      <c r="A249" s="153" t="s">
        <v>1046</v>
      </c>
      <c r="B249" s="153" t="s">
        <v>1047</v>
      </c>
    </row>
    <row r="250" spans="1:2">
      <c r="A250" s="153" t="s">
        <v>1048</v>
      </c>
      <c r="B250" s="153" t="s">
        <v>1049</v>
      </c>
    </row>
    <row r="251" spans="1:2">
      <c r="A251" s="153" t="s">
        <v>1050</v>
      </c>
      <c r="B251" s="153" t="s">
        <v>1051</v>
      </c>
    </row>
    <row r="252" spans="1:2">
      <c r="A252" s="153" t="s">
        <v>1052</v>
      </c>
      <c r="B252" s="153" t="s">
        <v>1053</v>
      </c>
    </row>
    <row r="253" spans="1:2">
      <c r="A253" s="153" t="s">
        <v>1054</v>
      </c>
      <c r="B253" s="153" t="s">
        <v>1055</v>
      </c>
    </row>
    <row r="254" spans="1:2">
      <c r="A254" s="153" t="s">
        <v>1056</v>
      </c>
      <c r="B254" s="153" t="s">
        <v>1057</v>
      </c>
    </row>
    <row r="255" spans="1:2">
      <c r="A255" s="153" t="s">
        <v>1058</v>
      </c>
      <c r="B255" s="153" t="s">
        <v>1059</v>
      </c>
    </row>
    <row r="256" spans="1:2">
      <c r="A256" s="153" t="s">
        <v>1060</v>
      </c>
      <c r="B256" s="153" t="s">
        <v>1061</v>
      </c>
    </row>
    <row r="257" spans="1:2">
      <c r="A257" s="153" t="s">
        <v>1062</v>
      </c>
      <c r="B257" s="153" t="s">
        <v>1063</v>
      </c>
    </row>
    <row r="258" spans="1:2">
      <c r="A258" s="153" t="s">
        <v>1064</v>
      </c>
      <c r="B258" s="153" t="s">
        <v>1065</v>
      </c>
    </row>
    <row r="259" spans="1:2">
      <c r="A259" s="153" t="s">
        <v>1066</v>
      </c>
      <c r="B259" s="153" t="s">
        <v>1067</v>
      </c>
    </row>
    <row r="260" spans="1:2">
      <c r="A260" s="153" t="s">
        <v>1068</v>
      </c>
      <c r="B260" s="153" t="s">
        <v>1069</v>
      </c>
    </row>
    <row r="261" spans="1:2">
      <c r="A261" s="153" t="s">
        <v>1070</v>
      </c>
      <c r="B261" s="153" t="s">
        <v>1071</v>
      </c>
    </row>
    <row r="262" spans="1:2">
      <c r="A262" s="153" t="s">
        <v>1072</v>
      </c>
      <c r="B262" s="153" t="s">
        <v>1073</v>
      </c>
    </row>
    <row r="263" spans="1:2">
      <c r="A263" s="153" t="s">
        <v>1074</v>
      </c>
      <c r="B263" s="153" t="s">
        <v>1075</v>
      </c>
    </row>
    <row r="264" spans="1:2">
      <c r="A264" s="153" t="s">
        <v>1076</v>
      </c>
      <c r="B264" s="153" t="s">
        <v>1077</v>
      </c>
    </row>
    <row r="265" spans="1:2">
      <c r="A265" s="153" t="s">
        <v>1078</v>
      </c>
      <c r="B265" s="153" t="s">
        <v>1079</v>
      </c>
    </row>
    <row r="266" spans="1:2">
      <c r="A266" s="153" t="s">
        <v>1080</v>
      </c>
      <c r="B266" s="153" t="s">
        <v>1081</v>
      </c>
    </row>
    <row r="267" spans="1:2">
      <c r="A267" s="153" t="s">
        <v>1082</v>
      </c>
      <c r="B267" s="153" t="s">
        <v>1083</v>
      </c>
    </row>
    <row r="268" spans="1:2">
      <c r="A268" s="153" t="s">
        <v>1084</v>
      </c>
      <c r="B268" s="153" t="s">
        <v>1085</v>
      </c>
    </row>
    <row r="269" spans="1:2">
      <c r="A269" s="153" t="s">
        <v>1086</v>
      </c>
      <c r="B269" s="153" t="s">
        <v>1087</v>
      </c>
    </row>
    <row r="270" spans="1:2">
      <c r="A270" s="153" t="s">
        <v>1088</v>
      </c>
      <c r="B270" s="153" t="s">
        <v>1089</v>
      </c>
    </row>
    <row r="271" spans="1:2">
      <c r="A271" s="153" t="s">
        <v>1090</v>
      </c>
      <c r="B271" s="153" t="s">
        <v>1091</v>
      </c>
    </row>
    <row r="272" spans="1:2">
      <c r="A272" s="153" t="s">
        <v>1092</v>
      </c>
      <c r="B272" s="153" t="s">
        <v>1093</v>
      </c>
    </row>
    <row r="273" spans="1:2">
      <c r="A273" s="153" t="s">
        <v>1094</v>
      </c>
      <c r="B273" s="153" t="s">
        <v>1095</v>
      </c>
    </row>
    <row r="274" spans="1:2">
      <c r="A274" s="153" t="s">
        <v>1096</v>
      </c>
      <c r="B274" s="153" t="s">
        <v>1097</v>
      </c>
    </row>
    <row r="275" spans="1:2">
      <c r="A275" s="153" t="s">
        <v>1098</v>
      </c>
      <c r="B275" s="153" t="s">
        <v>1099</v>
      </c>
    </row>
    <row r="276" spans="1:2">
      <c r="A276" s="153" t="s">
        <v>1100</v>
      </c>
      <c r="B276" s="153" t="s">
        <v>1101</v>
      </c>
    </row>
    <row r="277" spans="1:2">
      <c r="A277" s="153" t="s">
        <v>1102</v>
      </c>
      <c r="B277" s="153" t="s">
        <v>1103</v>
      </c>
    </row>
    <row r="278" spans="1:2">
      <c r="A278" s="153" t="s">
        <v>1104</v>
      </c>
      <c r="B278" s="153" t="s">
        <v>1105</v>
      </c>
    </row>
    <row r="279" spans="1:2">
      <c r="A279" s="153" t="s">
        <v>1106</v>
      </c>
      <c r="B279" s="153" t="s">
        <v>1107</v>
      </c>
    </row>
    <row r="280" spans="1:2">
      <c r="A280" s="153" t="s">
        <v>1108</v>
      </c>
      <c r="B280" s="153" t="s">
        <v>291</v>
      </c>
    </row>
    <row r="281" spans="1:2">
      <c r="A281" s="153" t="s">
        <v>1109</v>
      </c>
      <c r="B281" s="153" t="s">
        <v>1110</v>
      </c>
    </row>
    <row r="282" spans="1:2">
      <c r="A282" s="153" t="s">
        <v>1111</v>
      </c>
      <c r="B282" s="153" t="s">
        <v>1112</v>
      </c>
    </row>
    <row r="283" spans="1:2">
      <c r="A283" s="153" t="s">
        <v>1113</v>
      </c>
      <c r="B283" s="153" t="s">
        <v>1114</v>
      </c>
    </row>
    <row r="284" spans="1:2">
      <c r="A284" s="153" t="s">
        <v>1115</v>
      </c>
      <c r="B284" s="153" t="s">
        <v>1116</v>
      </c>
    </row>
    <row r="285" spans="1:2">
      <c r="A285" s="153" t="s">
        <v>1117</v>
      </c>
      <c r="B285" s="153" t="s">
        <v>1118</v>
      </c>
    </row>
    <row r="286" spans="1:2">
      <c r="A286" s="153" t="s">
        <v>1119</v>
      </c>
      <c r="B286" s="153" t="s">
        <v>1120</v>
      </c>
    </row>
    <row r="287" spans="1:2">
      <c r="A287" s="153" t="s">
        <v>1121</v>
      </c>
      <c r="B287" s="153" t="s">
        <v>1122</v>
      </c>
    </row>
    <row r="288" spans="1:2">
      <c r="A288" s="153" t="s">
        <v>1123</v>
      </c>
      <c r="B288" s="153" t="s">
        <v>1124</v>
      </c>
    </row>
    <row r="289" spans="1:2">
      <c r="A289" s="153" t="s">
        <v>1125</v>
      </c>
      <c r="B289" s="153" t="s">
        <v>1126</v>
      </c>
    </row>
    <row r="290" spans="1:2">
      <c r="A290" s="153" t="s">
        <v>1127</v>
      </c>
      <c r="B290" s="153" t="s">
        <v>1128</v>
      </c>
    </row>
    <row r="291" spans="1:2">
      <c r="A291" s="153" t="s">
        <v>1129</v>
      </c>
      <c r="B291" s="153" t="s">
        <v>1130</v>
      </c>
    </row>
    <row r="292" spans="1:2">
      <c r="A292" s="153" t="s">
        <v>1131</v>
      </c>
      <c r="B292" s="153" t="s">
        <v>1132</v>
      </c>
    </row>
    <row r="293" spans="1:2">
      <c r="A293" s="153" t="s">
        <v>1133</v>
      </c>
      <c r="B293" s="153" t="s">
        <v>1134</v>
      </c>
    </row>
    <row r="294" spans="1:2">
      <c r="A294" s="153" t="s">
        <v>1135</v>
      </c>
      <c r="B294" s="153" t="s">
        <v>1136</v>
      </c>
    </row>
    <row r="295" spans="1:2">
      <c r="A295" s="153" t="s">
        <v>1137</v>
      </c>
      <c r="B295" s="153" t="s">
        <v>1138</v>
      </c>
    </row>
    <row r="296" spans="1:2">
      <c r="A296" s="153" t="s">
        <v>1139</v>
      </c>
      <c r="B296" s="153" t="s">
        <v>1140</v>
      </c>
    </row>
    <row r="297" spans="1:2">
      <c r="A297" s="153" t="s">
        <v>1141</v>
      </c>
      <c r="B297" s="153" t="s">
        <v>1142</v>
      </c>
    </row>
    <row r="298" spans="1:2">
      <c r="A298" s="153" t="s">
        <v>1143</v>
      </c>
      <c r="B298" s="153" t="s">
        <v>1144</v>
      </c>
    </row>
    <row r="299" spans="1:2">
      <c r="A299" s="153" t="s">
        <v>1145</v>
      </c>
      <c r="B299" s="153" t="s">
        <v>1146</v>
      </c>
    </row>
    <row r="300" spans="1:2">
      <c r="A300" s="153" t="s">
        <v>1147</v>
      </c>
      <c r="B300" s="153" t="s">
        <v>1148</v>
      </c>
    </row>
    <row r="301" spans="1:2">
      <c r="A301" s="153" t="s">
        <v>1149</v>
      </c>
      <c r="B301" s="153" t="s">
        <v>1150</v>
      </c>
    </row>
    <row r="302" spans="1:2">
      <c r="A302" s="153" t="s">
        <v>1151</v>
      </c>
      <c r="B302" s="153" t="s">
        <v>1152</v>
      </c>
    </row>
    <row r="303" spans="1:2">
      <c r="A303" s="153" t="s">
        <v>1153</v>
      </c>
      <c r="B303" s="153" t="s">
        <v>1154</v>
      </c>
    </row>
    <row r="304" spans="1:2">
      <c r="A304" s="153" t="s">
        <v>1155</v>
      </c>
      <c r="B304" s="153" t="s">
        <v>1156</v>
      </c>
    </row>
    <row r="305" spans="1:2">
      <c r="A305" s="153" t="s">
        <v>1157</v>
      </c>
      <c r="B305" s="153" t="s">
        <v>1158</v>
      </c>
    </row>
    <row r="306" spans="1:2">
      <c r="A306" s="153" t="s">
        <v>1159</v>
      </c>
      <c r="B306" s="153" t="s">
        <v>1160</v>
      </c>
    </row>
    <row r="307" spans="1:2">
      <c r="A307" s="153" t="s">
        <v>1161</v>
      </c>
      <c r="B307" s="153" t="s">
        <v>480</v>
      </c>
    </row>
    <row r="308" spans="1:2">
      <c r="A308" s="153" t="s">
        <v>1162</v>
      </c>
      <c r="B308" s="153" t="s">
        <v>1163</v>
      </c>
    </row>
    <row r="309" spans="1:2">
      <c r="A309" s="153" t="s">
        <v>1164</v>
      </c>
      <c r="B309" s="153" t="s">
        <v>1165</v>
      </c>
    </row>
    <row r="310" spans="1:2">
      <c r="A310" s="153" t="s">
        <v>1166</v>
      </c>
      <c r="B310" s="153" t="s">
        <v>1167</v>
      </c>
    </row>
    <row r="311" spans="1:2">
      <c r="A311" s="153" t="s">
        <v>1168</v>
      </c>
      <c r="B311" s="153" t="s">
        <v>1169</v>
      </c>
    </row>
    <row r="312" spans="1:2">
      <c r="A312" s="153" t="s">
        <v>1170</v>
      </c>
      <c r="B312" s="153" t="s">
        <v>1171</v>
      </c>
    </row>
    <row r="313" spans="1:2">
      <c r="A313" s="153" t="s">
        <v>1172</v>
      </c>
      <c r="B313" s="153" t="s">
        <v>1173</v>
      </c>
    </row>
    <row r="314" spans="1:2">
      <c r="A314" s="153" t="s">
        <v>1174</v>
      </c>
      <c r="B314" s="153" t="s">
        <v>1175</v>
      </c>
    </row>
    <row r="315" spans="1:2">
      <c r="A315" s="153" t="s">
        <v>1176</v>
      </c>
      <c r="B315" s="153" t="s">
        <v>1177</v>
      </c>
    </row>
    <row r="316" spans="1:2">
      <c r="A316" s="153" t="s">
        <v>1178</v>
      </c>
      <c r="B316" s="153" t="s">
        <v>1179</v>
      </c>
    </row>
    <row r="317" spans="1:2">
      <c r="A317" s="153" t="s">
        <v>1180</v>
      </c>
      <c r="B317" s="153" t="s">
        <v>1181</v>
      </c>
    </row>
    <row r="318" spans="1:2">
      <c r="A318" s="153" t="s">
        <v>1182</v>
      </c>
      <c r="B318" s="153" t="s">
        <v>1183</v>
      </c>
    </row>
    <row r="319" spans="1:2">
      <c r="A319" s="153" t="s">
        <v>1184</v>
      </c>
      <c r="B319" s="153" t="s">
        <v>1185</v>
      </c>
    </row>
    <row r="320" spans="1:2">
      <c r="A320" s="153" t="s">
        <v>1186</v>
      </c>
      <c r="B320" s="153" t="s">
        <v>1187</v>
      </c>
    </row>
    <row r="321" spans="1:2">
      <c r="A321" s="153" t="s">
        <v>1188</v>
      </c>
      <c r="B321" s="153" t="s">
        <v>1189</v>
      </c>
    </row>
    <row r="322" spans="1:2">
      <c r="A322" s="153" t="s">
        <v>1190</v>
      </c>
      <c r="B322" s="153" t="s">
        <v>1191</v>
      </c>
    </row>
    <row r="323" spans="1:2">
      <c r="A323" s="153" t="s">
        <v>1192</v>
      </c>
      <c r="B323" s="153" t="s">
        <v>1193</v>
      </c>
    </row>
    <row r="324" spans="1:2">
      <c r="A324" s="153" t="s">
        <v>1194</v>
      </c>
      <c r="B324" s="153" t="s">
        <v>1195</v>
      </c>
    </row>
    <row r="325" spans="1:2">
      <c r="A325" s="153" t="s">
        <v>1196</v>
      </c>
      <c r="B325" s="153" t="s">
        <v>1197</v>
      </c>
    </row>
    <row r="326" spans="1:2">
      <c r="A326" s="153" t="s">
        <v>1198</v>
      </c>
      <c r="B326" s="153" t="s">
        <v>1199</v>
      </c>
    </row>
    <row r="327" spans="1:2">
      <c r="A327" s="153" t="s">
        <v>1200</v>
      </c>
      <c r="B327" s="153" t="s">
        <v>1201</v>
      </c>
    </row>
    <row r="328" spans="1:2">
      <c r="A328" s="153" t="s">
        <v>1202</v>
      </c>
      <c r="B328" s="153" t="s">
        <v>1203</v>
      </c>
    </row>
    <row r="329" spans="1:2">
      <c r="A329" s="153" t="s">
        <v>1204</v>
      </c>
      <c r="B329" s="153" t="s">
        <v>1205</v>
      </c>
    </row>
    <row r="330" spans="1:2">
      <c r="A330" s="153" t="s">
        <v>1206</v>
      </c>
      <c r="B330" s="153" t="s">
        <v>1207</v>
      </c>
    </row>
    <row r="331" spans="1:2">
      <c r="A331" s="153" t="s">
        <v>1208</v>
      </c>
      <c r="B331" s="153" t="s">
        <v>1209</v>
      </c>
    </row>
    <row r="332" spans="1:2">
      <c r="A332" s="153" t="s">
        <v>1210</v>
      </c>
      <c r="B332" s="153" t="s">
        <v>1211</v>
      </c>
    </row>
    <row r="333" spans="1:2">
      <c r="A333" s="153" t="s">
        <v>1212</v>
      </c>
      <c r="B333" s="153" t="s">
        <v>1213</v>
      </c>
    </row>
    <row r="334" spans="1:2">
      <c r="A334" s="153" t="s">
        <v>1214</v>
      </c>
      <c r="B334" s="153" t="s">
        <v>1215</v>
      </c>
    </row>
    <row r="335" spans="1:2">
      <c r="A335" s="153" t="s">
        <v>1216</v>
      </c>
      <c r="B335" s="153" t="s">
        <v>1217</v>
      </c>
    </row>
    <row r="336" spans="1:2">
      <c r="A336" s="153" t="s">
        <v>1218</v>
      </c>
      <c r="B336" s="153" t="s">
        <v>1219</v>
      </c>
    </row>
    <row r="337" spans="1:2">
      <c r="A337" s="153" t="s">
        <v>1220</v>
      </c>
      <c r="B337" s="153" t="s">
        <v>1221</v>
      </c>
    </row>
    <row r="338" spans="1:2">
      <c r="A338" s="153" t="s">
        <v>1222</v>
      </c>
      <c r="B338" s="153" t="s">
        <v>1223</v>
      </c>
    </row>
    <row r="339" spans="1:2">
      <c r="A339" s="153" t="s">
        <v>1224</v>
      </c>
      <c r="B339" s="153" t="s">
        <v>1225</v>
      </c>
    </row>
    <row r="340" spans="1:2">
      <c r="A340" s="153" t="s">
        <v>1226</v>
      </c>
      <c r="B340" s="153" t="s">
        <v>1227</v>
      </c>
    </row>
    <row r="341" spans="1:2">
      <c r="A341" s="153" t="s">
        <v>1228</v>
      </c>
      <c r="B341" s="153" t="s">
        <v>1229</v>
      </c>
    </row>
    <row r="342" spans="1:2">
      <c r="A342" s="153" t="s">
        <v>1230</v>
      </c>
      <c r="B342" s="153" t="s">
        <v>1231</v>
      </c>
    </row>
    <row r="343" spans="1:2">
      <c r="A343" s="153" t="s">
        <v>1232</v>
      </c>
      <c r="B343" s="153" t="s">
        <v>1233</v>
      </c>
    </row>
    <row r="344" spans="1:2">
      <c r="A344" s="153" t="s">
        <v>1234</v>
      </c>
      <c r="B344" s="153" t="s">
        <v>1235</v>
      </c>
    </row>
    <row r="345" spans="1:2">
      <c r="A345" s="153" t="s">
        <v>1236</v>
      </c>
      <c r="B345" s="153" t="s">
        <v>1237</v>
      </c>
    </row>
    <row r="346" spans="1:2">
      <c r="A346" s="153" t="s">
        <v>1238</v>
      </c>
      <c r="B346" s="153" t="s">
        <v>1239</v>
      </c>
    </row>
    <row r="347" spans="1:2">
      <c r="A347" s="153" t="s">
        <v>1240</v>
      </c>
      <c r="B347" s="153" t="s">
        <v>1241</v>
      </c>
    </row>
    <row r="348" spans="1:2">
      <c r="A348" s="153" t="s">
        <v>1242</v>
      </c>
      <c r="B348" s="153" t="s">
        <v>1243</v>
      </c>
    </row>
    <row r="349" spans="1:2">
      <c r="A349" s="153" t="s">
        <v>1244</v>
      </c>
      <c r="B349" s="153" t="s">
        <v>1245</v>
      </c>
    </row>
    <row r="350" spans="1:2">
      <c r="A350" s="153" t="s">
        <v>1246</v>
      </c>
      <c r="B350" s="153" t="s">
        <v>1247</v>
      </c>
    </row>
    <row r="351" spans="1:2">
      <c r="A351" s="153" t="s">
        <v>1248</v>
      </c>
      <c r="B351" s="153" t="s">
        <v>1249</v>
      </c>
    </row>
    <row r="352" spans="1:2">
      <c r="A352" s="153" t="s">
        <v>1250</v>
      </c>
      <c r="B352" s="153" t="s">
        <v>1251</v>
      </c>
    </row>
    <row r="353" spans="1:2">
      <c r="A353" s="153" t="s">
        <v>1252</v>
      </c>
      <c r="B353" s="153" t="s">
        <v>1253</v>
      </c>
    </row>
    <row r="354" spans="1:2">
      <c r="A354" s="153" t="s">
        <v>1254</v>
      </c>
      <c r="B354" s="153" t="s">
        <v>1255</v>
      </c>
    </row>
    <row r="355" spans="1:2">
      <c r="A355" s="153" t="s">
        <v>1256</v>
      </c>
      <c r="B355" s="153" t="s">
        <v>1257</v>
      </c>
    </row>
    <row r="356" spans="1:2">
      <c r="A356" s="153" t="s">
        <v>1258</v>
      </c>
      <c r="B356" s="153" t="s">
        <v>1259</v>
      </c>
    </row>
    <row r="357" spans="1:2">
      <c r="A357" s="153" t="s">
        <v>1260</v>
      </c>
      <c r="B357" s="153" t="s">
        <v>1261</v>
      </c>
    </row>
    <row r="358" spans="1:2">
      <c r="A358" s="153" t="s">
        <v>1262</v>
      </c>
      <c r="B358" s="153" t="s">
        <v>1263</v>
      </c>
    </row>
    <row r="359" spans="1:2">
      <c r="A359" s="153" t="s">
        <v>1264</v>
      </c>
      <c r="B359" s="153" t="s">
        <v>1265</v>
      </c>
    </row>
    <row r="360" spans="1:2">
      <c r="A360" s="153" t="s">
        <v>1266</v>
      </c>
      <c r="B360" s="153" t="s">
        <v>1267</v>
      </c>
    </row>
    <row r="361" spans="1:2">
      <c r="A361" s="153" t="s">
        <v>1268</v>
      </c>
      <c r="B361" s="153" t="s">
        <v>1269</v>
      </c>
    </row>
    <row r="362" spans="1:2">
      <c r="A362" s="153" t="s">
        <v>1270</v>
      </c>
      <c r="B362" s="153" t="s">
        <v>1271</v>
      </c>
    </row>
    <row r="363" spans="1:2">
      <c r="A363" s="153" t="s">
        <v>1272</v>
      </c>
      <c r="B363" s="153" t="s">
        <v>1273</v>
      </c>
    </row>
    <row r="364" spans="1:2">
      <c r="A364" s="153" t="s">
        <v>1274</v>
      </c>
      <c r="B364" s="153" t="s">
        <v>1275</v>
      </c>
    </row>
    <row r="365" spans="1:2">
      <c r="A365" s="153" t="s">
        <v>1276</v>
      </c>
      <c r="B365" s="153" t="s">
        <v>1277</v>
      </c>
    </row>
    <row r="366" spans="1:2">
      <c r="A366" s="153" t="s">
        <v>1278</v>
      </c>
      <c r="B366" s="153" t="s">
        <v>1279</v>
      </c>
    </row>
    <row r="367" spans="1:2">
      <c r="A367" s="153" t="s">
        <v>1280</v>
      </c>
      <c r="B367" s="153" t="s">
        <v>1281</v>
      </c>
    </row>
    <row r="368" spans="1:2">
      <c r="A368" s="153" t="s">
        <v>1282</v>
      </c>
      <c r="B368" s="153" t="s">
        <v>1283</v>
      </c>
    </row>
    <row r="369" spans="1:2">
      <c r="A369" s="153" t="s">
        <v>1284</v>
      </c>
      <c r="B369" s="153" t="s">
        <v>1285</v>
      </c>
    </row>
    <row r="370" spans="1:2">
      <c r="A370" s="153" t="s">
        <v>1286</v>
      </c>
      <c r="B370" s="153" t="s">
        <v>1287</v>
      </c>
    </row>
    <row r="371" spans="1:2">
      <c r="A371" s="153" t="s">
        <v>1288</v>
      </c>
      <c r="B371" s="153" t="s">
        <v>1289</v>
      </c>
    </row>
    <row r="372" spans="1:2">
      <c r="A372" s="153" t="s">
        <v>1290</v>
      </c>
      <c r="B372" s="153" t="s">
        <v>1291</v>
      </c>
    </row>
    <row r="373" spans="1:2">
      <c r="A373" s="153" t="s">
        <v>1292</v>
      </c>
      <c r="B373" s="153" t="s">
        <v>1293</v>
      </c>
    </row>
    <row r="374" spans="1:2">
      <c r="A374" s="153" t="s">
        <v>1294</v>
      </c>
      <c r="B374" s="153" t="s">
        <v>1295</v>
      </c>
    </row>
    <row r="375" spans="1:2">
      <c r="A375" s="153" t="s">
        <v>1296</v>
      </c>
      <c r="B375" s="153" t="s">
        <v>1297</v>
      </c>
    </row>
    <row r="376" spans="1:2">
      <c r="A376" s="153" t="s">
        <v>1298</v>
      </c>
      <c r="B376" s="153" t="s">
        <v>1299</v>
      </c>
    </row>
    <row r="377" spans="1:2">
      <c r="A377" s="153" t="s">
        <v>1300</v>
      </c>
      <c r="B377" s="153" t="s">
        <v>1301</v>
      </c>
    </row>
    <row r="378" spans="1:2">
      <c r="A378" s="153" t="s">
        <v>1302</v>
      </c>
      <c r="B378" s="153" t="s">
        <v>1303</v>
      </c>
    </row>
    <row r="379" spans="1:2">
      <c r="A379" s="153" t="s">
        <v>1304</v>
      </c>
      <c r="B379" s="153" t="s">
        <v>1305</v>
      </c>
    </row>
    <row r="380" spans="1:2">
      <c r="A380" s="153" t="s">
        <v>1306</v>
      </c>
      <c r="B380" s="153" t="s">
        <v>1307</v>
      </c>
    </row>
    <row r="381" spans="1:2">
      <c r="A381" s="153" t="s">
        <v>1308</v>
      </c>
      <c r="B381" s="153" t="s">
        <v>1309</v>
      </c>
    </row>
    <row r="382" spans="1:2">
      <c r="A382" s="153" t="s">
        <v>1310</v>
      </c>
      <c r="B382" s="153" t="s">
        <v>1311</v>
      </c>
    </row>
    <row r="383" spans="1:2">
      <c r="A383" s="153" t="s">
        <v>1312</v>
      </c>
      <c r="B383" s="153" t="s">
        <v>1313</v>
      </c>
    </row>
    <row r="384" spans="1:2">
      <c r="A384" s="153" t="s">
        <v>1314</v>
      </c>
      <c r="B384" s="153" t="s">
        <v>1315</v>
      </c>
    </row>
    <row r="385" spans="1:2">
      <c r="A385" s="153" t="s">
        <v>1316</v>
      </c>
      <c r="B385" s="153" t="s">
        <v>1317</v>
      </c>
    </row>
    <row r="386" spans="1:2">
      <c r="A386" s="153" t="s">
        <v>1318</v>
      </c>
      <c r="B386" s="153" t="s">
        <v>1319</v>
      </c>
    </row>
    <row r="387" spans="1:2">
      <c r="A387" s="153" t="s">
        <v>1320</v>
      </c>
      <c r="B387" s="153" t="s">
        <v>1321</v>
      </c>
    </row>
    <row r="388" spans="1:2">
      <c r="A388" s="153" t="s">
        <v>1322</v>
      </c>
      <c r="B388" s="153" t="s">
        <v>1323</v>
      </c>
    </row>
    <row r="389" spans="1:2">
      <c r="A389" s="153" t="s">
        <v>1324</v>
      </c>
      <c r="B389" s="153" t="s">
        <v>1325</v>
      </c>
    </row>
    <row r="390" spans="1:2">
      <c r="A390" s="153" t="s">
        <v>1326</v>
      </c>
      <c r="B390" s="153" t="s">
        <v>1327</v>
      </c>
    </row>
    <row r="391" spans="1:2">
      <c r="A391" s="153" t="s">
        <v>1328</v>
      </c>
      <c r="B391" s="153" t="s">
        <v>1329</v>
      </c>
    </row>
    <row r="392" spans="1:2">
      <c r="A392" s="153" t="s">
        <v>1330</v>
      </c>
      <c r="B392" s="153" t="s">
        <v>1331</v>
      </c>
    </row>
    <row r="393" spans="1:2">
      <c r="A393" s="153" t="s">
        <v>1332</v>
      </c>
      <c r="B393" s="153" t="s">
        <v>1333</v>
      </c>
    </row>
    <row r="394" spans="1:2">
      <c r="A394" s="153" t="s">
        <v>1334</v>
      </c>
      <c r="B394" s="153" t="s">
        <v>1335</v>
      </c>
    </row>
    <row r="395" spans="1:2">
      <c r="A395" s="153" t="s">
        <v>1336</v>
      </c>
      <c r="B395" s="153" t="s">
        <v>1337</v>
      </c>
    </row>
    <row r="396" spans="1:2">
      <c r="A396" s="153" t="s">
        <v>1338</v>
      </c>
      <c r="B396" s="153" t="s">
        <v>1339</v>
      </c>
    </row>
    <row r="397" spans="1:2">
      <c r="A397" s="153" t="s">
        <v>1340</v>
      </c>
      <c r="B397" s="153" t="s">
        <v>1341</v>
      </c>
    </row>
    <row r="398" spans="1:2">
      <c r="A398" s="153" t="s">
        <v>1342</v>
      </c>
      <c r="B398" s="153" t="s">
        <v>1343</v>
      </c>
    </row>
    <row r="399" spans="1:2">
      <c r="A399" s="153" t="s">
        <v>1344</v>
      </c>
      <c r="B399" s="153" t="s">
        <v>1345</v>
      </c>
    </row>
    <row r="400" spans="1:2">
      <c r="A400" s="153" t="s">
        <v>1346</v>
      </c>
      <c r="B400" s="153" t="s">
        <v>1347</v>
      </c>
    </row>
    <row r="401" spans="1:2">
      <c r="A401" s="153" t="s">
        <v>1348</v>
      </c>
      <c r="B401" s="153" t="s">
        <v>1349</v>
      </c>
    </row>
    <row r="402" spans="1:2">
      <c r="A402" s="153" t="s">
        <v>1350</v>
      </c>
      <c r="B402" s="153" t="s">
        <v>1351</v>
      </c>
    </row>
    <row r="403" spans="1:2">
      <c r="A403" s="153" t="s">
        <v>1352</v>
      </c>
      <c r="B403" s="153" t="s">
        <v>1353</v>
      </c>
    </row>
    <row r="404" spans="1:2">
      <c r="A404" s="153" t="s">
        <v>1354</v>
      </c>
      <c r="B404" s="153" t="s">
        <v>1355</v>
      </c>
    </row>
    <row r="405" spans="1:2">
      <c r="A405" s="153" t="s">
        <v>1356</v>
      </c>
      <c r="B405" s="153" t="s">
        <v>1357</v>
      </c>
    </row>
    <row r="406" spans="1:2">
      <c r="A406" s="153" t="s">
        <v>1358</v>
      </c>
      <c r="B406" s="153" t="s">
        <v>1359</v>
      </c>
    </row>
    <row r="407" spans="1:2">
      <c r="A407" s="153" t="s">
        <v>1360</v>
      </c>
      <c r="B407" s="153" t="s">
        <v>1361</v>
      </c>
    </row>
    <row r="408" spans="1:2">
      <c r="A408" s="153" t="s">
        <v>1362</v>
      </c>
      <c r="B408" s="153" t="s">
        <v>1363</v>
      </c>
    </row>
    <row r="409" spans="1:2">
      <c r="A409" s="153" t="s">
        <v>1364</v>
      </c>
      <c r="B409" s="153" t="s">
        <v>1365</v>
      </c>
    </row>
    <row r="410" spans="1:2">
      <c r="A410" s="153" t="s">
        <v>1366</v>
      </c>
      <c r="B410" s="153" t="s">
        <v>1367</v>
      </c>
    </row>
    <row r="411" spans="1:2">
      <c r="A411" s="153" t="s">
        <v>1368</v>
      </c>
      <c r="B411" s="153" t="s">
        <v>1369</v>
      </c>
    </row>
    <row r="412" spans="1:2">
      <c r="A412" s="153" t="s">
        <v>1370</v>
      </c>
      <c r="B412" s="153" t="s">
        <v>1371</v>
      </c>
    </row>
    <row r="413" spans="1:2">
      <c r="A413" s="153" t="s">
        <v>1372</v>
      </c>
      <c r="B413" s="153" t="s">
        <v>1373</v>
      </c>
    </row>
    <row r="414" spans="1:2">
      <c r="A414" s="153" t="s">
        <v>1374</v>
      </c>
      <c r="B414" s="153" t="s">
        <v>1375</v>
      </c>
    </row>
    <row r="415" spans="1:2">
      <c r="A415" s="153" t="s">
        <v>1376</v>
      </c>
      <c r="B415" s="153" t="s">
        <v>1377</v>
      </c>
    </row>
    <row r="416" spans="1:2">
      <c r="A416" s="153" t="s">
        <v>1378</v>
      </c>
      <c r="B416" s="153" t="s">
        <v>1379</v>
      </c>
    </row>
    <row r="417" spans="1:2">
      <c r="A417" s="153" t="s">
        <v>1380</v>
      </c>
      <c r="B417" s="153" t="s">
        <v>1381</v>
      </c>
    </row>
    <row r="418" spans="1:2">
      <c r="A418" s="153" t="s">
        <v>1382</v>
      </c>
      <c r="B418" s="153" t="s">
        <v>1383</v>
      </c>
    </row>
    <row r="419" spans="1:2">
      <c r="A419" s="153" t="s">
        <v>1384</v>
      </c>
      <c r="B419" s="153" t="s">
        <v>1385</v>
      </c>
    </row>
    <row r="420" spans="1:2">
      <c r="A420" s="153" t="s">
        <v>1386</v>
      </c>
      <c r="B420" s="153" t="s">
        <v>1387</v>
      </c>
    </row>
    <row r="421" spans="1:2">
      <c r="A421" s="153" t="s">
        <v>1388</v>
      </c>
      <c r="B421" s="153" t="s">
        <v>1389</v>
      </c>
    </row>
    <row r="422" spans="1:2">
      <c r="A422" s="153" t="s">
        <v>1390</v>
      </c>
      <c r="B422" s="153" t="s">
        <v>1391</v>
      </c>
    </row>
    <row r="423" spans="1:2">
      <c r="A423" s="153" t="s">
        <v>1392</v>
      </c>
      <c r="B423" s="153" t="s">
        <v>1393</v>
      </c>
    </row>
    <row r="424" spans="1:2">
      <c r="A424" s="153" t="s">
        <v>1394</v>
      </c>
      <c r="B424" s="153" t="s">
        <v>1395</v>
      </c>
    </row>
    <row r="425" spans="1:2">
      <c r="A425" s="153" t="s">
        <v>1396</v>
      </c>
      <c r="B425" s="153" t="s">
        <v>1397</v>
      </c>
    </row>
    <row r="426" spans="1:2">
      <c r="A426" s="153" t="s">
        <v>1398</v>
      </c>
      <c r="B426" s="153" t="s">
        <v>1399</v>
      </c>
    </row>
    <row r="427" spans="1:2">
      <c r="A427" s="153" t="s">
        <v>1400</v>
      </c>
      <c r="B427" s="153" t="s">
        <v>1401</v>
      </c>
    </row>
    <row r="428" spans="1:2">
      <c r="A428" s="153" t="s">
        <v>1402</v>
      </c>
      <c r="B428" s="153" t="s">
        <v>1403</v>
      </c>
    </row>
    <row r="429" spans="1:2">
      <c r="A429" s="153" t="s">
        <v>1404</v>
      </c>
      <c r="B429" s="153" t="s">
        <v>1405</v>
      </c>
    </row>
    <row r="430" spans="1:2">
      <c r="A430" s="153" t="s">
        <v>1406</v>
      </c>
      <c r="B430" s="153" t="s">
        <v>1407</v>
      </c>
    </row>
    <row r="431" spans="1:2">
      <c r="A431" s="153" t="s">
        <v>1408</v>
      </c>
      <c r="B431" s="153" t="s">
        <v>1409</v>
      </c>
    </row>
    <row r="432" spans="1:2">
      <c r="A432" s="153" t="s">
        <v>1410</v>
      </c>
      <c r="B432" s="153" t="s">
        <v>1411</v>
      </c>
    </row>
    <row r="433" spans="1:2">
      <c r="A433" s="153" t="s">
        <v>1412</v>
      </c>
      <c r="B433" s="153" t="s">
        <v>1413</v>
      </c>
    </row>
    <row r="434" spans="1:2">
      <c r="A434" s="153" t="s">
        <v>1414</v>
      </c>
      <c r="B434" s="153" t="s">
        <v>1415</v>
      </c>
    </row>
    <row r="435" spans="1:2">
      <c r="A435" s="153" t="s">
        <v>1416</v>
      </c>
      <c r="B435" s="153" t="s">
        <v>1417</v>
      </c>
    </row>
    <row r="436" spans="1:2">
      <c r="A436" s="153" t="s">
        <v>1418</v>
      </c>
      <c r="B436" s="153" t="s">
        <v>1419</v>
      </c>
    </row>
    <row r="437" spans="1:2">
      <c r="A437" s="153" t="s">
        <v>1420</v>
      </c>
      <c r="B437" s="153" t="s">
        <v>1421</v>
      </c>
    </row>
    <row r="438" spans="1:2">
      <c r="A438" s="153" t="s">
        <v>1422</v>
      </c>
      <c r="B438" s="153" t="s">
        <v>1423</v>
      </c>
    </row>
    <row r="439" spans="1:2">
      <c r="A439" s="153" t="s">
        <v>1424</v>
      </c>
      <c r="B439" s="153" t="s">
        <v>1425</v>
      </c>
    </row>
    <row r="440" spans="1:2">
      <c r="A440" s="153" t="s">
        <v>1426</v>
      </c>
      <c r="B440" s="153" t="s">
        <v>1427</v>
      </c>
    </row>
    <row r="441" spans="1:2">
      <c r="A441" s="153" t="s">
        <v>1428</v>
      </c>
      <c r="B441" s="153" t="s">
        <v>1429</v>
      </c>
    </row>
    <row r="442" spans="1:2">
      <c r="A442" s="153" t="s">
        <v>1430</v>
      </c>
      <c r="B442" s="153" t="s">
        <v>1431</v>
      </c>
    </row>
    <row r="443" spans="1:2">
      <c r="A443" s="153" t="s">
        <v>1432</v>
      </c>
      <c r="B443" s="153" t="s">
        <v>1433</v>
      </c>
    </row>
    <row r="444" spans="1:2">
      <c r="A444" s="153" t="s">
        <v>1434</v>
      </c>
      <c r="B444" s="153" t="s">
        <v>1435</v>
      </c>
    </row>
    <row r="445" spans="1:2">
      <c r="A445" s="153" t="s">
        <v>1436</v>
      </c>
      <c r="B445" s="153" t="s">
        <v>1437</v>
      </c>
    </row>
    <row r="446" spans="1:2">
      <c r="A446" s="153" t="s">
        <v>1438</v>
      </c>
      <c r="B446" s="153" t="s">
        <v>1439</v>
      </c>
    </row>
    <row r="447" spans="1:2">
      <c r="A447" s="153" t="s">
        <v>1440</v>
      </c>
      <c r="B447" s="153" t="s">
        <v>1441</v>
      </c>
    </row>
    <row r="448" spans="1:2">
      <c r="A448" s="153" t="s">
        <v>1442</v>
      </c>
      <c r="B448" s="153" t="s">
        <v>1443</v>
      </c>
    </row>
    <row r="449" spans="1:2">
      <c r="A449" s="153" t="s">
        <v>1444</v>
      </c>
      <c r="B449" s="153" t="s">
        <v>1445</v>
      </c>
    </row>
    <row r="450" spans="1:2">
      <c r="A450" s="153" t="s">
        <v>1446</v>
      </c>
      <c r="B450" s="153" t="s">
        <v>1447</v>
      </c>
    </row>
    <row r="451" spans="1:2">
      <c r="A451" s="153" t="s">
        <v>1448</v>
      </c>
      <c r="B451" s="153" t="s">
        <v>1449</v>
      </c>
    </row>
    <row r="452" spans="1:2">
      <c r="A452" s="153" t="s">
        <v>1450</v>
      </c>
      <c r="B452" s="153" t="s">
        <v>1451</v>
      </c>
    </row>
    <row r="453" spans="1:2">
      <c r="A453" s="153" t="s">
        <v>1452</v>
      </c>
      <c r="B453" s="153" t="s">
        <v>1453</v>
      </c>
    </row>
    <row r="454" spans="1:2">
      <c r="A454" s="153" t="s">
        <v>1454</v>
      </c>
      <c r="B454" s="153" t="s">
        <v>1455</v>
      </c>
    </row>
    <row r="455" spans="1:2">
      <c r="A455" s="153" t="s">
        <v>1456</v>
      </c>
      <c r="B455" s="153" t="s">
        <v>1457</v>
      </c>
    </row>
    <row r="456" spans="1:2">
      <c r="A456" s="153" t="s">
        <v>1458</v>
      </c>
      <c r="B456" s="153" t="s">
        <v>1459</v>
      </c>
    </row>
    <row r="457" spans="1:2">
      <c r="A457" s="153" t="s">
        <v>1460</v>
      </c>
      <c r="B457" s="153" t="s">
        <v>1461</v>
      </c>
    </row>
    <row r="458" spans="1:2">
      <c r="A458" s="153" t="s">
        <v>1462</v>
      </c>
      <c r="B458" s="153" t="s">
        <v>1463</v>
      </c>
    </row>
    <row r="459" spans="1:2">
      <c r="A459" s="153" t="s">
        <v>1464</v>
      </c>
      <c r="B459" s="153" t="s">
        <v>1465</v>
      </c>
    </row>
    <row r="460" spans="1:2">
      <c r="A460" s="153" t="s">
        <v>1466</v>
      </c>
      <c r="B460" s="153" t="s">
        <v>1467</v>
      </c>
    </row>
    <row r="461" spans="1:2">
      <c r="A461" s="153" t="s">
        <v>1468</v>
      </c>
      <c r="B461" s="153" t="s">
        <v>1469</v>
      </c>
    </row>
    <row r="462" spans="1:2">
      <c r="A462" s="153" t="s">
        <v>1470</v>
      </c>
      <c r="B462" s="153" t="s">
        <v>1471</v>
      </c>
    </row>
    <row r="463" spans="1:2">
      <c r="A463" s="153" t="s">
        <v>1472</v>
      </c>
      <c r="B463" s="153" t="s">
        <v>1473</v>
      </c>
    </row>
    <row r="464" spans="1:2">
      <c r="A464" s="153" t="s">
        <v>1474</v>
      </c>
      <c r="B464" s="153" t="s">
        <v>1475</v>
      </c>
    </row>
    <row r="465" spans="1:2">
      <c r="A465" s="153" t="s">
        <v>1476</v>
      </c>
      <c r="B465" s="153" t="s">
        <v>1477</v>
      </c>
    </row>
    <row r="466" spans="1:2">
      <c r="A466" s="153" t="s">
        <v>1478</v>
      </c>
      <c r="B466" s="153" t="s">
        <v>1479</v>
      </c>
    </row>
    <row r="467" spans="1:2">
      <c r="A467" s="153" t="s">
        <v>1480</v>
      </c>
      <c r="B467" s="153" t="s">
        <v>1481</v>
      </c>
    </row>
    <row r="468" spans="1:2">
      <c r="A468" s="153" t="s">
        <v>1482</v>
      </c>
      <c r="B468" s="153" t="s">
        <v>1483</v>
      </c>
    </row>
    <row r="469" spans="1:2">
      <c r="A469" s="153" t="s">
        <v>1484</v>
      </c>
      <c r="B469" s="153" t="s">
        <v>1485</v>
      </c>
    </row>
    <row r="470" spans="1:2">
      <c r="A470" s="153" t="s">
        <v>1486</v>
      </c>
      <c r="B470" s="153" t="s">
        <v>1487</v>
      </c>
    </row>
    <row r="471" spans="1:2">
      <c r="A471" s="153" t="s">
        <v>1488</v>
      </c>
      <c r="B471" s="153" t="s">
        <v>1489</v>
      </c>
    </row>
    <row r="472" spans="1:2">
      <c r="A472" s="153" t="s">
        <v>1490</v>
      </c>
      <c r="B472" s="153" t="s">
        <v>1491</v>
      </c>
    </row>
    <row r="473" spans="1:2">
      <c r="A473" s="153" t="s">
        <v>1492</v>
      </c>
      <c r="B473" s="153" t="s">
        <v>1493</v>
      </c>
    </row>
    <row r="474" spans="1:2">
      <c r="A474" s="153" t="s">
        <v>1494</v>
      </c>
      <c r="B474" s="153" t="s">
        <v>1495</v>
      </c>
    </row>
    <row r="475" spans="1:2">
      <c r="A475" s="153" t="s">
        <v>1496</v>
      </c>
      <c r="B475" s="153" t="s">
        <v>1497</v>
      </c>
    </row>
    <row r="476" spans="1:2">
      <c r="A476" s="153" t="s">
        <v>1498</v>
      </c>
      <c r="B476" s="153" t="s">
        <v>1499</v>
      </c>
    </row>
    <row r="477" spans="1:2">
      <c r="A477" s="153" t="s">
        <v>1500</v>
      </c>
      <c r="B477" s="153" t="s">
        <v>1501</v>
      </c>
    </row>
    <row r="478" spans="1:2">
      <c r="A478" s="153" t="s">
        <v>1502</v>
      </c>
      <c r="B478" s="153" t="s">
        <v>1503</v>
      </c>
    </row>
    <row r="479" spans="1:2">
      <c r="A479" s="153" t="s">
        <v>1504</v>
      </c>
      <c r="B479" s="153" t="s">
        <v>1505</v>
      </c>
    </row>
    <row r="480" spans="1:2">
      <c r="A480" s="153" t="s">
        <v>1506</v>
      </c>
      <c r="B480" s="153" t="s">
        <v>1507</v>
      </c>
    </row>
    <row r="481" spans="1:2">
      <c r="A481" s="153" t="s">
        <v>1508</v>
      </c>
      <c r="B481" s="153" t="s">
        <v>1509</v>
      </c>
    </row>
    <row r="482" spans="1:2">
      <c r="A482" s="153" t="s">
        <v>1510</v>
      </c>
      <c r="B482" s="153" t="s">
        <v>1511</v>
      </c>
    </row>
    <row r="483" spans="1:2">
      <c r="A483" s="153" t="s">
        <v>1512</v>
      </c>
      <c r="B483" s="153" t="s">
        <v>1513</v>
      </c>
    </row>
    <row r="484" spans="1:2">
      <c r="A484" s="153" t="s">
        <v>1514</v>
      </c>
      <c r="B484" s="153" t="s">
        <v>1515</v>
      </c>
    </row>
    <row r="485" spans="1:2">
      <c r="A485" s="153" t="s">
        <v>1516</v>
      </c>
      <c r="B485" s="153" t="s">
        <v>1517</v>
      </c>
    </row>
    <row r="486" spans="1:2">
      <c r="A486" s="153" t="s">
        <v>1518</v>
      </c>
      <c r="B486" s="153" t="s">
        <v>1519</v>
      </c>
    </row>
    <row r="487" spans="1:2">
      <c r="A487" s="153" t="s">
        <v>1520</v>
      </c>
      <c r="B487" s="153" t="s">
        <v>1521</v>
      </c>
    </row>
    <row r="488" spans="1:2">
      <c r="A488" s="153" t="s">
        <v>1522</v>
      </c>
      <c r="B488" s="153" t="s">
        <v>1523</v>
      </c>
    </row>
    <row r="489" spans="1:2">
      <c r="A489" s="153" t="s">
        <v>1524</v>
      </c>
      <c r="B489" s="153" t="s">
        <v>1525</v>
      </c>
    </row>
    <row r="490" spans="1:2">
      <c r="A490" s="153" t="s">
        <v>1526</v>
      </c>
      <c r="B490" s="153" t="s">
        <v>1527</v>
      </c>
    </row>
    <row r="491" spans="1:2">
      <c r="A491" s="153" t="s">
        <v>1528</v>
      </c>
      <c r="B491" s="153" t="s">
        <v>1529</v>
      </c>
    </row>
    <row r="492" spans="1:2">
      <c r="A492" s="153" t="s">
        <v>1530</v>
      </c>
      <c r="B492" s="153" t="s">
        <v>1531</v>
      </c>
    </row>
    <row r="493" spans="1:2">
      <c r="A493" s="153" t="s">
        <v>1532</v>
      </c>
      <c r="B493" s="153" t="s">
        <v>1533</v>
      </c>
    </row>
    <row r="494" spans="1:2">
      <c r="A494" s="153" t="s">
        <v>1534</v>
      </c>
      <c r="B494" s="153" t="s">
        <v>1535</v>
      </c>
    </row>
    <row r="495" spans="1:2">
      <c r="A495" s="153" t="s">
        <v>1536</v>
      </c>
      <c r="B495" s="153" t="s">
        <v>1537</v>
      </c>
    </row>
    <row r="496" spans="1:2">
      <c r="A496" s="153" t="s">
        <v>1538</v>
      </c>
      <c r="B496" s="153" t="s">
        <v>1539</v>
      </c>
    </row>
    <row r="497" spans="1:2">
      <c r="A497" s="153" t="s">
        <v>1540</v>
      </c>
      <c r="B497" s="153" t="s">
        <v>1541</v>
      </c>
    </row>
    <row r="498" spans="1:2">
      <c r="A498" s="153" t="s">
        <v>1542</v>
      </c>
      <c r="B498" s="153" t="s">
        <v>1543</v>
      </c>
    </row>
    <row r="499" spans="1:2">
      <c r="A499" s="153" t="s">
        <v>1544</v>
      </c>
      <c r="B499" s="153" t="s">
        <v>1545</v>
      </c>
    </row>
    <row r="500" spans="1:2">
      <c r="A500" s="153" t="s">
        <v>1546</v>
      </c>
      <c r="B500" s="153" t="s">
        <v>1547</v>
      </c>
    </row>
    <row r="501" spans="1:2">
      <c r="A501" s="153" t="s">
        <v>1548</v>
      </c>
      <c r="B501" s="153" t="s">
        <v>296</v>
      </c>
    </row>
    <row r="502" spans="1:2">
      <c r="A502" s="153" t="s">
        <v>1549</v>
      </c>
      <c r="B502" s="153" t="s">
        <v>1550</v>
      </c>
    </row>
    <row r="503" spans="1:2">
      <c r="A503" s="153" t="s">
        <v>1551</v>
      </c>
      <c r="B503" s="153" t="s">
        <v>1552</v>
      </c>
    </row>
    <row r="504" spans="1:2">
      <c r="A504" s="153" t="s">
        <v>1553</v>
      </c>
      <c r="B504" s="153" t="s">
        <v>1554</v>
      </c>
    </row>
    <row r="505" spans="1:2">
      <c r="A505" s="153" t="s">
        <v>1555</v>
      </c>
      <c r="B505" s="153" t="s">
        <v>1556</v>
      </c>
    </row>
    <row r="506" spans="1:2">
      <c r="A506" s="153" t="s">
        <v>1557</v>
      </c>
      <c r="B506" s="153" t="s">
        <v>1558</v>
      </c>
    </row>
    <row r="507" spans="1:2">
      <c r="A507" s="153" t="s">
        <v>1559</v>
      </c>
      <c r="B507" s="153" t="s">
        <v>1560</v>
      </c>
    </row>
    <row r="508" spans="1:2">
      <c r="A508" s="153" t="s">
        <v>1561</v>
      </c>
      <c r="B508" s="153" t="s">
        <v>1562</v>
      </c>
    </row>
    <row r="509" spans="1:2">
      <c r="A509" s="153" t="s">
        <v>1563</v>
      </c>
      <c r="B509" s="153" t="s">
        <v>1564</v>
      </c>
    </row>
    <row r="510" spans="1:2">
      <c r="A510" s="153" t="s">
        <v>1565</v>
      </c>
      <c r="B510" s="153" t="s">
        <v>1566</v>
      </c>
    </row>
    <row r="511" spans="1:2">
      <c r="A511" s="153" t="s">
        <v>1567</v>
      </c>
      <c r="B511" s="153" t="s">
        <v>1568</v>
      </c>
    </row>
    <row r="512" spans="1:2">
      <c r="A512" s="153" t="s">
        <v>1569</v>
      </c>
      <c r="B512" s="153" t="s">
        <v>1570</v>
      </c>
    </row>
    <row r="513" spans="1:2">
      <c r="A513" s="153" t="s">
        <v>1571</v>
      </c>
      <c r="B513" s="153" t="s">
        <v>1572</v>
      </c>
    </row>
    <row r="514" spans="1:2">
      <c r="A514" s="153" t="s">
        <v>1573</v>
      </c>
      <c r="B514" s="153" t="s">
        <v>1574</v>
      </c>
    </row>
    <row r="515" spans="1:2">
      <c r="A515" s="153" t="s">
        <v>1575</v>
      </c>
      <c r="B515" s="153" t="s">
        <v>1576</v>
      </c>
    </row>
    <row r="516" spans="1:2">
      <c r="A516" s="153" t="s">
        <v>1577</v>
      </c>
      <c r="B516" s="153" t="s">
        <v>1578</v>
      </c>
    </row>
    <row r="517" spans="1:2">
      <c r="A517" s="153" t="s">
        <v>1579</v>
      </c>
      <c r="B517" s="153" t="s">
        <v>1580</v>
      </c>
    </row>
    <row r="518" spans="1:2">
      <c r="A518" s="153" t="s">
        <v>1581</v>
      </c>
      <c r="B518" s="153" t="s">
        <v>1582</v>
      </c>
    </row>
    <row r="519" spans="1:2">
      <c r="A519" s="153" t="s">
        <v>1583</v>
      </c>
      <c r="B519" s="153" t="s">
        <v>1584</v>
      </c>
    </row>
    <row r="520" spans="1:2">
      <c r="A520" s="153" t="s">
        <v>1585</v>
      </c>
      <c r="B520" s="153" t="s">
        <v>1586</v>
      </c>
    </row>
    <row r="521" spans="1:2">
      <c r="A521" s="153" t="s">
        <v>1587</v>
      </c>
      <c r="B521" s="153" t="s">
        <v>1588</v>
      </c>
    </row>
    <row r="522" spans="1:2">
      <c r="A522" s="153" t="s">
        <v>1589</v>
      </c>
      <c r="B522" s="153" t="s">
        <v>1590</v>
      </c>
    </row>
    <row r="523" spans="1:2">
      <c r="A523" s="153" t="s">
        <v>1591</v>
      </c>
      <c r="B523" s="153" t="s">
        <v>1592</v>
      </c>
    </row>
    <row r="524" spans="1:2">
      <c r="A524" s="153" t="s">
        <v>1593</v>
      </c>
      <c r="B524" s="153" t="s">
        <v>1594</v>
      </c>
    </row>
    <row r="525" spans="1:2">
      <c r="A525" s="153" t="s">
        <v>1595</v>
      </c>
      <c r="B525" s="153" t="s">
        <v>1596</v>
      </c>
    </row>
    <row r="526" spans="1:2">
      <c r="A526" s="153" t="s">
        <v>1597</v>
      </c>
      <c r="B526" s="153" t="s">
        <v>1598</v>
      </c>
    </row>
    <row r="527" spans="1:2">
      <c r="A527" s="153" t="s">
        <v>1599</v>
      </c>
      <c r="B527" s="153" t="s">
        <v>1600</v>
      </c>
    </row>
    <row r="528" spans="1:2">
      <c r="A528" s="153" t="s">
        <v>1601</v>
      </c>
      <c r="B528" s="153" t="s">
        <v>1602</v>
      </c>
    </row>
    <row r="529" spans="1:2">
      <c r="A529" s="153" t="s">
        <v>1603</v>
      </c>
      <c r="B529" s="153" t="s">
        <v>1604</v>
      </c>
    </row>
    <row r="530" spans="1:2">
      <c r="A530" s="153" t="s">
        <v>1605</v>
      </c>
      <c r="B530" s="153" t="s">
        <v>1606</v>
      </c>
    </row>
    <row r="531" spans="1:2">
      <c r="A531" s="153" t="s">
        <v>1607</v>
      </c>
      <c r="B531" s="153" t="s">
        <v>1608</v>
      </c>
    </row>
    <row r="532" spans="1:2">
      <c r="A532" s="153" t="s">
        <v>1609</v>
      </c>
      <c r="B532" s="153" t="s">
        <v>1610</v>
      </c>
    </row>
    <row r="533" spans="1:2">
      <c r="A533" s="153" t="s">
        <v>1611</v>
      </c>
      <c r="B533" s="153" t="s">
        <v>1612</v>
      </c>
    </row>
    <row r="534" spans="1:2">
      <c r="A534" s="153" t="s">
        <v>1613</v>
      </c>
      <c r="B534" s="153" t="s">
        <v>1614</v>
      </c>
    </row>
    <row r="535" spans="1:2">
      <c r="A535" s="153" t="s">
        <v>1615</v>
      </c>
      <c r="B535" s="153" t="s">
        <v>1616</v>
      </c>
    </row>
    <row r="536" spans="1:2">
      <c r="A536" s="153" t="s">
        <v>1617</v>
      </c>
      <c r="B536" s="153" t="s">
        <v>1618</v>
      </c>
    </row>
    <row r="537" spans="1:2">
      <c r="A537" s="153" t="s">
        <v>1619</v>
      </c>
      <c r="B537" s="153" t="s">
        <v>1620</v>
      </c>
    </row>
    <row r="538" spans="1:2">
      <c r="A538" s="153" t="s">
        <v>1621</v>
      </c>
      <c r="B538" s="153" t="s">
        <v>1622</v>
      </c>
    </row>
    <row r="539" spans="1:2">
      <c r="A539" s="153" t="s">
        <v>1623</v>
      </c>
      <c r="B539" s="153" t="s">
        <v>1624</v>
      </c>
    </row>
    <row r="540" spans="1:2">
      <c r="A540" s="153" t="s">
        <v>1625</v>
      </c>
      <c r="B540" s="153" t="s">
        <v>1626</v>
      </c>
    </row>
    <row r="541" spans="1:2">
      <c r="A541" s="153" t="s">
        <v>1627</v>
      </c>
      <c r="B541" s="153" t="s">
        <v>1628</v>
      </c>
    </row>
    <row r="542" spans="1:2">
      <c r="A542" s="153" t="s">
        <v>1629</v>
      </c>
      <c r="B542" s="153" t="s">
        <v>1630</v>
      </c>
    </row>
    <row r="543" spans="1:2">
      <c r="A543" s="153" t="s">
        <v>1631</v>
      </c>
      <c r="B543" s="153" t="s">
        <v>1632</v>
      </c>
    </row>
    <row r="544" spans="1:2">
      <c r="A544" s="153" t="s">
        <v>1633</v>
      </c>
      <c r="B544" s="153" t="s">
        <v>1634</v>
      </c>
    </row>
    <row r="545" spans="1:2">
      <c r="A545" s="153" t="s">
        <v>1635</v>
      </c>
      <c r="B545" s="153" t="s">
        <v>1636</v>
      </c>
    </row>
    <row r="546" spans="1:2">
      <c r="A546" s="153" t="s">
        <v>1637</v>
      </c>
      <c r="B546" s="153" t="s">
        <v>1638</v>
      </c>
    </row>
    <row r="547" spans="1:2">
      <c r="A547" s="153" t="s">
        <v>1639</v>
      </c>
      <c r="B547" s="153" t="s">
        <v>1640</v>
      </c>
    </row>
    <row r="548" spans="1:2">
      <c r="A548" s="153" t="s">
        <v>1641</v>
      </c>
      <c r="B548" s="153" t="s">
        <v>1642</v>
      </c>
    </row>
    <row r="549" spans="1:2">
      <c r="A549" s="153" t="s">
        <v>1643</v>
      </c>
      <c r="B549" s="153" t="s">
        <v>1644</v>
      </c>
    </row>
    <row r="550" spans="1:2">
      <c r="A550" s="153" t="s">
        <v>1645</v>
      </c>
      <c r="B550" s="153" t="s">
        <v>1646</v>
      </c>
    </row>
    <row r="551" spans="1:2">
      <c r="A551" s="153" t="s">
        <v>1647</v>
      </c>
      <c r="B551" s="153" t="s">
        <v>1648</v>
      </c>
    </row>
    <row r="552" spans="1:2">
      <c r="A552" s="153" t="s">
        <v>1649</v>
      </c>
      <c r="B552" s="153" t="s">
        <v>1650</v>
      </c>
    </row>
    <row r="553" spans="1:2">
      <c r="A553" s="153" t="s">
        <v>1651</v>
      </c>
      <c r="B553" s="153" t="s">
        <v>1652</v>
      </c>
    </row>
    <row r="554" spans="1:2">
      <c r="A554" s="153" t="s">
        <v>1653</v>
      </c>
      <c r="B554" s="153" t="s">
        <v>1654</v>
      </c>
    </row>
    <row r="555" spans="1:2">
      <c r="A555" s="153" t="s">
        <v>1655</v>
      </c>
      <c r="B555" s="153" t="s">
        <v>1656</v>
      </c>
    </row>
    <row r="556" spans="1:2">
      <c r="A556" s="153" t="s">
        <v>1657</v>
      </c>
      <c r="B556" s="153" t="s">
        <v>1658</v>
      </c>
    </row>
    <row r="557" spans="1:2">
      <c r="A557" s="153" t="s">
        <v>1659</v>
      </c>
      <c r="B557" s="153" t="s">
        <v>1660</v>
      </c>
    </row>
    <row r="558" spans="1:2">
      <c r="A558" s="153" t="s">
        <v>1661</v>
      </c>
      <c r="B558" s="153" t="s">
        <v>1662</v>
      </c>
    </row>
    <row r="559" spans="1:2">
      <c r="A559" s="153" t="s">
        <v>1663</v>
      </c>
      <c r="B559" s="153" t="s">
        <v>1664</v>
      </c>
    </row>
    <row r="560" spans="1:2">
      <c r="A560" s="153" t="s">
        <v>1665</v>
      </c>
      <c r="B560" s="153" t="s">
        <v>1666</v>
      </c>
    </row>
    <row r="561" spans="1:2">
      <c r="A561" s="153" t="s">
        <v>1667</v>
      </c>
      <c r="B561" s="153" t="s">
        <v>1668</v>
      </c>
    </row>
    <row r="562" spans="1:2">
      <c r="A562" s="153" t="s">
        <v>1669</v>
      </c>
      <c r="B562" s="153" t="s">
        <v>1670</v>
      </c>
    </row>
    <row r="563" spans="1:2">
      <c r="A563" s="153" t="s">
        <v>1671</v>
      </c>
      <c r="B563" s="153" t="s">
        <v>1672</v>
      </c>
    </row>
    <row r="564" spans="1:2">
      <c r="A564" s="153" t="s">
        <v>1673</v>
      </c>
      <c r="B564" s="153" t="s">
        <v>1674</v>
      </c>
    </row>
    <row r="565" spans="1:2">
      <c r="A565" s="153" t="s">
        <v>1675</v>
      </c>
      <c r="B565" s="153" t="s">
        <v>1676</v>
      </c>
    </row>
    <row r="566" spans="1:2">
      <c r="A566" s="153" t="s">
        <v>1677</v>
      </c>
      <c r="B566" s="153" t="s">
        <v>1678</v>
      </c>
    </row>
    <row r="567" spans="1:2">
      <c r="A567" s="153" t="s">
        <v>1679</v>
      </c>
      <c r="B567" s="153" t="s">
        <v>1680</v>
      </c>
    </row>
    <row r="568" spans="1:2">
      <c r="A568" s="153" t="s">
        <v>1681</v>
      </c>
      <c r="B568" s="153" t="s">
        <v>1682</v>
      </c>
    </row>
    <row r="569" spans="1:2">
      <c r="A569" s="153" t="s">
        <v>1683</v>
      </c>
      <c r="B569" s="153" t="s">
        <v>1684</v>
      </c>
    </row>
    <row r="570" spans="1:2">
      <c r="A570" s="153" t="s">
        <v>1685</v>
      </c>
      <c r="B570" s="153" t="s">
        <v>1686</v>
      </c>
    </row>
    <row r="571" spans="1:2">
      <c r="A571" s="153" t="s">
        <v>1687</v>
      </c>
      <c r="B571" s="153" t="s">
        <v>1688</v>
      </c>
    </row>
    <row r="572" spans="1:2">
      <c r="A572" s="153" t="s">
        <v>1689</v>
      </c>
      <c r="B572" s="153" t="s">
        <v>1690</v>
      </c>
    </row>
    <row r="573" spans="1:2">
      <c r="A573" s="153" t="s">
        <v>1691</v>
      </c>
      <c r="B573" s="153" t="s">
        <v>1692</v>
      </c>
    </row>
    <row r="574" spans="1:2">
      <c r="A574" s="153" t="s">
        <v>1693</v>
      </c>
      <c r="B574" s="153" t="s">
        <v>1694</v>
      </c>
    </row>
    <row r="575" spans="1:2">
      <c r="A575" s="153" t="s">
        <v>1695</v>
      </c>
      <c r="B575" s="153" t="s">
        <v>1696</v>
      </c>
    </row>
    <row r="576" spans="1:2">
      <c r="A576" s="153" t="s">
        <v>1697</v>
      </c>
      <c r="B576" s="153" t="s">
        <v>1698</v>
      </c>
    </row>
    <row r="577" spans="1:2">
      <c r="A577" s="153" t="s">
        <v>1699</v>
      </c>
      <c r="B577" s="153" t="s">
        <v>1700</v>
      </c>
    </row>
    <row r="578" spans="1:2">
      <c r="A578" s="153" t="s">
        <v>1701</v>
      </c>
      <c r="B578" s="153" t="s">
        <v>1702</v>
      </c>
    </row>
    <row r="579" spans="1:2">
      <c r="A579" s="153" t="s">
        <v>1703</v>
      </c>
      <c r="B579" s="153" t="s">
        <v>1704</v>
      </c>
    </row>
    <row r="580" spans="1:2">
      <c r="A580" s="153" t="s">
        <v>1705</v>
      </c>
      <c r="B580" s="153" t="s">
        <v>1706</v>
      </c>
    </row>
    <row r="581" spans="1:2">
      <c r="A581" s="153" t="s">
        <v>1707</v>
      </c>
      <c r="B581" s="153" t="s">
        <v>1708</v>
      </c>
    </row>
    <row r="582" spans="1:2">
      <c r="A582" s="153" t="s">
        <v>1709</v>
      </c>
      <c r="B582" s="153" t="s">
        <v>1710</v>
      </c>
    </row>
    <row r="583" spans="1:2">
      <c r="A583" s="153" t="s">
        <v>1711</v>
      </c>
      <c r="B583" s="153" t="s">
        <v>1712</v>
      </c>
    </row>
    <row r="584" spans="1:2">
      <c r="A584" s="153" t="s">
        <v>1713</v>
      </c>
      <c r="B584" s="153" t="s">
        <v>1714</v>
      </c>
    </row>
    <row r="585" spans="1:2">
      <c r="A585" s="153" t="s">
        <v>1715</v>
      </c>
      <c r="B585" s="153" t="s">
        <v>1716</v>
      </c>
    </row>
    <row r="586" spans="1:2">
      <c r="A586" s="153" t="s">
        <v>1717</v>
      </c>
      <c r="B586" s="153" t="s">
        <v>1718</v>
      </c>
    </row>
    <row r="587" spans="1:2">
      <c r="A587" s="153" t="s">
        <v>1719</v>
      </c>
      <c r="B587" s="153" t="s">
        <v>1720</v>
      </c>
    </row>
    <row r="588" spans="1:2">
      <c r="A588" s="153" t="s">
        <v>1721</v>
      </c>
      <c r="B588" s="153" t="s">
        <v>119</v>
      </c>
    </row>
    <row r="589" spans="1:2">
      <c r="A589" s="153" t="s">
        <v>1722</v>
      </c>
      <c r="B589" s="153" t="s">
        <v>1723</v>
      </c>
    </row>
    <row r="590" spans="1:2">
      <c r="A590" s="153" t="s">
        <v>1724</v>
      </c>
      <c r="B590" s="153" t="s">
        <v>1725</v>
      </c>
    </row>
    <row r="591" spans="1:2">
      <c r="A591" s="153" t="s">
        <v>1726</v>
      </c>
      <c r="B591" s="153" t="s">
        <v>1727</v>
      </c>
    </row>
    <row r="592" spans="1:2">
      <c r="A592" s="153" t="s">
        <v>1728</v>
      </c>
      <c r="B592" s="153" t="s">
        <v>1729</v>
      </c>
    </row>
    <row r="593" spans="1:2">
      <c r="A593" s="153" t="s">
        <v>1730</v>
      </c>
      <c r="B593" s="153" t="s">
        <v>1731</v>
      </c>
    </row>
    <row r="594" spans="1:2">
      <c r="A594" s="153" t="s">
        <v>1732</v>
      </c>
      <c r="B594" s="153" t="s">
        <v>1733</v>
      </c>
    </row>
    <row r="595" spans="1:2">
      <c r="A595" s="153" t="s">
        <v>1734</v>
      </c>
      <c r="B595" s="153" t="s">
        <v>1735</v>
      </c>
    </row>
    <row r="596" spans="1:2">
      <c r="A596" s="153" t="s">
        <v>1736</v>
      </c>
      <c r="B596" s="153" t="s">
        <v>1737</v>
      </c>
    </row>
    <row r="597" spans="1:2">
      <c r="A597" s="153" t="s">
        <v>1738</v>
      </c>
      <c r="B597" s="153" t="s">
        <v>1739</v>
      </c>
    </row>
    <row r="598" spans="1:2">
      <c r="A598" s="153" t="s">
        <v>1740</v>
      </c>
      <c r="B598" s="153" t="s">
        <v>1741</v>
      </c>
    </row>
    <row r="599" spans="1:2">
      <c r="A599" s="153" t="s">
        <v>1742</v>
      </c>
      <c r="B599" s="153" t="s">
        <v>1743</v>
      </c>
    </row>
    <row r="600" spans="1:2">
      <c r="A600" s="153" t="s">
        <v>1744</v>
      </c>
      <c r="B600" s="153" t="s">
        <v>1745</v>
      </c>
    </row>
    <row r="601" spans="1:2">
      <c r="A601" s="153" t="s">
        <v>1746</v>
      </c>
      <c r="B601" s="153" t="s">
        <v>1747</v>
      </c>
    </row>
    <row r="602" spans="1:2">
      <c r="A602" s="153" t="s">
        <v>1748</v>
      </c>
      <c r="B602" s="153" t="s">
        <v>1749</v>
      </c>
    </row>
    <row r="603" spans="1:2">
      <c r="A603" s="153" t="s">
        <v>1750</v>
      </c>
      <c r="B603" s="153" t="s">
        <v>1751</v>
      </c>
    </row>
    <row r="604" spans="1:2">
      <c r="A604" s="153" t="s">
        <v>1752</v>
      </c>
      <c r="B604" s="153" t="s">
        <v>1753</v>
      </c>
    </row>
    <row r="605" spans="1:2">
      <c r="A605" s="153" t="s">
        <v>1754</v>
      </c>
      <c r="B605" s="153" t="s">
        <v>1755</v>
      </c>
    </row>
    <row r="606" spans="1:2">
      <c r="A606" s="153" t="s">
        <v>1756</v>
      </c>
      <c r="B606" s="153" t="s">
        <v>1757</v>
      </c>
    </row>
    <row r="607" spans="1:2">
      <c r="A607" s="153" t="s">
        <v>1758</v>
      </c>
      <c r="B607" s="153" t="s">
        <v>1759</v>
      </c>
    </row>
    <row r="608" spans="1:2">
      <c r="A608" s="153" t="s">
        <v>1760</v>
      </c>
      <c r="B608" s="153" t="s">
        <v>1761</v>
      </c>
    </row>
    <row r="609" spans="1:2">
      <c r="A609" s="153" t="s">
        <v>1762</v>
      </c>
      <c r="B609" s="153" t="s">
        <v>1763</v>
      </c>
    </row>
    <row r="610" spans="1:2">
      <c r="A610" s="153" t="s">
        <v>1764</v>
      </c>
      <c r="B610" s="153" t="s">
        <v>1765</v>
      </c>
    </row>
    <row r="611" spans="1:2">
      <c r="A611" s="153" t="s">
        <v>1766</v>
      </c>
      <c r="B611" s="153" t="s">
        <v>1767</v>
      </c>
    </row>
    <row r="612" spans="1:2">
      <c r="A612" s="153" t="s">
        <v>1768</v>
      </c>
      <c r="B612" s="153" t="s">
        <v>1769</v>
      </c>
    </row>
    <row r="613" spans="1:2">
      <c r="A613" s="153" t="s">
        <v>1770</v>
      </c>
      <c r="B613" s="153" t="s">
        <v>1771</v>
      </c>
    </row>
    <row r="614" spans="1:2">
      <c r="A614" s="153" t="s">
        <v>1772</v>
      </c>
      <c r="B614" s="153" t="s">
        <v>1773</v>
      </c>
    </row>
    <row r="615" spans="1:2">
      <c r="A615" s="153" t="s">
        <v>1774</v>
      </c>
      <c r="B615" s="153" t="s">
        <v>1775</v>
      </c>
    </row>
    <row r="616" spans="1:2">
      <c r="A616" s="153" t="s">
        <v>1776</v>
      </c>
      <c r="B616" s="153" t="s">
        <v>1777</v>
      </c>
    </row>
    <row r="617" spans="1:2">
      <c r="A617" s="153" t="s">
        <v>1778</v>
      </c>
      <c r="B617" s="153" t="s">
        <v>1779</v>
      </c>
    </row>
    <row r="618" spans="1:2">
      <c r="A618" s="153" t="s">
        <v>1780</v>
      </c>
      <c r="B618" s="153" t="s">
        <v>1781</v>
      </c>
    </row>
    <row r="619" spans="1:2">
      <c r="A619" s="153" t="s">
        <v>1782</v>
      </c>
      <c r="B619" s="153" t="s">
        <v>1783</v>
      </c>
    </row>
    <row r="620" spans="1:2">
      <c r="A620" s="153" t="s">
        <v>1784</v>
      </c>
      <c r="B620" s="153" t="s">
        <v>1785</v>
      </c>
    </row>
    <row r="621" spans="1:2">
      <c r="A621" s="153" t="s">
        <v>1786</v>
      </c>
      <c r="B621" s="153" t="s">
        <v>1787</v>
      </c>
    </row>
    <row r="622" spans="1:2">
      <c r="A622" s="153" t="s">
        <v>1788</v>
      </c>
      <c r="B622" s="153" t="s">
        <v>1789</v>
      </c>
    </row>
    <row r="623" spans="1:2">
      <c r="A623" s="153" t="s">
        <v>1790</v>
      </c>
      <c r="B623" s="153" t="s">
        <v>1791</v>
      </c>
    </row>
    <row r="624" spans="1:2">
      <c r="A624" s="153" t="s">
        <v>1792</v>
      </c>
      <c r="B624" s="153" t="s">
        <v>1793</v>
      </c>
    </row>
    <row r="625" spans="1:2">
      <c r="A625" s="153" t="s">
        <v>1794</v>
      </c>
      <c r="B625" s="153" t="s">
        <v>1795</v>
      </c>
    </row>
    <row r="626" spans="1:2">
      <c r="A626" s="153" t="s">
        <v>1796</v>
      </c>
      <c r="B626" s="153" t="s">
        <v>1797</v>
      </c>
    </row>
    <row r="627" spans="1:2">
      <c r="A627" s="153" t="s">
        <v>1798</v>
      </c>
      <c r="B627" s="153" t="s">
        <v>301</v>
      </c>
    </row>
    <row r="628" spans="1:2">
      <c r="A628" s="153" t="s">
        <v>1799</v>
      </c>
      <c r="B628" s="153" t="s">
        <v>1800</v>
      </c>
    </row>
    <row r="629" spans="1:2">
      <c r="A629" s="153" t="s">
        <v>1801</v>
      </c>
      <c r="B629" s="153" t="s">
        <v>1802</v>
      </c>
    </row>
    <row r="630" spans="1:2">
      <c r="A630" s="153" t="s">
        <v>1803</v>
      </c>
      <c r="B630" s="153" t="s">
        <v>1804</v>
      </c>
    </row>
    <row r="631" spans="1:2">
      <c r="A631" s="153" t="s">
        <v>1805</v>
      </c>
      <c r="B631" s="153" t="s">
        <v>1806</v>
      </c>
    </row>
    <row r="632" spans="1:2">
      <c r="A632" s="153" t="s">
        <v>1807</v>
      </c>
      <c r="B632" s="153" t="s">
        <v>1808</v>
      </c>
    </row>
    <row r="633" spans="1:2">
      <c r="A633" s="153" t="s">
        <v>1809</v>
      </c>
      <c r="B633" s="153" t="s">
        <v>1810</v>
      </c>
    </row>
    <row r="634" spans="1:2">
      <c r="A634" s="153" t="s">
        <v>1811</v>
      </c>
      <c r="B634" s="153" t="s">
        <v>1812</v>
      </c>
    </row>
    <row r="635" spans="1:2">
      <c r="A635" s="153" t="s">
        <v>1813</v>
      </c>
      <c r="B635" s="153" t="s">
        <v>1814</v>
      </c>
    </row>
    <row r="636" spans="1:2">
      <c r="A636" s="153" t="s">
        <v>1815</v>
      </c>
      <c r="B636" s="153" t="s">
        <v>1816</v>
      </c>
    </row>
    <row r="637" spans="1:2">
      <c r="A637" s="153" t="s">
        <v>1817</v>
      </c>
      <c r="B637" s="153" t="s">
        <v>1818</v>
      </c>
    </row>
    <row r="638" spans="1:2">
      <c r="A638" s="153" t="s">
        <v>1819</v>
      </c>
      <c r="B638" s="153" t="s">
        <v>1820</v>
      </c>
    </row>
    <row r="639" spans="1:2">
      <c r="A639" s="153" t="s">
        <v>1821</v>
      </c>
      <c r="B639" s="153" t="s">
        <v>1822</v>
      </c>
    </row>
    <row r="640" spans="1:2">
      <c r="A640" s="153" t="s">
        <v>1823</v>
      </c>
      <c r="B640" s="153" t="s">
        <v>1824</v>
      </c>
    </row>
    <row r="641" spans="1:2">
      <c r="A641" s="153" t="s">
        <v>1825</v>
      </c>
      <c r="B641" s="153" t="s">
        <v>1826</v>
      </c>
    </row>
    <row r="642" spans="1:2">
      <c r="A642" s="153" t="s">
        <v>1827</v>
      </c>
      <c r="B642" s="153" t="s">
        <v>1828</v>
      </c>
    </row>
    <row r="643" spans="1:2">
      <c r="A643" s="153" t="s">
        <v>1829</v>
      </c>
      <c r="B643" s="153" t="s">
        <v>1830</v>
      </c>
    </row>
    <row r="644" spans="1:2">
      <c r="A644" s="153" t="s">
        <v>1831</v>
      </c>
      <c r="B644" s="153" t="s">
        <v>1832</v>
      </c>
    </row>
    <row r="645" spans="1:2">
      <c r="A645" s="153" t="s">
        <v>1833</v>
      </c>
      <c r="B645" s="153" t="s">
        <v>1834</v>
      </c>
    </row>
    <row r="646" spans="1:2">
      <c r="A646" s="153" t="s">
        <v>1835</v>
      </c>
      <c r="B646" s="153" t="s">
        <v>1836</v>
      </c>
    </row>
    <row r="647" spans="1:2">
      <c r="A647" s="153" t="s">
        <v>1837</v>
      </c>
      <c r="B647" s="153" t="s">
        <v>1838</v>
      </c>
    </row>
    <row r="648" spans="1:2">
      <c r="A648" s="153" t="s">
        <v>1839</v>
      </c>
      <c r="B648" s="153" t="s">
        <v>1840</v>
      </c>
    </row>
    <row r="649" spans="1:2">
      <c r="A649" s="153" t="s">
        <v>1841</v>
      </c>
      <c r="B649" s="153" t="s">
        <v>1842</v>
      </c>
    </row>
    <row r="650" spans="1:2">
      <c r="A650" s="153" t="s">
        <v>1843</v>
      </c>
      <c r="B650" s="153" t="s">
        <v>1844</v>
      </c>
    </row>
    <row r="651" spans="1:2">
      <c r="A651" s="153" t="s">
        <v>1845</v>
      </c>
      <c r="B651" s="153" t="s">
        <v>1846</v>
      </c>
    </row>
    <row r="652" spans="1:2">
      <c r="A652" s="153" t="s">
        <v>1847</v>
      </c>
      <c r="B652" s="153" t="s">
        <v>1848</v>
      </c>
    </row>
    <row r="653" spans="1:2">
      <c r="A653" s="153" t="s">
        <v>1849</v>
      </c>
      <c r="B653" s="153" t="s">
        <v>1850</v>
      </c>
    </row>
    <row r="654" spans="1:2">
      <c r="A654" s="153" t="s">
        <v>1851</v>
      </c>
      <c r="B654" s="153" t="s">
        <v>1852</v>
      </c>
    </row>
    <row r="655" spans="1:2">
      <c r="A655" s="153" t="s">
        <v>1853</v>
      </c>
      <c r="B655" s="153" t="s">
        <v>1854</v>
      </c>
    </row>
    <row r="656" spans="1:2">
      <c r="A656" s="153" t="s">
        <v>1855</v>
      </c>
      <c r="B656" s="153" t="s">
        <v>1856</v>
      </c>
    </row>
    <row r="657" spans="1:2">
      <c r="A657" s="153" t="s">
        <v>1857</v>
      </c>
      <c r="B657" s="153" t="s">
        <v>1858</v>
      </c>
    </row>
    <row r="658" spans="1:2">
      <c r="A658" s="153" t="s">
        <v>1859</v>
      </c>
      <c r="B658" s="153" t="s">
        <v>1860</v>
      </c>
    </row>
    <row r="659" spans="1:2">
      <c r="A659" s="153" t="s">
        <v>1861</v>
      </c>
      <c r="B659" s="153" t="s">
        <v>1862</v>
      </c>
    </row>
    <row r="660" spans="1:2">
      <c r="A660" s="153" t="s">
        <v>1863</v>
      </c>
      <c r="B660" s="153" t="s">
        <v>1864</v>
      </c>
    </row>
    <row r="661" spans="1:2">
      <c r="A661" s="153" t="s">
        <v>1865</v>
      </c>
      <c r="B661" s="153" t="s">
        <v>1866</v>
      </c>
    </row>
    <row r="662" spans="1:2">
      <c r="A662" s="153" t="s">
        <v>1867</v>
      </c>
      <c r="B662" s="153" t="s">
        <v>1868</v>
      </c>
    </row>
    <row r="663" spans="1:2">
      <c r="A663" s="153" t="s">
        <v>1869</v>
      </c>
      <c r="B663" s="153" t="s">
        <v>1870</v>
      </c>
    </row>
    <row r="664" spans="1:2">
      <c r="A664" s="153" t="s">
        <v>1871</v>
      </c>
      <c r="B664" s="153" t="s">
        <v>1872</v>
      </c>
    </row>
    <row r="665" spans="1:2">
      <c r="A665" s="153" t="s">
        <v>1873</v>
      </c>
      <c r="B665" s="153" t="s">
        <v>1874</v>
      </c>
    </row>
    <row r="666" spans="1:2">
      <c r="A666" s="153" t="s">
        <v>1875</v>
      </c>
      <c r="B666" s="153" t="s">
        <v>1876</v>
      </c>
    </row>
    <row r="667" spans="1:2">
      <c r="A667" s="153" t="s">
        <v>1877</v>
      </c>
      <c r="B667" s="153" t="s">
        <v>1878</v>
      </c>
    </row>
    <row r="668" spans="1:2">
      <c r="A668" s="153" t="s">
        <v>1879</v>
      </c>
      <c r="B668" s="153" t="s">
        <v>1880</v>
      </c>
    </row>
    <row r="669" spans="1:2">
      <c r="A669" s="153" t="s">
        <v>1881</v>
      </c>
      <c r="B669" s="153" t="s">
        <v>1882</v>
      </c>
    </row>
    <row r="670" spans="1:2">
      <c r="A670" s="153" t="s">
        <v>1883</v>
      </c>
      <c r="B670" s="153" t="s">
        <v>1884</v>
      </c>
    </row>
    <row r="671" spans="1:2">
      <c r="A671" s="153" t="s">
        <v>1885</v>
      </c>
      <c r="B671" s="153" t="s">
        <v>1886</v>
      </c>
    </row>
    <row r="672" spans="1:2">
      <c r="A672" s="153" t="s">
        <v>1887</v>
      </c>
      <c r="B672" s="153" t="s">
        <v>1888</v>
      </c>
    </row>
    <row r="673" spans="1:2">
      <c r="A673" s="153" t="s">
        <v>1889</v>
      </c>
      <c r="B673" s="153" t="s">
        <v>1890</v>
      </c>
    </row>
    <row r="674" spans="1:2">
      <c r="A674" s="153" t="s">
        <v>1891</v>
      </c>
      <c r="B674" s="153" t="s">
        <v>1892</v>
      </c>
    </row>
    <row r="675" spans="1:2">
      <c r="A675" s="153" t="s">
        <v>1893</v>
      </c>
      <c r="B675" s="153" t="s">
        <v>1894</v>
      </c>
    </row>
    <row r="676" spans="1:2">
      <c r="A676" s="153" t="s">
        <v>1895</v>
      </c>
      <c r="B676" s="153" t="s">
        <v>1896</v>
      </c>
    </row>
    <row r="677" spans="1:2">
      <c r="A677" s="153" t="s">
        <v>1897</v>
      </c>
      <c r="B677" s="153" t="s">
        <v>1898</v>
      </c>
    </row>
    <row r="678" spans="1:2">
      <c r="A678" s="153" t="s">
        <v>1899</v>
      </c>
      <c r="B678" s="153" t="s">
        <v>1900</v>
      </c>
    </row>
    <row r="679" spans="1:2">
      <c r="A679" s="153" t="s">
        <v>1901</v>
      </c>
      <c r="B679" s="153" t="s">
        <v>1902</v>
      </c>
    </row>
    <row r="680" spans="1:2">
      <c r="A680" s="153" t="s">
        <v>1903</v>
      </c>
      <c r="B680" s="153" t="s">
        <v>1904</v>
      </c>
    </row>
    <row r="681" spans="1:2">
      <c r="A681" s="153" t="s">
        <v>1905</v>
      </c>
      <c r="B681" s="153" t="s">
        <v>1906</v>
      </c>
    </row>
    <row r="682" spans="1:2">
      <c r="A682" s="153" t="s">
        <v>1907</v>
      </c>
      <c r="B682" s="153" t="s">
        <v>1908</v>
      </c>
    </row>
    <row r="683" spans="1:2">
      <c r="A683" s="153" t="s">
        <v>1909</v>
      </c>
      <c r="B683" s="153" t="s">
        <v>1910</v>
      </c>
    </row>
    <row r="684" spans="1:2">
      <c r="A684" s="153" t="s">
        <v>1911</v>
      </c>
      <c r="B684" s="153" t="s">
        <v>1912</v>
      </c>
    </row>
    <row r="685" spans="1:2">
      <c r="A685" s="153" t="s">
        <v>1913</v>
      </c>
      <c r="B685" s="153" t="s">
        <v>1914</v>
      </c>
    </row>
    <row r="686" spans="1:2">
      <c r="A686" s="153" t="s">
        <v>1915</v>
      </c>
      <c r="B686" s="153" t="s">
        <v>1916</v>
      </c>
    </row>
    <row r="687" spans="1:2">
      <c r="A687" s="153" t="s">
        <v>1917</v>
      </c>
      <c r="B687" s="153" t="s">
        <v>1918</v>
      </c>
    </row>
    <row r="688" spans="1:2">
      <c r="A688" s="153" t="s">
        <v>1919</v>
      </c>
      <c r="B688" s="153" t="s">
        <v>1920</v>
      </c>
    </row>
    <row r="689" spans="1:2">
      <c r="A689" s="153" t="s">
        <v>1921</v>
      </c>
      <c r="B689" s="153" t="s">
        <v>1922</v>
      </c>
    </row>
    <row r="690" spans="1:2">
      <c r="A690" s="153" t="s">
        <v>1923</v>
      </c>
      <c r="B690" s="153" t="s">
        <v>1924</v>
      </c>
    </row>
    <row r="691" spans="1:2">
      <c r="A691" s="153" t="s">
        <v>1925</v>
      </c>
      <c r="B691" s="153" t="s">
        <v>1926</v>
      </c>
    </row>
    <row r="692" spans="1:2">
      <c r="A692" s="153" t="s">
        <v>1927</v>
      </c>
      <c r="B692" s="153" t="s">
        <v>1928</v>
      </c>
    </row>
    <row r="693" spans="1:2">
      <c r="A693" s="153" t="s">
        <v>1929</v>
      </c>
      <c r="B693" s="153" t="s">
        <v>1930</v>
      </c>
    </row>
    <row r="694" spans="1:2">
      <c r="A694" s="153" t="s">
        <v>1931</v>
      </c>
      <c r="B694" s="153" t="s">
        <v>1932</v>
      </c>
    </row>
    <row r="695" spans="1:2">
      <c r="A695" s="153" t="s">
        <v>1933</v>
      </c>
      <c r="B695" s="153" t="s">
        <v>1934</v>
      </c>
    </row>
    <row r="696" spans="1:2">
      <c r="A696" s="153" t="s">
        <v>1935</v>
      </c>
      <c r="B696" s="153" t="s">
        <v>1936</v>
      </c>
    </row>
    <row r="697" spans="1:2">
      <c r="A697" s="153" t="s">
        <v>1937</v>
      </c>
      <c r="B697" s="153" t="s">
        <v>1938</v>
      </c>
    </row>
    <row r="698" spans="1:2">
      <c r="A698" s="153" t="s">
        <v>1939</v>
      </c>
      <c r="B698" s="153" t="s">
        <v>1940</v>
      </c>
    </row>
    <row r="699" spans="1:2">
      <c r="A699" s="153" t="s">
        <v>1941</v>
      </c>
      <c r="B699" s="153" t="s">
        <v>1942</v>
      </c>
    </row>
    <row r="700" spans="1:2">
      <c r="A700" s="153" t="s">
        <v>1943</v>
      </c>
      <c r="B700" s="153" t="s">
        <v>1944</v>
      </c>
    </row>
    <row r="701" spans="1:2">
      <c r="A701" s="153" t="s">
        <v>1945</v>
      </c>
      <c r="B701" s="153" t="s">
        <v>1946</v>
      </c>
    </row>
    <row r="702" spans="1:2">
      <c r="A702" s="153" t="s">
        <v>1947</v>
      </c>
      <c r="B702" s="153" t="s">
        <v>1948</v>
      </c>
    </row>
    <row r="703" spans="1:2">
      <c r="A703" s="153" t="s">
        <v>1949</v>
      </c>
      <c r="B703" s="153" t="s">
        <v>1950</v>
      </c>
    </row>
    <row r="704" spans="1:2">
      <c r="A704" s="153" t="s">
        <v>1951</v>
      </c>
      <c r="B704" s="153" t="s">
        <v>1952</v>
      </c>
    </row>
    <row r="705" spans="1:2">
      <c r="A705" s="153" t="s">
        <v>1953</v>
      </c>
      <c r="B705" s="153" t="s">
        <v>1954</v>
      </c>
    </row>
    <row r="706" spans="1:2">
      <c r="A706" s="153" t="s">
        <v>1955</v>
      </c>
      <c r="B706" s="153" t="s">
        <v>1956</v>
      </c>
    </row>
    <row r="707" spans="1:2">
      <c r="A707" s="153" t="s">
        <v>1957</v>
      </c>
      <c r="B707" s="153" t="s">
        <v>1958</v>
      </c>
    </row>
    <row r="708" spans="1:2">
      <c r="A708" s="153" t="s">
        <v>1959</v>
      </c>
      <c r="B708" s="153" t="s">
        <v>1960</v>
      </c>
    </row>
    <row r="709" spans="1:2">
      <c r="A709" s="153" t="s">
        <v>1961</v>
      </c>
      <c r="B709" s="153" t="s">
        <v>1962</v>
      </c>
    </row>
    <row r="710" spans="1:2">
      <c r="A710" s="153" t="s">
        <v>1963</v>
      </c>
      <c r="B710" s="153" t="s">
        <v>1964</v>
      </c>
    </row>
    <row r="711" spans="1:2">
      <c r="A711" s="153" t="s">
        <v>1965</v>
      </c>
      <c r="B711" s="153" t="s">
        <v>1966</v>
      </c>
    </row>
    <row r="712" spans="1:2">
      <c r="A712" s="153" t="s">
        <v>1967</v>
      </c>
      <c r="B712" s="153" t="s">
        <v>1968</v>
      </c>
    </row>
    <row r="713" spans="1:2">
      <c r="A713" s="153" t="s">
        <v>1969</v>
      </c>
      <c r="B713" s="153" t="s">
        <v>1970</v>
      </c>
    </row>
    <row r="714" spans="1:2">
      <c r="A714" s="153" t="s">
        <v>1971</v>
      </c>
      <c r="B714" s="153" t="s">
        <v>1972</v>
      </c>
    </row>
    <row r="715" spans="1:2">
      <c r="A715" s="153" t="s">
        <v>1973</v>
      </c>
      <c r="B715" s="153" t="s">
        <v>1974</v>
      </c>
    </row>
    <row r="716" spans="1:2">
      <c r="A716" s="153" t="s">
        <v>1975</v>
      </c>
      <c r="B716" s="153" t="s">
        <v>1976</v>
      </c>
    </row>
    <row r="717" spans="1:2">
      <c r="A717" s="153" t="s">
        <v>1977</v>
      </c>
      <c r="B717" s="153" t="s">
        <v>1978</v>
      </c>
    </row>
    <row r="718" spans="1:2">
      <c r="A718" s="153" t="s">
        <v>1979</v>
      </c>
      <c r="B718" s="153" t="s">
        <v>1980</v>
      </c>
    </row>
    <row r="719" spans="1:2">
      <c r="A719" s="153" t="s">
        <v>1981</v>
      </c>
      <c r="B719" s="153" t="s">
        <v>1982</v>
      </c>
    </row>
    <row r="720" spans="1:2">
      <c r="A720" s="153" t="s">
        <v>1983</v>
      </c>
      <c r="B720" s="153" t="s">
        <v>1984</v>
      </c>
    </row>
    <row r="721" spans="1:2">
      <c r="A721" s="153" t="s">
        <v>1985</v>
      </c>
      <c r="B721" s="153" t="s">
        <v>1986</v>
      </c>
    </row>
    <row r="722" spans="1:2">
      <c r="A722" s="153" t="s">
        <v>1987</v>
      </c>
      <c r="B722" s="153" t="s">
        <v>1988</v>
      </c>
    </row>
    <row r="723" spans="1:2">
      <c r="A723" s="153" t="s">
        <v>1989</v>
      </c>
      <c r="B723" s="153" t="s">
        <v>1990</v>
      </c>
    </row>
    <row r="724" spans="1:2">
      <c r="A724" s="153" t="s">
        <v>1991</v>
      </c>
      <c r="B724" s="153" t="s">
        <v>1992</v>
      </c>
    </row>
    <row r="725" spans="1:2">
      <c r="A725" s="153" t="s">
        <v>1993</v>
      </c>
      <c r="B725" s="153" t="s">
        <v>1994</v>
      </c>
    </row>
    <row r="726" spans="1:2">
      <c r="A726" s="153" t="s">
        <v>1995</v>
      </c>
      <c r="B726" s="153" t="s">
        <v>1996</v>
      </c>
    </row>
    <row r="727" spans="1:2">
      <c r="A727" s="153" t="s">
        <v>1997</v>
      </c>
      <c r="B727" s="153" t="s">
        <v>1998</v>
      </c>
    </row>
    <row r="728" spans="1:2">
      <c r="A728" s="153" t="s">
        <v>1999</v>
      </c>
      <c r="B728" s="153" t="s">
        <v>2000</v>
      </c>
    </row>
    <row r="729" spans="1:2">
      <c r="A729" s="153" t="s">
        <v>2001</v>
      </c>
      <c r="B729" s="153" t="s">
        <v>2002</v>
      </c>
    </row>
    <row r="730" spans="1:2">
      <c r="A730" s="153" t="s">
        <v>2003</v>
      </c>
      <c r="B730" s="153" t="s">
        <v>2004</v>
      </c>
    </row>
    <row r="731" spans="1:2">
      <c r="A731" s="153" t="s">
        <v>2005</v>
      </c>
      <c r="B731" s="153" t="s">
        <v>2006</v>
      </c>
    </row>
    <row r="732" spans="1:2">
      <c r="A732" s="153" t="s">
        <v>2007</v>
      </c>
      <c r="B732" s="153" t="s">
        <v>2008</v>
      </c>
    </row>
    <row r="733" spans="1:2">
      <c r="A733" s="153" t="s">
        <v>2009</v>
      </c>
      <c r="B733" s="153" t="s">
        <v>2010</v>
      </c>
    </row>
    <row r="734" spans="1:2">
      <c r="A734" s="153" t="s">
        <v>2011</v>
      </c>
      <c r="B734" s="153" t="s">
        <v>2012</v>
      </c>
    </row>
    <row r="735" spans="1:2">
      <c r="A735" s="153" t="s">
        <v>2013</v>
      </c>
      <c r="B735" s="153" t="s">
        <v>2014</v>
      </c>
    </row>
    <row r="736" spans="1:2">
      <c r="A736" s="153" t="s">
        <v>2015</v>
      </c>
      <c r="B736" s="153" t="s">
        <v>2016</v>
      </c>
    </row>
    <row r="737" spans="1:2">
      <c r="A737" s="153" t="s">
        <v>2017</v>
      </c>
      <c r="B737" s="153" t="s">
        <v>2018</v>
      </c>
    </row>
    <row r="738" spans="1:2">
      <c r="A738" s="153" t="s">
        <v>2019</v>
      </c>
      <c r="B738" s="153" t="s">
        <v>2020</v>
      </c>
    </row>
    <row r="739" spans="1:2">
      <c r="A739" s="153" t="s">
        <v>2021</v>
      </c>
      <c r="B739" s="153" t="s">
        <v>2022</v>
      </c>
    </row>
    <row r="740" spans="1:2">
      <c r="A740" s="153" t="s">
        <v>2023</v>
      </c>
      <c r="B740" s="153" t="s">
        <v>2024</v>
      </c>
    </row>
    <row r="741" spans="1:2">
      <c r="A741" s="153" t="s">
        <v>2025</v>
      </c>
      <c r="B741" s="153" t="s">
        <v>2026</v>
      </c>
    </row>
    <row r="742" spans="1:2">
      <c r="A742" s="153" t="s">
        <v>2027</v>
      </c>
      <c r="B742" s="153" t="s">
        <v>2028</v>
      </c>
    </row>
    <row r="743" spans="1:2">
      <c r="A743" s="153" t="s">
        <v>2029</v>
      </c>
      <c r="B743" s="153" t="s">
        <v>2030</v>
      </c>
    </row>
    <row r="744" spans="1:2">
      <c r="A744" s="153" t="s">
        <v>2031</v>
      </c>
      <c r="B744" s="153" t="s">
        <v>2032</v>
      </c>
    </row>
    <row r="745" spans="1:2">
      <c r="A745" s="153" t="s">
        <v>2033</v>
      </c>
      <c r="B745" s="153" t="s">
        <v>2034</v>
      </c>
    </row>
    <row r="746" spans="1:2">
      <c r="A746" s="153" t="s">
        <v>2035</v>
      </c>
      <c r="B746" s="153" t="s">
        <v>2036</v>
      </c>
    </row>
    <row r="747" spans="1:2">
      <c r="A747" s="153" t="s">
        <v>2037</v>
      </c>
      <c r="B747" s="153" t="s">
        <v>2038</v>
      </c>
    </row>
    <row r="748" spans="1:2">
      <c r="A748" s="153" t="s">
        <v>2039</v>
      </c>
      <c r="B748" s="153" t="s">
        <v>2040</v>
      </c>
    </row>
    <row r="749" spans="1:2">
      <c r="A749" s="153" t="s">
        <v>2041</v>
      </c>
      <c r="B749" s="153" t="s">
        <v>2042</v>
      </c>
    </row>
    <row r="750" spans="1:2">
      <c r="A750" s="153" t="s">
        <v>2043</v>
      </c>
      <c r="B750" s="153" t="s">
        <v>2044</v>
      </c>
    </row>
    <row r="751" spans="1:2">
      <c r="A751" s="153" t="s">
        <v>2045</v>
      </c>
      <c r="B751" s="153" t="s">
        <v>2046</v>
      </c>
    </row>
    <row r="752" spans="1:2">
      <c r="A752" s="153" t="s">
        <v>2047</v>
      </c>
      <c r="B752" s="153" t="s">
        <v>2048</v>
      </c>
    </row>
    <row r="753" spans="1:2">
      <c r="A753" s="153" t="s">
        <v>2049</v>
      </c>
      <c r="B753" s="153" t="s">
        <v>2050</v>
      </c>
    </row>
    <row r="754" spans="1:2">
      <c r="A754" s="153" t="s">
        <v>2051</v>
      </c>
      <c r="B754" s="153" t="s">
        <v>2052</v>
      </c>
    </row>
    <row r="755" spans="1:2">
      <c r="A755" s="153" t="s">
        <v>2053</v>
      </c>
      <c r="B755" s="153" t="s">
        <v>2054</v>
      </c>
    </row>
    <row r="756" spans="1:2">
      <c r="A756" s="153" t="s">
        <v>2055</v>
      </c>
      <c r="B756" s="153" t="s">
        <v>2056</v>
      </c>
    </row>
    <row r="757" spans="1:2">
      <c r="A757" s="153" t="s">
        <v>2057</v>
      </c>
      <c r="B757" s="153" t="s">
        <v>2058</v>
      </c>
    </row>
    <row r="758" spans="1:2">
      <c r="A758" s="153" t="s">
        <v>2059</v>
      </c>
      <c r="B758" s="153" t="s">
        <v>2060</v>
      </c>
    </row>
    <row r="759" spans="1:2">
      <c r="A759" s="153" t="s">
        <v>2061</v>
      </c>
      <c r="B759" s="153" t="s">
        <v>2062</v>
      </c>
    </row>
    <row r="760" spans="1:2">
      <c r="A760" s="153" t="s">
        <v>2063</v>
      </c>
      <c r="B760" s="153" t="s">
        <v>2064</v>
      </c>
    </row>
    <row r="761" spans="1:2">
      <c r="A761" s="153" t="s">
        <v>2065</v>
      </c>
      <c r="B761" s="153" t="s">
        <v>2066</v>
      </c>
    </row>
    <row r="762" spans="1:2">
      <c r="A762" s="153" t="s">
        <v>2067</v>
      </c>
      <c r="B762" s="153" t="s">
        <v>2068</v>
      </c>
    </row>
    <row r="763" spans="1:2">
      <c r="A763" s="153" t="s">
        <v>2069</v>
      </c>
      <c r="B763" s="153" t="s">
        <v>2070</v>
      </c>
    </row>
    <row r="764" spans="1:2">
      <c r="A764" s="153" t="s">
        <v>2071</v>
      </c>
      <c r="B764" s="153" t="s">
        <v>2072</v>
      </c>
    </row>
    <row r="765" spans="1:2">
      <c r="A765" s="153" t="s">
        <v>2073</v>
      </c>
      <c r="B765" s="153" t="s">
        <v>2074</v>
      </c>
    </row>
    <row r="766" spans="1:2">
      <c r="A766" s="153" t="s">
        <v>2075</v>
      </c>
      <c r="B766" s="153" t="s">
        <v>2076</v>
      </c>
    </row>
    <row r="767" spans="1:2">
      <c r="A767" s="153" t="s">
        <v>2077</v>
      </c>
      <c r="B767" s="153" t="s">
        <v>2078</v>
      </c>
    </row>
    <row r="768" spans="1:2">
      <c r="A768" s="153" t="s">
        <v>2079</v>
      </c>
      <c r="B768" s="153" t="s">
        <v>2080</v>
      </c>
    </row>
    <row r="769" spans="1:2">
      <c r="A769" s="153" t="s">
        <v>2081</v>
      </c>
      <c r="B769" s="153" t="s">
        <v>2082</v>
      </c>
    </row>
    <row r="770" spans="1:2">
      <c r="A770" s="153" t="s">
        <v>2083</v>
      </c>
      <c r="B770" s="153" t="s">
        <v>2084</v>
      </c>
    </row>
    <row r="771" spans="1:2">
      <c r="A771" s="153" t="s">
        <v>2085</v>
      </c>
      <c r="B771" s="153" t="s">
        <v>2086</v>
      </c>
    </row>
    <row r="772" spans="1:2">
      <c r="A772" s="153" t="s">
        <v>2087</v>
      </c>
      <c r="B772" s="153" t="s">
        <v>2088</v>
      </c>
    </row>
    <row r="773" spans="1:2">
      <c r="A773" s="153" t="s">
        <v>2089</v>
      </c>
      <c r="B773" s="153" t="s">
        <v>2090</v>
      </c>
    </row>
    <row r="774" spans="1:2">
      <c r="A774" s="153" t="s">
        <v>2091</v>
      </c>
      <c r="B774" s="153" t="s">
        <v>2092</v>
      </c>
    </row>
    <row r="775" spans="1:2">
      <c r="A775" s="153" t="s">
        <v>2093</v>
      </c>
      <c r="B775" s="153" t="s">
        <v>2094</v>
      </c>
    </row>
    <row r="776" spans="1:2">
      <c r="A776" s="153" t="s">
        <v>2095</v>
      </c>
      <c r="B776" s="153" t="s">
        <v>2096</v>
      </c>
    </row>
    <row r="777" spans="1:2">
      <c r="A777" s="153" t="s">
        <v>2097</v>
      </c>
      <c r="B777" s="153" t="s">
        <v>2098</v>
      </c>
    </row>
    <row r="778" spans="1:2">
      <c r="A778" s="153" t="s">
        <v>2099</v>
      </c>
      <c r="B778" s="153" t="s">
        <v>2100</v>
      </c>
    </row>
    <row r="779" spans="1:2">
      <c r="A779" s="153" t="s">
        <v>2101</v>
      </c>
      <c r="B779" s="153" t="s">
        <v>2102</v>
      </c>
    </row>
    <row r="780" spans="1:2">
      <c r="A780" s="153" t="s">
        <v>2103</v>
      </c>
      <c r="B780" s="153" t="s">
        <v>2104</v>
      </c>
    </row>
    <row r="781" spans="1:2">
      <c r="A781" s="153" t="s">
        <v>2105</v>
      </c>
      <c r="B781" s="153" t="s">
        <v>2106</v>
      </c>
    </row>
    <row r="782" spans="1:2">
      <c r="A782" s="153" t="s">
        <v>2107</v>
      </c>
      <c r="B782" s="153" t="s">
        <v>2108</v>
      </c>
    </row>
    <row r="783" spans="1:2">
      <c r="A783" s="153" t="s">
        <v>2109</v>
      </c>
      <c r="B783" s="153" t="s">
        <v>2110</v>
      </c>
    </row>
    <row r="784" spans="1:2">
      <c r="A784" s="153" t="s">
        <v>2111</v>
      </c>
      <c r="B784" s="153" t="s">
        <v>2112</v>
      </c>
    </row>
    <row r="785" spans="1:2">
      <c r="A785" s="153" t="s">
        <v>2113</v>
      </c>
      <c r="B785" s="153" t="s">
        <v>2114</v>
      </c>
    </row>
    <row r="786" spans="1:2">
      <c r="A786" s="153" t="s">
        <v>2115</v>
      </c>
      <c r="B786" s="153" t="s">
        <v>2116</v>
      </c>
    </row>
    <row r="787" spans="1:2">
      <c r="A787" s="153" t="s">
        <v>2117</v>
      </c>
      <c r="B787" s="153" t="s">
        <v>2118</v>
      </c>
    </row>
    <row r="788" spans="1:2">
      <c r="A788" s="153" t="s">
        <v>2119</v>
      </c>
      <c r="B788" s="153" t="s">
        <v>2120</v>
      </c>
    </row>
    <row r="789" spans="1:2">
      <c r="A789" s="153" t="s">
        <v>2121</v>
      </c>
      <c r="B789" s="153" t="s">
        <v>2122</v>
      </c>
    </row>
    <row r="790" spans="1:2">
      <c r="A790" s="153" t="s">
        <v>2123</v>
      </c>
      <c r="B790" s="153" t="s">
        <v>2124</v>
      </c>
    </row>
    <row r="791" spans="1:2">
      <c r="A791" s="153" t="s">
        <v>2125</v>
      </c>
      <c r="B791" s="153" t="s">
        <v>2126</v>
      </c>
    </row>
    <row r="792" spans="1:2">
      <c r="A792" s="153" t="s">
        <v>2127</v>
      </c>
      <c r="B792" s="153" t="s">
        <v>2128</v>
      </c>
    </row>
    <row r="793" spans="1:2">
      <c r="A793" s="153" t="s">
        <v>2129</v>
      </c>
      <c r="B793" s="153" t="s">
        <v>2130</v>
      </c>
    </row>
    <row r="794" spans="1:2">
      <c r="A794" s="153" t="s">
        <v>2131</v>
      </c>
      <c r="B794" s="153" t="s">
        <v>2132</v>
      </c>
    </row>
    <row r="795" spans="1:2">
      <c r="A795" s="153" t="s">
        <v>2133</v>
      </c>
      <c r="B795" s="153" t="s">
        <v>2134</v>
      </c>
    </row>
    <row r="796" spans="1:2">
      <c r="A796" s="153" t="s">
        <v>2135</v>
      </c>
      <c r="B796" s="153" t="s">
        <v>2136</v>
      </c>
    </row>
    <row r="797" spans="1:2">
      <c r="A797" s="153" t="s">
        <v>2137</v>
      </c>
      <c r="B797" s="153" t="s">
        <v>2138</v>
      </c>
    </row>
    <row r="798" spans="1:2">
      <c r="A798" s="153" t="s">
        <v>2139</v>
      </c>
      <c r="B798" s="153" t="s">
        <v>2140</v>
      </c>
    </row>
    <row r="799" spans="1:2">
      <c r="A799" s="153" t="s">
        <v>2141</v>
      </c>
      <c r="B799" s="153" t="s">
        <v>2142</v>
      </c>
    </row>
    <row r="800" spans="1:2">
      <c r="A800" s="153" t="s">
        <v>2143</v>
      </c>
      <c r="B800" s="153" t="s">
        <v>2144</v>
      </c>
    </row>
    <row r="801" spans="1:2">
      <c r="A801" s="153" t="s">
        <v>2145</v>
      </c>
      <c r="B801" s="153" t="s">
        <v>2146</v>
      </c>
    </row>
    <row r="802" spans="1:2">
      <c r="A802" s="153" t="s">
        <v>2147</v>
      </c>
      <c r="B802" s="153" t="s">
        <v>2148</v>
      </c>
    </row>
    <row r="803" spans="1:2">
      <c r="A803" s="153" t="s">
        <v>2149</v>
      </c>
      <c r="B803" s="153" t="s">
        <v>2150</v>
      </c>
    </row>
    <row r="804" spans="1:2">
      <c r="A804" s="153" t="s">
        <v>2151</v>
      </c>
      <c r="B804" s="153" t="s">
        <v>2152</v>
      </c>
    </row>
    <row r="805" spans="1:2">
      <c r="A805" s="153" t="s">
        <v>2153</v>
      </c>
      <c r="B805" s="153" t="s">
        <v>2154</v>
      </c>
    </row>
    <row r="806" spans="1:2">
      <c r="A806" s="153" t="s">
        <v>2155</v>
      </c>
      <c r="B806" s="153" t="s">
        <v>2156</v>
      </c>
    </row>
    <row r="807" spans="1:2">
      <c r="A807" s="153" t="s">
        <v>2157</v>
      </c>
      <c r="B807" s="153" t="s">
        <v>2158</v>
      </c>
    </row>
    <row r="808" spans="1:2">
      <c r="A808" s="153" t="s">
        <v>2159</v>
      </c>
      <c r="B808" s="153" t="s">
        <v>2160</v>
      </c>
    </row>
    <row r="809" spans="1:2">
      <c r="A809" s="153" t="s">
        <v>2161</v>
      </c>
      <c r="B809" s="153" t="s">
        <v>2162</v>
      </c>
    </row>
    <row r="810" spans="1:2">
      <c r="A810" s="153" t="s">
        <v>2163</v>
      </c>
      <c r="B810" s="153" t="s">
        <v>2164</v>
      </c>
    </row>
    <row r="811" spans="1:2">
      <c r="A811" s="153" t="s">
        <v>2165</v>
      </c>
      <c r="B811" s="153" t="s">
        <v>2166</v>
      </c>
    </row>
    <row r="812" spans="1:2">
      <c r="A812" s="153" t="s">
        <v>2167</v>
      </c>
      <c r="B812" s="153" t="s">
        <v>2168</v>
      </c>
    </row>
    <row r="813" spans="1:2">
      <c r="A813" s="153" t="s">
        <v>2169</v>
      </c>
      <c r="B813" s="153" t="s">
        <v>2170</v>
      </c>
    </row>
    <row r="814" spans="1:2">
      <c r="A814" s="153" t="s">
        <v>2171</v>
      </c>
      <c r="B814" s="153" t="s">
        <v>2172</v>
      </c>
    </row>
    <row r="815" spans="1:2">
      <c r="A815" s="153" t="s">
        <v>2173</v>
      </c>
      <c r="B815" s="153" t="s">
        <v>2174</v>
      </c>
    </row>
    <row r="816" spans="1:2">
      <c r="A816" s="153" t="s">
        <v>2175</v>
      </c>
      <c r="B816" s="153" t="s">
        <v>2176</v>
      </c>
    </row>
    <row r="817" spans="1:2">
      <c r="A817" s="153" t="s">
        <v>2177</v>
      </c>
      <c r="B817" s="153" t="s">
        <v>2178</v>
      </c>
    </row>
    <row r="818" spans="1:2">
      <c r="A818" s="153" t="s">
        <v>2179</v>
      </c>
      <c r="B818" s="153" t="s">
        <v>2180</v>
      </c>
    </row>
    <row r="819" spans="1:2">
      <c r="A819" s="153" t="s">
        <v>2181</v>
      </c>
      <c r="B819" s="153" t="s">
        <v>2182</v>
      </c>
    </row>
    <row r="820" spans="1:2">
      <c r="A820" s="153" t="s">
        <v>2183</v>
      </c>
      <c r="B820" s="153" t="s">
        <v>2184</v>
      </c>
    </row>
    <row r="821" spans="1:2">
      <c r="A821" s="153" t="s">
        <v>2185</v>
      </c>
      <c r="B821" s="153" t="s">
        <v>2186</v>
      </c>
    </row>
    <row r="822" spans="1:2">
      <c r="A822" s="153" t="s">
        <v>2187</v>
      </c>
      <c r="B822" s="153" t="s">
        <v>2188</v>
      </c>
    </row>
    <row r="823" spans="1:2">
      <c r="A823" s="153" t="s">
        <v>2189</v>
      </c>
      <c r="B823" s="153" t="s">
        <v>2190</v>
      </c>
    </row>
    <row r="824" spans="1:2">
      <c r="A824" s="153" t="s">
        <v>2191</v>
      </c>
      <c r="B824" s="153" t="s">
        <v>2192</v>
      </c>
    </row>
    <row r="825" spans="1:2">
      <c r="A825" s="153" t="s">
        <v>2193</v>
      </c>
      <c r="B825" s="153" t="s">
        <v>2194</v>
      </c>
    </row>
    <row r="826" spans="1:2">
      <c r="A826" s="153" t="s">
        <v>2195</v>
      </c>
      <c r="B826" s="153" t="s">
        <v>2196</v>
      </c>
    </row>
    <row r="827" spans="1:2">
      <c r="A827" s="153" t="s">
        <v>2197</v>
      </c>
      <c r="B827" s="153" t="s">
        <v>2198</v>
      </c>
    </row>
    <row r="828" spans="1:2">
      <c r="A828" s="153" t="s">
        <v>2199</v>
      </c>
      <c r="B828" s="153" t="s">
        <v>2200</v>
      </c>
    </row>
    <row r="829" spans="1:2">
      <c r="A829" s="153" t="s">
        <v>2201</v>
      </c>
      <c r="B829" s="153" t="s">
        <v>2202</v>
      </c>
    </row>
    <row r="830" spans="1:2">
      <c r="A830" s="153" t="s">
        <v>2203</v>
      </c>
      <c r="B830" s="153" t="s">
        <v>2204</v>
      </c>
    </row>
    <row r="831" spans="1:2">
      <c r="A831" s="153" t="s">
        <v>2205</v>
      </c>
      <c r="B831" s="153" t="s">
        <v>2206</v>
      </c>
    </row>
    <row r="832" spans="1:2">
      <c r="A832" s="153" t="s">
        <v>2207</v>
      </c>
      <c r="B832" s="153" t="s">
        <v>2208</v>
      </c>
    </row>
    <row r="833" spans="1:2">
      <c r="A833" s="153" t="s">
        <v>2209</v>
      </c>
      <c r="B833" s="153" t="s">
        <v>2210</v>
      </c>
    </row>
    <row r="834" spans="1:2">
      <c r="A834" s="153" t="s">
        <v>2211</v>
      </c>
      <c r="B834" s="153" t="s">
        <v>2212</v>
      </c>
    </row>
    <row r="835" spans="1:2">
      <c r="A835" s="153" t="s">
        <v>2213</v>
      </c>
      <c r="B835" s="153" t="s">
        <v>2214</v>
      </c>
    </row>
    <row r="836" spans="1:2">
      <c r="A836" s="153" t="s">
        <v>2215</v>
      </c>
      <c r="B836" s="153" t="s">
        <v>2216</v>
      </c>
    </row>
    <row r="837" spans="1:2">
      <c r="A837" s="153" t="s">
        <v>2217</v>
      </c>
      <c r="B837" s="153" t="s">
        <v>2218</v>
      </c>
    </row>
    <row r="838" spans="1:2">
      <c r="A838" s="153" t="s">
        <v>2219</v>
      </c>
      <c r="B838" s="153" t="s">
        <v>2220</v>
      </c>
    </row>
    <row r="839" spans="1:2">
      <c r="A839" s="153" t="s">
        <v>2221</v>
      </c>
      <c r="B839" s="153" t="s">
        <v>2222</v>
      </c>
    </row>
    <row r="840" spans="1:2">
      <c r="A840" s="153" t="s">
        <v>2223</v>
      </c>
      <c r="B840" s="153" t="s">
        <v>2224</v>
      </c>
    </row>
    <row r="841" spans="1:2">
      <c r="A841" s="153" t="s">
        <v>2225</v>
      </c>
      <c r="B841" s="153" t="s">
        <v>2226</v>
      </c>
    </row>
    <row r="842" spans="1:2">
      <c r="A842" s="153" t="s">
        <v>2227</v>
      </c>
      <c r="B842" s="153" t="s">
        <v>2228</v>
      </c>
    </row>
    <row r="843" spans="1:2">
      <c r="A843" s="153" t="s">
        <v>156</v>
      </c>
      <c r="B843" s="153" t="s">
        <v>2229</v>
      </c>
    </row>
    <row r="844" spans="1:2">
      <c r="A844" s="153" t="s">
        <v>2230</v>
      </c>
      <c r="B844" s="153" t="s">
        <v>2231</v>
      </c>
    </row>
    <row r="845" spans="1:2">
      <c r="A845" s="153" t="s">
        <v>2232</v>
      </c>
      <c r="B845" s="153" t="s">
        <v>2233</v>
      </c>
    </row>
    <row r="846" spans="1:2">
      <c r="A846" s="153" t="s">
        <v>2234</v>
      </c>
      <c r="B846" s="153" t="s">
        <v>2235</v>
      </c>
    </row>
    <row r="847" spans="1:2">
      <c r="A847" s="153" t="s">
        <v>2236</v>
      </c>
      <c r="B847" s="153" t="s">
        <v>2237</v>
      </c>
    </row>
    <row r="848" spans="1:2">
      <c r="A848" s="153" t="s">
        <v>2238</v>
      </c>
      <c r="B848" s="153" t="s">
        <v>2239</v>
      </c>
    </row>
    <row r="849" spans="1:2">
      <c r="A849" s="153" t="s">
        <v>2240</v>
      </c>
      <c r="B849" s="153" t="s">
        <v>2241</v>
      </c>
    </row>
    <row r="850" spans="1:2">
      <c r="A850" s="153" t="s">
        <v>2242</v>
      </c>
      <c r="B850" s="153" t="s">
        <v>2243</v>
      </c>
    </row>
    <row r="851" spans="1:2">
      <c r="A851" s="153" t="s">
        <v>2244</v>
      </c>
      <c r="B851" s="153" t="s">
        <v>2245</v>
      </c>
    </row>
    <row r="852" spans="1:2">
      <c r="A852" s="153" t="s">
        <v>2246</v>
      </c>
      <c r="B852" s="153" t="s">
        <v>2247</v>
      </c>
    </row>
    <row r="853" spans="1:2">
      <c r="A853" s="153" t="s">
        <v>2248</v>
      </c>
      <c r="B853" s="153" t="s">
        <v>2249</v>
      </c>
    </row>
    <row r="854" spans="1:2">
      <c r="A854" s="153" t="s">
        <v>2250</v>
      </c>
      <c r="B854" s="153" t="s">
        <v>2251</v>
      </c>
    </row>
    <row r="855" spans="1:2">
      <c r="A855" s="153" t="s">
        <v>2252</v>
      </c>
      <c r="B855" s="153" t="s">
        <v>2253</v>
      </c>
    </row>
    <row r="856" spans="1:2">
      <c r="A856" s="153" t="s">
        <v>2254</v>
      </c>
      <c r="B856" s="153" t="s">
        <v>2255</v>
      </c>
    </row>
    <row r="857" spans="1:2">
      <c r="A857" s="153" t="s">
        <v>2256</v>
      </c>
      <c r="B857" s="153" t="s">
        <v>2257</v>
      </c>
    </row>
    <row r="858" spans="1:2">
      <c r="A858" s="153" t="s">
        <v>2258</v>
      </c>
      <c r="B858" s="153" t="s">
        <v>2259</v>
      </c>
    </row>
    <row r="859" spans="1:2">
      <c r="A859" s="153" t="s">
        <v>2260</v>
      </c>
      <c r="B859" s="153" t="s">
        <v>2261</v>
      </c>
    </row>
    <row r="860" spans="1:2">
      <c r="A860" s="153" t="s">
        <v>2262</v>
      </c>
      <c r="B860" s="153" t="s">
        <v>2263</v>
      </c>
    </row>
    <row r="861" spans="1:2">
      <c r="A861" s="153" t="s">
        <v>2264</v>
      </c>
      <c r="B861" s="153" t="s">
        <v>2265</v>
      </c>
    </row>
    <row r="862" spans="1:2">
      <c r="A862" s="153" t="s">
        <v>2266</v>
      </c>
      <c r="B862" s="153" t="s">
        <v>2267</v>
      </c>
    </row>
    <row r="863" spans="1:2">
      <c r="A863" s="153" t="s">
        <v>2268</v>
      </c>
      <c r="B863" s="153" t="s">
        <v>2269</v>
      </c>
    </row>
    <row r="864" spans="1:2">
      <c r="A864" s="153" t="s">
        <v>2270</v>
      </c>
      <c r="B864" s="153" t="s">
        <v>2271</v>
      </c>
    </row>
    <row r="865" spans="1:2">
      <c r="A865" s="153" t="s">
        <v>2272</v>
      </c>
      <c r="B865" s="153" t="s">
        <v>2273</v>
      </c>
    </row>
    <row r="866" spans="1:2">
      <c r="A866" s="153" t="s">
        <v>2274</v>
      </c>
      <c r="B866" s="153" t="s">
        <v>2275</v>
      </c>
    </row>
    <row r="867" spans="1:2">
      <c r="A867" s="153" t="s">
        <v>2276</v>
      </c>
      <c r="B867" s="153" t="s">
        <v>2277</v>
      </c>
    </row>
    <row r="868" spans="1:2">
      <c r="A868" s="153" t="s">
        <v>2278</v>
      </c>
      <c r="B868" s="153" t="s">
        <v>2279</v>
      </c>
    </row>
    <row r="869" spans="1:2">
      <c r="A869" s="153" t="s">
        <v>2280</v>
      </c>
      <c r="B869" s="153" t="s">
        <v>2281</v>
      </c>
    </row>
    <row r="870" spans="1:2">
      <c r="A870" s="153" t="s">
        <v>2282</v>
      </c>
      <c r="B870" s="153" t="s">
        <v>2283</v>
      </c>
    </row>
    <row r="871" spans="1:2">
      <c r="A871" s="153" t="s">
        <v>2284</v>
      </c>
      <c r="B871" s="153" t="s">
        <v>2285</v>
      </c>
    </row>
    <row r="872" spans="1:2">
      <c r="A872" s="153" t="s">
        <v>2286</v>
      </c>
      <c r="B872" s="153" t="s">
        <v>377</v>
      </c>
    </row>
    <row r="873" spans="1:2">
      <c r="A873" s="153" t="s">
        <v>2287</v>
      </c>
      <c r="B873" s="153" t="s">
        <v>2288</v>
      </c>
    </row>
    <row r="874" spans="1:2">
      <c r="A874" s="153" t="s">
        <v>2289</v>
      </c>
      <c r="B874" s="153" t="s">
        <v>2290</v>
      </c>
    </row>
    <row r="875" spans="1:2">
      <c r="A875" s="153" t="s">
        <v>2291</v>
      </c>
      <c r="B875" s="153" t="s">
        <v>2292</v>
      </c>
    </row>
    <row r="876" spans="1:2">
      <c r="A876" s="153" t="s">
        <v>2293</v>
      </c>
      <c r="B876" s="153" t="s">
        <v>2294</v>
      </c>
    </row>
    <row r="877" spans="1:2">
      <c r="A877" s="153" t="s">
        <v>2295</v>
      </c>
      <c r="B877" s="153" t="s">
        <v>2296</v>
      </c>
    </row>
    <row r="878" spans="1:2">
      <c r="A878" s="153" t="s">
        <v>2297</v>
      </c>
      <c r="B878" s="153" t="s">
        <v>2298</v>
      </c>
    </row>
    <row r="879" spans="1:2">
      <c r="A879" s="153" t="s">
        <v>2299</v>
      </c>
      <c r="B879" s="153" t="s">
        <v>2300</v>
      </c>
    </row>
    <row r="880" spans="1:2">
      <c r="A880" s="153" t="s">
        <v>2301</v>
      </c>
      <c r="B880" s="153" t="s">
        <v>2302</v>
      </c>
    </row>
    <row r="881" spans="1:2">
      <c r="A881" s="153" t="s">
        <v>2303</v>
      </c>
      <c r="B881" s="153" t="s">
        <v>2304</v>
      </c>
    </row>
    <row r="882" spans="1:2">
      <c r="A882" s="153" t="s">
        <v>2305</v>
      </c>
      <c r="B882" s="153" t="s">
        <v>2306</v>
      </c>
    </row>
    <row r="883" spans="1:2">
      <c r="A883" s="153" t="s">
        <v>2307</v>
      </c>
      <c r="B883" s="153" t="s">
        <v>2308</v>
      </c>
    </row>
    <row r="884" spans="1:2">
      <c r="A884" s="153" t="s">
        <v>2309</v>
      </c>
      <c r="B884" s="153" t="s">
        <v>2310</v>
      </c>
    </row>
    <row r="885" spans="1:2">
      <c r="A885" s="153" t="s">
        <v>2311</v>
      </c>
      <c r="B885" s="153" t="s">
        <v>2312</v>
      </c>
    </row>
    <row r="886" spans="1:2">
      <c r="A886" s="153" t="s">
        <v>2313</v>
      </c>
      <c r="B886" s="153" t="s">
        <v>2314</v>
      </c>
    </row>
    <row r="887" spans="1:2">
      <c r="A887" s="153" t="s">
        <v>2315</v>
      </c>
      <c r="B887" s="153" t="s">
        <v>2316</v>
      </c>
    </row>
    <row r="888" spans="1:2">
      <c r="A888" s="153" t="s">
        <v>2317</v>
      </c>
      <c r="B888" s="153" t="s">
        <v>2318</v>
      </c>
    </row>
    <row r="889" spans="1:2">
      <c r="A889" s="153" t="s">
        <v>2319</v>
      </c>
      <c r="B889" s="153" t="s">
        <v>2320</v>
      </c>
    </row>
    <row r="890" spans="1:2">
      <c r="A890" s="153" t="s">
        <v>2321</v>
      </c>
      <c r="B890" s="153" t="s">
        <v>2322</v>
      </c>
    </row>
    <row r="891" spans="1:2">
      <c r="A891" s="153" t="s">
        <v>2323</v>
      </c>
      <c r="B891" s="153" t="s">
        <v>2324</v>
      </c>
    </row>
    <row r="892" spans="1:2">
      <c r="A892" s="153" t="s">
        <v>2325</v>
      </c>
      <c r="B892" s="153" t="s">
        <v>2326</v>
      </c>
    </row>
    <row r="893" spans="1:2">
      <c r="A893" s="153" t="s">
        <v>2327</v>
      </c>
      <c r="B893" s="153" t="s">
        <v>2328</v>
      </c>
    </row>
    <row r="894" spans="1:2">
      <c r="A894" s="153" t="s">
        <v>2329</v>
      </c>
      <c r="B894" s="153" t="s">
        <v>2330</v>
      </c>
    </row>
    <row r="895" spans="1:2">
      <c r="A895" s="153" t="s">
        <v>2331</v>
      </c>
      <c r="B895" s="153" t="s">
        <v>2332</v>
      </c>
    </row>
    <row r="896" spans="1:2">
      <c r="A896" s="153" t="s">
        <v>2333</v>
      </c>
      <c r="B896" s="153" t="s">
        <v>2334</v>
      </c>
    </row>
    <row r="897" spans="1:2">
      <c r="A897" s="153" t="s">
        <v>2335</v>
      </c>
      <c r="B897" s="153" t="s">
        <v>2336</v>
      </c>
    </row>
    <row r="898" spans="1:2">
      <c r="A898" s="153" t="s">
        <v>2337</v>
      </c>
      <c r="B898" s="153" t="s">
        <v>2338</v>
      </c>
    </row>
    <row r="899" spans="1:2">
      <c r="A899" s="153" t="s">
        <v>2339</v>
      </c>
      <c r="B899" s="153" t="s">
        <v>2340</v>
      </c>
    </row>
    <row r="900" spans="1:2">
      <c r="A900" s="153" t="s">
        <v>2341</v>
      </c>
      <c r="B900" s="153" t="s">
        <v>2342</v>
      </c>
    </row>
    <row r="901" spans="1:2">
      <c r="A901" s="153" t="s">
        <v>2343</v>
      </c>
      <c r="B901" s="153" t="s">
        <v>2344</v>
      </c>
    </row>
    <row r="902" spans="1:2">
      <c r="A902" s="153" t="s">
        <v>2345</v>
      </c>
      <c r="B902" s="153" t="s">
        <v>2346</v>
      </c>
    </row>
    <row r="903" spans="1:2">
      <c r="A903" s="153" t="s">
        <v>2347</v>
      </c>
      <c r="B903" s="153" t="s">
        <v>2348</v>
      </c>
    </row>
    <row r="904" spans="1:2">
      <c r="A904" s="153" t="s">
        <v>2349</v>
      </c>
      <c r="B904" s="153" t="s">
        <v>2350</v>
      </c>
    </row>
    <row r="905" spans="1:2">
      <c r="A905" s="153" t="s">
        <v>2351</v>
      </c>
      <c r="B905" s="153" t="s">
        <v>2352</v>
      </c>
    </row>
    <row r="906" spans="1:2">
      <c r="A906" s="153" t="s">
        <v>2353</v>
      </c>
      <c r="B906" s="153" t="s">
        <v>2354</v>
      </c>
    </row>
    <row r="907" spans="1:2">
      <c r="A907" s="153" t="s">
        <v>2355</v>
      </c>
      <c r="B907" s="153" t="s">
        <v>2356</v>
      </c>
    </row>
    <row r="908" spans="1:2">
      <c r="A908" s="153" t="s">
        <v>2357</v>
      </c>
      <c r="B908" s="153" t="s">
        <v>2358</v>
      </c>
    </row>
    <row r="909" spans="1:2">
      <c r="A909" s="153" t="s">
        <v>2359</v>
      </c>
      <c r="B909" s="153" t="s">
        <v>2360</v>
      </c>
    </row>
    <row r="910" spans="1:2">
      <c r="A910" s="153" t="s">
        <v>2361</v>
      </c>
      <c r="B910" s="153" t="s">
        <v>2362</v>
      </c>
    </row>
    <row r="911" spans="1:2">
      <c r="A911" s="153" t="s">
        <v>2363</v>
      </c>
      <c r="B911" s="153" t="s">
        <v>2364</v>
      </c>
    </row>
    <row r="912" spans="1:2">
      <c r="A912" s="153" t="s">
        <v>2365</v>
      </c>
      <c r="B912" s="153" t="s">
        <v>2366</v>
      </c>
    </row>
    <row r="913" spans="1:2">
      <c r="A913" s="153" t="s">
        <v>2367</v>
      </c>
      <c r="B913" s="153" t="s">
        <v>2368</v>
      </c>
    </row>
    <row r="914" spans="1:2">
      <c r="A914" s="153" t="s">
        <v>2369</v>
      </c>
      <c r="B914" s="153" t="s">
        <v>2370</v>
      </c>
    </row>
    <row r="915" spans="1:2">
      <c r="A915" s="153" t="s">
        <v>2371</v>
      </c>
      <c r="B915" s="153" t="s">
        <v>2372</v>
      </c>
    </row>
    <row r="916" spans="1:2">
      <c r="A916" s="153" t="s">
        <v>2373</v>
      </c>
      <c r="B916" s="153" t="s">
        <v>2374</v>
      </c>
    </row>
    <row r="917" spans="1:2">
      <c r="A917" s="153" t="s">
        <v>2375</v>
      </c>
      <c r="B917" s="153" t="s">
        <v>2376</v>
      </c>
    </row>
    <row r="918" spans="1:2">
      <c r="A918" s="153" t="s">
        <v>2377</v>
      </c>
      <c r="B918" s="153" t="s">
        <v>2378</v>
      </c>
    </row>
    <row r="919" spans="1:2">
      <c r="A919" s="153" t="s">
        <v>2379</v>
      </c>
      <c r="B919" s="153" t="s">
        <v>2380</v>
      </c>
    </row>
    <row r="920" spans="1:2">
      <c r="A920" s="153" t="s">
        <v>2381</v>
      </c>
      <c r="B920" s="153" t="s">
        <v>2382</v>
      </c>
    </row>
    <row r="921" spans="1:2">
      <c r="A921" s="153" t="s">
        <v>2383</v>
      </c>
      <c r="B921" s="153" t="s">
        <v>2384</v>
      </c>
    </row>
    <row r="922" spans="1:2">
      <c r="A922" s="153" t="s">
        <v>2385</v>
      </c>
      <c r="B922" s="153" t="s">
        <v>2386</v>
      </c>
    </row>
    <row r="923" spans="1:2">
      <c r="A923" s="153" t="s">
        <v>2387</v>
      </c>
      <c r="B923" s="153" t="s">
        <v>2388</v>
      </c>
    </row>
    <row r="924" spans="1:2">
      <c r="A924" s="153" t="s">
        <v>2389</v>
      </c>
      <c r="B924" s="153" t="s">
        <v>2390</v>
      </c>
    </row>
    <row r="925" spans="1:2">
      <c r="A925" s="153" t="s">
        <v>2391</v>
      </c>
      <c r="B925" s="153" t="s">
        <v>2392</v>
      </c>
    </row>
    <row r="926" spans="1:2">
      <c r="A926" s="153" t="s">
        <v>2393</v>
      </c>
      <c r="B926" s="153" t="s">
        <v>2394</v>
      </c>
    </row>
    <row r="927" spans="1:2">
      <c r="A927" s="153" t="s">
        <v>2395</v>
      </c>
      <c r="B927" s="153" t="s">
        <v>2396</v>
      </c>
    </row>
    <row r="928" spans="1:2">
      <c r="A928" s="153" t="s">
        <v>2397</v>
      </c>
      <c r="B928" s="153" t="s">
        <v>2398</v>
      </c>
    </row>
    <row r="929" spans="1:2">
      <c r="A929" s="153" t="s">
        <v>2399</v>
      </c>
      <c r="B929" s="153" t="s">
        <v>2400</v>
      </c>
    </row>
    <row r="930" spans="1:2">
      <c r="A930" s="153" t="s">
        <v>2401</v>
      </c>
      <c r="B930" s="153" t="s">
        <v>2402</v>
      </c>
    </row>
    <row r="931" spans="1:2">
      <c r="A931" s="153" t="s">
        <v>2403</v>
      </c>
      <c r="B931" s="153" t="s">
        <v>2404</v>
      </c>
    </row>
    <row r="932" spans="1:2">
      <c r="A932" s="153" t="s">
        <v>2405</v>
      </c>
      <c r="B932" s="153" t="s">
        <v>2406</v>
      </c>
    </row>
    <row r="933" spans="1:2">
      <c r="A933" s="153" t="s">
        <v>2407</v>
      </c>
      <c r="B933" s="153" t="s">
        <v>2408</v>
      </c>
    </row>
    <row r="934" spans="1:2">
      <c r="A934" s="153" t="s">
        <v>2409</v>
      </c>
      <c r="B934" s="153" t="s">
        <v>2410</v>
      </c>
    </row>
    <row r="935" spans="1:2">
      <c r="A935" s="153" t="s">
        <v>2411</v>
      </c>
      <c r="B935" s="153" t="s">
        <v>2412</v>
      </c>
    </row>
    <row r="936" spans="1:2">
      <c r="A936" s="153" t="s">
        <v>2413</v>
      </c>
      <c r="B936" s="153" t="s">
        <v>2414</v>
      </c>
    </row>
    <row r="937" spans="1:2">
      <c r="A937" s="153" t="s">
        <v>2415</v>
      </c>
      <c r="B937" s="153" t="s">
        <v>2416</v>
      </c>
    </row>
    <row r="938" spans="1:2">
      <c r="A938" s="153" t="s">
        <v>2417</v>
      </c>
      <c r="B938" s="153" t="s">
        <v>2418</v>
      </c>
    </row>
    <row r="939" spans="1:2">
      <c r="A939" s="153" t="s">
        <v>2419</v>
      </c>
      <c r="B939" s="153" t="s">
        <v>2420</v>
      </c>
    </row>
    <row r="940" spans="1:2">
      <c r="A940" s="153" t="s">
        <v>2421</v>
      </c>
      <c r="B940" s="153" t="s">
        <v>2422</v>
      </c>
    </row>
    <row r="941" spans="1:2">
      <c r="A941" s="153" t="s">
        <v>2423</v>
      </c>
      <c r="B941" s="153" t="s">
        <v>2424</v>
      </c>
    </row>
    <row r="942" spans="1:2">
      <c r="A942" s="153" t="s">
        <v>2425</v>
      </c>
      <c r="B942" s="153" t="s">
        <v>2426</v>
      </c>
    </row>
    <row r="943" spans="1:2">
      <c r="A943" s="153" t="s">
        <v>2427</v>
      </c>
      <c r="B943" s="153" t="s">
        <v>2428</v>
      </c>
    </row>
    <row r="944" spans="1:2">
      <c r="A944" s="153" t="s">
        <v>2429</v>
      </c>
      <c r="B944" s="153" t="s">
        <v>2430</v>
      </c>
    </row>
    <row r="945" spans="1:2">
      <c r="A945" s="153" t="s">
        <v>2431</v>
      </c>
      <c r="B945" s="153" t="s">
        <v>2432</v>
      </c>
    </row>
    <row r="946" spans="1:2">
      <c r="A946" s="153" t="s">
        <v>2433</v>
      </c>
      <c r="B946" s="153" t="s">
        <v>2434</v>
      </c>
    </row>
    <row r="947" spans="1:2">
      <c r="A947" s="153" t="s">
        <v>2435</v>
      </c>
      <c r="B947" s="153" t="s">
        <v>2436</v>
      </c>
    </row>
    <row r="948" spans="1:2">
      <c r="A948" s="153" t="s">
        <v>2437</v>
      </c>
      <c r="B948" s="153" t="s">
        <v>2438</v>
      </c>
    </row>
    <row r="949" spans="1:2">
      <c r="A949" s="153" t="s">
        <v>2439</v>
      </c>
      <c r="B949" s="153" t="s">
        <v>2440</v>
      </c>
    </row>
    <row r="950" spans="1:2">
      <c r="A950" s="153" t="s">
        <v>2441</v>
      </c>
      <c r="B950" s="153" t="s">
        <v>2442</v>
      </c>
    </row>
    <row r="951" spans="1:2">
      <c r="A951" s="153" t="s">
        <v>2443</v>
      </c>
      <c r="B951" s="153" t="s">
        <v>2444</v>
      </c>
    </row>
    <row r="952" spans="1:2">
      <c r="A952" s="153" t="s">
        <v>2445</v>
      </c>
      <c r="B952" s="153" t="s">
        <v>2446</v>
      </c>
    </row>
    <row r="953" spans="1:2">
      <c r="A953" s="153" t="s">
        <v>2447</v>
      </c>
      <c r="B953" s="153" t="s">
        <v>2448</v>
      </c>
    </row>
    <row r="954" spans="1:2">
      <c r="A954" s="153" t="s">
        <v>2449</v>
      </c>
      <c r="B954" s="153" t="s">
        <v>2450</v>
      </c>
    </row>
    <row r="955" spans="1:2">
      <c r="A955" s="153" t="s">
        <v>2451</v>
      </c>
      <c r="B955" s="153" t="s">
        <v>2452</v>
      </c>
    </row>
    <row r="956" spans="1:2">
      <c r="A956" s="153" t="s">
        <v>2453</v>
      </c>
      <c r="B956" s="153" t="s">
        <v>2454</v>
      </c>
    </row>
    <row r="957" spans="1:2">
      <c r="A957" s="153" t="s">
        <v>2455</v>
      </c>
      <c r="B957" s="153" t="s">
        <v>2456</v>
      </c>
    </row>
    <row r="958" spans="1:2">
      <c r="A958" s="153" t="s">
        <v>2457</v>
      </c>
      <c r="B958" s="153" t="s">
        <v>2458</v>
      </c>
    </row>
    <row r="959" spans="1:2">
      <c r="A959" s="153" t="s">
        <v>2459</v>
      </c>
      <c r="B959" s="153" t="s">
        <v>2460</v>
      </c>
    </row>
    <row r="960" spans="1:2">
      <c r="A960" s="153" t="s">
        <v>2461</v>
      </c>
      <c r="B960" s="153" t="s">
        <v>2462</v>
      </c>
    </row>
    <row r="961" spans="1:2">
      <c r="A961" s="153" t="s">
        <v>2463</v>
      </c>
      <c r="B961" s="153" t="s">
        <v>2464</v>
      </c>
    </row>
    <row r="962" spans="1:2">
      <c r="A962" s="153" t="s">
        <v>2465</v>
      </c>
      <c r="B962" s="153" t="s">
        <v>2466</v>
      </c>
    </row>
    <row r="963" spans="1:2">
      <c r="A963" s="153" t="s">
        <v>2467</v>
      </c>
      <c r="B963" s="153" t="s">
        <v>2468</v>
      </c>
    </row>
    <row r="964" spans="1:2">
      <c r="A964" s="153" t="s">
        <v>2469</v>
      </c>
      <c r="B964" s="153" t="s">
        <v>2470</v>
      </c>
    </row>
    <row r="965" spans="1:2">
      <c r="A965" s="153" t="s">
        <v>2471</v>
      </c>
      <c r="B965" s="153" t="s">
        <v>2472</v>
      </c>
    </row>
    <row r="966" spans="1:2">
      <c r="A966" s="153" t="s">
        <v>2473</v>
      </c>
      <c r="B966" s="153" t="s">
        <v>306</v>
      </c>
    </row>
    <row r="967" spans="1:2">
      <c r="A967" s="153" t="s">
        <v>2474</v>
      </c>
      <c r="B967" s="153" t="s">
        <v>2475</v>
      </c>
    </row>
    <row r="968" spans="1:2">
      <c r="A968" s="153" t="s">
        <v>2476</v>
      </c>
      <c r="B968" s="153" t="s">
        <v>2477</v>
      </c>
    </row>
    <row r="969" spans="1:2">
      <c r="A969" s="153" t="s">
        <v>2478</v>
      </c>
      <c r="B969" s="153" t="s">
        <v>2479</v>
      </c>
    </row>
    <row r="970" spans="1:2">
      <c r="A970" s="153" t="s">
        <v>2480</v>
      </c>
      <c r="B970" s="153" t="s">
        <v>2481</v>
      </c>
    </row>
    <row r="971" spans="1:2">
      <c r="A971" s="153" t="s">
        <v>2482</v>
      </c>
      <c r="B971" s="153" t="s">
        <v>2483</v>
      </c>
    </row>
    <row r="972" spans="1:2">
      <c r="A972" s="153" t="s">
        <v>2484</v>
      </c>
      <c r="B972" s="153" t="s">
        <v>2485</v>
      </c>
    </row>
    <row r="973" spans="1:2">
      <c r="A973" s="153" t="s">
        <v>2486</v>
      </c>
      <c r="B973" s="153" t="s">
        <v>2487</v>
      </c>
    </row>
    <row r="974" spans="1:2">
      <c r="A974" s="153" t="s">
        <v>2488</v>
      </c>
      <c r="B974" s="153" t="s">
        <v>2489</v>
      </c>
    </row>
    <row r="975" spans="1:2">
      <c r="A975" s="153" t="s">
        <v>2490</v>
      </c>
      <c r="B975" s="153" t="s">
        <v>2491</v>
      </c>
    </row>
    <row r="976" spans="1:2">
      <c r="A976" s="153" t="s">
        <v>2492</v>
      </c>
      <c r="B976" s="153" t="s">
        <v>2493</v>
      </c>
    </row>
    <row r="977" spans="1:2">
      <c r="A977" s="153" t="s">
        <v>2494</v>
      </c>
      <c r="B977" s="153" t="s">
        <v>2495</v>
      </c>
    </row>
    <row r="978" spans="1:2">
      <c r="A978" s="153" t="s">
        <v>2496</v>
      </c>
      <c r="B978" s="153" t="s">
        <v>2497</v>
      </c>
    </row>
    <row r="979" spans="1:2">
      <c r="A979" s="153" t="s">
        <v>2498</v>
      </c>
      <c r="B979" s="153" t="s">
        <v>2499</v>
      </c>
    </row>
    <row r="980" spans="1:2">
      <c r="A980" s="153" t="s">
        <v>2500</v>
      </c>
      <c r="B980" s="153" t="s">
        <v>2501</v>
      </c>
    </row>
    <row r="981" spans="1:2">
      <c r="A981" s="153" t="s">
        <v>2502</v>
      </c>
      <c r="B981" s="153" t="s">
        <v>2503</v>
      </c>
    </row>
    <row r="982" spans="1:2">
      <c r="A982" s="153" t="s">
        <v>2504</v>
      </c>
      <c r="B982" s="153" t="s">
        <v>2505</v>
      </c>
    </row>
    <row r="983" spans="1:2">
      <c r="A983" s="153" t="s">
        <v>2506</v>
      </c>
      <c r="B983" s="153" t="s">
        <v>2507</v>
      </c>
    </row>
    <row r="984" spans="1:2">
      <c r="A984" s="153" t="s">
        <v>2508</v>
      </c>
      <c r="B984" s="153" t="s">
        <v>2509</v>
      </c>
    </row>
    <row r="985" spans="1:2">
      <c r="A985" s="153" t="s">
        <v>2510</v>
      </c>
      <c r="B985" s="153" t="s">
        <v>2511</v>
      </c>
    </row>
    <row r="986" spans="1:2">
      <c r="A986" s="153" t="s">
        <v>2512</v>
      </c>
      <c r="B986" s="153" t="s">
        <v>2513</v>
      </c>
    </row>
    <row r="987" spans="1:2">
      <c r="A987" s="153" t="s">
        <v>2514</v>
      </c>
      <c r="B987" s="153" t="s">
        <v>2515</v>
      </c>
    </row>
    <row r="988" spans="1:2">
      <c r="A988" s="153" t="s">
        <v>2516</v>
      </c>
      <c r="B988" s="153" t="s">
        <v>2517</v>
      </c>
    </row>
    <row r="989" spans="1:2">
      <c r="A989" s="153" t="s">
        <v>2518</v>
      </c>
      <c r="B989" s="153" t="s">
        <v>2519</v>
      </c>
    </row>
    <row r="990" spans="1:2">
      <c r="A990" s="153" t="s">
        <v>2520</v>
      </c>
      <c r="B990" s="153" t="s">
        <v>2521</v>
      </c>
    </row>
    <row r="991" spans="1:2">
      <c r="A991" s="153" t="s">
        <v>2522</v>
      </c>
      <c r="B991" s="153" t="s">
        <v>311</v>
      </c>
    </row>
    <row r="992" spans="1:2">
      <c r="A992" s="153" t="s">
        <v>2523</v>
      </c>
      <c r="B992" s="153" t="s">
        <v>2524</v>
      </c>
    </row>
    <row r="993" spans="1:2">
      <c r="A993" s="153" t="s">
        <v>2525</v>
      </c>
      <c r="B993" s="153" t="s">
        <v>2526</v>
      </c>
    </row>
    <row r="994" spans="1:2">
      <c r="A994" s="153" t="s">
        <v>2527</v>
      </c>
      <c r="B994" s="153" t="s">
        <v>2528</v>
      </c>
    </row>
    <row r="995" spans="1:2">
      <c r="A995" s="153" t="s">
        <v>2529</v>
      </c>
      <c r="B995" s="153" t="s">
        <v>2530</v>
      </c>
    </row>
    <row r="996" spans="1:2">
      <c r="A996" s="153" t="s">
        <v>2531</v>
      </c>
      <c r="B996" s="153" t="s">
        <v>2532</v>
      </c>
    </row>
    <row r="997" spans="1:2">
      <c r="A997" s="153" t="s">
        <v>2533</v>
      </c>
      <c r="B997" s="153" t="s">
        <v>2534</v>
      </c>
    </row>
    <row r="998" spans="1:2">
      <c r="A998" s="153" t="s">
        <v>2535</v>
      </c>
      <c r="B998" s="153" t="s">
        <v>2536</v>
      </c>
    </row>
    <row r="999" spans="1:2">
      <c r="A999" s="153" t="s">
        <v>2537</v>
      </c>
      <c r="B999" s="153" t="s">
        <v>2538</v>
      </c>
    </row>
    <row r="1000" spans="1:2">
      <c r="A1000" s="153" t="s">
        <v>2539</v>
      </c>
      <c r="B1000" s="153" t="s">
        <v>2540</v>
      </c>
    </row>
    <row r="1001" spans="1:2">
      <c r="A1001" s="153" t="s">
        <v>2541</v>
      </c>
      <c r="B1001" s="153" t="s">
        <v>2542</v>
      </c>
    </row>
    <row r="1002" spans="1:2">
      <c r="A1002" s="153" t="s">
        <v>2543</v>
      </c>
      <c r="B1002" s="153" t="s">
        <v>2544</v>
      </c>
    </row>
    <row r="1003" spans="1:2">
      <c r="A1003" s="153" t="s">
        <v>2545</v>
      </c>
      <c r="B1003" s="153" t="s">
        <v>2546</v>
      </c>
    </row>
    <row r="1004" spans="1:2">
      <c r="A1004" s="153" t="s">
        <v>2547</v>
      </c>
      <c r="B1004" s="153" t="s">
        <v>2548</v>
      </c>
    </row>
    <row r="1005" spans="1:2">
      <c r="A1005" s="153" t="s">
        <v>2549</v>
      </c>
      <c r="B1005" s="153" t="s">
        <v>2550</v>
      </c>
    </row>
    <row r="1006" spans="1:2">
      <c r="A1006" s="153" t="s">
        <v>2551</v>
      </c>
      <c r="B1006" s="153" t="s">
        <v>2552</v>
      </c>
    </row>
    <row r="1007" spans="1:2">
      <c r="A1007" s="153" t="s">
        <v>2553</v>
      </c>
      <c r="B1007" s="153" t="s">
        <v>2554</v>
      </c>
    </row>
    <row r="1008" spans="1:2">
      <c r="A1008" s="153" t="s">
        <v>2555</v>
      </c>
      <c r="B1008" s="153" t="s">
        <v>2556</v>
      </c>
    </row>
    <row r="1009" spans="1:2">
      <c r="A1009" s="153" t="s">
        <v>2557</v>
      </c>
      <c r="B1009" s="153" t="s">
        <v>2558</v>
      </c>
    </row>
    <row r="1010" spans="1:2">
      <c r="A1010" s="153" t="s">
        <v>2559</v>
      </c>
      <c r="B1010" s="153" t="s">
        <v>2560</v>
      </c>
    </row>
    <row r="1011" spans="1:2">
      <c r="A1011" s="153" t="s">
        <v>2561</v>
      </c>
      <c r="B1011" s="153" t="s">
        <v>2562</v>
      </c>
    </row>
    <row r="1012" spans="1:2">
      <c r="A1012" s="153" t="s">
        <v>2563</v>
      </c>
      <c r="B1012" s="153" t="s">
        <v>2564</v>
      </c>
    </row>
    <row r="1013" spans="1:2">
      <c r="A1013" s="153" t="s">
        <v>2565</v>
      </c>
      <c r="B1013" s="153" t="s">
        <v>2566</v>
      </c>
    </row>
    <row r="1014" spans="1:2">
      <c r="A1014" s="153" t="s">
        <v>2567</v>
      </c>
      <c r="B1014" s="153" t="s">
        <v>2568</v>
      </c>
    </row>
    <row r="1015" spans="1:2">
      <c r="A1015" s="153" t="s">
        <v>2569</v>
      </c>
      <c r="B1015" s="153" t="s">
        <v>2570</v>
      </c>
    </row>
    <row r="1016" spans="1:2">
      <c r="A1016" s="153" t="s">
        <v>2571</v>
      </c>
      <c r="B1016" s="153" t="s">
        <v>2572</v>
      </c>
    </row>
    <row r="1017" spans="1:2">
      <c r="A1017" s="153" t="s">
        <v>2573</v>
      </c>
      <c r="B1017" s="153" t="s">
        <v>2574</v>
      </c>
    </row>
    <row r="1018" spans="1:2">
      <c r="A1018" s="153" t="s">
        <v>2575</v>
      </c>
      <c r="B1018" s="153" t="s">
        <v>2576</v>
      </c>
    </row>
    <row r="1019" spans="1:2">
      <c r="A1019" s="153" t="s">
        <v>2577</v>
      </c>
      <c r="B1019" s="153" t="s">
        <v>2578</v>
      </c>
    </row>
    <row r="1020" spans="1:2">
      <c r="A1020" s="153" t="s">
        <v>2579</v>
      </c>
      <c r="B1020" s="153" t="s">
        <v>2580</v>
      </c>
    </row>
    <row r="1021" spans="1:2">
      <c r="A1021" s="153" t="s">
        <v>2581</v>
      </c>
      <c r="B1021" s="153" t="s">
        <v>2582</v>
      </c>
    </row>
    <row r="1022" spans="1:2">
      <c r="A1022" s="153" t="s">
        <v>2583</v>
      </c>
      <c r="B1022" s="153" t="s">
        <v>2584</v>
      </c>
    </row>
    <row r="1023" spans="1:2">
      <c r="A1023" s="153" t="s">
        <v>2585</v>
      </c>
      <c r="B1023" s="153" t="s">
        <v>2586</v>
      </c>
    </row>
    <row r="1024" spans="1:2">
      <c r="A1024" s="153" t="s">
        <v>2587</v>
      </c>
      <c r="B1024" s="153" t="s">
        <v>2588</v>
      </c>
    </row>
    <row r="1025" spans="1:2">
      <c r="A1025" s="153" t="s">
        <v>2589</v>
      </c>
      <c r="B1025" s="153" t="s">
        <v>2590</v>
      </c>
    </row>
    <row r="1026" spans="1:2">
      <c r="A1026" s="153" t="s">
        <v>2591</v>
      </c>
      <c r="B1026" s="153" t="s">
        <v>2592</v>
      </c>
    </row>
    <row r="1027" spans="1:2">
      <c r="A1027" s="153" t="s">
        <v>2593</v>
      </c>
      <c r="B1027" s="153" t="s">
        <v>2594</v>
      </c>
    </row>
    <row r="1028" spans="1:2">
      <c r="A1028" s="153" t="s">
        <v>2595</v>
      </c>
      <c r="B1028" s="153" t="s">
        <v>2596</v>
      </c>
    </row>
    <row r="1029" spans="1:2">
      <c r="A1029" s="153" t="s">
        <v>2597</v>
      </c>
      <c r="B1029" s="153" t="s">
        <v>2598</v>
      </c>
    </row>
    <row r="1030" spans="1:2">
      <c r="A1030" s="153" t="s">
        <v>2599</v>
      </c>
      <c r="B1030" s="153" t="s">
        <v>2600</v>
      </c>
    </row>
    <row r="1031" spans="1:2">
      <c r="A1031" s="153" t="s">
        <v>2601</v>
      </c>
      <c r="B1031" s="153" t="s">
        <v>2602</v>
      </c>
    </row>
    <row r="1032" spans="1:2">
      <c r="A1032" s="153" t="s">
        <v>2603</v>
      </c>
      <c r="B1032" s="153" t="s">
        <v>2604</v>
      </c>
    </row>
    <row r="1033" spans="1:2">
      <c r="A1033" s="153" t="s">
        <v>2605</v>
      </c>
      <c r="B1033" s="153" t="s">
        <v>2606</v>
      </c>
    </row>
    <row r="1034" spans="1:2">
      <c r="A1034" s="153" t="s">
        <v>2607</v>
      </c>
      <c r="B1034" s="153" t="s">
        <v>2608</v>
      </c>
    </row>
    <row r="1035" spans="1:2">
      <c r="A1035" s="153" t="s">
        <v>2609</v>
      </c>
      <c r="B1035" s="153" t="s">
        <v>2610</v>
      </c>
    </row>
    <row r="1036" spans="1:2">
      <c r="A1036" s="153" t="s">
        <v>2611</v>
      </c>
      <c r="B1036" s="153" t="s">
        <v>2612</v>
      </c>
    </row>
    <row r="1037" spans="1:2">
      <c r="A1037" s="153" t="s">
        <v>2613</v>
      </c>
      <c r="B1037" s="153" t="s">
        <v>2614</v>
      </c>
    </row>
    <row r="1038" spans="1:2">
      <c r="A1038" s="153" t="s">
        <v>2615</v>
      </c>
      <c r="B1038" s="153" t="s">
        <v>2616</v>
      </c>
    </row>
    <row r="1039" spans="1:2">
      <c r="A1039" s="153" t="s">
        <v>2617</v>
      </c>
      <c r="B1039" s="153" t="s">
        <v>2618</v>
      </c>
    </row>
    <row r="1040" spans="1:2">
      <c r="A1040" s="153" t="s">
        <v>2619</v>
      </c>
      <c r="B1040" s="153" t="s">
        <v>2620</v>
      </c>
    </row>
    <row r="1041" spans="1:2">
      <c r="A1041" s="153" t="s">
        <v>2621</v>
      </c>
      <c r="B1041" s="153" t="s">
        <v>2622</v>
      </c>
    </row>
    <row r="1042" spans="1:2">
      <c r="A1042" s="153" t="s">
        <v>2623</v>
      </c>
      <c r="B1042" s="153" t="s">
        <v>2624</v>
      </c>
    </row>
    <row r="1043" spans="1:2">
      <c r="A1043" s="153" t="s">
        <v>2625</v>
      </c>
      <c r="B1043" s="153" t="s">
        <v>2626</v>
      </c>
    </row>
    <row r="1044" spans="1:2">
      <c r="A1044" s="153" t="s">
        <v>2627</v>
      </c>
      <c r="B1044" s="153" t="s">
        <v>2628</v>
      </c>
    </row>
    <row r="1045" spans="1:2">
      <c r="A1045" s="153" t="s">
        <v>2629</v>
      </c>
      <c r="B1045" s="153" t="s">
        <v>2630</v>
      </c>
    </row>
    <row r="1046" spans="1:2">
      <c r="A1046" s="153" t="s">
        <v>2631</v>
      </c>
      <c r="B1046" s="153" t="s">
        <v>2632</v>
      </c>
    </row>
    <row r="1047" spans="1:2">
      <c r="A1047" s="153" t="s">
        <v>2633</v>
      </c>
      <c r="B1047" s="153" t="s">
        <v>2634</v>
      </c>
    </row>
    <row r="1048" spans="1:2">
      <c r="A1048" s="153" t="s">
        <v>2635</v>
      </c>
      <c r="B1048" s="153" t="s">
        <v>2636</v>
      </c>
    </row>
    <row r="1049" spans="1:2">
      <c r="A1049" s="153" t="s">
        <v>2637</v>
      </c>
      <c r="B1049" s="153" t="s">
        <v>2638</v>
      </c>
    </row>
    <row r="1050" spans="1:2">
      <c r="A1050" s="153" t="s">
        <v>2639</v>
      </c>
      <c r="B1050" s="153" t="s">
        <v>2640</v>
      </c>
    </row>
    <row r="1051" spans="1:2">
      <c r="A1051" s="153" t="s">
        <v>2641</v>
      </c>
      <c r="B1051" s="153" t="s">
        <v>2642</v>
      </c>
    </row>
    <row r="1052" spans="1:2">
      <c r="A1052" s="153" t="s">
        <v>2643</v>
      </c>
      <c r="B1052" s="153" t="s">
        <v>2644</v>
      </c>
    </row>
    <row r="1053" spans="1:2">
      <c r="A1053" s="153" t="s">
        <v>2645</v>
      </c>
      <c r="B1053" s="153" t="s">
        <v>2646</v>
      </c>
    </row>
    <row r="1054" spans="1:2">
      <c r="A1054" s="153" t="s">
        <v>2647</v>
      </c>
      <c r="B1054" s="153" t="s">
        <v>2648</v>
      </c>
    </row>
    <row r="1055" spans="1:2">
      <c r="A1055" s="153" t="s">
        <v>2649</v>
      </c>
      <c r="B1055" s="153" t="s">
        <v>2650</v>
      </c>
    </row>
    <row r="1056" spans="1:2">
      <c r="A1056" s="153" t="s">
        <v>2651</v>
      </c>
      <c r="B1056" s="153" t="s">
        <v>2652</v>
      </c>
    </row>
    <row r="1057" spans="1:2">
      <c r="A1057" s="153" t="s">
        <v>2653</v>
      </c>
      <c r="B1057" s="153" t="s">
        <v>2654</v>
      </c>
    </row>
    <row r="1058" spans="1:2">
      <c r="A1058" s="153" t="s">
        <v>2655</v>
      </c>
      <c r="B1058" s="153" t="s">
        <v>2656</v>
      </c>
    </row>
    <row r="1059" spans="1:2">
      <c r="A1059" s="153" t="s">
        <v>2657</v>
      </c>
      <c r="B1059" s="153" t="s">
        <v>2658</v>
      </c>
    </row>
    <row r="1060" spans="1:2">
      <c r="A1060" s="153" t="s">
        <v>2659</v>
      </c>
      <c r="B1060" s="153" t="s">
        <v>2660</v>
      </c>
    </row>
    <row r="1061" spans="1:2">
      <c r="A1061" s="153" t="s">
        <v>2661</v>
      </c>
      <c r="B1061" s="153" t="s">
        <v>2662</v>
      </c>
    </row>
    <row r="1062" spans="1:2">
      <c r="A1062" s="153" t="s">
        <v>2663</v>
      </c>
      <c r="B1062" s="153" t="s">
        <v>2664</v>
      </c>
    </row>
    <row r="1063" spans="1:2">
      <c r="A1063" s="153" t="s">
        <v>2665</v>
      </c>
      <c r="B1063" s="153" t="s">
        <v>2666</v>
      </c>
    </row>
    <row r="1064" spans="1:2">
      <c r="A1064" s="153" t="s">
        <v>2667</v>
      </c>
      <c r="B1064" s="153" t="s">
        <v>2668</v>
      </c>
    </row>
    <row r="1065" spans="1:2">
      <c r="A1065" s="153" t="s">
        <v>2669</v>
      </c>
      <c r="B1065" s="153" t="s">
        <v>2670</v>
      </c>
    </row>
    <row r="1066" spans="1:2">
      <c r="A1066" s="153" t="s">
        <v>2671</v>
      </c>
      <c r="B1066" s="153" t="s">
        <v>2672</v>
      </c>
    </row>
    <row r="1067" spans="1:2">
      <c r="A1067" s="153" t="s">
        <v>2673</v>
      </c>
      <c r="B1067" s="153" t="s">
        <v>2674</v>
      </c>
    </row>
    <row r="1068" spans="1:2">
      <c r="A1068" s="153" t="s">
        <v>2675</v>
      </c>
      <c r="B1068" s="153" t="s">
        <v>2676</v>
      </c>
    </row>
    <row r="1069" spans="1:2">
      <c r="A1069" s="153" t="s">
        <v>2677</v>
      </c>
      <c r="B1069" s="153" t="s">
        <v>2678</v>
      </c>
    </row>
    <row r="1070" spans="1:2">
      <c r="A1070" s="153" t="s">
        <v>2679</v>
      </c>
      <c r="B1070" s="153" t="s">
        <v>2680</v>
      </c>
    </row>
    <row r="1071" spans="1:2">
      <c r="A1071" s="153" t="s">
        <v>2681</v>
      </c>
      <c r="B1071" s="153" t="s">
        <v>2682</v>
      </c>
    </row>
    <row r="1072" spans="1:2">
      <c r="A1072" s="153" t="s">
        <v>2683</v>
      </c>
      <c r="B1072" s="153" t="s">
        <v>2684</v>
      </c>
    </row>
    <row r="1073" spans="1:2">
      <c r="A1073" s="153" t="s">
        <v>2685</v>
      </c>
      <c r="B1073" s="153" t="s">
        <v>2686</v>
      </c>
    </row>
    <row r="1074" spans="1:2">
      <c r="A1074" s="153" t="s">
        <v>2687</v>
      </c>
      <c r="B1074" s="153" t="s">
        <v>2688</v>
      </c>
    </row>
    <row r="1075" spans="1:2">
      <c r="A1075" s="153" t="s">
        <v>2689</v>
      </c>
      <c r="B1075" s="153" t="s">
        <v>2690</v>
      </c>
    </row>
    <row r="1076" spans="1:2">
      <c r="A1076" s="153" t="s">
        <v>2691</v>
      </c>
      <c r="B1076" s="153" t="s">
        <v>2692</v>
      </c>
    </row>
    <row r="1077" spans="1:2">
      <c r="A1077" s="153" t="s">
        <v>2693</v>
      </c>
      <c r="B1077" s="153" t="s">
        <v>2694</v>
      </c>
    </row>
    <row r="1078" spans="1:2">
      <c r="A1078" s="153" t="s">
        <v>2695</v>
      </c>
      <c r="B1078" s="153" t="s">
        <v>2696</v>
      </c>
    </row>
    <row r="1079" spans="1:2">
      <c r="A1079" s="153" t="s">
        <v>2697</v>
      </c>
      <c r="B1079" s="153" t="s">
        <v>2698</v>
      </c>
    </row>
    <row r="1080" spans="1:2">
      <c r="A1080" s="153" t="s">
        <v>2699</v>
      </c>
      <c r="B1080" s="153" t="s">
        <v>2700</v>
      </c>
    </row>
    <row r="1081" spans="1:2">
      <c r="A1081" s="153" t="s">
        <v>2701</v>
      </c>
      <c r="B1081" s="153" t="s">
        <v>2702</v>
      </c>
    </row>
    <row r="1082" spans="1:2">
      <c r="A1082" s="153" t="s">
        <v>2703</v>
      </c>
      <c r="B1082" s="153" t="s">
        <v>2704</v>
      </c>
    </row>
    <row r="1083" spans="1:2">
      <c r="A1083" s="153" t="s">
        <v>2705</v>
      </c>
      <c r="B1083" s="153" t="s">
        <v>2706</v>
      </c>
    </row>
    <row r="1084" spans="1:2">
      <c r="A1084" s="153" t="s">
        <v>2707</v>
      </c>
      <c r="B1084" s="153" t="s">
        <v>2708</v>
      </c>
    </row>
    <row r="1085" spans="1:2">
      <c r="A1085" s="153" t="s">
        <v>2709</v>
      </c>
      <c r="B1085" s="153" t="s">
        <v>2710</v>
      </c>
    </row>
    <row r="1086" spans="1:2">
      <c r="A1086" s="153" t="s">
        <v>2711</v>
      </c>
      <c r="B1086" s="153" t="s">
        <v>2712</v>
      </c>
    </row>
    <row r="1087" spans="1:2">
      <c r="A1087" s="153" t="s">
        <v>2713</v>
      </c>
      <c r="B1087" s="153" t="s">
        <v>2714</v>
      </c>
    </row>
    <row r="1088" spans="1:2">
      <c r="A1088" s="153" t="s">
        <v>2715</v>
      </c>
      <c r="B1088" s="153" t="s">
        <v>2716</v>
      </c>
    </row>
    <row r="1089" spans="1:2">
      <c r="A1089" s="153" t="s">
        <v>2717</v>
      </c>
      <c r="B1089" s="153" t="s">
        <v>2718</v>
      </c>
    </row>
    <row r="1090" spans="1:2">
      <c r="A1090" s="153" t="s">
        <v>2719</v>
      </c>
      <c r="B1090" s="153" t="s">
        <v>2720</v>
      </c>
    </row>
    <row r="1091" spans="1:2">
      <c r="A1091" s="153" t="s">
        <v>2721</v>
      </c>
      <c r="B1091" s="153" t="s">
        <v>2722</v>
      </c>
    </row>
    <row r="1092" spans="1:2">
      <c r="A1092" s="153" t="s">
        <v>2723</v>
      </c>
      <c r="B1092" s="153" t="s">
        <v>2724</v>
      </c>
    </row>
    <row r="1093" spans="1:2">
      <c r="A1093" s="153" t="s">
        <v>2725</v>
      </c>
      <c r="B1093" s="153" t="s">
        <v>2726</v>
      </c>
    </row>
    <row r="1094" spans="1:2">
      <c r="A1094" s="153" t="s">
        <v>2727</v>
      </c>
      <c r="B1094" s="153" t="s">
        <v>2728</v>
      </c>
    </row>
    <row r="1095" spans="1:2">
      <c r="A1095" s="153" t="s">
        <v>2729</v>
      </c>
      <c r="B1095" s="153" t="s">
        <v>2730</v>
      </c>
    </row>
    <row r="1096" spans="1:2">
      <c r="A1096" s="153" t="s">
        <v>2731</v>
      </c>
      <c r="B1096" s="153" t="s">
        <v>2732</v>
      </c>
    </row>
    <row r="1097" spans="1:2">
      <c r="A1097" s="153" t="s">
        <v>2733</v>
      </c>
      <c r="B1097" s="153" t="s">
        <v>2734</v>
      </c>
    </row>
    <row r="1098" spans="1:2">
      <c r="A1098" s="153" t="s">
        <v>2735</v>
      </c>
      <c r="B1098" s="153" t="s">
        <v>2736</v>
      </c>
    </row>
    <row r="1099" spans="1:2">
      <c r="A1099" s="153" t="s">
        <v>2737</v>
      </c>
      <c r="B1099" s="153" t="s">
        <v>2738</v>
      </c>
    </row>
    <row r="1100" spans="1:2">
      <c r="A1100" s="153" t="s">
        <v>2739</v>
      </c>
      <c r="B1100" s="153" t="s">
        <v>2740</v>
      </c>
    </row>
    <row r="1101" spans="1:2">
      <c r="A1101" s="153" t="s">
        <v>2741</v>
      </c>
      <c r="B1101" s="153" t="s">
        <v>2742</v>
      </c>
    </row>
    <row r="1102" spans="1:2">
      <c r="A1102" s="153" t="s">
        <v>2743</v>
      </c>
      <c r="B1102" s="153" t="s">
        <v>2744</v>
      </c>
    </row>
    <row r="1103" spans="1:2">
      <c r="A1103" s="153" t="s">
        <v>2745</v>
      </c>
      <c r="B1103" s="153" t="s">
        <v>2746</v>
      </c>
    </row>
    <row r="1104" spans="1:2">
      <c r="A1104" s="153" t="s">
        <v>2747</v>
      </c>
      <c r="B1104" s="153" t="s">
        <v>2748</v>
      </c>
    </row>
    <row r="1105" spans="1:2">
      <c r="A1105" s="153" t="s">
        <v>2749</v>
      </c>
      <c r="B1105" s="153" t="s">
        <v>2750</v>
      </c>
    </row>
    <row r="1106" spans="1:2">
      <c r="A1106" s="153" t="s">
        <v>2751</v>
      </c>
      <c r="B1106" s="153" t="s">
        <v>2752</v>
      </c>
    </row>
    <row r="1107" spans="1:2">
      <c r="A1107" s="153" t="s">
        <v>2753</v>
      </c>
      <c r="B1107" s="153" t="s">
        <v>2754</v>
      </c>
    </row>
    <row r="1108" spans="1:2">
      <c r="A1108" s="153" t="s">
        <v>2755</v>
      </c>
      <c r="B1108" s="153" t="s">
        <v>2756</v>
      </c>
    </row>
    <row r="1109" spans="1:2">
      <c r="A1109" s="153" t="s">
        <v>2757</v>
      </c>
      <c r="B1109" s="153" t="s">
        <v>2758</v>
      </c>
    </row>
    <row r="1110" spans="1:2">
      <c r="A1110" s="153" t="s">
        <v>2759</v>
      </c>
      <c r="B1110" s="153" t="s">
        <v>2760</v>
      </c>
    </row>
    <row r="1111" spans="1:2">
      <c r="A1111" s="153" t="s">
        <v>2761</v>
      </c>
      <c r="B1111" s="153" t="s">
        <v>2762</v>
      </c>
    </row>
    <row r="1112" spans="1:2">
      <c r="A1112" s="153" t="s">
        <v>2763</v>
      </c>
      <c r="B1112" s="153" t="s">
        <v>2764</v>
      </c>
    </row>
    <row r="1113" spans="1:2">
      <c r="A1113" s="153" t="s">
        <v>2765</v>
      </c>
      <c r="B1113" s="153" t="s">
        <v>2766</v>
      </c>
    </row>
    <row r="1114" spans="1:2">
      <c r="A1114" s="153" t="s">
        <v>2767</v>
      </c>
      <c r="B1114" s="153" t="s">
        <v>2768</v>
      </c>
    </row>
    <row r="1115" spans="1:2">
      <c r="A1115" s="153" t="s">
        <v>2769</v>
      </c>
      <c r="B1115" s="153" t="s">
        <v>2770</v>
      </c>
    </row>
    <row r="1116" spans="1:2">
      <c r="A1116" s="153" t="s">
        <v>2771</v>
      </c>
      <c r="B1116" s="153" t="s">
        <v>2772</v>
      </c>
    </row>
    <row r="1117" spans="1:2">
      <c r="A1117" s="153" t="s">
        <v>2773</v>
      </c>
      <c r="B1117" s="153" t="s">
        <v>2774</v>
      </c>
    </row>
    <row r="1118" spans="1:2">
      <c r="A1118" s="153" t="s">
        <v>2775</v>
      </c>
      <c r="B1118" s="153" t="s">
        <v>2776</v>
      </c>
    </row>
    <row r="1119" spans="1:2">
      <c r="A1119" s="153" t="s">
        <v>2777</v>
      </c>
      <c r="B1119" s="153" t="s">
        <v>2778</v>
      </c>
    </row>
    <row r="1120" spans="1:2">
      <c r="A1120" s="153" t="s">
        <v>2779</v>
      </c>
      <c r="B1120" s="153" t="s">
        <v>2780</v>
      </c>
    </row>
    <row r="1121" spans="1:2">
      <c r="A1121" s="153" t="s">
        <v>2781</v>
      </c>
      <c r="B1121" s="153" t="s">
        <v>2782</v>
      </c>
    </row>
    <row r="1122" spans="1:2">
      <c r="A1122" s="153" t="s">
        <v>2783</v>
      </c>
      <c r="B1122" s="153" t="s">
        <v>2784</v>
      </c>
    </row>
    <row r="1123" spans="1:2">
      <c r="A1123" s="153" t="s">
        <v>2785</v>
      </c>
      <c r="B1123" s="153" t="s">
        <v>2786</v>
      </c>
    </row>
    <row r="1124" spans="1:2">
      <c r="A1124" s="153" t="s">
        <v>2787</v>
      </c>
      <c r="B1124" s="153" t="s">
        <v>2788</v>
      </c>
    </row>
    <row r="1125" spans="1:2">
      <c r="A1125" s="153" t="s">
        <v>2789</v>
      </c>
      <c r="B1125" s="153" t="s">
        <v>2790</v>
      </c>
    </row>
    <row r="1126" spans="1:2">
      <c r="A1126" s="153" t="s">
        <v>2791</v>
      </c>
      <c r="B1126" s="153" t="s">
        <v>2792</v>
      </c>
    </row>
    <row r="1127" spans="1:2">
      <c r="A1127" s="153" t="s">
        <v>2793</v>
      </c>
      <c r="B1127" s="153" t="s">
        <v>2794</v>
      </c>
    </row>
    <row r="1128" spans="1:2">
      <c r="A1128" s="153" t="s">
        <v>2795</v>
      </c>
      <c r="B1128" s="153" t="s">
        <v>2796</v>
      </c>
    </row>
    <row r="1129" spans="1:2">
      <c r="A1129" s="153" t="s">
        <v>2797</v>
      </c>
      <c r="B1129" s="153" t="s">
        <v>2798</v>
      </c>
    </row>
    <row r="1130" spans="1:2">
      <c r="A1130" s="153" t="s">
        <v>2799</v>
      </c>
      <c r="B1130" s="153" t="s">
        <v>2800</v>
      </c>
    </row>
    <row r="1131" spans="1:2">
      <c r="A1131" s="153" t="s">
        <v>2801</v>
      </c>
      <c r="B1131" s="153" t="s">
        <v>2802</v>
      </c>
    </row>
    <row r="1132" spans="1:2">
      <c r="A1132" s="153" t="s">
        <v>2803</v>
      </c>
      <c r="B1132" s="153" t="s">
        <v>2804</v>
      </c>
    </row>
    <row r="1133" spans="1:2">
      <c r="A1133" s="153" t="s">
        <v>2805</v>
      </c>
      <c r="B1133" s="153" t="s">
        <v>2806</v>
      </c>
    </row>
    <row r="1134" spans="1:2">
      <c r="A1134" s="153" t="s">
        <v>2807</v>
      </c>
      <c r="B1134" s="153" t="s">
        <v>2808</v>
      </c>
    </row>
    <row r="1135" spans="1:2">
      <c r="A1135" s="153" t="s">
        <v>2809</v>
      </c>
      <c r="B1135" s="153" t="s">
        <v>2810</v>
      </c>
    </row>
    <row r="1136" spans="1:2">
      <c r="A1136" s="153" t="s">
        <v>2811</v>
      </c>
      <c r="B1136" s="153" t="s">
        <v>2812</v>
      </c>
    </row>
    <row r="1137" spans="1:2">
      <c r="A1137" s="153" t="s">
        <v>2813</v>
      </c>
      <c r="B1137" s="153" t="s">
        <v>2814</v>
      </c>
    </row>
    <row r="1138" spans="1:2">
      <c r="A1138" s="153" t="s">
        <v>2815</v>
      </c>
      <c r="B1138" s="153" t="s">
        <v>2816</v>
      </c>
    </row>
    <row r="1139" spans="1:2">
      <c r="A1139" s="153" t="s">
        <v>2817</v>
      </c>
      <c r="B1139" s="153" t="s">
        <v>2818</v>
      </c>
    </row>
    <row r="1140" spans="1:2">
      <c r="A1140" s="153" t="s">
        <v>2819</v>
      </c>
      <c r="B1140" s="153" t="s">
        <v>2820</v>
      </c>
    </row>
    <row r="1141" spans="1:2">
      <c r="A1141" s="153" t="s">
        <v>2821</v>
      </c>
      <c r="B1141" s="153" t="s">
        <v>2822</v>
      </c>
    </row>
    <row r="1142" spans="1:2">
      <c r="A1142" s="153" t="s">
        <v>2823</v>
      </c>
      <c r="B1142" s="153" t="s">
        <v>2824</v>
      </c>
    </row>
    <row r="1143" spans="1:2">
      <c r="A1143" s="153" t="s">
        <v>2825</v>
      </c>
      <c r="B1143" s="153" t="s">
        <v>2826</v>
      </c>
    </row>
    <row r="1144" spans="1:2">
      <c r="A1144" s="153" t="s">
        <v>2827</v>
      </c>
      <c r="B1144" s="153" t="s">
        <v>2828</v>
      </c>
    </row>
    <row r="1145" spans="1:2">
      <c r="A1145" s="153" t="s">
        <v>2829</v>
      </c>
      <c r="B1145" s="153" t="s">
        <v>2830</v>
      </c>
    </row>
    <row r="1146" spans="1:2">
      <c r="A1146" s="153" t="s">
        <v>2831</v>
      </c>
      <c r="B1146" s="153" t="s">
        <v>2832</v>
      </c>
    </row>
    <row r="1147" spans="1:2">
      <c r="A1147" s="153" t="s">
        <v>2833</v>
      </c>
      <c r="B1147" s="153" t="s">
        <v>2834</v>
      </c>
    </row>
    <row r="1148" spans="1:2">
      <c r="A1148" s="153" t="s">
        <v>2835</v>
      </c>
      <c r="B1148" s="153" t="s">
        <v>2836</v>
      </c>
    </row>
    <row r="1149" spans="1:2">
      <c r="A1149" s="153" t="s">
        <v>2837</v>
      </c>
      <c r="B1149" s="153" t="s">
        <v>2838</v>
      </c>
    </row>
    <row r="1150" spans="1:2">
      <c r="A1150" s="153" t="s">
        <v>2839</v>
      </c>
      <c r="B1150" s="153" t="s">
        <v>2840</v>
      </c>
    </row>
    <row r="1151" spans="1:2">
      <c r="A1151" s="153" t="s">
        <v>2841</v>
      </c>
      <c r="B1151" s="153" t="s">
        <v>2842</v>
      </c>
    </row>
    <row r="1152" spans="1:2">
      <c r="A1152" s="153" t="s">
        <v>2843</v>
      </c>
      <c r="B1152" s="153" t="s">
        <v>2844</v>
      </c>
    </row>
    <row r="1153" spans="1:2">
      <c r="A1153" s="153" t="s">
        <v>2845</v>
      </c>
      <c r="B1153" s="153" t="s">
        <v>2846</v>
      </c>
    </row>
    <row r="1154" spans="1:2">
      <c r="A1154" s="153" t="s">
        <v>2847</v>
      </c>
      <c r="B1154" s="153" t="s">
        <v>2848</v>
      </c>
    </row>
    <row r="1155" spans="1:2">
      <c r="A1155" s="153" t="s">
        <v>2849</v>
      </c>
      <c r="B1155" s="153" t="s">
        <v>2850</v>
      </c>
    </row>
    <row r="1156" spans="1:2">
      <c r="A1156" s="153" t="s">
        <v>2851</v>
      </c>
      <c r="B1156" s="153" t="s">
        <v>2852</v>
      </c>
    </row>
    <row r="1157" spans="1:2">
      <c r="A1157" s="153" t="s">
        <v>2853</v>
      </c>
      <c r="B1157" s="153" t="s">
        <v>2854</v>
      </c>
    </row>
    <row r="1158" spans="1:2">
      <c r="A1158" s="153" t="s">
        <v>2855</v>
      </c>
      <c r="B1158" s="153" t="s">
        <v>2856</v>
      </c>
    </row>
    <row r="1159" spans="1:2">
      <c r="A1159" s="153" t="s">
        <v>2857</v>
      </c>
      <c r="B1159" s="153" t="s">
        <v>2858</v>
      </c>
    </row>
    <row r="1160" spans="1:2">
      <c r="A1160" s="153" t="s">
        <v>2859</v>
      </c>
      <c r="B1160" s="153" t="s">
        <v>2860</v>
      </c>
    </row>
    <row r="1161" spans="1:2">
      <c r="A1161" s="153" t="s">
        <v>2861</v>
      </c>
      <c r="B1161" s="153" t="s">
        <v>2862</v>
      </c>
    </row>
    <row r="1162" spans="1:2">
      <c r="A1162" s="153" t="s">
        <v>2863</v>
      </c>
      <c r="B1162" s="153" t="s">
        <v>2864</v>
      </c>
    </row>
    <row r="1163" spans="1:2">
      <c r="A1163" s="153" t="s">
        <v>2865</v>
      </c>
      <c r="B1163" s="153" t="s">
        <v>2866</v>
      </c>
    </row>
    <row r="1164" spans="1:2">
      <c r="A1164" s="153" t="s">
        <v>2867</v>
      </c>
      <c r="B1164" s="153" t="s">
        <v>2868</v>
      </c>
    </row>
    <row r="1165" spans="1:2">
      <c r="A1165" s="153" t="s">
        <v>2869</v>
      </c>
      <c r="B1165" s="153" t="s">
        <v>2870</v>
      </c>
    </row>
    <row r="1166" spans="1:2">
      <c r="A1166" s="153" t="s">
        <v>2871</v>
      </c>
      <c r="B1166" s="153" t="s">
        <v>2872</v>
      </c>
    </row>
    <row r="1167" spans="1:2">
      <c r="A1167" s="153" t="s">
        <v>2873</v>
      </c>
      <c r="B1167" s="153" t="s">
        <v>2874</v>
      </c>
    </row>
    <row r="1168" spans="1:2">
      <c r="A1168" s="153" t="s">
        <v>2875</v>
      </c>
      <c r="B1168" s="153" t="s">
        <v>2876</v>
      </c>
    </row>
    <row r="1169" spans="1:2">
      <c r="A1169" s="153" t="s">
        <v>2877</v>
      </c>
      <c r="B1169" s="153" t="s">
        <v>2878</v>
      </c>
    </row>
    <row r="1170" spans="1:2">
      <c r="A1170" s="153" t="s">
        <v>2879</v>
      </c>
      <c r="B1170" s="153" t="s">
        <v>2880</v>
      </c>
    </row>
    <row r="1171" spans="1:2">
      <c r="A1171" s="153" t="s">
        <v>2881</v>
      </c>
      <c r="B1171" s="153" t="s">
        <v>2882</v>
      </c>
    </row>
    <row r="1172" spans="1:2">
      <c r="A1172" s="153" t="s">
        <v>2883</v>
      </c>
      <c r="B1172" s="153" t="s">
        <v>2884</v>
      </c>
    </row>
    <row r="1173" spans="1:2">
      <c r="A1173" s="153" t="s">
        <v>2885</v>
      </c>
      <c r="B1173" s="153" t="s">
        <v>2886</v>
      </c>
    </row>
    <row r="1174" spans="1:2">
      <c r="A1174" s="153" t="s">
        <v>2887</v>
      </c>
      <c r="B1174" s="153" t="s">
        <v>2888</v>
      </c>
    </row>
    <row r="1175" spans="1:2">
      <c r="A1175" s="153" t="s">
        <v>2889</v>
      </c>
      <c r="B1175" s="153" t="s">
        <v>2890</v>
      </c>
    </row>
    <row r="1176" spans="1:2">
      <c r="A1176" s="153" t="s">
        <v>2891</v>
      </c>
      <c r="B1176" s="153" t="s">
        <v>2892</v>
      </c>
    </row>
    <row r="1177" spans="1:2">
      <c r="A1177" s="153" t="s">
        <v>2893</v>
      </c>
      <c r="B1177" s="153" t="s">
        <v>2894</v>
      </c>
    </row>
    <row r="1178" spans="1:2">
      <c r="A1178" s="153" t="s">
        <v>2895</v>
      </c>
      <c r="B1178" s="153" t="s">
        <v>2896</v>
      </c>
    </row>
    <row r="1179" spans="1:2">
      <c r="A1179" s="153" t="s">
        <v>2897</v>
      </c>
      <c r="B1179" s="153" t="s">
        <v>2898</v>
      </c>
    </row>
    <row r="1180" spans="1:2">
      <c r="A1180" s="153" t="s">
        <v>2899</v>
      </c>
      <c r="B1180" s="153" t="s">
        <v>2900</v>
      </c>
    </row>
    <row r="1181" spans="1:2">
      <c r="A1181" s="153" t="s">
        <v>2901</v>
      </c>
      <c r="B1181" s="153" t="s">
        <v>2902</v>
      </c>
    </row>
    <row r="1182" spans="1:2">
      <c r="A1182" s="153" t="s">
        <v>2903</v>
      </c>
      <c r="B1182" s="153" t="s">
        <v>2904</v>
      </c>
    </row>
    <row r="1183" spans="1:2">
      <c r="A1183" s="153" t="s">
        <v>2905</v>
      </c>
      <c r="B1183" s="153" t="s">
        <v>2906</v>
      </c>
    </row>
    <row r="1184" spans="1:2">
      <c r="A1184" s="153" t="s">
        <v>2907</v>
      </c>
      <c r="B1184" s="153" t="s">
        <v>2908</v>
      </c>
    </row>
    <row r="1185" spans="1:2">
      <c r="A1185" s="153" t="s">
        <v>2909</v>
      </c>
      <c r="B1185" s="153" t="s">
        <v>2910</v>
      </c>
    </row>
    <row r="1186" spans="1:2">
      <c r="A1186" s="153" t="s">
        <v>2911</v>
      </c>
      <c r="B1186" s="153" t="s">
        <v>2912</v>
      </c>
    </row>
    <row r="1187" spans="1:2">
      <c r="A1187" s="153" t="s">
        <v>2913</v>
      </c>
      <c r="B1187" s="153" t="s">
        <v>2914</v>
      </c>
    </row>
    <row r="1188" spans="1:2">
      <c r="A1188" s="153" t="s">
        <v>2915</v>
      </c>
      <c r="B1188" s="153" t="s">
        <v>2916</v>
      </c>
    </row>
    <row r="1189" spans="1:2">
      <c r="A1189" s="153" t="s">
        <v>2917</v>
      </c>
      <c r="B1189" s="153" t="s">
        <v>2918</v>
      </c>
    </row>
    <row r="1190" spans="1:2">
      <c r="A1190" s="153" t="s">
        <v>2919</v>
      </c>
      <c r="B1190" s="153" t="s">
        <v>2920</v>
      </c>
    </row>
    <row r="1191" spans="1:2">
      <c r="A1191" s="153" t="s">
        <v>2921</v>
      </c>
      <c r="B1191" s="153" t="s">
        <v>2922</v>
      </c>
    </row>
    <row r="1192" spans="1:2">
      <c r="A1192" s="153" t="s">
        <v>2923</v>
      </c>
      <c r="B1192" s="153" t="s">
        <v>2924</v>
      </c>
    </row>
    <row r="1193" spans="1:2">
      <c r="A1193" s="153" t="s">
        <v>2925</v>
      </c>
      <c r="B1193" s="153" t="s">
        <v>2926</v>
      </c>
    </row>
    <row r="1194" spans="1:2">
      <c r="A1194" s="153" t="s">
        <v>2927</v>
      </c>
      <c r="B1194" s="153" t="s">
        <v>2928</v>
      </c>
    </row>
    <row r="1195" spans="1:2">
      <c r="A1195" s="153" t="s">
        <v>2929</v>
      </c>
      <c r="B1195" s="153" t="s">
        <v>2930</v>
      </c>
    </row>
    <row r="1196" spans="1:2">
      <c r="A1196" s="153" t="s">
        <v>2931</v>
      </c>
      <c r="B1196" s="153" t="s">
        <v>2932</v>
      </c>
    </row>
    <row r="1197" spans="1:2">
      <c r="A1197" s="153" t="s">
        <v>2933</v>
      </c>
      <c r="B1197" s="153" t="s">
        <v>2934</v>
      </c>
    </row>
    <row r="1198" spans="1:2">
      <c r="A1198" s="153" t="s">
        <v>2935</v>
      </c>
      <c r="B1198" s="153" t="s">
        <v>2936</v>
      </c>
    </row>
    <row r="1199" spans="1:2">
      <c r="A1199" s="153" t="s">
        <v>2937</v>
      </c>
      <c r="B1199" s="153" t="s">
        <v>2938</v>
      </c>
    </row>
    <row r="1200" spans="1:2">
      <c r="A1200" s="153" t="s">
        <v>2939</v>
      </c>
      <c r="B1200" s="153" t="s">
        <v>2940</v>
      </c>
    </row>
    <row r="1201" spans="1:2">
      <c r="A1201" s="153" t="s">
        <v>2941</v>
      </c>
      <c r="B1201" s="153" t="s">
        <v>2942</v>
      </c>
    </row>
    <row r="1202" spans="1:2">
      <c r="A1202" s="153" t="s">
        <v>2943</v>
      </c>
      <c r="B1202" s="153" t="s">
        <v>2944</v>
      </c>
    </row>
    <row r="1203" spans="1:2">
      <c r="A1203" s="153" t="s">
        <v>2945</v>
      </c>
      <c r="B1203" s="153" t="s">
        <v>2946</v>
      </c>
    </row>
    <row r="1204" spans="1:2">
      <c r="A1204" s="153" t="s">
        <v>2947</v>
      </c>
      <c r="B1204" s="153" t="s">
        <v>2948</v>
      </c>
    </row>
    <row r="1205" spans="1:2">
      <c r="A1205" s="153" t="s">
        <v>2949</v>
      </c>
      <c r="B1205" s="153" t="s">
        <v>2950</v>
      </c>
    </row>
    <row r="1206" spans="1:2">
      <c r="A1206" s="153" t="s">
        <v>2951</v>
      </c>
      <c r="B1206" s="153" t="s">
        <v>2952</v>
      </c>
    </row>
    <row r="1207" spans="1:2">
      <c r="A1207" s="153" t="s">
        <v>2953</v>
      </c>
      <c r="B1207" s="153" t="s">
        <v>2954</v>
      </c>
    </row>
    <row r="1208" spans="1:2">
      <c r="A1208" s="153" t="s">
        <v>2955</v>
      </c>
      <c r="B1208" s="153" t="s">
        <v>2956</v>
      </c>
    </row>
    <row r="1209" spans="1:2">
      <c r="A1209" s="153" t="s">
        <v>2957</v>
      </c>
      <c r="B1209" s="153" t="s">
        <v>2958</v>
      </c>
    </row>
    <row r="1210" spans="1:2">
      <c r="A1210" s="153" t="s">
        <v>2959</v>
      </c>
      <c r="B1210" s="153" t="s">
        <v>2960</v>
      </c>
    </row>
    <row r="1211" spans="1:2">
      <c r="A1211" s="153" t="s">
        <v>2961</v>
      </c>
      <c r="B1211" s="153" t="s">
        <v>2962</v>
      </c>
    </row>
    <row r="1212" spans="1:2">
      <c r="A1212" s="153" t="s">
        <v>2963</v>
      </c>
      <c r="B1212" s="153" t="s">
        <v>2964</v>
      </c>
    </row>
    <row r="1213" spans="1:2">
      <c r="A1213" s="153" t="s">
        <v>2965</v>
      </c>
      <c r="B1213" s="153" t="s">
        <v>2966</v>
      </c>
    </row>
    <row r="1214" spans="1:2">
      <c r="A1214" s="153" t="s">
        <v>2967</v>
      </c>
      <c r="B1214" s="153" t="s">
        <v>2968</v>
      </c>
    </row>
    <row r="1215" spans="1:2">
      <c r="A1215" s="153" t="s">
        <v>2969</v>
      </c>
      <c r="B1215" s="153" t="s">
        <v>2970</v>
      </c>
    </row>
    <row r="1216" spans="1:2">
      <c r="A1216" s="153" t="s">
        <v>2971</v>
      </c>
      <c r="B1216" s="153" t="s">
        <v>2972</v>
      </c>
    </row>
    <row r="1217" spans="1:2">
      <c r="A1217" s="153" t="s">
        <v>2973</v>
      </c>
      <c r="B1217" s="153" t="s">
        <v>2974</v>
      </c>
    </row>
    <row r="1218" spans="1:2">
      <c r="A1218" s="153" t="s">
        <v>2975</v>
      </c>
      <c r="B1218" s="153" t="s">
        <v>2976</v>
      </c>
    </row>
    <row r="1219" spans="1:2">
      <c r="A1219" s="153" t="s">
        <v>2977</v>
      </c>
      <c r="B1219" s="153" t="s">
        <v>2978</v>
      </c>
    </row>
    <row r="1220" spans="1:2">
      <c r="A1220" s="153" t="s">
        <v>2979</v>
      </c>
      <c r="B1220" s="153" t="s">
        <v>2980</v>
      </c>
    </row>
    <row r="1221" spans="1:2">
      <c r="A1221" s="153" t="s">
        <v>2981</v>
      </c>
      <c r="B1221" s="153" t="s">
        <v>2982</v>
      </c>
    </row>
    <row r="1222" spans="1:2">
      <c r="A1222" s="153" t="s">
        <v>2983</v>
      </c>
      <c r="B1222" s="153" t="s">
        <v>2984</v>
      </c>
    </row>
    <row r="1223" spans="1:2">
      <c r="A1223" s="153" t="s">
        <v>2985</v>
      </c>
      <c r="B1223" s="153" t="s">
        <v>2986</v>
      </c>
    </row>
    <row r="1224" spans="1:2">
      <c r="A1224" s="153" t="s">
        <v>2987</v>
      </c>
      <c r="B1224" s="153" t="s">
        <v>2988</v>
      </c>
    </row>
    <row r="1225" spans="1:2">
      <c r="A1225" s="153" t="s">
        <v>2989</v>
      </c>
      <c r="B1225" s="153" t="s">
        <v>2990</v>
      </c>
    </row>
    <row r="1226" spans="1:2">
      <c r="A1226" s="153" t="s">
        <v>2991</v>
      </c>
      <c r="B1226" s="153" t="s">
        <v>2992</v>
      </c>
    </row>
    <row r="1227" spans="1:2">
      <c r="A1227" s="153" t="s">
        <v>2993</v>
      </c>
      <c r="B1227" s="153" t="s">
        <v>2994</v>
      </c>
    </row>
    <row r="1228" spans="1:2">
      <c r="A1228" s="153" t="s">
        <v>2995</v>
      </c>
      <c r="B1228" s="153" t="s">
        <v>2996</v>
      </c>
    </row>
    <row r="1229" spans="1:2">
      <c r="A1229" s="153" t="s">
        <v>2997</v>
      </c>
      <c r="B1229" s="153" t="s">
        <v>2998</v>
      </c>
    </row>
    <row r="1230" spans="1:2">
      <c r="A1230" s="153" t="s">
        <v>2999</v>
      </c>
      <c r="B1230" s="153" t="s">
        <v>3000</v>
      </c>
    </row>
    <row r="1231" spans="1:2">
      <c r="A1231" s="153" t="s">
        <v>3001</v>
      </c>
      <c r="B1231" s="153" t="s">
        <v>3002</v>
      </c>
    </row>
    <row r="1232" spans="1:2">
      <c r="A1232" s="153" t="s">
        <v>3003</v>
      </c>
      <c r="B1232" s="153" t="s">
        <v>3004</v>
      </c>
    </row>
    <row r="1233" spans="1:2">
      <c r="A1233" s="153" t="s">
        <v>3005</v>
      </c>
      <c r="B1233" s="153" t="s">
        <v>3006</v>
      </c>
    </row>
    <row r="1234" spans="1:2">
      <c r="A1234" s="153" t="s">
        <v>3007</v>
      </c>
      <c r="B1234" s="153" t="s">
        <v>3008</v>
      </c>
    </row>
    <row r="1235" spans="1:2">
      <c r="A1235" s="153" t="s">
        <v>3009</v>
      </c>
      <c r="B1235" s="153" t="s">
        <v>3010</v>
      </c>
    </row>
    <row r="1236" spans="1:2">
      <c r="A1236" s="153" t="s">
        <v>3011</v>
      </c>
      <c r="B1236" s="153" t="s">
        <v>3012</v>
      </c>
    </row>
    <row r="1237" spans="1:2">
      <c r="A1237" s="153" t="s">
        <v>3013</v>
      </c>
      <c r="B1237" s="153" t="s">
        <v>3014</v>
      </c>
    </row>
    <row r="1238" spans="1:2">
      <c r="A1238" s="153" t="s">
        <v>3015</v>
      </c>
      <c r="B1238" s="153" t="s">
        <v>3016</v>
      </c>
    </row>
    <row r="1239" spans="1:2">
      <c r="A1239" s="153" t="s">
        <v>3017</v>
      </c>
      <c r="B1239" s="153" t="s">
        <v>3018</v>
      </c>
    </row>
    <row r="1240" spans="1:2">
      <c r="A1240" s="153" t="s">
        <v>3019</v>
      </c>
      <c r="B1240" s="153" t="s">
        <v>3020</v>
      </c>
    </row>
    <row r="1241" spans="1:2">
      <c r="A1241" s="153" t="s">
        <v>3021</v>
      </c>
      <c r="B1241" s="153" t="s">
        <v>3022</v>
      </c>
    </row>
    <row r="1242" spans="1:2">
      <c r="A1242" s="153" t="s">
        <v>3023</v>
      </c>
      <c r="B1242" s="153" t="s">
        <v>3024</v>
      </c>
    </row>
    <row r="1243" spans="1:2">
      <c r="A1243" s="153" t="s">
        <v>3025</v>
      </c>
      <c r="B1243" s="153" t="s">
        <v>3026</v>
      </c>
    </row>
    <row r="1244" spans="1:2">
      <c r="A1244" s="153" t="s">
        <v>3027</v>
      </c>
      <c r="B1244" s="153" t="s">
        <v>3028</v>
      </c>
    </row>
    <row r="1245" spans="1:2">
      <c r="A1245" s="153" t="s">
        <v>3029</v>
      </c>
      <c r="B1245" s="153" t="s">
        <v>3030</v>
      </c>
    </row>
    <row r="1246" spans="1:2">
      <c r="A1246" s="153" t="s">
        <v>3031</v>
      </c>
      <c r="B1246" s="153" t="s">
        <v>3032</v>
      </c>
    </row>
    <row r="1247" spans="1:2">
      <c r="A1247" s="153" t="s">
        <v>3033</v>
      </c>
      <c r="B1247" s="153" t="s">
        <v>3034</v>
      </c>
    </row>
    <row r="1248" spans="1:2">
      <c r="A1248" s="153" t="s">
        <v>3035</v>
      </c>
      <c r="B1248" s="153" t="s">
        <v>3036</v>
      </c>
    </row>
    <row r="1249" spans="1:2">
      <c r="A1249" s="153" t="s">
        <v>3037</v>
      </c>
      <c r="B1249" s="153" t="s">
        <v>3038</v>
      </c>
    </row>
    <row r="1250" spans="1:2">
      <c r="A1250" s="153" t="s">
        <v>3039</v>
      </c>
      <c r="B1250" s="153" t="s">
        <v>3040</v>
      </c>
    </row>
    <row r="1251" spans="1:2">
      <c r="A1251" s="153" t="s">
        <v>3041</v>
      </c>
      <c r="B1251" s="153" t="s">
        <v>3042</v>
      </c>
    </row>
    <row r="1252" spans="1:2">
      <c r="A1252" s="153" t="s">
        <v>3043</v>
      </c>
      <c r="B1252" s="153" t="s">
        <v>3044</v>
      </c>
    </row>
    <row r="1253" spans="1:2">
      <c r="A1253" s="153" t="s">
        <v>3045</v>
      </c>
      <c r="B1253" s="153" t="s">
        <v>3046</v>
      </c>
    </row>
    <row r="1254" spans="1:2">
      <c r="A1254" s="153" t="s">
        <v>3047</v>
      </c>
      <c r="B1254" s="153" t="s">
        <v>3048</v>
      </c>
    </row>
    <row r="1255" spans="1:2">
      <c r="A1255" s="153" t="s">
        <v>3049</v>
      </c>
      <c r="B1255" s="153" t="s">
        <v>3050</v>
      </c>
    </row>
    <row r="1256" spans="1:2">
      <c r="A1256" s="153" t="s">
        <v>3051</v>
      </c>
      <c r="B1256" s="153" t="s">
        <v>3052</v>
      </c>
    </row>
    <row r="1257" spans="1:2">
      <c r="A1257" s="153" t="s">
        <v>3053</v>
      </c>
      <c r="B1257" s="153" t="s">
        <v>3054</v>
      </c>
    </row>
    <row r="1258" spans="1:2">
      <c r="A1258" s="153" t="s">
        <v>3055</v>
      </c>
      <c r="B1258" s="153" t="s">
        <v>3056</v>
      </c>
    </row>
    <row r="1259" spans="1:2">
      <c r="A1259" s="153" t="s">
        <v>3057</v>
      </c>
      <c r="B1259" s="153" t="s">
        <v>3058</v>
      </c>
    </row>
    <row r="1260" spans="1:2">
      <c r="A1260" s="153" t="s">
        <v>3059</v>
      </c>
      <c r="B1260" s="153" t="s">
        <v>3060</v>
      </c>
    </row>
    <row r="1261" spans="1:2">
      <c r="A1261" s="153" t="s">
        <v>3061</v>
      </c>
      <c r="B1261" s="153" t="s">
        <v>3062</v>
      </c>
    </row>
    <row r="1262" spans="1:2">
      <c r="A1262" s="153" t="s">
        <v>3063</v>
      </c>
      <c r="B1262" s="153" t="s">
        <v>315</v>
      </c>
    </row>
    <row r="1263" spans="1:2">
      <c r="A1263" s="153" t="s">
        <v>3064</v>
      </c>
      <c r="B1263" s="153" t="s">
        <v>3065</v>
      </c>
    </row>
    <row r="1264" spans="1:2">
      <c r="A1264" s="153" t="s">
        <v>3066</v>
      </c>
      <c r="B1264" s="153" t="s">
        <v>3067</v>
      </c>
    </row>
    <row r="1265" spans="1:2">
      <c r="A1265" s="153" t="s">
        <v>3068</v>
      </c>
      <c r="B1265" s="153" t="s">
        <v>3069</v>
      </c>
    </row>
    <row r="1266" spans="1:2">
      <c r="A1266" s="153" t="s">
        <v>3070</v>
      </c>
      <c r="B1266" s="153" t="s">
        <v>3071</v>
      </c>
    </row>
    <row r="1267" spans="1:2">
      <c r="A1267" s="153" t="s">
        <v>3072</v>
      </c>
      <c r="B1267" s="153" t="s">
        <v>3073</v>
      </c>
    </row>
    <row r="1268" spans="1:2">
      <c r="A1268" s="153" t="s">
        <v>3074</v>
      </c>
      <c r="B1268" s="153" t="s">
        <v>3075</v>
      </c>
    </row>
    <row r="1269" spans="1:2">
      <c r="A1269" s="153" t="s">
        <v>3076</v>
      </c>
      <c r="B1269" s="153" t="s">
        <v>320</v>
      </c>
    </row>
    <row r="1270" spans="1:2">
      <c r="A1270" s="153" t="s">
        <v>3077</v>
      </c>
      <c r="B1270" s="153" t="s">
        <v>3078</v>
      </c>
    </row>
    <row r="1271" spans="1:2">
      <c r="A1271" s="153" t="s">
        <v>3079</v>
      </c>
      <c r="B1271" s="153" t="s">
        <v>3080</v>
      </c>
    </row>
    <row r="1272" spans="1:2">
      <c r="A1272" s="153" t="s">
        <v>3081</v>
      </c>
      <c r="B1272" s="153" t="s">
        <v>3082</v>
      </c>
    </row>
    <row r="1273" spans="1:2">
      <c r="A1273" s="153" t="s">
        <v>3083</v>
      </c>
      <c r="B1273" s="153" t="s">
        <v>3084</v>
      </c>
    </row>
    <row r="1274" spans="1:2">
      <c r="A1274" s="153" t="s">
        <v>3085</v>
      </c>
      <c r="B1274" s="153" t="s">
        <v>3086</v>
      </c>
    </row>
    <row r="1275" spans="1:2">
      <c r="A1275" s="153" t="s">
        <v>3087</v>
      </c>
      <c r="B1275" s="153" t="s">
        <v>3088</v>
      </c>
    </row>
    <row r="1276" spans="1:2">
      <c r="A1276" s="153" t="s">
        <v>3089</v>
      </c>
      <c r="B1276" s="153" t="s">
        <v>3090</v>
      </c>
    </row>
    <row r="1277" spans="1:2">
      <c r="A1277" s="153" t="s">
        <v>3091</v>
      </c>
      <c r="B1277" s="153" t="s">
        <v>3092</v>
      </c>
    </row>
    <row r="1278" spans="1:2">
      <c r="A1278" s="153" t="s">
        <v>3093</v>
      </c>
      <c r="B1278" s="153" t="s">
        <v>3094</v>
      </c>
    </row>
    <row r="1279" spans="1:2">
      <c r="A1279" s="153" t="s">
        <v>3095</v>
      </c>
      <c r="B1279" s="153" t="s">
        <v>325</v>
      </c>
    </row>
    <row r="1280" spans="1:2">
      <c r="A1280" s="153" t="s">
        <v>3096</v>
      </c>
      <c r="B1280" s="153" t="s">
        <v>3097</v>
      </c>
    </row>
    <row r="1281" spans="1:2">
      <c r="A1281" s="153" t="s">
        <v>3098</v>
      </c>
      <c r="B1281" s="153" t="s">
        <v>3099</v>
      </c>
    </row>
    <row r="1282" spans="1:2">
      <c r="A1282" s="153" t="s">
        <v>3100</v>
      </c>
      <c r="B1282" s="153" t="s">
        <v>3101</v>
      </c>
    </row>
    <row r="1283" spans="1:2">
      <c r="A1283" s="153" t="s">
        <v>3102</v>
      </c>
      <c r="B1283" s="153" t="s">
        <v>330</v>
      </c>
    </row>
    <row r="1284" spans="1:2">
      <c r="A1284" s="153" t="s">
        <v>3103</v>
      </c>
      <c r="B1284" s="153" t="s">
        <v>335</v>
      </c>
    </row>
    <row r="1285" spans="1:2">
      <c r="A1285" s="153" t="s">
        <v>3104</v>
      </c>
      <c r="B1285" s="153" t="s">
        <v>340</v>
      </c>
    </row>
    <row r="1286" spans="1:2">
      <c r="A1286" s="153" t="s">
        <v>3105</v>
      </c>
      <c r="B1286" s="153" t="s">
        <v>3106</v>
      </c>
    </row>
    <row r="1287" spans="1:2">
      <c r="A1287" s="153" t="s">
        <v>3107</v>
      </c>
      <c r="B1287" s="153" t="s">
        <v>3108</v>
      </c>
    </row>
    <row r="1288" spans="1:2">
      <c r="A1288" s="153" t="s">
        <v>3109</v>
      </c>
      <c r="B1288" s="153" t="s">
        <v>3110</v>
      </c>
    </row>
    <row r="1289" spans="1:2">
      <c r="A1289" s="153" t="s">
        <v>3111</v>
      </c>
      <c r="B1289" s="153" t="s">
        <v>3112</v>
      </c>
    </row>
    <row r="1290" spans="1:2">
      <c r="A1290" s="153" t="s">
        <v>3113</v>
      </c>
      <c r="B1290" s="153" t="s">
        <v>3114</v>
      </c>
    </row>
    <row r="1291" spans="1:2">
      <c r="A1291" s="153" t="s">
        <v>3115</v>
      </c>
      <c r="B1291" s="153" t="s">
        <v>3116</v>
      </c>
    </row>
    <row r="1292" spans="1:2">
      <c r="A1292" s="153" t="s">
        <v>3117</v>
      </c>
      <c r="B1292" s="153" t="s">
        <v>3118</v>
      </c>
    </row>
    <row r="1293" spans="1:2">
      <c r="A1293" s="153" t="s">
        <v>3119</v>
      </c>
      <c r="B1293" s="153" t="s">
        <v>3120</v>
      </c>
    </row>
    <row r="1294" spans="1:2">
      <c r="A1294" s="153" t="s">
        <v>3121</v>
      </c>
      <c r="B1294" s="153" t="s">
        <v>3122</v>
      </c>
    </row>
    <row r="1295" spans="1:2">
      <c r="A1295" s="153" t="s">
        <v>3123</v>
      </c>
      <c r="B1295" s="153" t="s">
        <v>3124</v>
      </c>
    </row>
    <row r="1296" spans="1:2">
      <c r="A1296" s="153" t="s">
        <v>3125</v>
      </c>
      <c r="B1296" s="153" t="s">
        <v>3126</v>
      </c>
    </row>
    <row r="1297" spans="1:2">
      <c r="A1297" s="153" t="s">
        <v>3127</v>
      </c>
      <c r="B1297" s="153" t="s">
        <v>3128</v>
      </c>
    </row>
    <row r="1298" spans="1:2">
      <c r="A1298" s="153" t="s">
        <v>3129</v>
      </c>
      <c r="B1298" s="153" t="s">
        <v>3130</v>
      </c>
    </row>
    <row r="1299" spans="1:2">
      <c r="A1299" s="153" t="s">
        <v>3131</v>
      </c>
      <c r="B1299" s="153" t="s">
        <v>3132</v>
      </c>
    </row>
    <row r="1300" spans="1:2">
      <c r="A1300" s="153" t="s">
        <v>3133</v>
      </c>
      <c r="B1300" s="153" t="s">
        <v>345</v>
      </c>
    </row>
    <row r="1301" spans="1:2">
      <c r="A1301" s="153" t="s">
        <v>3134</v>
      </c>
      <c r="B1301" s="153" t="s">
        <v>3135</v>
      </c>
    </row>
    <row r="1302" spans="1:2">
      <c r="A1302" s="153" t="s">
        <v>3136</v>
      </c>
      <c r="B1302" s="153" t="s">
        <v>3137</v>
      </c>
    </row>
    <row r="1303" spans="1:2">
      <c r="A1303" s="153" t="s">
        <v>3138</v>
      </c>
      <c r="B1303" s="153" t="s">
        <v>350</v>
      </c>
    </row>
    <row r="1304" spans="1:2">
      <c r="A1304" s="153" t="s">
        <v>3139</v>
      </c>
      <c r="B1304" s="153" t="s">
        <v>3140</v>
      </c>
    </row>
    <row r="1305" spans="1:2">
      <c r="A1305" s="153" t="s">
        <v>3141</v>
      </c>
      <c r="B1305" s="153" t="s">
        <v>3142</v>
      </c>
    </row>
    <row r="1306" spans="1:2">
      <c r="A1306" s="153" t="s">
        <v>3143</v>
      </c>
      <c r="B1306" s="153" t="s">
        <v>3144</v>
      </c>
    </row>
    <row r="1307" spans="1:2">
      <c r="A1307" s="153" t="s">
        <v>3145</v>
      </c>
      <c r="B1307" s="153" t="s">
        <v>3146</v>
      </c>
    </row>
    <row r="1308" spans="1:2">
      <c r="A1308" s="153" t="s">
        <v>3147</v>
      </c>
      <c r="B1308" s="153" t="s">
        <v>3148</v>
      </c>
    </row>
    <row r="1309" spans="1:2">
      <c r="A1309" s="153" t="s">
        <v>3149</v>
      </c>
      <c r="B1309" s="153" t="s">
        <v>3150</v>
      </c>
    </row>
    <row r="1310" spans="1:2">
      <c r="A1310" s="153" t="s">
        <v>3151</v>
      </c>
      <c r="B1310" s="153" t="s">
        <v>3152</v>
      </c>
    </row>
    <row r="1311" spans="1:2">
      <c r="A1311" s="153" t="s">
        <v>3153</v>
      </c>
      <c r="B1311" s="153" t="s">
        <v>3154</v>
      </c>
    </row>
    <row r="1312" spans="1:2">
      <c r="A1312" s="153" t="s">
        <v>3155</v>
      </c>
      <c r="B1312" s="153" t="s">
        <v>3156</v>
      </c>
    </row>
    <row r="1313" spans="1:2">
      <c r="A1313" s="153" t="s">
        <v>3157</v>
      </c>
      <c r="B1313" s="153" t="s">
        <v>3158</v>
      </c>
    </row>
    <row r="1314" spans="1:2">
      <c r="A1314" s="153" t="s">
        <v>3159</v>
      </c>
      <c r="B1314" s="153" t="s">
        <v>3160</v>
      </c>
    </row>
    <row r="1315" spans="1:2">
      <c r="A1315" s="153" t="s">
        <v>3161</v>
      </c>
      <c r="B1315" s="153" t="s">
        <v>3162</v>
      </c>
    </row>
    <row r="1316" spans="1:2">
      <c r="A1316" s="153" t="s">
        <v>3163</v>
      </c>
      <c r="B1316" s="153" t="s">
        <v>3164</v>
      </c>
    </row>
    <row r="1317" spans="1:2">
      <c r="A1317" s="153" t="s">
        <v>3165</v>
      </c>
      <c r="B1317" s="153" t="s">
        <v>3166</v>
      </c>
    </row>
    <row r="1318" spans="1:2">
      <c r="A1318" s="153" t="s">
        <v>3167</v>
      </c>
      <c r="B1318" s="153" t="s">
        <v>3168</v>
      </c>
    </row>
    <row r="1319" spans="1:2">
      <c r="A1319" s="153" t="s">
        <v>3169</v>
      </c>
      <c r="B1319" s="153" t="s">
        <v>3170</v>
      </c>
    </row>
    <row r="1320" spans="1:2">
      <c r="A1320" s="153" t="s">
        <v>3171</v>
      </c>
      <c r="B1320" s="153" t="s">
        <v>3172</v>
      </c>
    </row>
    <row r="1321" spans="1:2">
      <c r="A1321" s="153" t="s">
        <v>3173</v>
      </c>
      <c r="B1321" s="153" t="s">
        <v>3174</v>
      </c>
    </row>
    <row r="1322" spans="1:2">
      <c r="A1322" s="153" t="s">
        <v>3175</v>
      </c>
      <c r="B1322" s="153" t="s">
        <v>3176</v>
      </c>
    </row>
    <row r="1323" spans="1:2">
      <c r="A1323" s="153" t="s">
        <v>3177</v>
      </c>
      <c r="B1323" s="153" t="s">
        <v>3178</v>
      </c>
    </row>
    <row r="1324" spans="1:2">
      <c r="A1324" s="153" t="s">
        <v>3179</v>
      </c>
      <c r="B1324" s="153" t="s">
        <v>3180</v>
      </c>
    </row>
    <row r="1325" spans="1:2">
      <c r="A1325" s="153" t="s">
        <v>3181</v>
      </c>
      <c r="B1325" s="153" t="s">
        <v>3182</v>
      </c>
    </row>
    <row r="1326" spans="1:2">
      <c r="A1326" s="153" t="s">
        <v>3183</v>
      </c>
      <c r="B1326" s="153" t="s">
        <v>3184</v>
      </c>
    </row>
    <row r="1327" spans="1:2">
      <c r="A1327" s="153" t="s">
        <v>3185</v>
      </c>
      <c r="B1327" s="153" t="s">
        <v>3186</v>
      </c>
    </row>
    <row r="1328" spans="1:2">
      <c r="A1328" s="153" t="s">
        <v>3187</v>
      </c>
      <c r="B1328" s="153" t="s">
        <v>3188</v>
      </c>
    </row>
    <row r="1329" spans="1:2">
      <c r="A1329" s="153" t="s">
        <v>3189</v>
      </c>
      <c r="B1329" s="153" t="s">
        <v>3190</v>
      </c>
    </row>
    <row r="1330" spans="1:2">
      <c r="A1330" s="153" t="s">
        <v>3191</v>
      </c>
      <c r="B1330" s="153" t="s">
        <v>3192</v>
      </c>
    </row>
    <row r="1331" spans="1:2">
      <c r="A1331" s="153" t="s">
        <v>3193</v>
      </c>
      <c r="B1331" s="153" t="s">
        <v>3194</v>
      </c>
    </row>
    <row r="1332" spans="1:2">
      <c r="A1332" s="153" t="s">
        <v>3195</v>
      </c>
      <c r="B1332" s="153" t="s">
        <v>3196</v>
      </c>
    </row>
    <row r="1333" spans="1:2">
      <c r="A1333" s="153" t="s">
        <v>3197</v>
      </c>
      <c r="B1333" s="153" t="s">
        <v>3198</v>
      </c>
    </row>
    <row r="1334" spans="1:2">
      <c r="A1334" s="153" t="s">
        <v>3199</v>
      </c>
      <c r="B1334" s="153" t="s">
        <v>3200</v>
      </c>
    </row>
    <row r="1335" spans="1:2">
      <c r="A1335" s="153" t="s">
        <v>3201</v>
      </c>
      <c r="B1335" s="153" t="s">
        <v>3202</v>
      </c>
    </row>
    <row r="1336" spans="1:2">
      <c r="A1336" s="153" t="s">
        <v>3203</v>
      </c>
      <c r="B1336" s="153" t="s">
        <v>3204</v>
      </c>
    </row>
    <row r="1337" spans="1:2">
      <c r="A1337" s="153" t="s">
        <v>3205</v>
      </c>
      <c r="B1337" s="153" t="s">
        <v>3206</v>
      </c>
    </row>
    <row r="1338" spans="1:2">
      <c r="A1338" s="153" t="s">
        <v>3207</v>
      </c>
      <c r="B1338" s="153" t="s">
        <v>3208</v>
      </c>
    </row>
    <row r="1339" spans="1:2">
      <c r="A1339" s="153" t="s">
        <v>3209</v>
      </c>
      <c r="B1339" s="153" t="s">
        <v>3210</v>
      </c>
    </row>
    <row r="1340" spans="1:2">
      <c r="A1340" s="153" t="s">
        <v>3211</v>
      </c>
      <c r="B1340" s="153" t="s">
        <v>3212</v>
      </c>
    </row>
    <row r="1341" spans="1:2">
      <c r="A1341" s="153" t="s">
        <v>3213</v>
      </c>
      <c r="B1341" s="153" t="s">
        <v>3214</v>
      </c>
    </row>
    <row r="1342" spans="1:2">
      <c r="A1342" s="153" t="s">
        <v>3215</v>
      </c>
      <c r="B1342" s="153" t="s">
        <v>3216</v>
      </c>
    </row>
    <row r="1343" spans="1:2">
      <c r="A1343" s="153" t="s">
        <v>3217</v>
      </c>
      <c r="B1343" s="153" t="s">
        <v>3218</v>
      </c>
    </row>
    <row r="1344" spans="1:2">
      <c r="A1344" s="153" t="s">
        <v>3219</v>
      </c>
      <c r="B1344" s="153" t="s">
        <v>3220</v>
      </c>
    </row>
    <row r="1345" spans="1:2">
      <c r="A1345" s="153" t="s">
        <v>3221</v>
      </c>
      <c r="B1345" s="153" t="s">
        <v>3222</v>
      </c>
    </row>
    <row r="1346" spans="1:2">
      <c r="A1346" s="153" t="s">
        <v>3223</v>
      </c>
      <c r="B1346" s="153" t="s">
        <v>3224</v>
      </c>
    </row>
    <row r="1347" spans="1:2">
      <c r="A1347" s="153" t="s">
        <v>3225</v>
      </c>
      <c r="B1347" s="153" t="s">
        <v>3226</v>
      </c>
    </row>
    <row r="1348" spans="1:2">
      <c r="A1348" s="153" t="s">
        <v>3227</v>
      </c>
      <c r="B1348" s="153" t="s">
        <v>3228</v>
      </c>
    </row>
    <row r="1349" spans="1:2">
      <c r="A1349" s="153" t="s">
        <v>3229</v>
      </c>
      <c r="B1349" s="153" t="s">
        <v>3230</v>
      </c>
    </row>
    <row r="1350" spans="1:2">
      <c r="A1350" s="153" t="s">
        <v>3231</v>
      </c>
      <c r="B1350" s="153" t="s">
        <v>3232</v>
      </c>
    </row>
    <row r="1351" spans="1:2">
      <c r="A1351" s="153" t="s">
        <v>3233</v>
      </c>
      <c r="B1351" s="153" t="s">
        <v>3234</v>
      </c>
    </row>
    <row r="1352" spans="1:2">
      <c r="A1352" s="153" t="s">
        <v>3235</v>
      </c>
      <c r="B1352" s="153" t="s">
        <v>3236</v>
      </c>
    </row>
    <row r="1353" spans="1:2">
      <c r="A1353" s="153" t="s">
        <v>3237</v>
      </c>
      <c r="B1353" s="153" t="s">
        <v>3238</v>
      </c>
    </row>
    <row r="1354" spans="1:2">
      <c r="A1354" s="153" t="s">
        <v>3239</v>
      </c>
      <c r="B1354" s="153" t="s">
        <v>3240</v>
      </c>
    </row>
    <row r="1355" spans="1:2">
      <c r="A1355" s="153" t="s">
        <v>3241</v>
      </c>
      <c r="B1355" s="153" t="s">
        <v>355</v>
      </c>
    </row>
    <row r="1356" spans="1:2">
      <c r="A1356" s="153" t="s">
        <v>3242</v>
      </c>
      <c r="B1356" s="153" t="s">
        <v>3243</v>
      </c>
    </row>
    <row r="1357" spans="1:2">
      <c r="A1357" s="153" t="s">
        <v>3244</v>
      </c>
      <c r="B1357" s="153" t="s">
        <v>360</v>
      </c>
    </row>
    <row r="1358" spans="1:2">
      <c r="A1358" s="153" t="s">
        <v>3245</v>
      </c>
      <c r="B1358" s="153" t="s">
        <v>3246</v>
      </c>
    </row>
    <row r="1359" spans="1:2">
      <c r="A1359" s="153" t="s">
        <v>3247</v>
      </c>
      <c r="B1359" s="153" t="s">
        <v>3248</v>
      </c>
    </row>
    <row r="1360" spans="1:2">
      <c r="A1360" s="153" t="s">
        <v>3249</v>
      </c>
      <c r="B1360" s="153" t="s">
        <v>3250</v>
      </c>
    </row>
    <row r="1361" spans="1:2">
      <c r="A1361" s="153" t="s">
        <v>3251</v>
      </c>
      <c r="B1361" s="153" t="s">
        <v>3252</v>
      </c>
    </row>
    <row r="1362" spans="1:2">
      <c r="A1362" s="153" t="s">
        <v>3253</v>
      </c>
      <c r="B1362" s="153" t="s">
        <v>3254</v>
      </c>
    </row>
    <row r="1363" spans="1:2">
      <c r="A1363" s="153" t="s">
        <v>3255</v>
      </c>
      <c r="B1363" s="153" t="s">
        <v>3256</v>
      </c>
    </row>
    <row r="1364" spans="1:2">
      <c r="A1364" s="153" t="s">
        <v>3257</v>
      </c>
      <c r="B1364" s="153" t="s">
        <v>3258</v>
      </c>
    </row>
    <row r="1365" spans="1:2">
      <c r="A1365" s="153" t="s">
        <v>3259</v>
      </c>
      <c r="B1365" s="153" t="s">
        <v>3260</v>
      </c>
    </row>
    <row r="1366" spans="1:2">
      <c r="A1366" s="153" t="s">
        <v>3261</v>
      </c>
      <c r="B1366" s="153" t="s">
        <v>3262</v>
      </c>
    </row>
    <row r="1367" spans="1:2">
      <c r="A1367" s="153" t="s">
        <v>3263</v>
      </c>
      <c r="B1367" s="153" t="s">
        <v>3264</v>
      </c>
    </row>
    <row r="1368" spans="1:2">
      <c r="A1368" s="153" t="s">
        <v>3265</v>
      </c>
      <c r="B1368" s="153" t="s">
        <v>3266</v>
      </c>
    </row>
    <row r="1369" spans="1:2">
      <c r="A1369" s="153" t="s">
        <v>3267</v>
      </c>
      <c r="B1369" s="153" t="s">
        <v>3268</v>
      </c>
    </row>
    <row r="1370" spans="1:2">
      <c r="A1370" s="153" t="s">
        <v>3269</v>
      </c>
      <c r="B1370" s="153" t="s">
        <v>3270</v>
      </c>
    </row>
    <row r="1371" spans="1:2">
      <c r="A1371" s="153" t="s">
        <v>3271</v>
      </c>
      <c r="B1371" s="153" t="s">
        <v>3272</v>
      </c>
    </row>
    <row r="1372" spans="1:2">
      <c r="A1372" s="153" t="s">
        <v>3273</v>
      </c>
      <c r="B1372" s="153" t="s">
        <v>3274</v>
      </c>
    </row>
    <row r="1373" spans="1:2">
      <c r="A1373" s="153" t="s">
        <v>3275</v>
      </c>
      <c r="B1373" s="153" t="s">
        <v>3276</v>
      </c>
    </row>
    <row r="1374" spans="1:2">
      <c r="A1374" s="153" t="s">
        <v>3277</v>
      </c>
      <c r="B1374" s="153" t="s">
        <v>3278</v>
      </c>
    </row>
    <row r="1375" spans="1:2">
      <c r="A1375" s="153" t="s">
        <v>3279</v>
      </c>
      <c r="B1375" s="153" t="s">
        <v>3280</v>
      </c>
    </row>
    <row r="1376" spans="1:2">
      <c r="A1376" s="153" t="s">
        <v>3281</v>
      </c>
      <c r="B1376" s="153" t="s">
        <v>3282</v>
      </c>
    </row>
    <row r="1377" spans="1:2">
      <c r="A1377" s="153" t="s">
        <v>3283</v>
      </c>
      <c r="B1377" s="153" t="s">
        <v>3284</v>
      </c>
    </row>
    <row r="1378" spans="1:2">
      <c r="A1378" s="153" t="s">
        <v>3285</v>
      </c>
      <c r="B1378" s="153" t="s">
        <v>3286</v>
      </c>
    </row>
    <row r="1379" spans="1:2">
      <c r="A1379" s="153" t="s">
        <v>3287</v>
      </c>
      <c r="B1379" s="153" t="s">
        <v>3288</v>
      </c>
    </row>
    <row r="1380" spans="1:2">
      <c r="A1380" s="153" t="s">
        <v>3289</v>
      </c>
      <c r="B1380" s="153" t="s">
        <v>3290</v>
      </c>
    </row>
    <row r="1381" spans="1:2">
      <c r="A1381" s="153" t="s">
        <v>3291</v>
      </c>
      <c r="B1381" s="153" t="s">
        <v>3292</v>
      </c>
    </row>
    <row r="1382" spans="1:2">
      <c r="A1382" s="153" t="s">
        <v>3293</v>
      </c>
      <c r="B1382" s="153" t="s">
        <v>3294</v>
      </c>
    </row>
    <row r="1383" spans="1:2">
      <c r="A1383" s="153" t="s">
        <v>3295</v>
      </c>
      <c r="B1383" s="153" t="s">
        <v>3296</v>
      </c>
    </row>
    <row r="1384" spans="1:2">
      <c r="A1384" s="153" t="s">
        <v>3297</v>
      </c>
      <c r="B1384" s="153" t="s">
        <v>3298</v>
      </c>
    </row>
    <row r="1385" spans="1:2">
      <c r="A1385" s="153" t="s">
        <v>3299</v>
      </c>
      <c r="B1385" s="153" t="s">
        <v>922</v>
      </c>
    </row>
    <row r="1386" spans="1:2">
      <c r="A1386" s="153" t="s">
        <v>3300</v>
      </c>
      <c r="B1386" s="153" t="s">
        <v>3301</v>
      </c>
    </row>
    <row r="1387" spans="1:2">
      <c r="A1387" s="153" t="s">
        <v>3302</v>
      </c>
      <c r="B1387" s="153" t="s">
        <v>365</v>
      </c>
    </row>
    <row r="1388" spans="1:2">
      <c r="A1388" s="153" t="s">
        <v>3303</v>
      </c>
      <c r="B1388" s="153" t="s">
        <v>3304</v>
      </c>
    </row>
    <row r="1389" spans="1:2">
      <c r="A1389" s="153" t="s">
        <v>3305</v>
      </c>
      <c r="B1389" s="153" t="s">
        <v>370</v>
      </c>
    </row>
    <row r="1390" spans="1:2">
      <c r="A1390" s="153" t="s">
        <v>3306</v>
      </c>
      <c r="B1390" s="153" t="s">
        <v>3307</v>
      </c>
    </row>
    <row r="1391" spans="1:2">
      <c r="A1391" s="153" t="s">
        <v>3308</v>
      </c>
      <c r="B1391" s="153" t="s">
        <v>375</v>
      </c>
    </row>
    <row r="1392" spans="1:2">
      <c r="A1392" s="153" t="s">
        <v>3309</v>
      </c>
      <c r="B1392" s="153" t="s">
        <v>380</v>
      </c>
    </row>
    <row r="1393" spans="1:2">
      <c r="A1393" s="153" t="s">
        <v>3310</v>
      </c>
      <c r="B1393" s="153" t="s">
        <v>120</v>
      </c>
    </row>
    <row r="1394" spans="1:2">
      <c r="A1394" s="153" t="s">
        <v>3311</v>
      </c>
      <c r="B1394" s="153" t="s">
        <v>3312</v>
      </c>
    </row>
    <row r="1395" spans="1:2">
      <c r="A1395" s="153" t="s">
        <v>3313</v>
      </c>
      <c r="B1395" s="153" t="s">
        <v>3314</v>
      </c>
    </row>
    <row r="1396" spans="1:2">
      <c r="A1396" s="153" t="s">
        <v>3315</v>
      </c>
      <c r="B1396" s="153" t="s">
        <v>3316</v>
      </c>
    </row>
    <row r="1397" spans="1:2">
      <c r="A1397" s="153" t="s">
        <v>3317</v>
      </c>
      <c r="B1397" s="153" t="s">
        <v>385</v>
      </c>
    </row>
    <row r="1398" spans="1:2">
      <c r="A1398" s="153" t="s">
        <v>3318</v>
      </c>
      <c r="B1398" s="153" t="s">
        <v>3319</v>
      </c>
    </row>
    <row r="1399" spans="1:2">
      <c r="A1399" s="153" t="s">
        <v>3320</v>
      </c>
      <c r="B1399" s="153" t="s">
        <v>3321</v>
      </c>
    </row>
    <row r="1400" spans="1:2">
      <c r="A1400" s="153" t="s">
        <v>3322</v>
      </c>
      <c r="B1400" s="153" t="s">
        <v>3323</v>
      </c>
    </row>
    <row r="1401" spans="1:2">
      <c r="A1401" s="153" t="s">
        <v>3324</v>
      </c>
      <c r="B1401" s="153" t="s">
        <v>3325</v>
      </c>
    </row>
    <row r="1402" spans="1:2">
      <c r="A1402" s="153" t="s">
        <v>3326</v>
      </c>
      <c r="B1402" s="153" t="s">
        <v>3327</v>
      </c>
    </row>
    <row r="1403" spans="1:2">
      <c r="A1403" s="153" t="s">
        <v>3328</v>
      </c>
      <c r="B1403" s="153" t="s">
        <v>3329</v>
      </c>
    </row>
    <row r="1404" spans="1:2">
      <c r="A1404" s="153" t="s">
        <v>3330</v>
      </c>
      <c r="B1404" s="153" t="s">
        <v>3331</v>
      </c>
    </row>
    <row r="1405" spans="1:2">
      <c r="A1405" s="153" t="s">
        <v>3332</v>
      </c>
      <c r="B1405" s="153" t="s">
        <v>3333</v>
      </c>
    </row>
    <row r="1406" spans="1:2">
      <c r="A1406" s="153" t="s">
        <v>3334</v>
      </c>
      <c r="B1406" s="153" t="s">
        <v>3335</v>
      </c>
    </row>
    <row r="1407" spans="1:2">
      <c r="A1407" s="153" t="s">
        <v>3336</v>
      </c>
      <c r="B1407" s="153" t="s">
        <v>3337</v>
      </c>
    </row>
    <row r="1408" spans="1:2">
      <c r="A1408" s="153" t="s">
        <v>3338</v>
      </c>
      <c r="B1408" s="153" t="s">
        <v>3339</v>
      </c>
    </row>
    <row r="1409" spans="1:2">
      <c r="A1409" s="153" t="s">
        <v>3340</v>
      </c>
      <c r="B1409" s="153" t="s">
        <v>3341</v>
      </c>
    </row>
    <row r="1410" spans="1:2">
      <c r="A1410" s="153" t="s">
        <v>3342</v>
      </c>
      <c r="B1410" s="153" t="s">
        <v>3343</v>
      </c>
    </row>
    <row r="1411" spans="1:2">
      <c r="A1411" s="153" t="s">
        <v>3344</v>
      </c>
      <c r="B1411" s="153" t="s">
        <v>3345</v>
      </c>
    </row>
    <row r="1412" spans="1:2">
      <c r="A1412" s="153" t="s">
        <v>3346</v>
      </c>
      <c r="B1412" s="153" t="s">
        <v>3347</v>
      </c>
    </row>
    <row r="1413" spans="1:2">
      <c r="A1413" s="153" t="s">
        <v>3348</v>
      </c>
      <c r="B1413" s="153" t="s">
        <v>3349</v>
      </c>
    </row>
    <row r="1414" spans="1:2">
      <c r="A1414" s="153" t="s">
        <v>3350</v>
      </c>
      <c r="B1414" s="153" t="s">
        <v>3351</v>
      </c>
    </row>
    <row r="1415" spans="1:2">
      <c r="A1415" s="153" t="s">
        <v>3352</v>
      </c>
      <c r="B1415" s="153" t="s">
        <v>3353</v>
      </c>
    </row>
    <row r="1416" spans="1:2">
      <c r="A1416" s="153" t="s">
        <v>3354</v>
      </c>
      <c r="B1416" s="153" t="s">
        <v>3355</v>
      </c>
    </row>
    <row r="1417" spans="1:2">
      <c r="A1417" s="153" t="s">
        <v>3356</v>
      </c>
      <c r="B1417" s="153" t="s">
        <v>3357</v>
      </c>
    </row>
    <row r="1418" spans="1:2">
      <c r="A1418" s="153" t="s">
        <v>3358</v>
      </c>
      <c r="B1418" s="153" t="s">
        <v>3359</v>
      </c>
    </row>
    <row r="1419" spans="1:2">
      <c r="A1419" s="153" t="s">
        <v>3360</v>
      </c>
      <c r="B1419" s="153" t="s">
        <v>3361</v>
      </c>
    </row>
    <row r="1420" spans="1:2">
      <c r="A1420" s="153" t="s">
        <v>3362</v>
      </c>
      <c r="B1420" s="153" t="s">
        <v>3363</v>
      </c>
    </row>
    <row r="1421" spans="1:2">
      <c r="A1421" s="153" t="s">
        <v>3364</v>
      </c>
      <c r="B1421" s="153" t="s">
        <v>3365</v>
      </c>
    </row>
    <row r="1422" spans="1:2">
      <c r="A1422" s="153" t="s">
        <v>3366</v>
      </c>
      <c r="B1422" s="153" t="s">
        <v>3367</v>
      </c>
    </row>
    <row r="1423" spans="1:2">
      <c r="A1423" s="153" t="s">
        <v>3368</v>
      </c>
      <c r="B1423" s="153" t="s">
        <v>3369</v>
      </c>
    </row>
    <row r="1424" spans="1:2">
      <c r="A1424" s="153" t="s">
        <v>3370</v>
      </c>
      <c r="B1424" s="153" t="s">
        <v>3371</v>
      </c>
    </row>
    <row r="1425" spans="1:2">
      <c r="A1425" s="153" t="s">
        <v>3372</v>
      </c>
      <c r="B1425" s="153" t="s">
        <v>3373</v>
      </c>
    </row>
    <row r="1426" spans="1:2">
      <c r="A1426" s="153" t="s">
        <v>3374</v>
      </c>
      <c r="B1426" s="153" t="s">
        <v>3375</v>
      </c>
    </row>
    <row r="1427" spans="1:2">
      <c r="A1427" s="153" t="s">
        <v>3376</v>
      </c>
      <c r="B1427" s="153" t="s">
        <v>3377</v>
      </c>
    </row>
    <row r="1428" spans="1:2">
      <c r="A1428" s="153" t="s">
        <v>3378</v>
      </c>
      <c r="B1428" s="153" t="s">
        <v>3379</v>
      </c>
    </row>
    <row r="1429" spans="1:2">
      <c r="A1429" s="153" t="s">
        <v>3380</v>
      </c>
      <c r="B1429" s="153" t="s">
        <v>3381</v>
      </c>
    </row>
    <row r="1430" spans="1:2">
      <c r="A1430" s="153" t="s">
        <v>3382</v>
      </c>
      <c r="B1430" s="153" t="s">
        <v>3383</v>
      </c>
    </row>
    <row r="1431" spans="1:2">
      <c r="A1431" s="153" t="s">
        <v>3384</v>
      </c>
      <c r="B1431" s="153" t="s">
        <v>3385</v>
      </c>
    </row>
    <row r="1432" spans="1:2">
      <c r="A1432" s="153" t="s">
        <v>3386</v>
      </c>
      <c r="B1432" s="153" t="s">
        <v>3387</v>
      </c>
    </row>
    <row r="1433" spans="1:2">
      <c r="A1433" s="153" t="s">
        <v>3388</v>
      </c>
      <c r="B1433" s="153" t="s">
        <v>3389</v>
      </c>
    </row>
    <row r="1434" spans="1:2">
      <c r="A1434" s="153" t="s">
        <v>3390</v>
      </c>
      <c r="B1434" s="153" t="s">
        <v>3391</v>
      </c>
    </row>
    <row r="1435" spans="1:2">
      <c r="A1435" s="153" t="s">
        <v>3392</v>
      </c>
      <c r="B1435" s="153" t="s">
        <v>3393</v>
      </c>
    </row>
    <row r="1436" spans="1:2">
      <c r="A1436" s="153" t="s">
        <v>3394</v>
      </c>
      <c r="B1436" s="153" t="s">
        <v>3395</v>
      </c>
    </row>
    <row r="1437" spans="1:2">
      <c r="A1437" s="153" t="s">
        <v>3396</v>
      </c>
      <c r="B1437" s="153" t="s">
        <v>3397</v>
      </c>
    </row>
    <row r="1438" spans="1:2">
      <c r="A1438" s="153" t="s">
        <v>3398</v>
      </c>
      <c r="B1438" s="153" t="s">
        <v>3399</v>
      </c>
    </row>
    <row r="1439" spans="1:2">
      <c r="A1439" s="153" t="s">
        <v>3400</v>
      </c>
      <c r="B1439" s="153" t="s">
        <v>3401</v>
      </c>
    </row>
    <row r="1440" spans="1:2">
      <c r="A1440" s="153" t="s">
        <v>3402</v>
      </c>
      <c r="B1440" s="153" t="s">
        <v>3403</v>
      </c>
    </row>
    <row r="1441" spans="1:2">
      <c r="A1441" s="153" t="s">
        <v>3404</v>
      </c>
      <c r="B1441" s="153" t="s">
        <v>3405</v>
      </c>
    </row>
    <row r="1442" spans="1:2">
      <c r="A1442" s="153" t="s">
        <v>3406</v>
      </c>
      <c r="B1442" s="153" t="s">
        <v>3407</v>
      </c>
    </row>
    <row r="1443" spans="1:2">
      <c r="A1443" s="153" t="s">
        <v>3408</v>
      </c>
      <c r="B1443" s="153" t="s">
        <v>3409</v>
      </c>
    </row>
    <row r="1444" spans="1:2">
      <c r="A1444" s="153" t="s">
        <v>3410</v>
      </c>
      <c r="B1444" s="153" t="s">
        <v>3411</v>
      </c>
    </row>
    <row r="1445" spans="1:2">
      <c r="A1445" s="153" t="s">
        <v>3412</v>
      </c>
      <c r="B1445" s="153" t="s">
        <v>3413</v>
      </c>
    </row>
    <row r="1446" spans="1:2">
      <c r="A1446" s="153" t="s">
        <v>3414</v>
      </c>
      <c r="B1446" s="153" t="s">
        <v>3415</v>
      </c>
    </row>
    <row r="1447" spans="1:2">
      <c r="A1447" s="153" t="s">
        <v>3416</v>
      </c>
      <c r="B1447" s="153" t="s">
        <v>3417</v>
      </c>
    </row>
    <row r="1448" spans="1:2">
      <c r="A1448" s="153" t="s">
        <v>3418</v>
      </c>
      <c r="B1448" s="153" t="s">
        <v>3419</v>
      </c>
    </row>
    <row r="1449" spans="1:2">
      <c r="A1449" s="153" t="s">
        <v>3420</v>
      </c>
      <c r="B1449" s="153" t="s">
        <v>3421</v>
      </c>
    </row>
    <row r="1450" spans="1:2">
      <c r="A1450" s="153" t="s">
        <v>3422</v>
      </c>
      <c r="B1450" s="153" t="s">
        <v>3423</v>
      </c>
    </row>
    <row r="1451" spans="1:2">
      <c r="A1451" s="153" t="s">
        <v>3424</v>
      </c>
      <c r="B1451" s="153" t="s">
        <v>3425</v>
      </c>
    </row>
    <row r="1452" spans="1:2">
      <c r="A1452" s="153" t="s">
        <v>3426</v>
      </c>
      <c r="B1452" s="153" t="s">
        <v>3427</v>
      </c>
    </row>
    <row r="1453" spans="1:2">
      <c r="A1453" s="153" t="s">
        <v>3428</v>
      </c>
      <c r="B1453" s="153" t="s">
        <v>3429</v>
      </c>
    </row>
    <row r="1454" spans="1:2">
      <c r="A1454" s="153" t="s">
        <v>3430</v>
      </c>
      <c r="B1454" s="153" t="s">
        <v>3431</v>
      </c>
    </row>
    <row r="1455" spans="1:2">
      <c r="A1455" s="153" t="s">
        <v>3432</v>
      </c>
      <c r="B1455" s="153" t="s">
        <v>3433</v>
      </c>
    </row>
    <row r="1456" spans="1:2">
      <c r="A1456" s="153" t="s">
        <v>3434</v>
      </c>
      <c r="B1456" s="153" t="s">
        <v>3435</v>
      </c>
    </row>
    <row r="1457" spans="1:2">
      <c r="A1457" s="153" t="s">
        <v>3436</v>
      </c>
      <c r="B1457" s="153" t="s">
        <v>3437</v>
      </c>
    </row>
    <row r="1458" spans="1:2">
      <c r="A1458" s="153" t="s">
        <v>3438</v>
      </c>
    </row>
    <row r="1459" spans="1:2">
      <c r="A1459" s="153" t="s">
        <v>3439</v>
      </c>
    </row>
    <row r="1460" spans="1:2">
      <c r="A1460" s="153" t="s">
        <v>3440</v>
      </c>
    </row>
    <row r="1461" spans="1:2">
      <c r="A1461" s="153" t="s">
        <v>3441</v>
      </c>
    </row>
    <row r="1462" spans="1:2">
      <c r="A1462" s="153" t="s">
        <v>3442</v>
      </c>
    </row>
    <row r="1463" spans="1:2">
      <c r="A1463" s="153" t="s">
        <v>3443</v>
      </c>
    </row>
    <row r="1464" spans="1:2">
      <c r="A1464" s="153" t="s">
        <v>3444</v>
      </c>
    </row>
    <row r="1465" spans="1:2">
      <c r="A1465" s="153" t="s">
        <v>3445</v>
      </c>
    </row>
    <row r="1466" spans="1:2">
      <c r="A1466" s="153" t="s">
        <v>3446</v>
      </c>
    </row>
    <row r="1467" spans="1:2">
      <c r="A1467" s="153" t="s">
        <v>3447</v>
      </c>
    </row>
    <row r="1468" spans="1:2">
      <c r="A1468" s="153" t="s">
        <v>3448</v>
      </c>
    </row>
    <row r="1469" spans="1:2">
      <c r="A1469" s="153" t="s">
        <v>3449</v>
      </c>
    </row>
    <row r="1470" spans="1:2">
      <c r="A1470" s="153" t="s">
        <v>3450</v>
      </c>
    </row>
    <row r="1471" spans="1:2">
      <c r="A1471" s="153" t="s">
        <v>3451</v>
      </c>
    </row>
    <row r="1472" spans="1:2">
      <c r="A1472" s="153" t="s">
        <v>3452</v>
      </c>
    </row>
    <row r="1473" spans="1:1">
      <c r="A1473" s="153" t="s">
        <v>3453</v>
      </c>
    </row>
    <row r="1474" spans="1:1">
      <c r="A1474" s="153" t="s">
        <v>3454</v>
      </c>
    </row>
    <row r="1475" spans="1:1">
      <c r="A1475" s="153" t="s">
        <v>3455</v>
      </c>
    </row>
    <row r="1476" spans="1:1">
      <c r="A1476" s="153" t="s">
        <v>3456</v>
      </c>
    </row>
    <row r="1477" spans="1:1">
      <c r="A1477" s="153" t="s">
        <v>3457</v>
      </c>
    </row>
    <row r="1478" spans="1:1">
      <c r="A1478" s="153" t="s">
        <v>3458</v>
      </c>
    </row>
    <row r="1479" spans="1:1">
      <c r="A1479" s="153" t="s">
        <v>3459</v>
      </c>
    </row>
    <row r="1480" spans="1:1">
      <c r="A1480" s="153" t="s">
        <v>3460</v>
      </c>
    </row>
    <row r="1481" spans="1:1">
      <c r="A1481" s="153" t="s">
        <v>3461</v>
      </c>
    </row>
    <row r="1482" spans="1:1">
      <c r="A1482" s="153" t="s">
        <v>3462</v>
      </c>
    </row>
    <row r="1483" spans="1:1">
      <c r="A1483" s="153" t="s">
        <v>3463</v>
      </c>
    </row>
    <row r="1484" spans="1:1">
      <c r="A1484" s="153" t="s">
        <v>3464</v>
      </c>
    </row>
    <row r="1485" spans="1:1">
      <c r="A1485" s="153" t="s">
        <v>3465</v>
      </c>
    </row>
    <row r="1486" spans="1:1">
      <c r="A1486" s="153" t="s">
        <v>3466</v>
      </c>
    </row>
    <row r="1487" spans="1:1">
      <c r="A1487" s="153" t="s">
        <v>3467</v>
      </c>
    </row>
    <row r="1488" spans="1:1">
      <c r="A1488" s="153" t="s">
        <v>3468</v>
      </c>
    </row>
    <row r="1489" spans="1:1">
      <c r="A1489" s="153" t="s">
        <v>3469</v>
      </c>
    </row>
    <row r="1490" spans="1:1">
      <c r="A1490" s="153" t="s">
        <v>3470</v>
      </c>
    </row>
    <row r="1491" spans="1:1">
      <c r="A1491" s="153" t="s">
        <v>3471</v>
      </c>
    </row>
    <row r="1492" spans="1:1">
      <c r="A1492" s="153" t="s">
        <v>3472</v>
      </c>
    </row>
    <row r="1493" spans="1:1">
      <c r="A1493" s="153" t="s">
        <v>3473</v>
      </c>
    </row>
    <row r="1494" spans="1:1">
      <c r="A1494" s="153" t="s">
        <v>3474</v>
      </c>
    </row>
    <row r="1495" spans="1:1">
      <c r="A1495" s="153" t="s">
        <v>3475</v>
      </c>
    </row>
    <row r="1496" spans="1:1">
      <c r="A1496" s="153" t="s">
        <v>3476</v>
      </c>
    </row>
    <row r="1497" spans="1:1">
      <c r="A1497" s="153" t="s">
        <v>3477</v>
      </c>
    </row>
    <row r="1498" spans="1:1">
      <c r="A1498" s="153" t="s">
        <v>3478</v>
      </c>
    </row>
    <row r="1499" spans="1:1">
      <c r="A1499" s="153" t="s">
        <v>3479</v>
      </c>
    </row>
    <row r="1500" spans="1:1">
      <c r="A1500" s="153" t="s">
        <v>3480</v>
      </c>
    </row>
    <row r="1501" spans="1:1">
      <c r="A1501" s="153" t="s">
        <v>3481</v>
      </c>
    </row>
    <row r="1502" spans="1:1">
      <c r="A1502" s="153" t="s">
        <v>3482</v>
      </c>
    </row>
    <row r="1503" spans="1:1">
      <c r="A1503" s="153" t="s">
        <v>3483</v>
      </c>
    </row>
    <row r="1504" spans="1:1">
      <c r="A1504" s="153" t="s">
        <v>3484</v>
      </c>
    </row>
    <row r="1505" spans="1:1">
      <c r="A1505" s="153" t="s">
        <v>3485</v>
      </c>
    </row>
    <row r="1506" spans="1:1">
      <c r="A1506" s="153" t="s">
        <v>3486</v>
      </c>
    </row>
    <row r="1507" spans="1:1">
      <c r="A1507" s="153" t="s">
        <v>3487</v>
      </c>
    </row>
    <row r="1508" spans="1:1">
      <c r="A1508" s="153" t="s">
        <v>3488</v>
      </c>
    </row>
    <row r="1509" spans="1:1">
      <c r="A1509" s="153" t="s">
        <v>3489</v>
      </c>
    </row>
    <row r="1510" spans="1:1">
      <c r="A1510" s="153" t="s">
        <v>3490</v>
      </c>
    </row>
    <row r="1511" spans="1:1">
      <c r="A1511" s="153" t="s">
        <v>3491</v>
      </c>
    </row>
    <row r="1512" spans="1:1">
      <c r="A1512" s="153" t="s">
        <v>3492</v>
      </c>
    </row>
    <row r="1513" spans="1:1">
      <c r="A1513" s="153" t="s">
        <v>3493</v>
      </c>
    </row>
    <row r="1514" spans="1:1">
      <c r="A1514" s="153" t="s">
        <v>3494</v>
      </c>
    </row>
    <row r="1515" spans="1:1">
      <c r="A1515" s="153" t="s">
        <v>3495</v>
      </c>
    </row>
    <row r="1516" spans="1:1">
      <c r="A1516" s="153" t="s">
        <v>3496</v>
      </c>
    </row>
    <row r="1517" spans="1:1">
      <c r="A1517" s="153" t="s">
        <v>3497</v>
      </c>
    </row>
    <row r="1518" spans="1:1">
      <c r="A1518" s="153" t="s">
        <v>3498</v>
      </c>
    </row>
    <row r="1519" spans="1:1">
      <c r="A1519" s="153" t="s">
        <v>3499</v>
      </c>
    </row>
    <row r="1520" spans="1:1">
      <c r="A1520" s="153" t="s">
        <v>3500</v>
      </c>
    </row>
    <row r="1521" spans="1:1">
      <c r="A1521" s="153" t="s">
        <v>3501</v>
      </c>
    </row>
    <row r="1522" spans="1:1">
      <c r="A1522" s="153" t="s">
        <v>3502</v>
      </c>
    </row>
    <row r="1523" spans="1:1">
      <c r="A1523" s="153" t="s">
        <v>3503</v>
      </c>
    </row>
    <row r="1524" spans="1:1">
      <c r="A1524" s="153" t="s">
        <v>3504</v>
      </c>
    </row>
    <row r="1525" spans="1:1">
      <c r="A1525" s="153" t="s">
        <v>3505</v>
      </c>
    </row>
    <row r="1526" spans="1:1">
      <c r="A1526" s="153" t="s">
        <v>3506</v>
      </c>
    </row>
    <row r="1527" spans="1:1">
      <c r="A1527" s="153" t="s">
        <v>3507</v>
      </c>
    </row>
    <row r="1528" spans="1:1">
      <c r="A1528" s="153" t="s">
        <v>3508</v>
      </c>
    </row>
    <row r="1529" spans="1:1">
      <c r="A1529" s="153" t="s">
        <v>3509</v>
      </c>
    </row>
    <row r="1530" spans="1:1">
      <c r="A1530" s="153" t="s">
        <v>3510</v>
      </c>
    </row>
    <row r="1531" spans="1:1">
      <c r="A1531" s="153" t="s">
        <v>3511</v>
      </c>
    </row>
    <row r="1532" spans="1:1">
      <c r="A1532" s="153" t="s">
        <v>3512</v>
      </c>
    </row>
    <row r="1533" spans="1:1">
      <c r="A1533" s="153" t="s">
        <v>3513</v>
      </c>
    </row>
    <row r="1534" spans="1:1">
      <c r="A1534" s="153" t="s">
        <v>3514</v>
      </c>
    </row>
    <row r="1535" spans="1:1">
      <c r="A1535" s="153" t="s">
        <v>3515</v>
      </c>
    </row>
    <row r="1536" spans="1:1">
      <c r="A1536" s="153" t="s">
        <v>3516</v>
      </c>
    </row>
    <row r="1537" spans="1:1">
      <c r="A1537" s="153" t="s">
        <v>3517</v>
      </c>
    </row>
    <row r="1538" spans="1:1">
      <c r="A1538" s="153" t="s">
        <v>3518</v>
      </c>
    </row>
    <row r="1539" spans="1:1">
      <c r="A1539" s="153" t="s">
        <v>3519</v>
      </c>
    </row>
    <row r="1540" spans="1:1">
      <c r="A1540" s="153" t="s">
        <v>3520</v>
      </c>
    </row>
    <row r="1541" spans="1:1">
      <c r="A1541" s="153" t="s">
        <v>3521</v>
      </c>
    </row>
    <row r="1542" spans="1:1">
      <c r="A1542" s="153" t="s">
        <v>3522</v>
      </c>
    </row>
    <row r="1543" spans="1:1">
      <c r="A1543" s="153" t="s">
        <v>3523</v>
      </c>
    </row>
    <row r="1544" spans="1:1">
      <c r="A1544" s="153" t="s">
        <v>3524</v>
      </c>
    </row>
    <row r="1545" spans="1:1">
      <c r="A1545" s="153" t="s">
        <v>3525</v>
      </c>
    </row>
    <row r="1546" spans="1:1">
      <c r="A1546" s="153" t="s">
        <v>3526</v>
      </c>
    </row>
    <row r="1547" spans="1:1">
      <c r="A1547" s="153" t="s">
        <v>3527</v>
      </c>
    </row>
    <row r="1548" spans="1:1">
      <c r="A1548" s="153" t="s">
        <v>3528</v>
      </c>
    </row>
    <row r="1549" spans="1:1">
      <c r="A1549" s="153" t="s">
        <v>3529</v>
      </c>
    </row>
    <row r="1550" spans="1:1">
      <c r="A1550" s="153" t="s">
        <v>3530</v>
      </c>
    </row>
    <row r="1551" spans="1:1">
      <c r="A1551" s="153" t="s">
        <v>3531</v>
      </c>
    </row>
    <row r="1552" spans="1:1">
      <c r="A1552" s="153" t="s">
        <v>3532</v>
      </c>
    </row>
    <row r="1553" spans="1:1">
      <c r="A1553" s="153" t="s">
        <v>3533</v>
      </c>
    </row>
    <row r="1554" spans="1:1">
      <c r="A1554" s="153" t="s">
        <v>3534</v>
      </c>
    </row>
    <row r="1555" spans="1:1">
      <c r="A1555" s="153" t="s">
        <v>3535</v>
      </c>
    </row>
    <row r="1556" spans="1:1">
      <c r="A1556" s="153" t="s">
        <v>3536</v>
      </c>
    </row>
    <row r="1557" spans="1:1">
      <c r="A1557" s="153" t="s">
        <v>3537</v>
      </c>
    </row>
    <row r="1558" spans="1:1">
      <c r="A1558" s="153" t="s">
        <v>3538</v>
      </c>
    </row>
    <row r="1559" spans="1:1">
      <c r="A1559" s="153" t="s">
        <v>3539</v>
      </c>
    </row>
    <row r="1560" spans="1:1">
      <c r="A1560" s="153" t="s">
        <v>3540</v>
      </c>
    </row>
    <row r="1561" spans="1:1">
      <c r="A1561" s="153" t="s">
        <v>3541</v>
      </c>
    </row>
    <row r="1562" spans="1:1">
      <c r="A1562" s="153" t="s">
        <v>3542</v>
      </c>
    </row>
    <row r="1563" spans="1:1">
      <c r="A1563" s="153" t="s">
        <v>3543</v>
      </c>
    </row>
    <row r="1564" spans="1:1">
      <c r="A1564" s="153" t="s">
        <v>3544</v>
      </c>
    </row>
    <row r="1565" spans="1:1">
      <c r="A1565" s="153" t="s">
        <v>3545</v>
      </c>
    </row>
    <row r="1566" spans="1:1">
      <c r="A1566" s="153" t="s">
        <v>3546</v>
      </c>
    </row>
    <row r="1567" spans="1:1">
      <c r="A1567" s="153" t="s">
        <v>3547</v>
      </c>
    </row>
    <row r="1568" spans="1:1">
      <c r="A1568" s="153" t="s">
        <v>3548</v>
      </c>
    </row>
    <row r="1569" spans="1:1">
      <c r="A1569" s="153" t="s">
        <v>3549</v>
      </c>
    </row>
    <row r="1570" spans="1:1">
      <c r="A1570" s="153" t="s">
        <v>3550</v>
      </c>
    </row>
    <row r="1571" spans="1:1">
      <c r="A1571" s="153" t="s">
        <v>3551</v>
      </c>
    </row>
    <row r="1572" spans="1:1">
      <c r="A1572" s="153" t="s">
        <v>3552</v>
      </c>
    </row>
    <row r="1573" spans="1:1">
      <c r="A1573" s="153" t="s">
        <v>3553</v>
      </c>
    </row>
    <row r="1574" spans="1:1">
      <c r="A1574" s="153" t="s">
        <v>3554</v>
      </c>
    </row>
    <row r="1575" spans="1:1">
      <c r="A1575" s="153" t="s">
        <v>3555</v>
      </c>
    </row>
    <row r="1576" spans="1:1">
      <c r="A1576" s="153" t="s">
        <v>3556</v>
      </c>
    </row>
    <row r="1577" spans="1:1">
      <c r="A1577" s="153" t="s">
        <v>3557</v>
      </c>
    </row>
    <row r="1578" spans="1:1">
      <c r="A1578" s="153" t="s">
        <v>3558</v>
      </c>
    </row>
    <row r="1579" spans="1:1">
      <c r="A1579" s="153" t="s">
        <v>3559</v>
      </c>
    </row>
    <row r="1580" spans="1:1">
      <c r="A1580" s="153" t="s">
        <v>3560</v>
      </c>
    </row>
    <row r="1581" spans="1:1">
      <c r="A1581" s="153" t="s">
        <v>3561</v>
      </c>
    </row>
    <row r="1582" spans="1:1">
      <c r="A1582" s="153" t="s">
        <v>3562</v>
      </c>
    </row>
    <row r="1583" spans="1:1">
      <c r="A1583" s="153" t="s">
        <v>3563</v>
      </c>
    </row>
    <row r="1584" spans="1:1">
      <c r="A1584" s="153" t="s">
        <v>3564</v>
      </c>
    </row>
    <row r="1585" spans="1:1">
      <c r="A1585" s="153" t="s">
        <v>3565</v>
      </c>
    </row>
    <row r="1586" spans="1:1">
      <c r="A1586" s="153" t="s">
        <v>3566</v>
      </c>
    </row>
    <row r="1587" spans="1:1">
      <c r="A1587" s="153" t="s">
        <v>3567</v>
      </c>
    </row>
    <row r="1588" spans="1:1">
      <c r="A1588" s="153" t="s">
        <v>3568</v>
      </c>
    </row>
    <row r="1589" spans="1:1">
      <c r="A1589" s="153" t="s">
        <v>3569</v>
      </c>
    </row>
    <row r="1590" spans="1:1">
      <c r="A1590" s="153" t="s">
        <v>3570</v>
      </c>
    </row>
    <row r="1591" spans="1:1">
      <c r="A1591" s="153" t="s">
        <v>3571</v>
      </c>
    </row>
    <row r="1592" spans="1:1">
      <c r="A1592" s="153" t="s">
        <v>3572</v>
      </c>
    </row>
    <row r="1593" spans="1:1">
      <c r="A1593" s="153" t="s">
        <v>3573</v>
      </c>
    </row>
    <row r="1594" spans="1:1">
      <c r="A1594" s="153" t="s">
        <v>3574</v>
      </c>
    </row>
    <row r="1595" spans="1:1">
      <c r="A1595" s="153" t="s">
        <v>3575</v>
      </c>
    </row>
    <row r="1596" spans="1:1">
      <c r="A1596" s="153" t="s">
        <v>3576</v>
      </c>
    </row>
    <row r="1597" spans="1:1">
      <c r="A1597" s="153" t="s">
        <v>3577</v>
      </c>
    </row>
    <row r="1598" spans="1:1">
      <c r="A1598" s="153" t="s">
        <v>3578</v>
      </c>
    </row>
    <row r="1599" spans="1:1">
      <c r="A1599" s="153" t="s">
        <v>3579</v>
      </c>
    </row>
    <row r="1600" spans="1:1">
      <c r="A1600" s="153" t="s">
        <v>3580</v>
      </c>
    </row>
    <row r="1601" spans="1:1">
      <c r="A1601" s="153" t="s">
        <v>3581</v>
      </c>
    </row>
    <row r="1602" spans="1:1">
      <c r="A1602" s="153" t="s">
        <v>3582</v>
      </c>
    </row>
    <row r="1603" spans="1:1">
      <c r="A1603" s="153" t="s">
        <v>3583</v>
      </c>
    </row>
    <row r="1604" spans="1:1">
      <c r="A1604" s="153" t="s">
        <v>3584</v>
      </c>
    </row>
    <row r="1605" spans="1:1">
      <c r="A1605" s="153" t="s">
        <v>3585</v>
      </c>
    </row>
    <row r="1606" spans="1:1">
      <c r="A1606" s="153" t="s">
        <v>3586</v>
      </c>
    </row>
    <row r="1607" spans="1:1">
      <c r="A1607" s="153" t="s">
        <v>3587</v>
      </c>
    </row>
    <row r="1608" spans="1:1">
      <c r="A1608" s="153" t="s">
        <v>3588</v>
      </c>
    </row>
    <row r="1609" spans="1:1">
      <c r="A1609" s="153" t="s">
        <v>3589</v>
      </c>
    </row>
    <row r="1610" spans="1:1">
      <c r="A1610" s="153" t="s">
        <v>3590</v>
      </c>
    </row>
    <row r="1611" spans="1:1">
      <c r="A1611" s="153" t="s">
        <v>3591</v>
      </c>
    </row>
    <row r="1612" spans="1:1">
      <c r="A1612" s="153" t="s">
        <v>3592</v>
      </c>
    </row>
    <row r="1613" spans="1:1">
      <c r="A1613" s="153" t="s">
        <v>3593</v>
      </c>
    </row>
    <row r="1614" spans="1:1">
      <c r="A1614" s="153" t="s">
        <v>3594</v>
      </c>
    </row>
    <row r="1615" spans="1:1">
      <c r="A1615" s="153" t="s">
        <v>3595</v>
      </c>
    </row>
    <row r="1616" spans="1:1">
      <c r="A1616" s="153" t="s">
        <v>3596</v>
      </c>
    </row>
    <row r="1617" spans="1:1">
      <c r="A1617" s="153" t="s">
        <v>3597</v>
      </c>
    </row>
    <row r="1618" spans="1:1">
      <c r="A1618" s="153" t="s">
        <v>3598</v>
      </c>
    </row>
    <row r="1619" spans="1:1">
      <c r="A1619" s="153" t="s">
        <v>3599</v>
      </c>
    </row>
    <row r="1620" spans="1:1">
      <c r="A1620" s="153" t="s">
        <v>3600</v>
      </c>
    </row>
    <row r="1621" spans="1:1">
      <c r="A1621" s="153" t="s">
        <v>3601</v>
      </c>
    </row>
    <row r="1622" spans="1:1">
      <c r="A1622" s="153" t="s">
        <v>3602</v>
      </c>
    </row>
    <row r="1623" spans="1:1">
      <c r="A1623" s="153" t="s">
        <v>3603</v>
      </c>
    </row>
    <row r="1624" spans="1:1">
      <c r="A1624" s="153" t="s">
        <v>3604</v>
      </c>
    </row>
    <row r="1625" spans="1:1">
      <c r="A1625" s="153" t="s">
        <v>3605</v>
      </c>
    </row>
    <row r="1626" spans="1:1">
      <c r="A1626" s="153" t="s">
        <v>3606</v>
      </c>
    </row>
    <row r="1627" spans="1:1">
      <c r="A1627" s="153" t="s">
        <v>3607</v>
      </c>
    </row>
    <row r="1628" spans="1:1">
      <c r="A1628" s="153" t="s">
        <v>3608</v>
      </c>
    </row>
    <row r="1629" spans="1:1">
      <c r="A1629" s="153" t="s">
        <v>3609</v>
      </c>
    </row>
    <row r="1630" spans="1:1">
      <c r="A1630" s="153" t="s">
        <v>3610</v>
      </c>
    </row>
    <row r="1631" spans="1:1">
      <c r="A1631" s="153" t="s">
        <v>3611</v>
      </c>
    </row>
    <row r="1632" spans="1:1">
      <c r="A1632" s="153" t="s">
        <v>3612</v>
      </c>
    </row>
    <row r="1633" spans="1:1">
      <c r="A1633" s="153" t="s">
        <v>3613</v>
      </c>
    </row>
    <row r="1634" spans="1:1">
      <c r="A1634" s="153" t="s">
        <v>3614</v>
      </c>
    </row>
    <row r="1635" spans="1:1">
      <c r="A1635" s="153" t="s">
        <v>3615</v>
      </c>
    </row>
    <row r="1636" spans="1:1">
      <c r="A1636" s="153" t="s">
        <v>3616</v>
      </c>
    </row>
    <row r="1637" spans="1:1">
      <c r="A1637" s="153" t="s">
        <v>3617</v>
      </c>
    </row>
    <row r="1638" spans="1:1">
      <c r="A1638" s="153" t="s">
        <v>3618</v>
      </c>
    </row>
    <row r="1639" spans="1:1">
      <c r="A1639" s="153" t="s">
        <v>3619</v>
      </c>
    </row>
    <row r="1640" spans="1:1">
      <c r="A1640" s="153" t="s">
        <v>3620</v>
      </c>
    </row>
    <row r="1641" spans="1:1">
      <c r="A1641" s="153" t="s">
        <v>3621</v>
      </c>
    </row>
    <row r="1642" spans="1:1">
      <c r="A1642" s="153" t="s">
        <v>3622</v>
      </c>
    </row>
    <row r="1643" spans="1:1">
      <c r="A1643" s="153" t="s">
        <v>3623</v>
      </c>
    </row>
    <row r="1644" spans="1:1">
      <c r="A1644" s="153" t="s">
        <v>3624</v>
      </c>
    </row>
    <row r="1645" spans="1:1">
      <c r="A1645" s="153" t="s">
        <v>3625</v>
      </c>
    </row>
    <row r="1646" spans="1:1">
      <c r="A1646" s="153" t="s">
        <v>3626</v>
      </c>
    </row>
    <row r="1647" spans="1:1">
      <c r="A1647" s="153" t="s">
        <v>3627</v>
      </c>
    </row>
    <row r="1648" spans="1:1">
      <c r="A1648" s="153" t="s">
        <v>3628</v>
      </c>
    </row>
    <row r="1649" spans="1:1">
      <c r="A1649" s="153" t="s">
        <v>3629</v>
      </c>
    </row>
    <row r="1650" spans="1:1">
      <c r="A1650" s="153" t="s">
        <v>3630</v>
      </c>
    </row>
    <row r="1651" spans="1:1">
      <c r="A1651" s="153" t="s">
        <v>3631</v>
      </c>
    </row>
    <row r="1652" spans="1:1">
      <c r="A1652" s="153" t="s">
        <v>3632</v>
      </c>
    </row>
    <row r="1653" spans="1:1">
      <c r="A1653" s="153" t="s">
        <v>3633</v>
      </c>
    </row>
    <row r="1654" spans="1:1">
      <c r="A1654" s="153" t="s">
        <v>3634</v>
      </c>
    </row>
    <row r="1655" spans="1:1">
      <c r="A1655" s="153" t="s">
        <v>3635</v>
      </c>
    </row>
    <row r="1656" spans="1:1">
      <c r="A1656" s="153" t="s">
        <v>3636</v>
      </c>
    </row>
    <row r="1657" spans="1:1">
      <c r="A1657" s="153" t="s">
        <v>3637</v>
      </c>
    </row>
    <row r="1658" spans="1:1">
      <c r="A1658" s="153" t="s">
        <v>3638</v>
      </c>
    </row>
    <row r="1659" spans="1:1">
      <c r="A1659" s="153" t="s">
        <v>3639</v>
      </c>
    </row>
    <row r="1660" spans="1:1">
      <c r="A1660" s="153" t="s">
        <v>3640</v>
      </c>
    </row>
    <row r="1661" spans="1:1">
      <c r="A1661" s="153" t="s">
        <v>3641</v>
      </c>
    </row>
    <row r="1662" spans="1:1">
      <c r="A1662" s="153" t="s">
        <v>3642</v>
      </c>
    </row>
    <row r="1663" spans="1:1">
      <c r="A1663" s="153" t="s">
        <v>3643</v>
      </c>
    </row>
    <row r="1664" spans="1:1">
      <c r="A1664" s="153" t="s">
        <v>3644</v>
      </c>
    </row>
    <row r="1665" spans="1:1">
      <c r="A1665" s="153" t="s">
        <v>3645</v>
      </c>
    </row>
    <row r="1666" spans="1:1">
      <c r="A1666" s="153" t="s">
        <v>3646</v>
      </c>
    </row>
    <row r="1667" spans="1:1">
      <c r="A1667" s="153" t="s">
        <v>3647</v>
      </c>
    </row>
    <row r="1668" spans="1:1">
      <c r="A1668" s="153" t="s">
        <v>3648</v>
      </c>
    </row>
    <row r="1669" spans="1:1">
      <c r="A1669" s="153" t="s">
        <v>3649</v>
      </c>
    </row>
    <row r="1670" spans="1:1">
      <c r="A1670" s="153" t="s">
        <v>3650</v>
      </c>
    </row>
    <row r="1671" spans="1:1">
      <c r="A1671" s="153" t="s">
        <v>3651</v>
      </c>
    </row>
    <row r="1672" spans="1:1">
      <c r="A1672" s="153" t="s">
        <v>3652</v>
      </c>
    </row>
    <row r="1673" spans="1:1">
      <c r="A1673" s="153" t="s">
        <v>3653</v>
      </c>
    </row>
    <row r="1674" spans="1:1">
      <c r="A1674" s="153" t="s">
        <v>3654</v>
      </c>
    </row>
    <row r="1675" spans="1:1">
      <c r="A1675" s="153" t="s">
        <v>3655</v>
      </c>
    </row>
    <row r="1676" spans="1:1">
      <c r="A1676" s="153" t="s">
        <v>3656</v>
      </c>
    </row>
    <row r="1677" spans="1:1">
      <c r="A1677" s="153" t="s">
        <v>3657</v>
      </c>
    </row>
    <row r="1678" spans="1:1">
      <c r="A1678" s="153" t="s">
        <v>3658</v>
      </c>
    </row>
    <row r="1679" spans="1:1">
      <c r="A1679" s="153" t="s">
        <v>3659</v>
      </c>
    </row>
    <row r="1680" spans="1:1">
      <c r="A1680" s="153" t="s">
        <v>3660</v>
      </c>
    </row>
    <row r="1681" spans="1:1">
      <c r="A1681" s="153" t="s">
        <v>3661</v>
      </c>
    </row>
    <row r="1682" spans="1:1">
      <c r="A1682" s="153" t="s">
        <v>3662</v>
      </c>
    </row>
    <row r="1683" spans="1:1">
      <c r="A1683" s="153" t="s">
        <v>3663</v>
      </c>
    </row>
    <row r="1684" spans="1:1">
      <c r="A1684" s="153" t="s">
        <v>3664</v>
      </c>
    </row>
    <row r="1685" spans="1:1">
      <c r="A1685" s="153" t="s">
        <v>3665</v>
      </c>
    </row>
    <row r="1686" spans="1:1">
      <c r="A1686" s="153" t="s">
        <v>3666</v>
      </c>
    </row>
    <row r="1687" spans="1:1">
      <c r="A1687" s="153" t="s">
        <v>3667</v>
      </c>
    </row>
    <row r="1688" spans="1:1">
      <c r="A1688" s="153" t="s">
        <v>3668</v>
      </c>
    </row>
    <row r="1689" spans="1:1">
      <c r="A1689" s="153" t="s">
        <v>3669</v>
      </c>
    </row>
    <row r="1690" spans="1:1">
      <c r="A1690" s="153" t="s">
        <v>3670</v>
      </c>
    </row>
    <row r="1691" spans="1:1">
      <c r="A1691" s="153" t="s">
        <v>3671</v>
      </c>
    </row>
    <row r="1692" spans="1:1">
      <c r="A1692" s="153" t="s">
        <v>3672</v>
      </c>
    </row>
    <row r="1693" spans="1:1">
      <c r="A1693" s="153" t="s">
        <v>3673</v>
      </c>
    </row>
    <row r="1694" spans="1:1">
      <c r="A1694" s="153" t="s">
        <v>3674</v>
      </c>
    </row>
    <row r="1695" spans="1:1">
      <c r="A1695" s="153" t="s">
        <v>3675</v>
      </c>
    </row>
    <row r="1696" spans="1:1">
      <c r="A1696" s="153" t="s">
        <v>3676</v>
      </c>
    </row>
    <row r="1697" spans="1:1">
      <c r="A1697" s="153" t="s">
        <v>3677</v>
      </c>
    </row>
    <row r="1698" spans="1:1">
      <c r="A1698" s="153" t="s">
        <v>3678</v>
      </c>
    </row>
    <row r="1699" spans="1:1">
      <c r="A1699" s="153" t="s">
        <v>3679</v>
      </c>
    </row>
    <row r="1700" spans="1:1">
      <c r="A1700" s="153" t="s">
        <v>3680</v>
      </c>
    </row>
    <row r="1701" spans="1:1">
      <c r="A1701" s="153" t="s">
        <v>3681</v>
      </c>
    </row>
    <row r="1702" spans="1:1">
      <c r="A1702" s="153" t="s">
        <v>3682</v>
      </c>
    </row>
    <row r="1703" spans="1:1">
      <c r="A1703" s="153" t="s">
        <v>3683</v>
      </c>
    </row>
    <row r="1704" spans="1:1">
      <c r="A1704" s="153" t="s">
        <v>3684</v>
      </c>
    </row>
    <row r="1705" spans="1:1">
      <c r="A1705" s="153" t="s">
        <v>3685</v>
      </c>
    </row>
    <row r="1706" spans="1:1">
      <c r="A1706" s="153" t="s">
        <v>3686</v>
      </c>
    </row>
    <row r="1707" spans="1:1">
      <c r="A1707" s="153" t="s">
        <v>3687</v>
      </c>
    </row>
    <row r="1708" spans="1:1">
      <c r="A1708" s="153" t="s">
        <v>3688</v>
      </c>
    </row>
    <row r="1709" spans="1:1">
      <c r="A1709" s="153" t="s">
        <v>3689</v>
      </c>
    </row>
    <row r="1710" spans="1:1">
      <c r="A1710" s="153" t="s">
        <v>3690</v>
      </c>
    </row>
    <row r="1711" spans="1:1">
      <c r="A1711" s="153" t="s">
        <v>3691</v>
      </c>
    </row>
    <row r="1712" spans="1:1">
      <c r="A1712" s="153" t="s">
        <v>3692</v>
      </c>
    </row>
    <row r="1713" spans="1:1">
      <c r="A1713" s="153" t="s">
        <v>3693</v>
      </c>
    </row>
    <row r="1714" spans="1:1">
      <c r="A1714" s="153" t="s">
        <v>3694</v>
      </c>
    </row>
    <row r="1715" spans="1:1">
      <c r="A1715" s="153" t="s">
        <v>3695</v>
      </c>
    </row>
    <row r="1716" spans="1:1">
      <c r="A1716" s="153" t="s">
        <v>3696</v>
      </c>
    </row>
    <row r="1717" spans="1:1">
      <c r="A1717" s="153" t="s">
        <v>3697</v>
      </c>
    </row>
    <row r="1718" spans="1:1">
      <c r="A1718" s="153" t="s">
        <v>3698</v>
      </c>
    </row>
    <row r="1719" spans="1:1">
      <c r="A1719" s="153" t="s">
        <v>3699</v>
      </c>
    </row>
    <row r="1720" spans="1:1">
      <c r="A1720" s="153" t="s">
        <v>3700</v>
      </c>
    </row>
    <row r="1721" spans="1:1">
      <c r="A1721" s="153" t="s">
        <v>3701</v>
      </c>
    </row>
    <row r="1722" spans="1:1">
      <c r="A1722" s="153" t="s">
        <v>3702</v>
      </c>
    </row>
    <row r="1723" spans="1:1">
      <c r="A1723" s="153" t="s">
        <v>3703</v>
      </c>
    </row>
    <row r="1724" spans="1:1">
      <c r="A1724" s="153" t="s">
        <v>3704</v>
      </c>
    </row>
    <row r="1725" spans="1:1">
      <c r="A1725" s="153" t="s">
        <v>3705</v>
      </c>
    </row>
    <row r="1726" spans="1:1">
      <c r="A1726" s="153" t="s">
        <v>3706</v>
      </c>
    </row>
    <row r="1727" spans="1:1">
      <c r="A1727" s="153" t="s">
        <v>3707</v>
      </c>
    </row>
    <row r="1728" spans="1:1">
      <c r="A1728" s="153" t="s">
        <v>3708</v>
      </c>
    </row>
    <row r="1729" spans="1:1">
      <c r="A1729" s="153" t="s">
        <v>3709</v>
      </c>
    </row>
    <row r="1730" spans="1:1">
      <c r="A1730" s="153" t="s">
        <v>3710</v>
      </c>
    </row>
    <row r="1731" spans="1:1">
      <c r="A1731" s="153" t="s">
        <v>3711</v>
      </c>
    </row>
    <row r="1732" spans="1:1">
      <c r="A1732" s="153" t="s">
        <v>3712</v>
      </c>
    </row>
    <row r="1733" spans="1:1">
      <c r="A1733" s="153" t="s">
        <v>3713</v>
      </c>
    </row>
    <row r="1734" spans="1:1">
      <c r="A1734" s="153" t="s">
        <v>3714</v>
      </c>
    </row>
    <row r="1735" spans="1:1">
      <c r="A1735" s="153" t="s">
        <v>3715</v>
      </c>
    </row>
    <row r="1736" spans="1:1">
      <c r="A1736" s="153" t="s">
        <v>3716</v>
      </c>
    </row>
    <row r="1737" spans="1:1">
      <c r="A1737" s="153" t="s">
        <v>3717</v>
      </c>
    </row>
    <row r="1738" spans="1:1">
      <c r="A1738" s="153" t="s">
        <v>3718</v>
      </c>
    </row>
    <row r="1739" spans="1:1">
      <c r="A1739" s="153" t="s">
        <v>3719</v>
      </c>
    </row>
    <row r="1740" spans="1:1">
      <c r="A1740" s="153" t="s">
        <v>3720</v>
      </c>
    </row>
    <row r="1741" spans="1:1">
      <c r="A1741" s="153" t="s">
        <v>3721</v>
      </c>
    </row>
    <row r="1742" spans="1:1">
      <c r="A1742" s="153" t="s">
        <v>3722</v>
      </c>
    </row>
    <row r="1743" spans="1:1">
      <c r="A1743" s="153" t="s">
        <v>3723</v>
      </c>
    </row>
    <row r="1744" spans="1:1">
      <c r="A1744" s="153" t="s">
        <v>3724</v>
      </c>
    </row>
    <row r="1745" spans="1:1">
      <c r="A1745" s="153" t="s">
        <v>3725</v>
      </c>
    </row>
    <row r="1746" spans="1:1">
      <c r="A1746" s="153" t="s">
        <v>3726</v>
      </c>
    </row>
    <row r="1747" spans="1:1">
      <c r="A1747" s="153" t="s">
        <v>3727</v>
      </c>
    </row>
    <row r="1748" spans="1:1">
      <c r="A1748" s="153" t="s">
        <v>3728</v>
      </c>
    </row>
    <row r="1749" spans="1:1">
      <c r="A1749" s="153" t="s">
        <v>3729</v>
      </c>
    </row>
    <row r="1750" spans="1:1">
      <c r="A1750" s="153" t="s">
        <v>3730</v>
      </c>
    </row>
    <row r="1751" spans="1:1">
      <c r="A1751" s="153" t="s">
        <v>3731</v>
      </c>
    </row>
    <row r="1752" spans="1:1">
      <c r="A1752" s="153" t="s">
        <v>3732</v>
      </c>
    </row>
    <row r="1753" spans="1:1">
      <c r="A1753" s="153" t="s">
        <v>3733</v>
      </c>
    </row>
    <row r="1754" spans="1:1">
      <c r="A1754" s="153" t="s">
        <v>3734</v>
      </c>
    </row>
    <row r="1755" spans="1:1">
      <c r="A1755" s="153" t="s">
        <v>3735</v>
      </c>
    </row>
    <row r="1756" spans="1:1">
      <c r="A1756" s="153" t="s">
        <v>3736</v>
      </c>
    </row>
    <row r="1757" spans="1:1">
      <c r="A1757" s="153" t="s">
        <v>3737</v>
      </c>
    </row>
    <row r="1758" spans="1:1">
      <c r="A1758" s="153" t="s">
        <v>3738</v>
      </c>
    </row>
    <row r="1759" spans="1:1">
      <c r="A1759" s="153" t="s">
        <v>3739</v>
      </c>
    </row>
    <row r="1760" spans="1:1">
      <c r="A1760" s="153" t="s">
        <v>3740</v>
      </c>
    </row>
    <row r="1761" spans="1:1">
      <c r="A1761" s="153" t="s">
        <v>3741</v>
      </c>
    </row>
    <row r="1762" spans="1:1">
      <c r="A1762" s="153" t="s">
        <v>3742</v>
      </c>
    </row>
    <row r="1763" spans="1:1">
      <c r="A1763" s="153" t="s">
        <v>3743</v>
      </c>
    </row>
    <row r="1764" spans="1:1">
      <c r="A1764" s="153" t="s">
        <v>3744</v>
      </c>
    </row>
    <row r="1765" spans="1:1">
      <c r="A1765" s="153" t="s">
        <v>3745</v>
      </c>
    </row>
    <row r="1766" spans="1:1">
      <c r="A1766" s="153" t="s">
        <v>3746</v>
      </c>
    </row>
    <row r="1767" spans="1:1">
      <c r="A1767" s="153" t="s">
        <v>3747</v>
      </c>
    </row>
    <row r="1768" spans="1:1">
      <c r="A1768" s="153" t="s">
        <v>3748</v>
      </c>
    </row>
    <row r="1769" spans="1:1">
      <c r="A1769" s="153" t="s">
        <v>3749</v>
      </c>
    </row>
    <row r="1770" spans="1:1">
      <c r="A1770" s="153" t="s">
        <v>3750</v>
      </c>
    </row>
    <row r="1771" spans="1:1">
      <c r="A1771" s="153" t="s">
        <v>3751</v>
      </c>
    </row>
    <row r="1772" spans="1:1">
      <c r="A1772" s="153" t="s">
        <v>3752</v>
      </c>
    </row>
    <row r="1773" spans="1:1">
      <c r="A1773" s="153" t="s">
        <v>3753</v>
      </c>
    </row>
    <row r="1774" spans="1:1">
      <c r="A1774" s="153" t="s">
        <v>3754</v>
      </c>
    </row>
    <row r="1775" spans="1:1">
      <c r="A1775" s="153" t="s">
        <v>3755</v>
      </c>
    </row>
    <row r="1776" spans="1:1">
      <c r="A1776" s="153" t="s">
        <v>3756</v>
      </c>
    </row>
    <row r="1777" spans="1:1">
      <c r="A1777" s="153" t="s">
        <v>3757</v>
      </c>
    </row>
    <row r="1778" spans="1:1">
      <c r="A1778" s="153" t="s">
        <v>3758</v>
      </c>
    </row>
    <row r="1779" spans="1:1">
      <c r="A1779" s="153" t="s">
        <v>3759</v>
      </c>
    </row>
    <row r="1780" spans="1:1">
      <c r="A1780" s="153" t="s">
        <v>3760</v>
      </c>
    </row>
    <row r="1781" spans="1:1">
      <c r="A1781" s="153" t="s">
        <v>3761</v>
      </c>
    </row>
    <row r="1782" spans="1:1">
      <c r="A1782" s="153" t="s">
        <v>3762</v>
      </c>
    </row>
    <row r="1783" spans="1:1">
      <c r="A1783" s="153" t="s">
        <v>3763</v>
      </c>
    </row>
    <row r="1784" spans="1:1">
      <c r="A1784" s="153" t="s">
        <v>3764</v>
      </c>
    </row>
    <row r="1785" spans="1:1">
      <c r="A1785" s="153" t="s">
        <v>3765</v>
      </c>
    </row>
    <row r="1786" spans="1:1">
      <c r="A1786" s="153" t="s">
        <v>3766</v>
      </c>
    </row>
    <row r="1787" spans="1:1">
      <c r="A1787" s="153" t="s">
        <v>3767</v>
      </c>
    </row>
    <row r="1788" spans="1:1">
      <c r="A1788" s="153" t="s">
        <v>3768</v>
      </c>
    </row>
    <row r="1789" spans="1:1">
      <c r="A1789" s="153" t="s">
        <v>3769</v>
      </c>
    </row>
    <row r="1790" spans="1:1">
      <c r="A1790" s="153" t="s">
        <v>3770</v>
      </c>
    </row>
    <row r="1791" spans="1:1">
      <c r="A1791" s="153" t="s">
        <v>3771</v>
      </c>
    </row>
    <row r="1792" spans="1:1">
      <c r="A1792" s="153" t="s">
        <v>3772</v>
      </c>
    </row>
    <row r="1793" spans="1:1">
      <c r="A1793" s="153" t="s">
        <v>3773</v>
      </c>
    </row>
    <row r="1794" spans="1:1">
      <c r="A1794" s="153" t="s">
        <v>3774</v>
      </c>
    </row>
    <row r="1795" spans="1:1">
      <c r="A1795" s="153" t="s">
        <v>3775</v>
      </c>
    </row>
    <row r="1796" spans="1:1">
      <c r="A1796" s="153" t="s">
        <v>3776</v>
      </c>
    </row>
    <row r="1797" spans="1:1">
      <c r="A1797" s="153" t="s">
        <v>3777</v>
      </c>
    </row>
    <row r="1798" spans="1:1">
      <c r="A1798" s="153" t="s">
        <v>3778</v>
      </c>
    </row>
    <row r="1799" spans="1:1">
      <c r="A1799" s="153" t="s">
        <v>3779</v>
      </c>
    </row>
    <row r="1800" spans="1:1">
      <c r="A1800" s="153" t="s">
        <v>3780</v>
      </c>
    </row>
    <row r="1801" spans="1:1">
      <c r="A1801" s="153" t="s">
        <v>3781</v>
      </c>
    </row>
    <row r="1802" spans="1:1">
      <c r="A1802" s="153" t="s">
        <v>3782</v>
      </c>
    </row>
    <row r="1803" spans="1:1">
      <c r="A1803" s="153" t="s">
        <v>3783</v>
      </c>
    </row>
    <row r="1804" spans="1:1">
      <c r="A1804" s="153" t="s">
        <v>3784</v>
      </c>
    </row>
    <row r="1805" spans="1:1">
      <c r="A1805" s="153" t="s">
        <v>3785</v>
      </c>
    </row>
    <row r="1806" spans="1:1">
      <c r="A1806" s="153" t="s">
        <v>3786</v>
      </c>
    </row>
    <row r="1807" spans="1:1">
      <c r="A1807" s="153" t="s">
        <v>3787</v>
      </c>
    </row>
    <row r="1808" spans="1:1">
      <c r="A1808" s="153" t="s">
        <v>3788</v>
      </c>
    </row>
    <row r="1809" spans="1:1">
      <c r="A1809" s="153" t="s">
        <v>3789</v>
      </c>
    </row>
    <row r="1810" spans="1:1">
      <c r="A1810" s="153" t="s">
        <v>3790</v>
      </c>
    </row>
    <row r="1811" spans="1:1">
      <c r="A1811" s="153" t="s">
        <v>3791</v>
      </c>
    </row>
    <row r="1812" spans="1:1">
      <c r="A1812" s="153" t="s">
        <v>3792</v>
      </c>
    </row>
    <row r="1813" spans="1:1">
      <c r="A1813" s="153" t="s">
        <v>3793</v>
      </c>
    </row>
    <row r="1814" spans="1:1">
      <c r="A1814" s="153" t="s">
        <v>3794</v>
      </c>
    </row>
    <row r="1815" spans="1:1">
      <c r="A1815" s="153" t="s">
        <v>3795</v>
      </c>
    </row>
    <row r="1816" spans="1:1">
      <c r="A1816" s="153" t="s">
        <v>3796</v>
      </c>
    </row>
    <row r="1817" spans="1:1">
      <c r="A1817" s="153" t="s">
        <v>3797</v>
      </c>
    </row>
    <row r="1818" spans="1:1">
      <c r="A1818" s="153" t="s">
        <v>3798</v>
      </c>
    </row>
    <row r="1819" spans="1:1">
      <c r="A1819" s="153" t="s">
        <v>3799</v>
      </c>
    </row>
    <row r="1820" spans="1:1">
      <c r="A1820" s="153" t="s">
        <v>3800</v>
      </c>
    </row>
    <row r="1821" spans="1:1">
      <c r="A1821" s="153" t="s">
        <v>3801</v>
      </c>
    </row>
    <row r="1822" spans="1:1">
      <c r="A1822" s="153" t="s">
        <v>3802</v>
      </c>
    </row>
    <row r="1823" spans="1:1">
      <c r="A1823" s="153" t="s">
        <v>3803</v>
      </c>
    </row>
    <row r="1824" spans="1:1">
      <c r="A1824" s="153" t="s">
        <v>3804</v>
      </c>
    </row>
    <row r="1825" spans="1:1">
      <c r="A1825" s="153" t="s">
        <v>3805</v>
      </c>
    </row>
    <row r="1826" spans="1:1">
      <c r="A1826" s="153" t="s">
        <v>3806</v>
      </c>
    </row>
    <row r="1827" spans="1:1">
      <c r="A1827" s="153" t="s">
        <v>3807</v>
      </c>
    </row>
    <row r="1828" spans="1:1">
      <c r="A1828" s="153" t="s">
        <v>3808</v>
      </c>
    </row>
    <row r="1829" spans="1:1">
      <c r="A1829" s="153" t="s">
        <v>3809</v>
      </c>
    </row>
    <row r="1830" spans="1:1">
      <c r="A1830" s="153" t="s">
        <v>3810</v>
      </c>
    </row>
    <row r="1831" spans="1:1">
      <c r="A1831" s="153" t="s">
        <v>3811</v>
      </c>
    </row>
    <row r="1832" spans="1:1">
      <c r="A1832" s="153" t="s">
        <v>3812</v>
      </c>
    </row>
    <row r="1833" spans="1:1">
      <c r="A1833" s="153" t="s">
        <v>3813</v>
      </c>
    </row>
    <row r="1834" spans="1:1">
      <c r="A1834" s="153" t="s">
        <v>3814</v>
      </c>
    </row>
    <row r="1835" spans="1:1">
      <c r="A1835" s="153" t="s">
        <v>3815</v>
      </c>
    </row>
    <row r="1836" spans="1:1">
      <c r="A1836" s="153" t="s">
        <v>3816</v>
      </c>
    </row>
    <row r="1837" spans="1:1">
      <c r="A1837" s="153" t="s">
        <v>3817</v>
      </c>
    </row>
    <row r="1838" spans="1:1">
      <c r="A1838" s="153" t="s">
        <v>3818</v>
      </c>
    </row>
    <row r="1839" spans="1:1">
      <c r="A1839" s="153" t="s">
        <v>3819</v>
      </c>
    </row>
    <row r="1840" spans="1:1">
      <c r="A1840" s="153" t="s">
        <v>3820</v>
      </c>
    </row>
    <row r="1841" spans="1:1">
      <c r="A1841" s="153" t="s">
        <v>3821</v>
      </c>
    </row>
    <row r="1842" spans="1:1">
      <c r="A1842" s="153" t="s">
        <v>3822</v>
      </c>
    </row>
    <row r="1843" spans="1:1">
      <c r="A1843" s="153" t="s">
        <v>3823</v>
      </c>
    </row>
    <row r="1844" spans="1:1">
      <c r="A1844" s="153" t="s">
        <v>3824</v>
      </c>
    </row>
    <row r="1845" spans="1:1">
      <c r="A1845" s="153" t="s">
        <v>3825</v>
      </c>
    </row>
    <row r="1846" spans="1:1">
      <c r="A1846" s="153" t="s">
        <v>3826</v>
      </c>
    </row>
    <row r="1847" spans="1:1">
      <c r="A1847" s="153" t="s">
        <v>3827</v>
      </c>
    </row>
    <row r="1848" spans="1:1">
      <c r="A1848" s="153" t="s">
        <v>3828</v>
      </c>
    </row>
    <row r="1849" spans="1:1">
      <c r="A1849" s="153" t="s">
        <v>3829</v>
      </c>
    </row>
    <row r="1850" spans="1:1">
      <c r="A1850" s="153" t="s">
        <v>3830</v>
      </c>
    </row>
    <row r="1851" spans="1:1">
      <c r="A1851" s="153" t="s">
        <v>3831</v>
      </c>
    </row>
    <row r="1852" spans="1:1">
      <c r="A1852" s="153" t="s">
        <v>3832</v>
      </c>
    </row>
    <row r="1853" spans="1:1">
      <c r="A1853" s="153" t="s">
        <v>3833</v>
      </c>
    </row>
    <row r="1854" spans="1:1">
      <c r="A1854" s="153" t="s">
        <v>3834</v>
      </c>
    </row>
    <row r="1855" spans="1:1">
      <c r="A1855" s="153" t="s">
        <v>3835</v>
      </c>
    </row>
    <row r="1856" spans="1:1">
      <c r="A1856" s="153" t="s">
        <v>3836</v>
      </c>
    </row>
    <row r="1857" spans="1:1">
      <c r="A1857" s="153" t="s">
        <v>3837</v>
      </c>
    </row>
    <row r="1858" spans="1:1">
      <c r="A1858" s="153" t="s">
        <v>3838</v>
      </c>
    </row>
    <row r="1859" spans="1:1">
      <c r="A1859" s="153" t="s">
        <v>3839</v>
      </c>
    </row>
    <row r="1860" spans="1:1">
      <c r="A1860" s="153" t="s">
        <v>3840</v>
      </c>
    </row>
    <row r="1861" spans="1:1">
      <c r="A1861" s="153" t="s">
        <v>3841</v>
      </c>
    </row>
    <row r="1862" spans="1:1">
      <c r="A1862" s="153" t="s">
        <v>3842</v>
      </c>
    </row>
    <row r="1863" spans="1:1">
      <c r="A1863" s="153" t="s">
        <v>3843</v>
      </c>
    </row>
    <row r="1864" spans="1:1">
      <c r="A1864" s="153" t="s">
        <v>3844</v>
      </c>
    </row>
    <row r="1865" spans="1:1">
      <c r="A1865" s="153" t="s">
        <v>3845</v>
      </c>
    </row>
    <row r="1866" spans="1:1">
      <c r="A1866" s="153" t="s">
        <v>3846</v>
      </c>
    </row>
    <row r="1867" spans="1:1">
      <c r="A1867" s="153" t="s">
        <v>3847</v>
      </c>
    </row>
    <row r="1868" spans="1:1">
      <c r="A1868" s="153" t="s">
        <v>3848</v>
      </c>
    </row>
    <row r="1869" spans="1:1">
      <c r="A1869" s="153" t="s">
        <v>3849</v>
      </c>
    </row>
    <row r="1870" spans="1:1">
      <c r="A1870" s="153" t="s">
        <v>3850</v>
      </c>
    </row>
    <row r="1871" spans="1:1">
      <c r="A1871" s="153" t="s">
        <v>3851</v>
      </c>
    </row>
    <row r="1872" spans="1:1">
      <c r="A1872" s="153" t="s">
        <v>3852</v>
      </c>
    </row>
    <row r="1873" spans="1:1">
      <c r="A1873" s="153" t="s">
        <v>3853</v>
      </c>
    </row>
    <row r="1874" spans="1:1">
      <c r="A1874" s="153" t="s">
        <v>3854</v>
      </c>
    </row>
    <row r="1875" spans="1:1">
      <c r="A1875" s="153" t="s">
        <v>3855</v>
      </c>
    </row>
    <row r="1876" spans="1:1">
      <c r="A1876" s="153" t="s">
        <v>3856</v>
      </c>
    </row>
    <row r="1877" spans="1:1">
      <c r="A1877" s="153" t="s">
        <v>3857</v>
      </c>
    </row>
    <row r="1878" spans="1:1">
      <c r="A1878" s="153" t="s">
        <v>3858</v>
      </c>
    </row>
    <row r="1879" spans="1:1">
      <c r="A1879" s="153" t="s">
        <v>3859</v>
      </c>
    </row>
    <row r="1880" spans="1:1">
      <c r="A1880" s="153" t="s">
        <v>3860</v>
      </c>
    </row>
    <row r="1881" spans="1:1">
      <c r="A1881" s="153" t="s">
        <v>3861</v>
      </c>
    </row>
    <row r="1882" spans="1:1">
      <c r="A1882" s="153" t="s">
        <v>3862</v>
      </c>
    </row>
    <row r="1883" spans="1:1">
      <c r="A1883" s="153" t="s">
        <v>3863</v>
      </c>
    </row>
    <row r="1884" spans="1:1">
      <c r="A1884" s="153" t="s">
        <v>3864</v>
      </c>
    </row>
    <row r="1885" spans="1:1">
      <c r="A1885" s="153" t="s">
        <v>3865</v>
      </c>
    </row>
    <row r="1886" spans="1:1">
      <c r="A1886" s="153" t="s">
        <v>3866</v>
      </c>
    </row>
    <row r="1887" spans="1:1">
      <c r="A1887" s="153" t="s">
        <v>3867</v>
      </c>
    </row>
    <row r="1888" spans="1:1">
      <c r="A1888" s="153" t="s">
        <v>3868</v>
      </c>
    </row>
    <row r="1889" spans="1:1">
      <c r="A1889" s="153" t="s">
        <v>3869</v>
      </c>
    </row>
    <row r="1890" spans="1:1">
      <c r="A1890" s="153" t="s">
        <v>3870</v>
      </c>
    </row>
    <row r="1891" spans="1:1">
      <c r="A1891" s="153" t="s">
        <v>3871</v>
      </c>
    </row>
    <row r="1892" spans="1:1">
      <c r="A1892" s="153" t="s">
        <v>3872</v>
      </c>
    </row>
    <row r="1893" spans="1:1">
      <c r="A1893" s="153" t="s">
        <v>3873</v>
      </c>
    </row>
    <row r="1894" spans="1:1">
      <c r="A1894" s="153" t="s">
        <v>3874</v>
      </c>
    </row>
    <row r="1895" spans="1:1">
      <c r="A1895" s="153" t="s">
        <v>3875</v>
      </c>
    </row>
    <row r="1896" spans="1:1">
      <c r="A1896" s="153" t="s">
        <v>3876</v>
      </c>
    </row>
    <row r="1897" spans="1:1">
      <c r="A1897" s="153" t="s">
        <v>3877</v>
      </c>
    </row>
    <row r="1898" spans="1:1">
      <c r="A1898" s="153" t="s">
        <v>3878</v>
      </c>
    </row>
    <row r="1899" spans="1:1">
      <c r="A1899" s="153" t="s">
        <v>3879</v>
      </c>
    </row>
    <row r="1900" spans="1:1">
      <c r="A1900" s="153" t="s">
        <v>3880</v>
      </c>
    </row>
    <row r="1901" spans="1:1">
      <c r="A1901" s="153" t="s">
        <v>3881</v>
      </c>
    </row>
    <row r="1902" spans="1:1">
      <c r="A1902" s="153" t="s">
        <v>3882</v>
      </c>
    </row>
    <row r="1903" spans="1:1">
      <c r="A1903" s="153" t="s">
        <v>3883</v>
      </c>
    </row>
    <row r="1904" spans="1:1">
      <c r="A1904" s="153" t="s">
        <v>3884</v>
      </c>
    </row>
    <row r="1905" spans="1:1">
      <c r="A1905" s="153" t="s">
        <v>3885</v>
      </c>
    </row>
    <row r="1906" spans="1:1">
      <c r="A1906" s="153" t="s">
        <v>3886</v>
      </c>
    </row>
    <row r="1907" spans="1:1">
      <c r="A1907" s="153" t="s">
        <v>3887</v>
      </c>
    </row>
    <row r="1908" spans="1:1">
      <c r="A1908" s="153" t="s">
        <v>3888</v>
      </c>
    </row>
    <row r="1909" spans="1:1">
      <c r="A1909" s="153" t="s">
        <v>3889</v>
      </c>
    </row>
    <row r="1910" spans="1:1">
      <c r="A1910" s="153" t="s">
        <v>3890</v>
      </c>
    </row>
    <row r="1911" spans="1:1">
      <c r="A1911" s="153" t="s">
        <v>3891</v>
      </c>
    </row>
    <row r="1912" spans="1:1">
      <c r="A1912" s="153" t="s">
        <v>3892</v>
      </c>
    </row>
    <row r="1913" spans="1:1">
      <c r="A1913" s="153" t="s">
        <v>3893</v>
      </c>
    </row>
    <row r="1914" spans="1:1">
      <c r="A1914" s="153" t="s">
        <v>3894</v>
      </c>
    </row>
    <row r="1915" spans="1:1">
      <c r="A1915" s="153" t="s">
        <v>3895</v>
      </c>
    </row>
    <row r="1916" spans="1:1">
      <c r="A1916" s="153" t="s">
        <v>3896</v>
      </c>
    </row>
    <row r="1917" spans="1:1">
      <c r="A1917" s="153" t="s">
        <v>3897</v>
      </c>
    </row>
    <row r="1918" spans="1:1">
      <c r="A1918" s="153" t="s">
        <v>3898</v>
      </c>
    </row>
    <row r="1919" spans="1:1">
      <c r="A1919" s="153" t="s">
        <v>3899</v>
      </c>
    </row>
    <row r="1920" spans="1:1">
      <c r="A1920" s="153" t="s">
        <v>3900</v>
      </c>
    </row>
    <row r="1921" spans="1:1">
      <c r="A1921" s="153" t="s">
        <v>3901</v>
      </c>
    </row>
    <row r="1922" spans="1:1">
      <c r="A1922" s="153" t="s">
        <v>3902</v>
      </c>
    </row>
    <row r="1923" spans="1:1">
      <c r="A1923" s="153" t="s">
        <v>3903</v>
      </c>
    </row>
    <row r="1924" spans="1:1">
      <c r="A1924" s="153" t="s">
        <v>3904</v>
      </c>
    </row>
    <row r="1925" spans="1:1">
      <c r="A1925" s="153" t="s">
        <v>3905</v>
      </c>
    </row>
    <row r="1926" spans="1:1">
      <c r="A1926" s="153" t="s">
        <v>3906</v>
      </c>
    </row>
    <row r="1927" spans="1:1">
      <c r="A1927" s="153" t="s">
        <v>3907</v>
      </c>
    </row>
    <row r="1928" spans="1:1">
      <c r="A1928" s="153" t="s">
        <v>3908</v>
      </c>
    </row>
    <row r="1929" spans="1:1">
      <c r="A1929" s="153" t="s">
        <v>3909</v>
      </c>
    </row>
    <row r="1930" spans="1:1">
      <c r="A1930" s="153" t="s">
        <v>3910</v>
      </c>
    </row>
    <row r="1931" spans="1:1">
      <c r="A1931" s="153" t="s">
        <v>3911</v>
      </c>
    </row>
    <row r="1932" spans="1:1">
      <c r="A1932" s="153" t="s">
        <v>3912</v>
      </c>
    </row>
    <row r="1933" spans="1:1">
      <c r="A1933" s="153" t="s">
        <v>3913</v>
      </c>
    </row>
    <row r="1934" spans="1:1">
      <c r="A1934" s="153" t="s">
        <v>3914</v>
      </c>
    </row>
    <row r="1935" spans="1:1">
      <c r="A1935" s="153" t="s">
        <v>3915</v>
      </c>
    </row>
    <row r="1936" spans="1:1">
      <c r="A1936" s="153" t="s">
        <v>3916</v>
      </c>
    </row>
    <row r="1937" spans="1:1">
      <c r="A1937" s="153" t="s">
        <v>3917</v>
      </c>
    </row>
    <row r="1938" spans="1:1">
      <c r="A1938" s="153" t="s">
        <v>3918</v>
      </c>
    </row>
    <row r="1939" spans="1:1">
      <c r="A1939" s="153" t="s">
        <v>3919</v>
      </c>
    </row>
    <row r="1940" spans="1:1">
      <c r="A1940" s="153" t="s">
        <v>3920</v>
      </c>
    </row>
    <row r="1941" spans="1:1">
      <c r="A1941" s="153" t="s">
        <v>3921</v>
      </c>
    </row>
    <row r="1942" spans="1:1">
      <c r="A1942" s="153" t="s">
        <v>3922</v>
      </c>
    </row>
    <row r="1943" spans="1:1">
      <c r="A1943" s="153" t="s">
        <v>3923</v>
      </c>
    </row>
    <row r="1944" spans="1:1">
      <c r="A1944" s="153" t="s">
        <v>3924</v>
      </c>
    </row>
    <row r="1945" spans="1:1">
      <c r="A1945" s="153" t="s">
        <v>3925</v>
      </c>
    </row>
    <row r="1946" spans="1:1">
      <c r="A1946" s="153" t="s">
        <v>3926</v>
      </c>
    </row>
    <row r="1947" spans="1:1">
      <c r="A1947" s="153" t="s">
        <v>3927</v>
      </c>
    </row>
    <row r="1948" spans="1:1">
      <c r="A1948" s="153" t="s">
        <v>3928</v>
      </c>
    </row>
    <row r="1949" spans="1:1">
      <c r="A1949" s="153" t="s">
        <v>3929</v>
      </c>
    </row>
    <row r="1950" spans="1:1">
      <c r="A1950" s="153" t="s">
        <v>3930</v>
      </c>
    </row>
    <row r="1951" spans="1:1">
      <c r="A1951" s="153" t="s">
        <v>3931</v>
      </c>
    </row>
    <row r="1952" spans="1:1">
      <c r="A1952" s="153" t="s">
        <v>3932</v>
      </c>
    </row>
    <row r="1953" spans="1:1">
      <c r="A1953" s="153" t="s">
        <v>3933</v>
      </c>
    </row>
    <row r="1954" spans="1:1">
      <c r="A1954" s="153" t="s">
        <v>3934</v>
      </c>
    </row>
    <row r="1955" spans="1:1">
      <c r="A1955" s="153" t="s">
        <v>3935</v>
      </c>
    </row>
    <row r="1956" spans="1:1">
      <c r="A1956" s="153" t="s">
        <v>3936</v>
      </c>
    </row>
    <row r="1957" spans="1:1">
      <c r="A1957" s="153" t="s">
        <v>3937</v>
      </c>
    </row>
    <row r="1958" spans="1:1">
      <c r="A1958" s="153" t="s">
        <v>3938</v>
      </c>
    </row>
    <row r="1959" spans="1:1">
      <c r="A1959" s="153" t="s">
        <v>3939</v>
      </c>
    </row>
    <row r="1960" spans="1:1">
      <c r="A1960" s="153" t="s">
        <v>3940</v>
      </c>
    </row>
    <row r="1961" spans="1:1">
      <c r="A1961" s="153" t="s">
        <v>3941</v>
      </c>
    </row>
    <row r="1962" spans="1:1">
      <c r="A1962" s="153" t="s">
        <v>3942</v>
      </c>
    </row>
    <row r="1963" spans="1:1">
      <c r="A1963" s="153" t="s">
        <v>3943</v>
      </c>
    </row>
    <row r="1964" spans="1:1">
      <c r="A1964" s="153" t="s">
        <v>3944</v>
      </c>
    </row>
    <row r="1965" spans="1:1">
      <c r="A1965" s="153" t="s">
        <v>3945</v>
      </c>
    </row>
    <row r="1966" spans="1:1">
      <c r="A1966" s="153" t="s">
        <v>3946</v>
      </c>
    </row>
    <row r="1967" spans="1:1">
      <c r="A1967" s="153" t="s">
        <v>3947</v>
      </c>
    </row>
    <row r="1968" spans="1:1">
      <c r="A1968" s="153" t="s">
        <v>3948</v>
      </c>
    </row>
    <row r="1969" spans="1:1">
      <c r="A1969" s="153" t="s">
        <v>3949</v>
      </c>
    </row>
    <row r="1970" spans="1:1">
      <c r="A1970" s="153" t="s">
        <v>3950</v>
      </c>
    </row>
    <row r="1971" spans="1:1">
      <c r="A1971" s="153" t="s">
        <v>3951</v>
      </c>
    </row>
    <row r="1972" spans="1:1">
      <c r="A1972" s="153" t="s">
        <v>3952</v>
      </c>
    </row>
    <row r="1973" spans="1:1">
      <c r="A1973" s="153" t="s">
        <v>3953</v>
      </c>
    </row>
    <row r="1974" spans="1:1">
      <c r="A1974" s="153" t="s">
        <v>3954</v>
      </c>
    </row>
    <row r="1975" spans="1:1">
      <c r="A1975" s="153" t="s">
        <v>3955</v>
      </c>
    </row>
    <row r="1976" spans="1:1">
      <c r="A1976" s="153" t="s">
        <v>3956</v>
      </c>
    </row>
    <row r="1977" spans="1:1">
      <c r="A1977" s="153" t="s">
        <v>3957</v>
      </c>
    </row>
    <row r="1978" spans="1:1">
      <c r="A1978" s="153" t="s">
        <v>3958</v>
      </c>
    </row>
    <row r="1979" spans="1:1">
      <c r="A1979" s="153" t="s">
        <v>3959</v>
      </c>
    </row>
    <row r="1980" spans="1:1">
      <c r="A1980" s="153" t="s">
        <v>3960</v>
      </c>
    </row>
    <row r="1981" spans="1:1">
      <c r="A1981" s="153" t="s">
        <v>3961</v>
      </c>
    </row>
    <row r="1982" spans="1:1">
      <c r="A1982" s="153" t="s">
        <v>3962</v>
      </c>
    </row>
    <row r="1983" spans="1:1">
      <c r="A1983" s="153" t="s">
        <v>3963</v>
      </c>
    </row>
    <row r="1984" spans="1:1">
      <c r="A1984" s="153" t="s">
        <v>3964</v>
      </c>
    </row>
    <row r="1985" spans="1:1">
      <c r="A1985" s="153" t="s">
        <v>3965</v>
      </c>
    </row>
    <row r="1986" spans="1:1">
      <c r="A1986" s="153" t="s">
        <v>3966</v>
      </c>
    </row>
    <row r="1987" spans="1:1">
      <c r="A1987" s="153" t="s">
        <v>3967</v>
      </c>
    </row>
    <row r="1988" spans="1:1">
      <c r="A1988" s="153" t="s">
        <v>3968</v>
      </c>
    </row>
    <row r="1989" spans="1:1">
      <c r="A1989" s="153" t="s">
        <v>3969</v>
      </c>
    </row>
    <row r="1990" spans="1:1">
      <c r="A1990" s="153" t="s">
        <v>3970</v>
      </c>
    </row>
    <row r="1991" spans="1:1">
      <c r="A1991" s="153" t="s">
        <v>3971</v>
      </c>
    </row>
    <row r="1992" spans="1:1">
      <c r="A1992" s="153" t="s">
        <v>3972</v>
      </c>
    </row>
    <row r="1993" spans="1:1">
      <c r="A1993" s="153" t="s">
        <v>3973</v>
      </c>
    </row>
    <row r="1994" spans="1:1">
      <c r="A1994" s="153" t="s">
        <v>3974</v>
      </c>
    </row>
    <row r="1995" spans="1:1">
      <c r="A1995" s="153" t="s">
        <v>3975</v>
      </c>
    </row>
    <row r="1996" spans="1:1">
      <c r="A1996" s="153" t="s">
        <v>3976</v>
      </c>
    </row>
    <row r="1997" spans="1:1">
      <c r="A1997" s="153" t="s">
        <v>3977</v>
      </c>
    </row>
    <row r="1998" spans="1:1">
      <c r="A1998" s="153" t="s">
        <v>3978</v>
      </c>
    </row>
    <row r="1999" spans="1:1">
      <c r="A1999" s="153" t="s">
        <v>3979</v>
      </c>
    </row>
    <row r="2000" spans="1:1">
      <c r="A2000" s="153" t="s">
        <v>3980</v>
      </c>
    </row>
    <row r="2001" spans="1:1">
      <c r="A2001" s="153" t="s">
        <v>3981</v>
      </c>
    </row>
    <row r="2002" spans="1:1">
      <c r="A2002" s="153" t="s">
        <v>3982</v>
      </c>
    </row>
    <row r="2003" spans="1:1">
      <c r="A2003" s="153" t="s">
        <v>3983</v>
      </c>
    </row>
    <row r="2004" spans="1:1">
      <c r="A2004" s="153" t="s">
        <v>3984</v>
      </c>
    </row>
    <row r="2005" spans="1:1">
      <c r="A2005" s="153" t="s">
        <v>3985</v>
      </c>
    </row>
    <row r="2006" spans="1:1">
      <c r="A2006" s="153" t="s">
        <v>3986</v>
      </c>
    </row>
    <row r="2007" spans="1:1">
      <c r="A2007" s="153" t="s">
        <v>3987</v>
      </c>
    </row>
    <row r="2008" spans="1:1">
      <c r="A2008" s="153" t="s">
        <v>3988</v>
      </c>
    </row>
    <row r="2009" spans="1:1">
      <c r="A2009" s="153" t="s">
        <v>3989</v>
      </c>
    </row>
    <row r="2010" spans="1:1">
      <c r="A2010" s="153" t="s">
        <v>3990</v>
      </c>
    </row>
    <row r="2011" spans="1:1">
      <c r="A2011" s="153" t="s">
        <v>3991</v>
      </c>
    </row>
    <row r="2012" spans="1:1">
      <c r="A2012" s="153" t="s">
        <v>3992</v>
      </c>
    </row>
    <row r="2013" spans="1:1">
      <c r="A2013" s="153" t="s">
        <v>3993</v>
      </c>
    </row>
    <row r="2014" spans="1:1">
      <c r="A2014" s="153" t="s">
        <v>3994</v>
      </c>
    </row>
    <row r="2015" spans="1:1">
      <c r="A2015" s="153" t="s">
        <v>3995</v>
      </c>
    </row>
    <row r="2016" spans="1:1">
      <c r="A2016" s="153" t="s">
        <v>3996</v>
      </c>
    </row>
    <row r="2017" spans="1:1">
      <c r="A2017" s="153" t="s">
        <v>3997</v>
      </c>
    </row>
    <row r="2018" spans="1:1">
      <c r="A2018" s="153" t="s">
        <v>3998</v>
      </c>
    </row>
    <row r="2019" spans="1:1">
      <c r="A2019" s="153" t="s">
        <v>3999</v>
      </c>
    </row>
    <row r="2020" spans="1:1">
      <c r="A2020" s="153" t="s">
        <v>4000</v>
      </c>
    </row>
    <row r="2021" spans="1:1">
      <c r="A2021" s="153" t="s">
        <v>4001</v>
      </c>
    </row>
    <row r="2022" spans="1:1">
      <c r="A2022" s="153" t="s">
        <v>4002</v>
      </c>
    </row>
    <row r="2023" spans="1:1">
      <c r="A2023" s="153" t="s">
        <v>4003</v>
      </c>
    </row>
    <row r="2024" spans="1:1">
      <c r="A2024" s="153" t="s">
        <v>4004</v>
      </c>
    </row>
    <row r="2025" spans="1:1">
      <c r="A2025" s="153" t="s">
        <v>4005</v>
      </c>
    </row>
    <row r="2026" spans="1:1">
      <c r="A2026" s="153" t="s">
        <v>4006</v>
      </c>
    </row>
    <row r="2027" spans="1:1">
      <c r="A2027" s="153" t="s">
        <v>4007</v>
      </c>
    </row>
    <row r="2028" spans="1:1">
      <c r="A2028" s="153" t="s">
        <v>4008</v>
      </c>
    </row>
    <row r="2029" spans="1:1">
      <c r="A2029" s="153" t="s">
        <v>4009</v>
      </c>
    </row>
    <row r="2030" spans="1:1">
      <c r="A2030" s="153" t="s">
        <v>4010</v>
      </c>
    </row>
    <row r="2031" spans="1:1">
      <c r="A2031" s="153" t="s">
        <v>4011</v>
      </c>
    </row>
    <row r="2032" spans="1:1">
      <c r="A2032" s="153" t="s">
        <v>4012</v>
      </c>
    </row>
    <row r="2033" spans="1:1">
      <c r="A2033" s="153" t="s">
        <v>4013</v>
      </c>
    </row>
    <row r="2034" spans="1:1">
      <c r="A2034" s="153" t="s">
        <v>4014</v>
      </c>
    </row>
    <row r="2035" spans="1:1">
      <c r="A2035" s="153" t="s">
        <v>4015</v>
      </c>
    </row>
    <row r="2036" spans="1:1">
      <c r="A2036" s="153" t="s">
        <v>4016</v>
      </c>
    </row>
    <row r="2037" spans="1:1">
      <c r="A2037" s="153" t="s">
        <v>4017</v>
      </c>
    </row>
    <row r="2038" spans="1:1">
      <c r="A2038" s="153" t="s">
        <v>4018</v>
      </c>
    </row>
    <row r="2039" spans="1:1">
      <c r="A2039" s="153" t="s">
        <v>4019</v>
      </c>
    </row>
    <row r="2040" spans="1:1">
      <c r="A2040" s="153" t="s">
        <v>4020</v>
      </c>
    </row>
    <row r="2041" spans="1:1">
      <c r="A2041" s="153" t="s">
        <v>4021</v>
      </c>
    </row>
    <row r="2042" spans="1:1">
      <c r="A2042" s="153" t="s">
        <v>4022</v>
      </c>
    </row>
    <row r="2043" spans="1:1">
      <c r="A2043" s="153" t="s">
        <v>4023</v>
      </c>
    </row>
    <row r="2044" spans="1:1">
      <c r="A2044" s="153" t="s">
        <v>4024</v>
      </c>
    </row>
    <row r="2045" spans="1:1">
      <c r="A2045" s="153" t="s">
        <v>4025</v>
      </c>
    </row>
    <row r="2046" spans="1:1">
      <c r="A2046" s="153" t="s">
        <v>4026</v>
      </c>
    </row>
    <row r="2047" spans="1:1">
      <c r="A2047" s="153" t="s">
        <v>4027</v>
      </c>
    </row>
    <row r="2048" spans="1:1">
      <c r="A2048" s="153" t="s">
        <v>4028</v>
      </c>
    </row>
    <row r="2049" spans="1:1">
      <c r="A2049" s="153" t="s">
        <v>4029</v>
      </c>
    </row>
    <row r="2050" spans="1:1">
      <c r="A2050" s="153" t="s">
        <v>4030</v>
      </c>
    </row>
    <row r="2051" spans="1:1">
      <c r="A2051" s="153" t="s">
        <v>4031</v>
      </c>
    </row>
    <row r="2052" spans="1:1">
      <c r="A2052" s="153" t="s">
        <v>4032</v>
      </c>
    </row>
    <row r="2053" spans="1:1">
      <c r="A2053" s="153" t="s">
        <v>4033</v>
      </c>
    </row>
    <row r="2054" spans="1:1">
      <c r="A2054" s="153" t="s">
        <v>4034</v>
      </c>
    </row>
    <row r="2055" spans="1:1">
      <c r="A2055" s="153" t="s">
        <v>4035</v>
      </c>
    </row>
    <row r="2056" spans="1:1">
      <c r="A2056" s="153" t="s">
        <v>4036</v>
      </c>
    </row>
    <row r="2057" spans="1:1">
      <c r="A2057" s="153" t="s">
        <v>4037</v>
      </c>
    </row>
    <row r="2058" spans="1:1">
      <c r="A2058" s="153" t="s">
        <v>4038</v>
      </c>
    </row>
    <row r="2059" spans="1:1">
      <c r="A2059" s="153" t="s">
        <v>4039</v>
      </c>
    </row>
    <row r="2060" spans="1:1">
      <c r="A2060" s="153" t="s">
        <v>4040</v>
      </c>
    </row>
    <row r="2061" spans="1:1">
      <c r="A2061" s="153" t="s">
        <v>4041</v>
      </c>
    </row>
    <row r="2062" spans="1:1">
      <c r="A2062" s="153" t="s">
        <v>4042</v>
      </c>
    </row>
    <row r="2063" spans="1:1">
      <c r="A2063" s="153" t="s">
        <v>4043</v>
      </c>
    </row>
    <row r="2064" spans="1:1">
      <c r="A2064" s="153" t="s">
        <v>4044</v>
      </c>
    </row>
    <row r="2065" spans="1:1">
      <c r="A2065" s="153" t="s">
        <v>4045</v>
      </c>
    </row>
    <row r="2066" spans="1:1">
      <c r="A2066" s="153" t="s">
        <v>4046</v>
      </c>
    </row>
    <row r="2067" spans="1:1">
      <c r="A2067" s="153" t="s">
        <v>4047</v>
      </c>
    </row>
    <row r="2068" spans="1:1">
      <c r="A2068" s="153" t="s">
        <v>4048</v>
      </c>
    </row>
    <row r="2069" spans="1:1">
      <c r="A2069" s="153" t="s">
        <v>4049</v>
      </c>
    </row>
    <row r="2070" spans="1:1">
      <c r="A2070" s="153" t="s">
        <v>4050</v>
      </c>
    </row>
    <row r="2071" spans="1:1">
      <c r="A2071" s="153" t="s">
        <v>4051</v>
      </c>
    </row>
    <row r="2072" spans="1:1">
      <c r="A2072" s="153" t="s">
        <v>4052</v>
      </c>
    </row>
    <row r="2073" spans="1:1">
      <c r="A2073" s="153" t="s">
        <v>4053</v>
      </c>
    </row>
    <row r="2074" spans="1:1">
      <c r="A2074" s="153" t="s">
        <v>4054</v>
      </c>
    </row>
    <row r="2075" spans="1:1">
      <c r="A2075" s="153" t="s">
        <v>4055</v>
      </c>
    </row>
    <row r="2076" spans="1:1">
      <c r="A2076" s="153" t="s">
        <v>4056</v>
      </c>
    </row>
    <row r="2077" spans="1:1">
      <c r="A2077" s="153" t="s">
        <v>4057</v>
      </c>
    </row>
    <row r="2078" spans="1:1">
      <c r="A2078" s="153" t="s">
        <v>4058</v>
      </c>
    </row>
    <row r="2079" spans="1:1">
      <c r="A2079" s="153" t="s">
        <v>4059</v>
      </c>
    </row>
    <row r="2080" spans="1:1">
      <c r="A2080" s="153" t="s">
        <v>4060</v>
      </c>
    </row>
    <row r="2081" spans="1:1">
      <c r="A2081" s="153" t="s">
        <v>4061</v>
      </c>
    </row>
    <row r="2082" spans="1:1">
      <c r="A2082" s="153" t="s">
        <v>4062</v>
      </c>
    </row>
    <row r="2083" spans="1:1">
      <c r="A2083" s="153" t="s">
        <v>4063</v>
      </c>
    </row>
    <row r="2084" spans="1:1">
      <c r="A2084" s="153" t="s">
        <v>4064</v>
      </c>
    </row>
    <row r="2085" spans="1:1">
      <c r="A2085" s="153" t="s">
        <v>4065</v>
      </c>
    </row>
    <row r="2086" spans="1:1">
      <c r="A2086" s="153" t="s">
        <v>4066</v>
      </c>
    </row>
    <row r="2087" spans="1:1">
      <c r="A2087" s="153" t="s">
        <v>4067</v>
      </c>
    </row>
    <row r="2088" spans="1:1">
      <c r="A2088" s="153" t="s">
        <v>4068</v>
      </c>
    </row>
    <row r="2089" spans="1:1">
      <c r="A2089" s="153" t="s">
        <v>4069</v>
      </c>
    </row>
    <row r="2090" spans="1:1">
      <c r="A2090" s="153" t="s">
        <v>4070</v>
      </c>
    </row>
    <row r="2091" spans="1:1">
      <c r="A2091" s="153" t="s">
        <v>4071</v>
      </c>
    </row>
    <row r="2092" spans="1:1">
      <c r="A2092" s="153" t="s">
        <v>4072</v>
      </c>
    </row>
    <row r="2093" spans="1:1">
      <c r="A2093" s="153" t="s">
        <v>4073</v>
      </c>
    </row>
    <row r="2094" spans="1:1">
      <c r="A2094" s="153" t="s">
        <v>4074</v>
      </c>
    </row>
    <row r="2095" spans="1:1">
      <c r="A2095" s="153" t="s">
        <v>4075</v>
      </c>
    </row>
    <row r="2096" spans="1:1">
      <c r="A2096" s="153" t="s">
        <v>4076</v>
      </c>
    </row>
    <row r="2097" spans="1:1">
      <c r="A2097" s="153" t="s">
        <v>4077</v>
      </c>
    </row>
    <row r="2098" spans="1:1">
      <c r="A2098" s="153" t="s">
        <v>4078</v>
      </c>
    </row>
    <row r="2099" spans="1:1">
      <c r="A2099" s="153" t="s">
        <v>4079</v>
      </c>
    </row>
    <row r="2100" spans="1:1">
      <c r="A2100" s="153" t="s">
        <v>4080</v>
      </c>
    </row>
    <row r="2101" spans="1:1">
      <c r="A2101" s="153" t="s">
        <v>4081</v>
      </c>
    </row>
    <row r="2102" spans="1:1">
      <c r="A2102" s="153" t="s">
        <v>4082</v>
      </c>
    </row>
    <row r="2103" spans="1:1">
      <c r="A2103" s="153" t="s">
        <v>4083</v>
      </c>
    </row>
    <row r="2104" spans="1:1">
      <c r="A2104" s="153" t="s">
        <v>4084</v>
      </c>
    </row>
    <row r="2105" spans="1:1">
      <c r="A2105" s="153" t="s">
        <v>4085</v>
      </c>
    </row>
    <row r="2106" spans="1:1">
      <c r="A2106" s="153" t="s">
        <v>4086</v>
      </c>
    </row>
    <row r="2107" spans="1:1">
      <c r="A2107" s="153" t="s">
        <v>4087</v>
      </c>
    </row>
    <row r="2108" spans="1:1">
      <c r="A2108" s="153" t="s">
        <v>4088</v>
      </c>
    </row>
    <row r="2109" spans="1:1">
      <c r="A2109" s="153" t="s">
        <v>4089</v>
      </c>
    </row>
    <row r="2110" spans="1:1">
      <c r="A2110" s="153" t="s">
        <v>4090</v>
      </c>
    </row>
    <row r="2111" spans="1:1">
      <c r="A2111" s="153" t="s">
        <v>4091</v>
      </c>
    </row>
    <row r="2112" spans="1:1">
      <c r="A2112" s="153" t="s">
        <v>4092</v>
      </c>
    </row>
    <row r="2113" spans="1:1">
      <c r="A2113" s="153" t="s">
        <v>4093</v>
      </c>
    </row>
    <row r="2114" spans="1:1">
      <c r="A2114" s="153" t="s">
        <v>4094</v>
      </c>
    </row>
    <row r="2115" spans="1:1">
      <c r="A2115" s="153" t="s">
        <v>4095</v>
      </c>
    </row>
    <row r="2116" spans="1:1">
      <c r="A2116" s="153" t="s">
        <v>4096</v>
      </c>
    </row>
    <row r="2117" spans="1:1">
      <c r="A2117" s="153" t="s">
        <v>4097</v>
      </c>
    </row>
    <row r="2118" spans="1:1">
      <c r="A2118" s="153" t="s">
        <v>4098</v>
      </c>
    </row>
    <row r="2119" spans="1:1">
      <c r="A2119" s="153" t="s">
        <v>4099</v>
      </c>
    </row>
    <row r="2120" spans="1:1">
      <c r="A2120" s="153" t="s">
        <v>4100</v>
      </c>
    </row>
    <row r="2121" spans="1:1">
      <c r="A2121" s="153" t="s">
        <v>4101</v>
      </c>
    </row>
    <row r="2122" spans="1:1">
      <c r="A2122" s="153" t="s">
        <v>4102</v>
      </c>
    </row>
    <row r="2123" spans="1:1">
      <c r="A2123" s="153" t="s">
        <v>4103</v>
      </c>
    </row>
    <row r="2124" spans="1:1">
      <c r="A2124" s="153" t="s">
        <v>4104</v>
      </c>
    </row>
    <row r="2125" spans="1:1">
      <c r="A2125" s="153" t="s">
        <v>4105</v>
      </c>
    </row>
    <row r="2126" spans="1:1">
      <c r="A2126" s="153" t="s">
        <v>4106</v>
      </c>
    </row>
    <row r="2127" spans="1:1">
      <c r="A2127" s="153" t="s">
        <v>4107</v>
      </c>
    </row>
    <row r="2128" spans="1:1">
      <c r="A2128" s="153" t="s">
        <v>4108</v>
      </c>
    </row>
    <row r="2129" spans="1:1">
      <c r="A2129" s="153" t="s">
        <v>4109</v>
      </c>
    </row>
    <row r="2130" spans="1:1">
      <c r="A2130" s="153" t="s">
        <v>4110</v>
      </c>
    </row>
    <row r="2131" spans="1:1">
      <c r="A2131" s="153" t="s">
        <v>4111</v>
      </c>
    </row>
    <row r="2132" spans="1:1">
      <c r="A2132" s="153" t="s">
        <v>4112</v>
      </c>
    </row>
    <row r="2133" spans="1:1">
      <c r="A2133" s="153" t="s">
        <v>4113</v>
      </c>
    </row>
    <row r="2134" spans="1:1">
      <c r="A2134" s="153" t="s">
        <v>4114</v>
      </c>
    </row>
    <row r="2135" spans="1:1">
      <c r="A2135" s="153" t="s">
        <v>4115</v>
      </c>
    </row>
    <row r="2136" spans="1:1">
      <c r="A2136" s="153" t="s">
        <v>4116</v>
      </c>
    </row>
    <row r="2137" spans="1:1">
      <c r="A2137" s="153" t="s">
        <v>4117</v>
      </c>
    </row>
    <row r="2138" spans="1:1">
      <c r="A2138" s="153" t="s">
        <v>4118</v>
      </c>
    </row>
    <row r="2139" spans="1:1">
      <c r="A2139" s="153" t="s">
        <v>4119</v>
      </c>
    </row>
    <row r="2140" spans="1:1">
      <c r="A2140" s="153" t="s">
        <v>4120</v>
      </c>
    </row>
    <row r="2141" spans="1:1">
      <c r="A2141" s="153" t="s">
        <v>4121</v>
      </c>
    </row>
    <row r="2142" spans="1:1">
      <c r="A2142" s="153" t="s">
        <v>4122</v>
      </c>
    </row>
    <row r="2143" spans="1:1">
      <c r="A2143" s="153" t="s">
        <v>4123</v>
      </c>
    </row>
    <row r="2144" spans="1:1">
      <c r="A2144" s="153" t="s">
        <v>4124</v>
      </c>
    </row>
    <row r="2145" spans="1:1">
      <c r="A2145" s="153" t="s">
        <v>4125</v>
      </c>
    </row>
    <row r="2146" spans="1:1">
      <c r="A2146" s="153" t="s">
        <v>4126</v>
      </c>
    </row>
    <row r="2147" spans="1:1">
      <c r="A2147" s="153" t="s">
        <v>4127</v>
      </c>
    </row>
    <row r="2148" spans="1:1">
      <c r="A2148" s="153" t="s">
        <v>4128</v>
      </c>
    </row>
    <row r="2149" spans="1:1">
      <c r="A2149" s="153" t="s">
        <v>4129</v>
      </c>
    </row>
    <row r="2150" spans="1:1">
      <c r="A2150" s="153" t="s">
        <v>4130</v>
      </c>
    </row>
    <row r="2151" spans="1:1">
      <c r="A2151" s="153" t="s">
        <v>4131</v>
      </c>
    </row>
    <row r="2152" spans="1:1">
      <c r="A2152" s="153" t="s">
        <v>4132</v>
      </c>
    </row>
    <row r="2153" spans="1:1">
      <c r="A2153" s="153" t="s">
        <v>4133</v>
      </c>
    </row>
    <row r="2154" spans="1:1">
      <c r="A2154" s="153" t="s">
        <v>4134</v>
      </c>
    </row>
    <row r="2155" spans="1:1">
      <c r="A2155" s="153" t="s">
        <v>4135</v>
      </c>
    </row>
    <row r="2156" spans="1:1">
      <c r="A2156" s="153" t="s">
        <v>4136</v>
      </c>
    </row>
    <row r="2157" spans="1:1">
      <c r="A2157" s="153" t="s">
        <v>4137</v>
      </c>
    </row>
    <row r="2158" spans="1:1">
      <c r="A2158" s="153" t="s">
        <v>4138</v>
      </c>
    </row>
    <row r="2159" spans="1:1">
      <c r="A2159" s="153" t="s">
        <v>4139</v>
      </c>
    </row>
    <row r="2160" spans="1:1">
      <c r="A2160" s="153" t="s">
        <v>4140</v>
      </c>
    </row>
    <row r="2161" spans="1:1">
      <c r="A2161" s="153" t="s">
        <v>4141</v>
      </c>
    </row>
    <row r="2162" spans="1:1">
      <c r="A2162" s="153" t="s">
        <v>4142</v>
      </c>
    </row>
    <row r="2163" spans="1:1">
      <c r="A2163" s="153" t="s">
        <v>4143</v>
      </c>
    </row>
    <row r="2164" spans="1:1">
      <c r="A2164" s="153" t="s">
        <v>4144</v>
      </c>
    </row>
    <row r="2165" spans="1:1">
      <c r="A2165" s="153" t="s">
        <v>4145</v>
      </c>
    </row>
    <row r="2166" spans="1:1">
      <c r="A2166" s="153" t="s">
        <v>4146</v>
      </c>
    </row>
    <row r="2167" spans="1:1">
      <c r="A2167" s="153" t="s">
        <v>4147</v>
      </c>
    </row>
    <row r="2168" spans="1:1">
      <c r="A2168" s="153" t="s">
        <v>4148</v>
      </c>
    </row>
    <row r="2169" spans="1:1">
      <c r="A2169" s="153" t="s">
        <v>4149</v>
      </c>
    </row>
    <row r="2170" spans="1:1">
      <c r="A2170" s="153" t="s">
        <v>4150</v>
      </c>
    </row>
    <row r="2171" spans="1:1">
      <c r="A2171" s="153" t="s">
        <v>4151</v>
      </c>
    </row>
    <row r="2172" spans="1:1">
      <c r="A2172" s="153" t="s">
        <v>4152</v>
      </c>
    </row>
    <row r="2173" spans="1:1">
      <c r="A2173" s="153" t="s">
        <v>4153</v>
      </c>
    </row>
    <row r="2174" spans="1:1">
      <c r="A2174" s="153" t="s">
        <v>4154</v>
      </c>
    </row>
    <row r="2175" spans="1:1">
      <c r="A2175" s="153" t="s">
        <v>4155</v>
      </c>
    </row>
    <row r="2176" spans="1:1">
      <c r="A2176" s="153" t="s">
        <v>4156</v>
      </c>
    </row>
    <row r="2177" spans="1:1">
      <c r="A2177" s="153" t="s">
        <v>4157</v>
      </c>
    </row>
    <row r="2178" spans="1:1">
      <c r="A2178" s="153" t="s">
        <v>4158</v>
      </c>
    </row>
    <row r="2179" spans="1:1">
      <c r="A2179" s="153" t="s">
        <v>4159</v>
      </c>
    </row>
    <row r="2180" spans="1:1">
      <c r="A2180" s="153" t="s">
        <v>4160</v>
      </c>
    </row>
    <row r="2181" spans="1:1">
      <c r="A2181" s="153" t="s">
        <v>4161</v>
      </c>
    </row>
    <row r="2182" spans="1:1">
      <c r="A2182" s="153" t="s">
        <v>4162</v>
      </c>
    </row>
    <row r="2183" spans="1:1">
      <c r="A2183" s="153" t="s">
        <v>4163</v>
      </c>
    </row>
    <row r="2184" spans="1:1">
      <c r="A2184" s="153" t="s">
        <v>4164</v>
      </c>
    </row>
    <row r="2185" spans="1:1">
      <c r="A2185" s="153" t="s">
        <v>4165</v>
      </c>
    </row>
    <row r="2186" spans="1:1">
      <c r="A2186" s="153" t="s">
        <v>4166</v>
      </c>
    </row>
    <row r="2187" spans="1:1">
      <c r="A2187" s="153" t="s">
        <v>4167</v>
      </c>
    </row>
    <row r="2188" spans="1:1">
      <c r="A2188" s="153" t="s">
        <v>4168</v>
      </c>
    </row>
    <row r="2189" spans="1:1">
      <c r="A2189" s="153" t="s">
        <v>4169</v>
      </c>
    </row>
    <row r="2190" spans="1:1">
      <c r="A2190" s="153" t="s">
        <v>4170</v>
      </c>
    </row>
    <row r="2191" spans="1:1">
      <c r="A2191" s="153" t="s">
        <v>4171</v>
      </c>
    </row>
    <row r="2192" spans="1:1">
      <c r="A2192" s="153" t="s">
        <v>4172</v>
      </c>
    </row>
    <row r="2193" spans="1:1">
      <c r="A2193" s="153" t="s">
        <v>4173</v>
      </c>
    </row>
    <row r="2194" spans="1:1">
      <c r="A2194" s="153" t="s">
        <v>4174</v>
      </c>
    </row>
    <row r="2195" spans="1:1">
      <c r="A2195" s="153" t="s">
        <v>4175</v>
      </c>
    </row>
    <row r="2196" spans="1:1">
      <c r="A2196" s="153" t="s">
        <v>4176</v>
      </c>
    </row>
    <row r="2197" spans="1:1">
      <c r="A2197" s="153" t="s">
        <v>4177</v>
      </c>
    </row>
    <row r="2198" spans="1:1">
      <c r="A2198" s="153" t="s">
        <v>4178</v>
      </c>
    </row>
    <row r="2199" spans="1:1">
      <c r="A2199" s="153" t="s">
        <v>4179</v>
      </c>
    </row>
    <row r="2200" spans="1:1">
      <c r="A2200" s="153" t="s">
        <v>4180</v>
      </c>
    </row>
    <row r="2201" spans="1:1">
      <c r="A2201" s="153" t="s">
        <v>4181</v>
      </c>
    </row>
    <row r="2202" spans="1:1">
      <c r="A2202" s="153" t="s">
        <v>4182</v>
      </c>
    </row>
    <row r="2203" spans="1:1">
      <c r="A2203" s="153" t="s">
        <v>4183</v>
      </c>
    </row>
    <row r="2204" spans="1:1">
      <c r="A2204" s="153" t="s">
        <v>4184</v>
      </c>
    </row>
    <row r="2205" spans="1:1">
      <c r="A2205" s="153" t="s">
        <v>4185</v>
      </c>
    </row>
    <row r="2206" spans="1:1">
      <c r="A2206" s="153" t="s">
        <v>4186</v>
      </c>
    </row>
    <row r="2207" spans="1:1">
      <c r="A2207" s="153" t="s">
        <v>4187</v>
      </c>
    </row>
    <row r="2208" spans="1:1">
      <c r="A2208" s="153" t="s">
        <v>4188</v>
      </c>
    </row>
    <row r="2209" spans="1:1">
      <c r="A2209" s="153" t="s">
        <v>4189</v>
      </c>
    </row>
    <row r="2210" spans="1:1">
      <c r="A2210" s="153" t="s">
        <v>4190</v>
      </c>
    </row>
    <row r="2211" spans="1:1">
      <c r="A2211" s="153" t="s">
        <v>4191</v>
      </c>
    </row>
    <row r="2212" spans="1:1">
      <c r="A2212" s="153" t="s">
        <v>4192</v>
      </c>
    </row>
    <row r="2213" spans="1:1">
      <c r="A2213" s="153" t="s">
        <v>4193</v>
      </c>
    </row>
    <row r="2214" spans="1:1">
      <c r="A2214" s="153" t="s">
        <v>4194</v>
      </c>
    </row>
    <row r="2215" spans="1:1">
      <c r="A2215" s="153" t="s">
        <v>4195</v>
      </c>
    </row>
    <row r="2216" spans="1:1">
      <c r="A2216" s="153" t="s">
        <v>4196</v>
      </c>
    </row>
    <row r="2217" spans="1:1">
      <c r="A2217" s="153" t="s">
        <v>4197</v>
      </c>
    </row>
    <row r="2218" spans="1:1">
      <c r="A2218" s="153" t="s">
        <v>4198</v>
      </c>
    </row>
    <row r="2219" spans="1:1">
      <c r="A2219" s="153" t="s">
        <v>4199</v>
      </c>
    </row>
    <row r="2220" spans="1:1">
      <c r="A2220" s="153" t="s">
        <v>4200</v>
      </c>
    </row>
    <row r="2221" spans="1:1">
      <c r="A2221" s="153" t="s">
        <v>4201</v>
      </c>
    </row>
    <row r="2222" spans="1:1">
      <c r="A2222" s="153" t="s">
        <v>4202</v>
      </c>
    </row>
    <row r="2223" spans="1:1">
      <c r="A2223" s="153" t="s">
        <v>4203</v>
      </c>
    </row>
    <row r="2224" spans="1:1">
      <c r="A2224" s="153" t="s">
        <v>4204</v>
      </c>
    </row>
    <row r="2225" spans="1:1">
      <c r="A2225" s="153" t="s">
        <v>4205</v>
      </c>
    </row>
    <row r="2226" spans="1:1">
      <c r="A2226" s="153" t="s">
        <v>4206</v>
      </c>
    </row>
    <row r="2227" spans="1:1">
      <c r="A2227" s="153" t="s">
        <v>4207</v>
      </c>
    </row>
    <row r="2228" spans="1:1">
      <c r="A2228" s="153" t="s">
        <v>4208</v>
      </c>
    </row>
    <row r="2229" spans="1:1">
      <c r="A2229" s="153" t="s">
        <v>4209</v>
      </c>
    </row>
    <row r="2230" spans="1:1">
      <c r="A2230" s="153" t="s">
        <v>4210</v>
      </c>
    </row>
    <row r="2231" spans="1:1">
      <c r="A2231" s="153" t="s">
        <v>4211</v>
      </c>
    </row>
    <row r="2232" spans="1:1">
      <c r="A2232" s="153" t="s">
        <v>4212</v>
      </c>
    </row>
    <row r="2233" spans="1:1">
      <c r="A2233" s="153" t="s">
        <v>4213</v>
      </c>
    </row>
    <row r="2234" spans="1:1">
      <c r="A2234" s="153" t="s">
        <v>4214</v>
      </c>
    </row>
    <row r="2235" spans="1:1">
      <c r="A2235" s="153" t="s">
        <v>4215</v>
      </c>
    </row>
    <row r="2236" spans="1:1">
      <c r="A2236" s="153" t="s">
        <v>4216</v>
      </c>
    </row>
    <row r="2237" spans="1:1">
      <c r="A2237" s="153" t="s">
        <v>4217</v>
      </c>
    </row>
    <row r="2238" spans="1:1">
      <c r="A2238" s="153" t="s">
        <v>4218</v>
      </c>
    </row>
    <row r="2239" spans="1:1">
      <c r="A2239" s="153" t="s">
        <v>4219</v>
      </c>
    </row>
    <row r="2240" spans="1:1">
      <c r="A2240" s="153" t="s">
        <v>4220</v>
      </c>
    </row>
    <row r="2241" spans="1:1">
      <c r="A2241" s="153" t="s">
        <v>4221</v>
      </c>
    </row>
    <row r="2242" spans="1:1">
      <c r="A2242" s="153" t="s">
        <v>4222</v>
      </c>
    </row>
    <row r="2243" spans="1:1">
      <c r="A2243" s="153" t="s">
        <v>4223</v>
      </c>
    </row>
    <row r="2244" spans="1:1">
      <c r="A2244" s="153" t="s">
        <v>4224</v>
      </c>
    </row>
    <row r="2245" spans="1:1">
      <c r="A2245" s="153" t="s">
        <v>4225</v>
      </c>
    </row>
    <row r="2246" spans="1:1">
      <c r="A2246" s="153" t="s">
        <v>4226</v>
      </c>
    </row>
    <row r="2247" spans="1:1">
      <c r="A2247" s="153" t="s">
        <v>4227</v>
      </c>
    </row>
    <row r="2248" spans="1:1">
      <c r="A2248" s="153" t="s">
        <v>4228</v>
      </c>
    </row>
    <row r="2249" spans="1:1">
      <c r="A2249" s="153" t="s">
        <v>4229</v>
      </c>
    </row>
    <row r="2250" spans="1:1">
      <c r="A2250" s="153" t="s">
        <v>4230</v>
      </c>
    </row>
    <row r="2251" spans="1:1">
      <c r="A2251" s="153" t="s">
        <v>4231</v>
      </c>
    </row>
    <row r="2252" spans="1:1">
      <c r="A2252" s="153" t="s">
        <v>4232</v>
      </c>
    </row>
    <row r="2253" spans="1:1">
      <c r="A2253" s="153" t="s">
        <v>4233</v>
      </c>
    </row>
    <row r="2254" spans="1:1">
      <c r="A2254" s="153" t="s">
        <v>4234</v>
      </c>
    </row>
    <row r="2255" spans="1:1">
      <c r="A2255" s="153" t="s">
        <v>4235</v>
      </c>
    </row>
    <row r="2256" spans="1:1">
      <c r="A2256" s="153" t="s">
        <v>4236</v>
      </c>
    </row>
    <row r="2257" spans="1:1">
      <c r="A2257" s="153" t="s">
        <v>4237</v>
      </c>
    </row>
    <row r="2258" spans="1:1">
      <c r="A2258" s="153" t="s">
        <v>4238</v>
      </c>
    </row>
    <row r="2259" spans="1:1">
      <c r="A2259" s="153" t="s">
        <v>4239</v>
      </c>
    </row>
    <row r="2260" spans="1:1">
      <c r="A2260" s="153" t="s">
        <v>4240</v>
      </c>
    </row>
    <row r="2261" spans="1:1">
      <c r="A2261" s="153" t="s">
        <v>4241</v>
      </c>
    </row>
    <row r="2262" spans="1:1">
      <c r="A2262" s="153" t="s">
        <v>4242</v>
      </c>
    </row>
    <row r="2263" spans="1:1">
      <c r="A2263" s="153" t="s">
        <v>4243</v>
      </c>
    </row>
    <row r="2264" spans="1:1">
      <c r="A2264" s="153" t="s">
        <v>4244</v>
      </c>
    </row>
    <row r="2265" spans="1:1">
      <c r="A2265" s="153" t="s">
        <v>4245</v>
      </c>
    </row>
    <row r="2266" spans="1:1">
      <c r="A2266" s="153" t="s">
        <v>4246</v>
      </c>
    </row>
    <row r="2267" spans="1:1">
      <c r="A2267" s="153" t="s">
        <v>4247</v>
      </c>
    </row>
    <row r="2268" spans="1:1">
      <c r="A2268" s="153" t="s">
        <v>4248</v>
      </c>
    </row>
    <row r="2269" spans="1:1">
      <c r="A2269" s="153" t="s">
        <v>4249</v>
      </c>
    </row>
    <row r="2270" spans="1:1">
      <c r="A2270" s="153" t="s">
        <v>4250</v>
      </c>
    </row>
    <row r="2271" spans="1:1">
      <c r="A2271" s="153" t="s">
        <v>4251</v>
      </c>
    </row>
    <row r="2272" spans="1:1">
      <c r="A2272" s="153" t="s">
        <v>4252</v>
      </c>
    </row>
    <row r="2273" spans="1:1">
      <c r="A2273" s="153" t="s">
        <v>4253</v>
      </c>
    </row>
    <row r="2274" spans="1:1">
      <c r="A2274" s="153" t="s">
        <v>4254</v>
      </c>
    </row>
    <row r="2275" spans="1:1">
      <c r="A2275" s="153" t="s">
        <v>4255</v>
      </c>
    </row>
    <row r="2276" spans="1:1">
      <c r="A2276" s="153" t="s">
        <v>4256</v>
      </c>
    </row>
    <row r="2277" spans="1:1">
      <c r="A2277" s="153" t="s">
        <v>4257</v>
      </c>
    </row>
    <row r="2278" spans="1:1">
      <c r="A2278" s="153" t="s">
        <v>4258</v>
      </c>
    </row>
    <row r="2279" spans="1:1">
      <c r="A2279" s="153" t="s">
        <v>4259</v>
      </c>
    </row>
    <row r="2280" spans="1:1">
      <c r="A2280" s="153" t="s">
        <v>4260</v>
      </c>
    </row>
    <row r="2281" spans="1:1">
      <c r="A2281" s="153" t="s">
        <v>4261</v>
      </c>
    </row>
    <row r="2282" spans="1:1">
      <c r="A2282" s="153" t="s">
        <v>4262</v>
      </c>
    </row>
    <row r="2283" spans="1:1">
      <c r="A2283" s="153" t="s">
        <v>4263</v>
      </c>
    </row>
    <row r="2284" spans="1:1">
      <c r="A2284" s="153" t="s">
        <v>4264</v>
      </c>
    </row>
    <row r="2285" spans="1:1">
      <c r="A2285" s="153" t="s">
        <v>4265</v>
      </c>
    </row>
    <row r="2286" spans="1:1">
      <c r="A2286" s="153" t="s">
        <v>4266</v>
      </c>
    </row>
    <row r="2287" spans="1:1">
      <c r="A2287" s="153" t="s">
        <v>4267</v>
      </c>
    </row>
    <row r="2288" spans="1:1">
      <c r="A2288" s="153" t="s">
        <v>4268</v>
      </c>
    </row>
    <row r="2289" spans="1:1">
      <c r="A2289" s="153" t="s">
        <v>4269</v>
      </c>
    </row>
    <row r="2290" spans="1:1">
      <c r="A2290" s="153" t="s">
        <v>4270</v>
      </c>
    </row>
    <row r="2291" spans="1:1">
      <c r="A2291" s="153" t="s">
        <v>4271</v>
      </c>
    </row>
    <row r="2292" spans="1:1">
      <c r="A2292" s="153" t="s">
        <v>4272</v>
      </c>
    </row>
    <row r="2293" spans="1:1">
      <c r="A2293" s="153" t="s">
        <v>4273</v>
      </c>
    </row>
    <row r="2294" spans="1:1">
      <c r="A2294" s="153" t="s">
        <v>4274</v>
      </c>
    </row>
    <row r="2295" spans="1:1">
      <c r="A2295" s="153" t="s">
        <v>4275</v>
      </c>
    </row>
    <row r="2296" spans="1:1">
      <c r="A2296" s="153" t="s">
        <v>4276</v>
      </c>
    </row>
    <row r="2297" spans="1:1">
      <c r="A2297" s="153" t="s">
        <v>4277</v>
      </c>
    </row>
    <row r="2298" spans="1:1">
      <c r="A2298" s="153" t="s">
        <v>4278</v>
      </c>
    </row>
    <row r="2299" spans="1:1">
      <c r="A2299" s="153" t="s">
        <v>4279</v>
      </c>
    </row>
    <row r="2300" spans="1:1">
      <c r="A2300" s="153" t="s">
        <v>4280</v>
      </c>
    </row>
    <row r="2301" spans="1:1">
      <c r="A2301" s="153" t="s">
        <v>4281</v>
      </c>
    </row>
    <row r="2302" spans="1:1">
      <c r="A2302" s="153" t="s">
        <v>4282</v>
      </c>
    </row>
    <row r="2303" spans="1:1">
      <c r="A2303" s="153" t="s">
        <v>4283</v>
      </c>
    </row>
    <row r="2304" spans="1:1">
      <c r="A2304" s="153" t="s">
        <v>4284</v>
      </c>
    </row>
    <row r="2305" spans="1:1">
      <c r="A2305" s="153" t="s">
        <v>4285</v>
      </c>
    </row>
    <row r="2306" spans="1:1">
      <c r="A2306" s="153" t="s">
        <v>4286</v>
      </c>
    </row>
    <row r="2307" spans="1:1">
      <c r="A2307" s="153" t="s">
        <v>4287</v>
      </c>
    </row>
    <row r="2308" spans="1:1">
      <c r="A2308" s="153" t="s">
        <v>4288</v>
      </c>
    </row>
    <row r="2309" spans="1:1">
      <c r="A2309" s="153" t="s">
        <v>4289</v>
      </c>
    </row>
    <row r="2310" spans="1:1">
      <c r="A2310" s="153" t="s">
        <v>4290</v>
      </c>
    </row>
    <row r="2311" spans="1:1">
      <c r="A2311" s="153" t="s">
        <v>4291</v>
      </c>
    </row>
    <row r="2312" spans="1:1">
      <c r="A2312" s="153" t="s">
        <v>4292</v>
      </c>
    </row>
    <row r="2313" spans="1:1">
      <c r="A2313" s="153" t="s">
        <v>4293</v>
      </c>
    </row>
    <row r="2314" spans="1:1">
      <c r="A2314" s="153" t="s">
        <v>4294</v>
      </c>
    </row>
    <row r="2315" spans="1:1">
      <c r="A2315" s="153" t="s">
        <v>4295</v>
      </c>
    </row>
    <row r="2316" spans="1:1">
      <c r="A2316" s="153" t="s">
        <v>4296</v>
      </c>
    </row>
    <row r="2317" spans="1:1">
      <c r="A2317" s="153" t="s">
        <v>4297</v>
      </c>
    </row>
    <row r="2318" spans="1:1">
      <c r="A2318" s="153" t="s">
        <v>4298</v>
      </c>
    </row>
    <row r="2319" spans="1:1">
      <c r="A2319" s="153" t="s">
        <v>4299</v>
      </c>
    </row>
    <row r="2320" spans="1:1">
      <c r="A2320" s="153" t="s">
        <v>4300</v>
      </c>
    </row>
    <row r="2321" spans="1:1">
      <c r="A2321" s="153" t="s">
        <v>4301</v>
      </c>
    </row>
    <row r="2322" spans="1:1">
      <c r="A2322" s="153" t="s">
        <v>4302</v>
      </c>
    </row>
    <row r="2323" spans="1:1">
      <c r="A2323" s="153" t="s">
        <v>4303</v>
      </c>
    </row>
    <row r="2324" spans="1:1">
      <c r="A2324" s="153" t="s">
        <v>4304</v>
      </c>
    </row>
    <row r="2325" spans="1:1">
      <c r="A2325" s="153" t="s">
        <v>4305</v>
      </c>
    </row>
    <row r="2326" spans="1:1">
      <c r="A2326" s="153" t="s">
        <v>4306</v>
      </c>
    </row>
    <row r="2327" spans="1:1">
      <c r="A2327" s="153" t="s">
        <v>4307</v>
      </c>
    </row>
    <row r="2328" spans="1:1">
      <c r="A2328" s="153" t="s">
        <v>4308</v>
      </c>
    </row>
    <row r="2329" spans="1:1">
      <c r="A2329" s="153" t="s">
        <v>4309</v>
      </c>
    </row>
    <row r="2330" spans="1:1">
      <c r="A2330" s="153" t="s">
        <v>4310</v>
      </c>
    </row>
    <row r="2331" spans="1:1">
      <c r="A2331" s="153" t="s">
        <v>4311</v>
      </c>
    </row>
    <row r="2332" spans="1:1">
      <c r="A2332" s="153" t="s">
        <v>4312</v>
      </c>
    </row>
    <row r="2333" spans="1:1">
      <c r="A2333" s="153" t="s">
        <v>4313</v>
      </c>
    </row>
    <row r="2334" spans="1:1">
      <c r="A2334" s="153" t="s">
        <v>4314</v>
      </c>
    </row>
    <row r="2335" spans="1:1">
      <c r="A2335" s="153" t="s">
        <v>4315</v>
      </c>
    </row>
    <row r="2336" spans="1:1">
      <c r="A2336" s="153" t="s">
        <v>4316</v>
      </c>
    </row>
    <row r="2337" spans="1:1">
      <c r="A2337" s="153" t="s">
        <v>4317</v>
      </c>
    </row>
    <row r="2338" spans="1:1">
      <c r="A2338" s="153" t="s">
        <v>4318</v>
      </c>
    </row>
    <row r="2339" spans="1:1">
      <c r="A2339" s="153" t="s">
        <v>4319</v>
      </c>
    </row>
    <row r="2340" spans="1:1">
      <c r="A2340" s="153" t="s">
        <v>4320</v>
      </c>
    </row>
    <row r="2341" spans="1:1">
      <c r="A2341" s="153" t="s">
        <v>4321</v>
      </c>
    </row>
    <row r="2342" spans="1:1">
      <c r="A2342" s="153" t="s">
        <v>4322</v>
      </c>
    </row>
    <row r="2343" spans="1:1">
      <c r="A2343" s="153" t="s">
        <v>4323</v>
      </c>
    </row>
    <row r="2344" spans="1:1">
      <c r="A2344" s="153" t="s">
        <v>4324</v>
      </c>
    </row>
    <row r="2345" spans="1:1">
      <c r="A2345" s="153" t="s">
        <v>4325</v>
      </c>
    </row>
    <row r="2346" spans="1:1">
      <c r="A2346" s="153" t="s">
        <v>4326</v>
      </c>
    </row>
    <row r="2347" spans="1:1">
      <c r="A2347" s="153" t="s">
        <v>4327</v>
      </c>
    </row>
    <row r="2348" spans="1:1">
      <c r="A2348" s="153" t="s">
        <v>4328</v>
      </c>
    </row>
    <row r="2349" spans="1:1">
      <c r="A2349" s="153" t="s">
        <v>4329</v>
      </c>
    </row>
    <row r="2350" spans="1:1">
      <c r="A2350" s="153" t="s">
        <v>4330</v>
      </c>
    </row>
    <row r="2351" spans="1:1">
      <c r="A2351" s="153" t="s">
        <v>4331</v>
      </c>
    </row>
    <row r="2352" spans="1:1">
      <c r="A2352" s="153" t="s">
        <v>4332</v>
      </c>
    </row>
    <row r="2353" spans="1:1">
      <c r="A2353" s="153" t="s">
        <v>4333</v>
      </c>
    </row>
    <row r="2354" spans="1:1">
      <c r="A2354" s="153" t="s">
        <v>4334</v>
      </c>
    </row>
    <row r="2355" spans="1:1">
      <c r="A2355" s="153" t="s">
        <v>4335</v>
      </c>
    </row>
    <row r="2356" spans="1:1">
      <c r="A2356" s="153" t="s">
        <v>4336</v>
      </c>
    </row>
    <row r="2357" spans="1:1">
      <c r="A2357" s="153" t="s">
        <v>4337</v>
      </c>
    </row>
    <row r="2358" spans="1:1">
      <c r="A2358" s="153" t="s">
        <v>4338</v>
      </c>
    </row>
    <row r="2359" spans="1:1">
      <c r="A2359" s="153" t="s">
        <v>4339</v>
      </c>
    </row>
    <row r="2360" spans="1:1">
      <c r="A2360" s="153" t="s">
        <v>4340</v>
      </c>
    </row>
    <row r="2361" spans="1:1">
      <c r="A2361" s="153" t="s">
        <v>4341</v>
      </c>
    </row>
    <row r="2362" spans="1:1">
      <c r="A2362" s="153" t="s">
        <v>4342</v>
      </c>
    </row>
    <row r="2363" spans="1:1">
      <c r="A2363" s="153" t="s">
        <v>4343</v>
      </c>
    </row>
    <row r="2364" spans="1:1">
      <c r="A2364" s="153" t="s">
        <v>4344</v>
      </c>
    </row>
    <row r="2365" spans="1:1">
      <c r="A2365" s="153" t="s">
        <v>4345</v>
      </c>
    </row>
    <row r="2366" spans="1:1">
      <c r="A2366" s="153" t="s">
        <v>4346</v>
      </c>
    </row>
    <row r="2367" spans="1:1">
      <c r="A2367" s="153" t="s">
        <v>4347</v>
      </c>
    </row>
    <row r="2368" spans="1:1">
      <c r="A2368" s="153" t="s">
        <v>4348</v>
      </c>
    </row>
    <row r="2369" spans="1:1">
      <c r="A2369" s="153" t="s">
        <v>4349</v>
      </c>
    </row>
    <row r="2370" spans="1:1">
      <c r="A2370" s="153" t="s">
        <v>4350</v>
      </c>
    </row>
    <row r="2371" spans="1:1">
      <c r="A2371" s="153" t="s">
        <v>4351</v>
      </c>
    </row>
    <row r="2372" spans="1:1">
      <c r="A2372" s="153" t="s">
        <v>4352</v>
      </c>
    </row>
    <row r="2373" spans="1:1">
      <c r="A2373" s="153" t="s">
        <v>4353</v>
      </c>
    </row>
    <row r="2374" spans="1:1">
      <c r="A2374" s="153" t="s">
        <v>4354</v>
      </c>
    </row>
    <row r="2375" spans="1:1">
      <c r="A2375" s="153" t="s">
        <v>4355</v>
      </c>
    </row>
    <row r="2376" spans="1:1">
      <c r="A2376" s="153" t="s">
        <v>4356</v>
      </c>
    </row>
    <row r="2377" spans="1:1">
      <c r="A2377" s="153" t="s">
        <v>4357</v>
      </c>
    </row>
    <row r="2378" spans="1:1">
      <c r="A2378" s="153" t="s">
        <v>4358</v>
      </c>
    </row>
    <row r="2379" spans="1:1">
      <c r="A2379" s="153" t="s">
        <v>4359</v>
      </c>
    </row>
    <row r="2380" spans="1:1">
      <c r="A2380" s="153" t="s">
        <v>4360</v>
      </c>
    </row>
    <row r="2381" spans="1:1">
      <c r="A2381" s="153" t="s">
        <v>4361</v>
      </c>
    </row>
    <row r="2382" spans="1:1">
      <c r="A2382" s="153" t="s">
        <v>4362</v>
      </c>
    </row>
    <row r="2383" spans="1:1">
      <c r="A2383" s="153" t="s">
        <v>4363</v>
      </c>
    </row>
    <row r="2384" spans="1:1">
      <c r="A2384" s="153" t="s">
        <v>4364</v>
      </c>
    </row>
    <row r="2385" spans="1:1">
      <c r="A2385" s="153" t="s">
        <v>4365</v>
      </c>
    </row>
    <row r="2386" spans="1:1">
      <c r="A2386" s="153" t="s">
        <v>4366</v>
      </c>
    </row>
    <row r="2387" spans="1:1">
      <c r="A2387" s="153" t="s">
        <v>4367</v>
      </c>
    </row>
    <row r="2388" spans="1:1">
      <c r="A2388" s="153" t="s">
        <v>4368</v>
      </c>
    </row>
    <row r="2389" spans="1:1">
      <c r="A2389" s="153" t="s">
        <v>4369</v>
      </c>
    </row>
    <row r="2390" spans="1:1">
      <c r="A2390" s="153" t="s">
        <v>4370</v>
      </c>
    </row>
    <row r="2391" spans="1:1">
      <c r="A2391" s="153" t="s">
        <v>4371</v>
      </c>
    </row>
    <row r="2392" spans="1:1">
      <c r="A2392" s="153" t="s">
        <v>4372</v>
      </c>
    </row>
    <row r="2393" spans="1:1">
      <c r="A2393" s="153" t="s">
        <v>4373</v>
      </c>
    </row>
    <row r="2394" spans="1:1">
      <c r="A2394" s="153" t="s">
        <v>4374</v>
      </c>
    </row>
    <row r="2395" spans="1:1">
      <c r="A2395" s="153" t="s">
        <v>4375</v>
      </c>
    </row>
    <row r="2396" spans="1:1">
      <c r="A2396" s="153" t="s">
        <v>4376</v>
      </c>
    </row>
    <row r="2397" spans="1:1">
      <c r="A2397" s="153" t="s">
        <v>4377</v>
      </c>
    </row>
    <row r="2398" spans="1:1">
      <c r="A2398" s="153" t="s">
        <v>4378</v>
      </c>
    </row>
    <row r="2399" spans="1:1">
      <c r="A2399" s="153" t="s">
        <v>4379</v>
      </c>
    </row>
    <row r="2400" spans="1:1">
      <c r="A2400" s="153" t="s">
        <v>4380</v>
      </c>
    </row>
    <row r="2401" spans="1:1">
      <c r="A2401" s="153" t="s">
        <v>4381</v>
      </c>
    </row>
    <row r="2402" spans="1:1">
      <c r="A2402" s="153" t="s">
        <v>4382</v>
      </c>
    </row>
    <row r="2403" spans="1:1">
      <c r="A2403" s="153" t="s">
        <v>4383</v>
      </c>
    </row>
    <row r="2404" spans="1:1">
      <c r="A2404" s="153" t="s">
        <v>4384</v>
      </c>
    </row>
    <row r="2405" spans="1:1">
      <c r="A2405" s="153" t="s">
        <v>4385</v>
      </c>
    </row>
    <row r="2406" spans="1:1">
      <c r="A2406" s="153" t="s">
        <v>4386</v>
      </c>
    </row>
    <row r="2407" spans="1:1">
      <c r="A2407" s="153" t="s">
        <v>4387</v>
      </c>
    </row>
    <row r="2408" spans="1:1">
      <c r="A2408" s="153" t="s">
        <v>4388</v>
      </c>
    </row>
    <row r="2409" spans="1:1">
      <c r="A2409" s="153" t="s">
        <v>4389</v>
      </c>
    </row>
    <row r="2410" spans="1:1">
      <c r="A2410" s="153" t="s">
        <v>4390</v>
      </c>
    </row>
    <row r="2411" spans="1:1">
      <c r="A2411" s="153" t="s">
        <v>4391</v>
      </c>
    </row>
    <row r="2412" spans="1:1">
      <c r="A2412" s="153" t="s">
        <v>4392</v>
      </c>
    </row>
    <row r="2413" spans="1:1">
      <c r="A2413" s="153" t="s">
        <v>4393</v>
      </c>
    </row>
    <row r="2414" spans="1:1">
      <c r="A2414" s="153" t="s">
        <v>4394</v>
      </c>
    </row>
    <row r="2415" spans="1:1">
      <c r="A2415" s="153" t="s">
        <v>4395</v>
      </c>
    </row>
    <row r="2416" spans="1:1">
      <c r="A2416" s="153" t="s">
        <v>4396</v>
      </c>
    </row>
    <row r="2417" spans="1:1">
      <c r="A2417" s="153" t="s">
        <v>4397</v>
      </c>
    </row>
    <row r="2418" spans="1:1">
      <c r="A2418" s="153" t="s">
        <v>4398</v>
      </c>
    </row>
    <row r="2419" spans="1:1">
      <c r="A2419" s="153" t="s">
        <v>4399</v>
      </c>
    </row>
    <row r="2420" spans="1:1">
      <c r="A2420" s="153" t="s">
        <v>4400</v>
      </c>
    </row>
    <row r="2421" spans="1:1">
      <c r="A2421" s="153" t="s">
        <v>4401</v>
      </c>
    </row>
    <row r="2422" spans="1:1">
      <c r="A2422" s="153" t="s">
        <v>4402</v>
      </c>
    </row>
    <row r="2423" spans="1:1">
      <c r="A2423" s="153" t="s">
        <v>4403</v>
      </c>
    </row>
    <row r="2424" spans="1:1">
      <c r="A2424" s="153" t="s">
        <v>4404</v>
      </c>
    </row>
    <row r="2425" spans="1:1">
      <c r="A2425" s="153" t="s">
        <v>4405</v>
      </c>
    </row>
    <row r="2426" spans="1:1">
      <c r="A2426" s="153" t="s">
        <v>4406</v>
      </c>
    </row>
    <row r="2427" spans="1:1">
      <c r="A2427" s="153" t="s">
        <v>4407</v>
      </c>
    </row>
    <row r="2428" spans="1:1">
      <c r="A2428" s="153" t="s">
        <v>4408</v>
      </c>
    </row>
    <row r="2429" spans="1:1">
      <c r="A2429" s="153" t="s">
        <v>4409</v>
      </c>
    </row>
    <row r="2430" spans="1:1">
      <c r="A2430" s="153" t="s">
        <v>4410</v>
      </c>
    </row>
    <row r="2431" spans="1:1">
      <c r="A2431" s="153" t="s">
        <v>4411</v>
      </c>
    </row>
    <row r="2432" spans="1:1">
      <c r="A2432" s="153" t="s">
        <v>4412</v>
      </c>
    </row>
    <row r="2433" spans="1:1">
      <c r="A2433" s="153" t="s">
        <v>4413</v>
      </c>
    </row>
    <row r="2434" spans="1:1">
      <c r="A2434" s="153" t="s">
        <v>4414</v>
      </c>
    </row>
    <row r="2435" spans="1:1">
      <c r="A2435" s="153" t="s">
        <v>4415</v>
      </c>
    </row>
    <row r="2436" spans="1:1">
      <c r="A2436" s="153" t="s">
        <v>4416</v>
      </c>
    </row>
    <row r="2437" spans="1:1">
      <c r="A2437" s="153" t="s">
        <v>4417</v>
      </c>
    </row>
    <row r="2438" spans="1:1">
      <c r="A2438" s="153" t="s">
        <v>4418</v>
      </c>
    </row>
    <row r="2439" spans="1:1">
      <c r="A2439" s="153" t="s">
        <v>4419</v>
      </c>
    </row>
    <row r="2440" spans="1:1">
      <c r="A2440" s="153" t="s">
        <v>4420</v>
      </c>
    </row>
    <row r="2441" spans="1:1">
      <c r="A2441" s="153" t="s">
        <v>4421</v>
      </c>
    </row>
    <row r="2442" spans="1:1">
      <c r="A2442" s="153" t="s">
        <v>4422</v>
      </c>
    </row>
    <row r="2443" spans="1:1">
      <c r="A2443" s="153" t="s">
        <v>4423</v>
      </c>
    </row>
    <row r="2444" spans="1:1">
      <c r="A2444" s="153" t="s">
        <v>4424</v>
      </c>
    </row>
    <row r="2445" spans="1:1">
      <c r="A2445" s="153" t="s">
        <v>4425</v>
      </c>
    </row>
    <row r="2446" spans="1:1">
      <c r="A2446" s="153" t="s">
        <v>4426</v>
      </c>
    </row>
    <row r="2447" spans="1:1">
      <c r="A2447" s="153" t="s">
        <v>4427</v>
      </c>
    </row>
    <row r="2448" spans="1:1">
      <c r="A2448" s="153" t="s">
        <v>4428</v>
      </c>
    </row>
    <row r="2449" spans="1:1">
      <c r="A2449" s="153" t="s">
        <v>4429</v>
      </c>
    </row>
    <row r="2450" spans="1:1">
      <c r="A2450" s="153" t="s">
        <v>4430</v>
      </c>
    </row>
    <row r="2451" spans="1:1">
      <c r="A2451" s="153" t="s">
        <v>4431</v>
      </c>
    </row>
    <row r="2452" spans="1:1">
      <c r="A2452" s="153" t="s">
        <v>4432</v>
      </c>
    </row>
    <row r="2453" spans="1:1">
      <c r="A2453" s="153" t="s">
        <v>4433</v>
      </c>
    </row>
    <row r="2454" spans="1:1">
      <c r="A2454" s="153" t="s">
        <v>4434</v>
      </c>
    </row>
    <row r="2455" spans="1:1">
      <c r="A2455" s="153" t="s">
        <v>4435</v>
      </c>
    </row>
    <row r="2456" spans="1:1">
      <c r="A2456" s="153" t="s">
        <v>4436</v>
      </c>
    </row>
    <row r="2457" spans="1:1">
      <c r="A2457" s="153" t="s">
        <v>4437</v>
      </c>
    </row>
    <row r="2458" spans="1:1">
      <c r="A2458" s="153" t="s">
        <v>4438</v>
      </c>
    </row>
    <row r="2459" spans="1:1">
      <c r="A2459" s="153" t="s">
        <v>4439</v>
      </c>
    </row>
    <row r="2460" spans="1:1">
      <c r="A2460" s="153" t="s">
        <v>4440</v>
      </c>
    </row>
    <row r="2461" spans="1:1">
      <c r="A2461" s="153" t="s">
        <v>4441</v>
      </c>
    </row>
    <row r="2462" spans="1:1">
      <c r="A2462" s="153" t="s">
        <v>4442</v>
      </c>
    </row>
    <row r="2463" spans="1:1">
      <c r="A2463" s="153" t="s">
        <v>4443</v>
      </c>
    </row>
    <row r="2464" spans="1:1">
      <c r="A2464" s="153" t="s">
        <v>4444</v>
      </c>
    </row>
    <row r="2465" spans="1:1">
      <c r="A2465" s="153" t="s">
        <v>4445</v>
      </c>
    </row>
    <row r="2466" spans="1:1">
      <c r="A2466" s="153" t="s">
        <v>4446</v>
      </c>
    </row>
    <row r="2467" spans="1:1">
      <c r="A2467" s="153" t="s">
        <v>4447</v>
      </c>
    </row>
    <row r="2468" spans="1:1">
      <c r="A2468" s="153" t="s">
        <v>4448</v>
      </c>
    </row>
    <row r="2469" spans="1:1">
      <c r="A2469" s="153" t="s">
        <v>4449</v>
      </c>
    </row>
    <row r="2470" spans="1:1">
      <c r="A2470" s="153" t="s">
        <v>4450</v>
      </c>
    </row>
    <row r="2471" spans="1:1">
      <c r="A2471" s="153" t="s">
        <v>4451</v>
      </c>
    </row>
    <row r="2472" spans="1:1">
      <c r="A2472" s="153" t="s">
        <v>4452</v>
      </c>
    </row>
    <row r="2473" spans="1:1">
      <c r="A2473" s="153" t="s">
        <v>4453</v>
      </c>
    </row>
    <row r="2474" spans="1:1">
      <c r="A2474" s="153" t="s">
        <v>4454</v>
      </c>
    </row>
    <row r="2475" spans="1:1">
      <c r="A2475" s="153" t="s">
        <v>4455</v>
      </c>
    </row>
    <row r="2476" spans="1:1">
      <c r="A2476" s="153" t="s">
        <v>4456</v>
      </c>
    </row>
    <row r="2477" spans="1:1">
      <c r="A2477" s="153" t="s">
        <v>4457</v>
      </c>
    </row>
    <row r="2478" spans="1:1">
      <c r="A2478" s="153" t="s">
        <v>4458</v>
      </c>
    </row>
    <row r="2479" spans="1:1">
      <c r="A2479" s="153" t="s">
        <v>4459</v>
      </c>
    </row>
    <row r="2480" spans="1:1">
      <c r="A2480" s="153" t="s">
        <v>4460</v>
      </c>
    </row>
    <row r="2481" spans="1:1">
      <c r="A2481" s="153" t="s">
        <v>4461</v>
      </c>
    </row>
    <row r="2482" spans="1:1">
      <c r="A2482" s="153" t="s">
        <v>4462</v>
      </c>
    </row>
    <row r="2483" spans="1:1">
      <c r="A2483" s="153" t="s">
        <v>4463</v>
      </c>
    </row>
    <row r="2484" spans="1:1">
      <c r="A2484" s="153" t="s">
        <v>4464</v>
      </c>
    </row>
    <row r="2485" spans="1:1">
      <c r="A2485" s="153" t="s">
        <v>4465</v>
      </c>
    </row>
    <row r="2486" spans="1:1">
      <c r="A2486" s="153" t="s">
        <v>4466</v>
      </c>
    </row>
    <row r="2487" spans="1:1">
      <c r="A2487" s="153" t="s">
        <v>4467</v>
      </c>
    </row>
    <row r="2488" spans="1:1">
      <c r="A2488" s="153" t="s">
        <v>4468</v>
      </c>
    </row>
    <row r="2489" spans="1:1">
      <c r="A2489" s="153" t="s">
        <v>4469</v>
      </c>
    </row>
    <row r="2490" spans="1:1">
      <c r="A2490" s="153" t="s">
        <v>4470</v>
      </c>
    </row>
    <row r="2491" spans="1:1">
      <c r="A2491" s="153" t="s">
        <v>4471</v>
      </c>
    </row>
    <row r="2492" spans="1:1">
      <c r="A2492" s="153" t="s">
        <v>4472</v>
      </c>
    </row>
    <row r="2493" spans="1:1">
      <c r="A2493" s="153" t="s">
        <v>4473</v>
      </c>
    </row>
    <row r="2494" spans="1:1">
      <c r="A2494" s="153" t="s">
        <v>4474</v>
      </c>
    </row>
    <row r="2495" spans="1:1">
      <c r="A2495" s="153" t="s">
        <v>4475</v>
      </c>
    </row>
    <row r="2496" spans="1:1">
      <c r="A2496" s="153" t="s">
        <v>4476</v>
      </c>
    </row>
    <row r="2497" spans="1:1">
      <c r="A2497" s="153" t="s">
        <v>4477</v>
      </c>
    </row>
    <row r="2498" spans="1:1">
      <c r="A2498" s="153" t="s">
        <v>4478</v>
      </c>
    </row>
    <row r="2499" spans="1:1">
      <c r="A2499" s="153" t="s">
        <v>4479</v>
      </c>
    </row>
    <row r="2500" spans="1:1">
      <c r="A2500" s="153" t="s">
        <v>4480</v>
      </c>
    </row>
    <row r="2501" spans="1:1">
      <c r="A2501" s="153" t="s">
        <v>4481</v>
      </c>
    </row>
    <row r="2502" spans="1:1">
      <c r="A2502" s="153" t="s">
        <v>4482</v>
      </c>
    </row>
    <row r="2503" spans="1:1">
      <c r="A2503" s="153" t="s">
        <v>4483</v>
      </c>
    </row>
    <row r="2504" spans="1:1">
      <c r="A2504" s="153" t="s">
        <v>4484</v>
      </c>
    </row>
    <row r="2505" spans="1:1">
      <c r="A2505" s="153" t="s">
        <v>4485</v>
      </c>
    </row>
    <row r="2506" spans="1:1">
      <c r="A2506" s="153" t="s">
        <v>4486</v>
      </c>
    </row>
    <row r="2507" spans="1:1">
      <c r="A2507" s="153" t="s">
        <v>4487</v>
      </c>
    </row>
    <row r="2508" spans="1:1">
      <c r="A2508" s="153" t="s">
        <v>4488</v>
      </c>
    </row>
    <row r="2509" spans="1:1">
      <c r="A2509" s="153" t="s">
        <v>4489</v>
      </c>
    </row>
    <row r="2510" spans="1:1">
      <c r="A2510" s="153" t="s">
        <v>4490</v>
      </c>
    </row>
    <row r="2511" spans="1:1">
      <c r="A2511" s="153" t="s">
        <v>4491</v>
      </c>
    </row>
    <row r="2512" spans="1:1">
      <c r="A2512" s="153" t="s">
        <v>4492</v>
      </c>
    </row>
    <row r="2513" spans="1:1">
      <c r="A2513" s="153" t="s">
        <v>4493</v>
      </c>
    </row>
    <row r="2514" spans="1:1">
      <c r="A2514" s="153" t="s">
        <v>4494</v>
      </c>
    </row>
    <row r="2515" spans="1:1">
      <c r="A2515" s="153" t="s">
        <v>4495</v>
      </c>
    </row>
    <row r="2516" spans="1:1">
      <c r="A2516" s="153" t="s">
        <v>4496</v>
      </c>
    </row>
    <row r="2517" spans="1:1">
      <c r="A2517" s="153" t="s">
        <v>4497</v>
      </c>
    </row>
    <row r="2518" spans="1:1">
      <c r="A2518" s="153" t="s">
        <v>4498</v>
      </c>
    </row>
    <row r="2519" spans="1:1">
      <c r="A2519" s="153" t="s">
        <v>4499</v>
      </c>
    </row>
    <row r="2520" spans="1:1">
      <c r="A2520" s="153" t="s">
        <v>4500</v>
      </c>
    </row>
    <row r="2521" spans="1:1">
      <c r="A2521" s="153" t="s">
        <v>4501</v>
      </c>
    </row>
    <row r="2522" spans="1:1">
      <c r="A2522" s="153" t="s">
        <v>4502</v>
      </c>
    </row>
    <row r="2523" spans="1:1">
      <c r="A2523" s="153" t="s">
        <v>4503</v>
      </c>
    </row>
    <row r="2524" spans="1:1">
      <c r="A2524" s="153" t="s">
        <v>4504</v>
      </c>
    </row>
    <row r="2525" spans="1:1">
      <c r="A2525" s="153" t="s">
        <v>4505</v>
      </c>
    </row>
    <row r="2526" spans="1:1">
      <c r="A2526" s="153" t="s">
        <v>4506</v>
      </c>
    </row>
    <row r="2527" spans="1:1">
      <c r="A2527" s="153" t="s">
        <v>4507</v>
      </c>
    </row>
    <row r="2528" spans="1:1">
      <c r="A2528" s="153" t="s">
        <v>4508</v>
      </c>
    </row>
    <row r="2529" spans="1:1">
      <c r="A2529" s="153" t="s">
        <v>4509</v>
      </c>
    </row>
    <row r="2530" spans="1:1">
      <c r="A2530" s="153" t="s">
        <v>4510</v>
      </c>
    </row>
    <row r="2531" spans="1:1">
      <c r="A2531" s="153" t="s">
        <v>4511</v>
      </c>
    </row>
    <row r="2532" spans="1:1">
      <c r="A2532" s="153" t="s">
        <v>4512</v>
      </c>
    </row>
    <row r="2533" spans="1:1">
      <c r="A2533" s="153" t="s">
        <v>4513</v>
      </c>
    </row>
    <row r="2534" spans="1:1">
      <c r="A2534" s="153" t="s">
        <v>4514</v>
      </c>
    </row>
    <row r="2535" spans="1:1">
      <c r="A2535" s="153" t="s">
        <v>4515</v>
      </c>
    </row>
    <row r="2536" spans="1:1">
      <c r="A2536" s="153" t="s">
        <v>4516</v>
      </c>
    </row>
    <row r="2537" spans="1:1">
      <c r="A2537" s="153" t="s">
        <v>4517</v>
      </c>
    </row>
    <row r="2538" spans="1:1">
      <c r="A2538" s="153" t="s">
        <v>4518</v>
      </c>
    </row>
    <row r="2539" spans="1:1">
      <c r="A2539" s="153" t="s">
        <v>4519</v>
      </c>
    </row>
    <row r="2540" spans="1:1">
      <c r="A2540" s="153" t="s">
        <v>4520</v>
      </c>
    </row>
    <row r="2541" spans="1:1">
      <c r="A2541" s="153" t="s">
        <v>4521</v>
      </c>
    </row>
    <row r="2542" spans="1:1">
      <c r="A2542" s="153" t="s">
        <v>4522</v>
      </c>
    </row>
    <row r="2543" spans="1:1">
      <c r="A2543" s="153" t="s">
        <v>4523</v>
      </c>
    </row>
    <row r="2544" spans="1:1">
      <c r="A2544" s="153" t="s">
        <v>4524</v>
      </c>
    </row>
    <row r="2545" spans="1:1">
      <c r="A2545" s="153" t="s">
        <v>4525</v>
      </c>
    </row>
    <row r="2546" spans="1:1">
      <c r="A2546" s="153" t="s">
        <v>4526</v>
      </c>
    </row>
    <row r="2547" spans="1:1">
      <c r="A2547" s="153" t="s">
        <v>4527</v>
      </c>
    </row>
    <row r="2548" spans="1:1">
      <c r="A2548" s="153" t="s">
        <v>4528</v>
      </c>
    </row>
    <row r="2549" spans="1:1">
      <c r="A2549" s="153" t="s">
        <v>4529</v>
      </c>
    </row>
    <row r="2550" spans="1:1">
      <c r="A2550" s="153" t="s">
        <v>4530</v>
      </c>
    </row>
    <row r="2551" spans="1:1">
      <c r="A2551" s="153" t="s">
        <v>4531</v>
      </c>
    </row>
    <row r="2552" spans="1:1">
      <c r="A2552" s="153" t="s">
        <v>4532</v>
      </c>
    </row>
    <row r="2553" spans="1:1">
      <c r="A2553" s="153" t="s">
        <v>4533</v>
      </c>
    </row>
    <row r="2554" spans="1:1">
      <c r="A2554" s="153" t="s">
        <v>4534</v>
      </c>
    </row>
    <row r="2555" spans="1:1">
      <c r="A2555" s="153" t="s">
        <v>4535</v>
      </c>
    </row>
    <row r="2556" spans="1:1">
      <c r="A2556" s="153" t="s">
        <v>4536</v>
      </c>
    </row>
    <row r="2557" spans="1:1">
      <c r="A2557" s="153" t="s">
        <v>4537</v>
      </c>
    </row>
    <row r="2558" spans="1:1">
      <c r="A2558" s="153" t="s">
        <v>4538</v>
      </c>
    </row>
    <row r="2559" spans="1:1">
      <c r="A2559" s="153" t="s">
        <v>4539</v>
      </c>
    </row>
    <row r="2560" spans="1:1">
      <c r="A2560" s="153" t="s">
        <v>4540</v>
      </c>
    </row>
    <row r="2561" spans="1:1">
      <c r="A2561" s="153" t="s">
        <v>4541</v>
      </c>
    </row>
    <row r="2562" spans="1:1">
      <c r="A2562" s="153" t="s">
        <v>4542</v>
      </c>
    </row>
    <row r="2563" spans="1:1">
      <c r="A2563" s="153" t="s">
        <v>4543</v>
      </c>
    </row>
    <row r="2564" spans="1:1">
      <c r="A2564" s="153" t="s">
        <v>4544</v>
      </c>
    </row>
    <row r="2565" spans="1:1">
      <c r="A2565" s="153" t="s">
        <v>4545</v>
      </c>
    </row>
    <row r="2566" spans="1:1">
      <c r="A2566" s="153" t="s">
        <v>4546</v>
      </c>
    </row>
    <row r="2567" spans="1:1">
      <c r="A2567" s="153" t="s">
        <v>4547</v>
      </c>
    </row>
    <row r="2568" spans="1:1">
      <c r="A2568" s="153" t="s">
        <v>4548</v>
      </c>
    </row>
    <row r="2569" spans="1:1">
      <c r="A2569" s="153" t="s">
        <v>4549</v>
      </c>
    </row>
    <row r="2570" spans="1:1">
      <c r="A2570" s="153" t="s">
        <v>4550</v>
      </c>
    </row>
    <row r="2571" spans="1:1">
      <c r="A2571" s="153" t="s">
        <v>4551</v>
      </c>
    </row>
    <row r="2572" spans="1:1">
      <c r="A2572" s="153" t="s">
        <v>4552</v>
      </c>
    </row>
    <row r="2573" spans="1:1">
      <c r="A2573" s="153" t="s">
        <v>4553</v>
      </c>
    </row>
    <row r="2574" spans="1:1">
      <c r="A2574" s="153" t="s">
        <v>4554</v>
      </c>
    </row>
    <row r="2575" spans="1:1">
      <c r="A2575" s="153" t="s">
        <v>4555</v>
      </c>
    </row>
    <row r="2576" spans="1:1">
      <c r="A2576" s="153" t="s">
        <v>4556</v>
      </c>
    </row>
    <row r="2577" spans="1:1">
      <c r="A2577" s="153" t="s">
        <v>4557</v>
      </c>
    </row>
    <row r="2578" spans="1:1">
      <c r="A2578" s="153" t="s">
        <v>4558</v>
      </c>
    </row>
    <row r="2579" spans="1:1">
      <c r="A2579" s="153" t="s">
        <v>4559</v>
      </c>
    </row>
    <row r="2580" spans="1:1">
      <c r="A2580" s="153" t="s">
        <v>4560</v>
      </c>
    </row>
    <row r="2581" spans="1:1">
      <c r="A2581" s="153" t="s">
        <v>4561</v>
      </c>
    </row>
    <row r="2582" spans="1:1">
      <c r="A2582" s="153" t="s">
        <v>4562</v>
      </c>
    </row>
    <row r="2583" spans="1:1">
      <c r="A2583" s="153" t="s">
        <v>4563</v>
      </c>
    </row>
    <row r="2584" spans="1:1">
      <c r="A2584" s="153" t="s">
        <v>4564</v>
      </c>
    </row>
    <row r="2585" spans="1:1">
      <c r="A2585" s="153" t="s">
        <v>4565</v>
      </c>
    </row>
    <row r="2586" spans="1:1">
      <c r="A2586" s="153" t="s">
        <v>4566</v>
      </c>
    </row>
    <row r="2587" spans="1:1">
      <c r="A2587" s="153" t="s">
        <v>4567</v>
      </c>
    </row>
    <row r="2588" spans="1:1">
      <c r="A2588" s="153" t="s">
        <v>4568</v>
      </c>
    </row>
    <row r="2589" spans="1:1">
      <c r="A2589" s="153" t="s">
        <v>4569</v>
      </c>
    </row>
    <row r="2590" spans="1:1">
      <c r="A2590" s="153" t="s">
        <v>4570</v>
      </c>
    </row>
    <row r="2591" spans="1:1">
      <c r="A2591" s="153" t="s">
        <v>4571</v>
      </c>
    </row>
    <row r="2592" spans="1:1">
      <c r="A2592" s="153" t="s">
        <v>4572</v>
      </c>
    </row>
    <row r="2593" spans="1:1">
      <c r="A2593" s="153" t="s">
        <v>4573</v>
      </c>
    </row>
    <row r="2594" spans="1:1">
      <c r="A2594" s="153" t="s">
        <v>4574</v>
      </c>
    </row>
    <row r="2595" spans="1:1">
      <c r="A2595" s="153" t="s">
        <v>4575</v>
      </c>
    </row>
    <row r="2596" spans="1:1">
      <c r="A2596" s="153" t="s">
        <v>4576</v>
      </c>
    </row>
    <row r="2597" spans="1:1">
      <c r="A2597" s="153" t="s">
        <v>4577</v>
      </c>
    </row>
    <row r="2598" spans="1:1">
      <c r="A2598" s="153" t="s">
        <v>4578</v>
      </c>
    </row>
    <row r="2599" spans="1:1">
      <c r="A2599" s="153" t="s">
        <v>4579</v>
      </c>
    </row>
    <row r="2600" spans="1:1">
      <c r="A2600" s="153" t="s">
        <v>4580</v>
      </c>
    </row>
    <row r="2601" spans="1:1">
      <c r="A2601" s="153" t="s">
        <v>4581</v>
      </c>
    </row>
    <row r="2602" spans="1:1">
      <c r="A2602" s="153" t="s">
        <v>4582</v>
      </c>
    </row>
    <row r="2603" spans="1:1">
      <c r="A2603" s="153" t="s">
        <v>4583</v>
      </c>
    </row>
    <row r="2604" spans="1:1">
      <c r="A2604" s="153" t="s">
        <v>4584</v>
      </c>
    </row>
    <row r="2605" spans="1:1">
      <c r="A2605" s="153" t="s">
        <v>4585</v>
      </c>
    </row>
    <row r="2606" spans="1:1">
      <c r="A2606" s="153" t="s">
        <v>4586</v>
      </c>
    </row>
    <row r="2607" spans="1:1">
      <c r="A2607" s="153" t="s">
        <v>4587</v>
      </c>
    </row>
    <row r="2608" spans="1:1">
      <c r="A2608" s="153" t="s">
        <v>4588</v>
      </c>
    </row>
    <row r="2609" spans="1:1">
      <c r="A2609" s="153" t="s">
        <v>4589</v>
      </c>
    </row>
    <row r="2610" spans="1:1">
      <c r="A2610" s="153" t="s">
        <v>4590</v>
      </c>
    </row>
    <row r="2611" spans="1:1">
      <c r="A2611" s="153" t="s">
        <v>4591</v>
      </c>
    </row>
    <row r="2612" spans="1:1">
      <c r="A2612" s="153" t="s">
        <v>4592</v>
      </c>
    </row>
    <row r="2613" spans="1:1">
      <c r="A2613" s="153" t="s">
        <v>4593</v>
      </c>
    </row>
    <row r="2614" spans="1:1">
      <c r="A2614" s="153" t="s">
        <v>4594</v>
      </c>
    </row>
    <row r="2615" spans="1:1">
      <c r="A2615" s="153" t="s">
        <v>4595</v>
      </c>
    </row>
    <row r="2616" spans="1:1">
      <c r="A2616" s="153" t="s">
        <v>4596</v>
      </c>
    </row>
    <row r="2617" spans="1:1">
      <c r="A2617" s="153" t="s">
        <v>4597</v>
      </c>
    </row>
    <row r="2618" spans="1:1">
      <c r="A2618" s="153" t="s">
        <v>4598</v>
      </c>
    </row>
    <row r="2619" spans="1:1">
      <c r="A2619" s="153" t="s">
        <v>4599</v>
      </c>
    </row>
    <row r="2620" spans="1:1">
      <c r="A2620" s="153" t="s">
        <v>4600</v>
      </c>
    </row>
    <row r="2621" spans="1:1">
      <c r="A2621" s="153" t="s">
        <v>4601</v>
      </c>
    </row>
    <row r="2622" spans="1:1">
      <c r="A2622" s="153" t="s">
        <v>4602</v>
      </c>
    </row>
    <row r="2623" spans="1:1">
      <c r="A2623" s="153" t="s">
        <v>4603</v>
      </c>
    </row>
    <row r="2624" spans="1:1">
      <c r="A2624" s="153" t="s">
        <v>4604</v>
      </c>
    </row>
    <row r="2625" spans="1:1">
      <c r="A2625" s="153" t="s">
        <v>4605</v>
      </c>
    </row>
    <row r="2626" spans="1:1">
      <c r="A2626" s="153" t="s">
        <v>4606</v>
      </c>
    </row>
    <row r="2627" spans="1:1">
      <c r="A2627" s="153" t="s">
        <v>4607</v>
      </c>
    </row>
    <row r="2628" spans="1:1">
      <c r="A2628" s="153" t="s">
        <v>4608</v>
      </c>
    </row>
    <row r="2629" spans="1:1">
      <c r="A2629" s="153" t="s">
        <v>4609</v>
      </c>
    </row>
    <row r="2630" spans="1:1">
      <c r="A2630" s="153" t="s">
        <v>4610</v>
      </c>
    </row>
    <row r="2631" spans="1:1">
      <c r="A2631" s="153" t="s">
        <v>4611</v>
      </c>
    </row>
    <row r="2632" spans="1:1">
      <c r="A2632" s="153" t="s">
        <v>4612</v>
      </c>
    </row>
    <row r="2633" spans="1:1">
      <c r="A2633" s="153" t="s">
        <v>4613</v>
      </c>
    </row>
    <row r="2634" spans="1:1">
      <c r="A2634" s="153" t="s">
        <v>4614</v>
      </c>
    </row>
    <row r="2635" spans="1:1">
      <c r="A2635" s="153" t="s">
        <v>4615</v>
      </c>
    </row>
    <row r="2636" spans="1:1">
      <c r="A2636" s="153" t="s">
        <v>4616</v>
      </c>
    </row>
    <row r="2637" spans="1:1">
      <c r="A2637" s="153" t="s">
        <v>4617</v>
      </c>
    </row>
    <row r="2638" spans="1:1">
      <c r="A2638" s="153" t="s">
        <v>4618</v>
      </c>
    </row>
    <row r="2639" spans="1:1">
      <c r="A2639" s="153" t="s">
        <v>4619</v>
      </c>
    </row>
    <row r="2640" spans="1:1">
      <c r="A2640" s="153" t="s">
        <v>4620</v>
      </c>
    </row>
    <row r="2641" spans="1:1">
      <c r="A2641" s="153" t="s">
        <v>4621</v>
      </c>
    </row>
    <row r="2642" spans="1:1">
      <c r="A2642" s="153" t="s">
        <v>4622</v>
      </c>
    </row>
    <row r="2643" spans="1:1">
      <c r="A2643" s="153" t="s">
        <v>4623</v>
      </c>
    </row>
    <row r="2644" spans="1:1">
      <c r="A2644" s="153" t="s">
        <v>4624</v>
      </c>
    </row>
    <row r="2645" spans="1:1">
      <c r="A2645" s="153" t="s">
        <v>4625</v>
      </c>
    </row>
    <row r="2646" spans="1:1">
      <c r="A2646" s="153" t="s">
        <v>4626</v>
      </c>
    </row>
    <row r="2647" spans="1:1">
      <c r="A2647" s="153" t="s">
        <v>4627</v>
      </c>
    </row>
    <row r="2648" spans="1:1">
      <c r="A2648" s="153" t="s">
        <v>4628</v>
      </c>
    </row>
    <row r="2649" spans="1:1">
      <c r="A2649" s="153" t="s">
        <v>4629</v>
      </c>
    </row>
    <row r="2650" spans="1:1">
      <c r="A2650" s="153" t="s">
        <v>4630</v>
      </c>
    </row>
    <row r="2651" spans="1:1">
      <c r="A2651" s="153" t="s">
        <v>4631</v>
      </c>
    </row>
    <row r="2652" spans="1:1">
      <c r="A2652" s="153" t="s">
        <v>4632</v>
      </c>
    </row>
    <row r="2653" spans="1:1">
      <c r="A2653" s="153" t="s">
        <v>4633</v>
      </c>
    </row>
    <row r="2654" spans="1:1">
      <c r="A2654" s="153" t="s">
        <v>4634</v>
      </c>
    </row>
    <row r="2655" spans="1:1">
      <c r="A2655" s="153" t="s">
        <v>4635</v>
      </c>
    </row>
    <row r="2656" spans="1:1">
      <c r="A2656" s="153" t="s">
        <v>4636</v>
      </c>
    </row>
    <row r="2657" spans="1:1">
      <c r="A2657" s="153" t="s">
        <v>4637</v>
      </c>
    </row>
    <row r="2658" spans="1:1">
      <c r="A2658" s="153" t="s">
        <v>4638</v>
      </c>
    </row>
    <row r="2659" spans="1:1">
      <c r="A2659" s="153" t="s">
        <v>4639</v>
      </c>
    </row>
    <row r="2660" spans="1:1">
      <c r="A2660" s="153" t="s">
        <v>4640</v>
      </c>
    </row>
    <row r="2661" spans="1:1">
      <c r="A2661" s="153" t="s">
        <v>4641</v>
      </c>
    </row>
    <row r="2662" spans="1:1">
      <c r="A2662" s="153" t="s">
        <v>4642</v>
      </c>
    </row>
    <row r="2663" spans="1:1">
      <c r="A2663" s="153" t="s">
        <v>4643</v>
      </c>
    </row>
    <row r="2664" spans="1:1">
      <c r="A2664" s="153" t="s">
        <v>4644</v>
      </c>
    </row>
    <row r="2665" spans="1:1">
      <c r="A2665" s="153" t="s">
        <v>4645</v>
      </c>
    </row>
    <row r="2666" spans="1:1">
      <c r="A2666" s="153" t="s">
        <v>4646</v>
      </c>
    </row>
    <row r="2667" spans="1:1">
      <c r="A2667" s="153" t="s">
        <v>4647</v>
      </c>
    </row>
    <row r="2668" spans="1:1">
      <c r="A2668" s="153" t="s">
        <v>4648</v>
      </c>
    </row>
    <row r="2669" spans="1:1">
      <c r="A2669" s="153" t="s">
        <v>4649</v>
      </c>
    </row>
    <row r="2670" spans="1:1">
      <c r="A2670" s="153" t="s">
        <v>4650</v>
      </c>
    </row>
    <row r="2671" spans="1:1">
      <c r="A2671" s="153" t="s">
        <v>4651</v>
      </c>
    </row>
    <row r="2672" spans="1:1">
      <c r="A2672" s="153" t="s">
        <v>4652</v>
      </c>
    </row>
    <row r="2673" spans="1:1">
      <c r="A2673" s="153" t="s">
        <v>4653</v>
      </c>
    </row>
    <row r="2674" spans="1:1">
      <c r="A2674" s="153" t="s">
        <v>4654</v>
      </c>
    </row>
    <row r="2675" spans="1:1">
      <c r="A2675" s="153" t="s">
        <v>4655</v>
      </c>
    </row>
    <row r="2676" spans="1:1">
      <c r="A2676" s="153" t="s">
        <v>4656</v>
      </c>
    </row>
    <row r="2677" spans="1:1">
      <c r="A2677" s="153" t="s">
        <v>4657</v>
      </c>
    </row>
    <row r="2678" spans="1:1">
      <c r="A2678" s="153" t="s">
        <v>4658</v>
      </c>
    </row>
    <row r="2679" spans="1:1">
      <c r="A2679" s="153" t="s">
        <v>4659</v>
      </c>
    </row>
    <row r="2680" spans="1:1">
      <c r="A2680" s="153" t="s">
        <v>4660</v>
      </c>
    </row>
    <row r="2681" spans="1:1">
      <c r="A2681" s="153" t="s">
        <v>4661</v>
      </c>
    </row>
    <row r="2682" spans="1:1">
      <c r="A2682" s="153" t="s">
        <v>4662</v>
      </c>
    </row>
    <row r="2683" spans="1:1">
      <c r="A2683" s="153" t="s">
        <v>4663</v>
      </c>
    </row>
    <row r="2684" spans="1:1">
      <c r="A2684" s="153" t="s">
        <v>4664</v>
      </c>
    </row>
    <row r="2685" spans="1:1">
      <c r="A2685" s="153" t="s">
        <v>4665</v>
      </c>
    </row>
    <row r="2686" spans="1:1">
      <c r="A2686" s="153" t="s">
        <v>4666</v>
      </c>
    </row>
    <row r="2687" spans="1:1">
      <c r="A2687" s="153" t="s">
        <v>4667</v>
      </c>
    </row>
    <row r="2688" spans="1:1">
      <c r="A2688" s="153" t="s">
        <v>4668</v>
      </c>
    </row>
    <row r="2689" spans="1:1">
      <c r="A2689" s="153" t="s">
        <v>4669</v>
      </c>
    </row>
    <row r="2690" spans="1:1">
      <c r="A2690" s="153" t="s">
        <v>4670</v>
      </c>
    </row>
    <row r="2691" spans="1:1">
      <c r="A2691" s="153" t="s">
        <v>4671</v>
      </c>
    </row>
    <row r="2692" spans="1:1">
      <c r="A2692" s="153" t="s">
        <v>4672</v>
      </c>
    </row>
    <row r="2693" spans="1:1">
      <c r="A2693" s="153" t="s">
        <v>4673</v>
      </c>
    </row>
    <row r="2694" spans="1:1">
      <c r="A2694" s="153" t="s">
        <v>4674</v>
      </c>
    </row>
    <row r="2695" spans="1:1">
      <c r="A2695" s="153" t="s">
        <v>4675</v>
      </c>
    </row>
    <row r="2696" spans="1:1">
      <c r="A2696" s="153" t="s">
        <v>4676</v>
      </c>
    </row>
    <row r="2697" spans="1:1">
      <c r="A2697" s="153" t="s">
        <v>4677</v>
      </c>
    </row>
    <row r="2698" spans="1:1">
      <c r="A2698" s="153" t="s">
        <v>4678</v>
      </c>
    </row>
    <row r="2699" spans="1:1">
      <c r="A2699" s="153" t="s">
        <v>4679</v>
      </c>
    </row>
    <row r="2700" spans="1:1">
      <c r="A2700" s="153" t="s">
        <v>4680</v>
      </c>
    </row>
    <row r="2701" spans="1:1">
      <c r="A2701" s="153" t="s">
        <v>4681</v>
      </c>
    </row>
    <row r="2702" spans="1:1">
      <c r="A2702" s="153" t="s">
        <v>4682</v>
      </c>
    </row>
    <row r="2703" spans="1:1">
      <c r="A2703" s="153" t="s">
        <v>4683</v>
      </c>
    </row>
    <row r="2704" spans="1:1">
      <c r="A2704" s="153" t="s">
        <v>4684</v>
      </c>
    </row>
    <row r="2705" spans="1:1">
      <c r="A2705" s="153" t="s">
        <v>4685</v>
      </c>
    </row>
    <row r="2706" spans="1:1">
      <c r="A2706" s="153" t="s">
        <v>4686</v>
      </c>
    </row>
    <row r="2707" spans="1:1">
      <c r="A2707" s="153" t="s">
        <v>4687</v>
      </c>
    </row>
    <row r="2708" spans="1:1">
      <c r="A2708" s="153" t="s">
        <v>4688</v>
      </c>
    </row>
    <row r="2709" spans="1:1">
      <c r="A2709" s="153" t="s">
        <v>4689</v>
      </c>
    </row>
    <row r="2710" spans="1:1">
      <c r="A2710" s="153" t="s">
        <v>4690</v>
      </c>
    </row>
    <row r="2711" spans="1:1">
      <c r="A2711" s="153" t="s">
        <v>4691</v>
      </c>
    </row>
    <row r="2712" spans="1:1">
      <c r="A2712" s="153" t="s">
        <v>4692</v>
      </c>
    </row>
    <row r="2713" spans="1:1">
      <c r="A2713" s="153" t="s">
        <v>4693</v>
      </c>
    </row>
    <row r="2714" spans="1:1">
      <c r="A2714" s="153" t="s">
        <v>4694</v>
      </c>
    </row>
    <row r="2715" spans="1:1">
      <c r="A2715" s="153" t="s">
        <v>4695</v>
      </c>
    </row>
    <row r="2716" spans="1:1">
      <c r="A2716" s="153" t="s">
        <v>4696</v>
      </c>
    </row>
    <row r="2717" spans="1:1">
      <c r="A2717" s="153" t="s">
        <v>4697</v>
      </c>
    </row>
    <row r="2718" spans="1:1">
      <c r="A2718" s="153" t="s">
        <v>4698</v>
      </c>
    </row>
    <row r="2719" spans="1:1">
      <c r="A2719" s="153" t="s">
        <v>4699</v>
      </c>
    </row>
    <row r="2720" spans="1:1">
      <c r="A2720" s="153" t="s">
        <v>4700</v>
      </c>
    </row>
    <row r="2721" spans="1:1">
      <c r="A2721" s="153" t="s">
        <v>4701</v>
      </c>
    </row>
    <row r="2722" spans="1:1">
      <c r="A2722" s="153" t="s">
        <v>4702</v>
      </c>
    </row>
    <row r="2723" spans="1:1">
      <c r="A2723" s="153" t="s">
        <v>4703</v>
      </c>
    </row>
    <row r="2724" spans="1:1">
      <c r="A2724" s="153" t="s">
        <v>4704</v>
      </c>
    </row>
    <row r="2725" spans="1:1">
      <c r="A2725" s="153" t="s">
        <v>4705</v>
      </c>
    </row>
    <row r="2726" spans="1:1">
      <c r="A2726" s="153" t="s">
        <v>4706</v>
      </c>
    </row>
    <row r="2727" spans="1:1">
      <c r="A2727" s="153" t="s">
        <v>4707</v>
      </c>
    </row>
    <row r="2728" spans="1:1">
      <c r="A2728" s="153" t="s">
        <v>4708</v>
      </c>
    </row>
    <row r="2729" spans="1:1">
      <c r="A2729" s="153" t="s">
        <v>4709</v>
      </c>
    </row>
    <row r="2730" spans="1:1">
      <c r="A2730" s="153" t="s">
        <v>4710</v>
      </c>
    </row>
    <row r="2731" spans="1:1">
      <c r="A2731" s="153" t="s">
        <v>4711</v>
      </c>
    </row>
    <row r="2732" spans="1:1">
      <c r="A2732" s="153" t="s">
        <v>4712</v>
      </c>
    </row>
    <row r="2733" spans="1:1">
      <c r="A2733" s="153" t="s">
        <v>4713</v>
      </c>
    </row>
    <row r="2734" spans="1:1">
      <c r="A2734" s="153" t="s">
        <v>4714</v>
      </c>
    </row>
    <row r="2735" spans="1:1">
      <c r="A2735" s="153" t="s">
        <v>4715</v>
      </c>
    </row>
    <row r="2736" spans="1:1">
      <c r="A2736" s="153" t="s">
        <v>4716</v>
      </c>
    </row>
    <row r="2737" spans="1:1">
      <c r="A2737" s="153" t="s">
        <v>4717</v>
      </c>
    </row>
    <row r="2738" spans="1:1">
      <c r="A2738" s="153" t="s">
        <v>4718</v>
      </c>
    </row>
    <row r="2739" spans="1:1">
      <c r="A2739" s="153" t="s">
        <v>4719</v>
      </c>
    </row>
    <row r="2740" spans="1:1">
      <c r="A2740" s="153" t="s">
        <v>4720</v>
      </c>
    </row>
    <row r="2741" spans="1:1">
      <c r="A2741" s="153" t="s">
        <v>4721</v>
      </c>
    </row>
    <row r="2742" spans="1:1">
      <c r="A2742" s="153" t="s">
        <v>4722</v>
      </c>
    </row>
    <row r="2743" spans="1:1">
      <c r="A2743" s="153" t="s">
        <v>4723</v>
      </c>
    </row>
    <row r="2744" spans="1:1">
      <c r="A2744" s="153" t="s">
        <v>4724</v>
      </c>
    </row>
    <row r="2745" spans="1:1">
      <c r="A2745" s="153" t="s">
        <v>4725</v>
      </c>
    </row>
    <row r="2746" spans="1:1">
      <c r="A2746" s="153" t="s">
        <v>4726</v>
      </c>
    </row>
    <row r="2747" spans="1:1">
      <c r="A2747" s="153" t="s">
        <v>4727</v>
      </c>
    </row>
    <row r="2748" spans="1:1">
      <c r="A2748" s="153" t="s">
        <v>4728</v>
      </c>
    </row>
    <row r="2749" spans="1:1">
      <c r="A2749" s="153" t="s">
        <v>4729</v>
      </c>
    </row>
    <row r="2750" spans="1:1">
      <c r="A2750" s="153" t="s">
        <v>4730</v>
      </c>
    </row>
    <row r="2751" spans="1:1">
      <c r="A2751" s="153" t="s">
        <v>4731</v>
      </c>
    </row>
    <row r="2752" spans="1:1">
      <c r="A2752" s="153" t="s">
        <v>4732</v>
      </c>
    </row>
    <row r="2753" spans="1:1">
      <c r="A2753" s="153" t="s">
        <v>4733</v>
      </c>
    </row>
    <row r="2754" spans="1:1">
      <c r="A2754" s="153" t="s">
        <v>4734</v>
      </c>
    </row>
    <row r="2755" spans="1:1">
      <c r="A2755" s="153" t="s">
        <v>4735</v>
      </c>
    </row>
    <row r="2756" spans="1:1">
      <c r="A2756" s="153" t="s">
        <v>4736</v>
      </c>
    </row>
    <row r="2757" spans="1:1">
      <c r="A2757" s="153" t="s">
        <v>4737</v>
      </c>
    </row>
    <row r="2758" spans="1:1">
      <c r="A2758" s="153" t="s">
        <v>4738</v>
      </c>
    </row>
    <row r="2759" spans="1:1">
      <c r="A2759" s="153" t="s">
        <v>4739</v>
      </c>
    </row>
    <row r="2760" spans="1:1">
      <c r="A2760" s="153" t="s">
        <v>4740</v>
      </c>
    </row>
    <row r="2761" spans="1:1">
      <c r="A2761" s="153" t="s">
        <v>4741</v>
      </c>
    </row>
    <row r="2762" spans="1:1">
      <c r="A2762" s="153" t="s">
        <v>4742</v>
      </c>
    </row>
    <row r="2763" spans="1:1">
      <c r="A2763" s="153" t="s">
        <v>4743</v>
      </c>
    </row>
    <row r="2764" spans="1:1">
      <c r="A2764" s="153" t="s">
        <v>4744</v>
      </c>
    </row>
    <row r="2765" spans="1:1">
      <c r="A2765" s="153" t="s">
        <v>4745</v>
      </c>
    </row>
    <row r="2766" spans="1:1">
      <c r="A2766" s="153" t="s">
        <v>4746</v>
      </c>
    </row>
    <row r="2767" spans="1:1">
      <c r="A2767" s="153" t="s">
        <v>4747</v>
      </c>
    </row>
    <row r="2768" spans="1:1">
      <c r="A2768" s="153" t="s">
        <v>4748</v>
      </c>
    </row>
    <row r="2769" spans="1:1">
      <c r="A2769" s="153" t="s">
        <v>4749</v>
      </c>
    </row>
    <row r="2770" spans="1:1">
      <c r="A2770" s="153" t="s">
        <v>4750</v>
      </c>
    </row>
    <row r="2771" spans="1:1">
      <c r="A2771" s="153" t="s">
        <v>4751</v>
      </c>
    </row>
    <row r="2772" spans="1:1">
      <c r="A2772" s="153" t="s">
        <v>4752</v>
      </c>
    </row>
    <row r="2773" spans="1:1">
      <c r="A2773" s="153" t="s">
        <v>4753</v>
      </c>
    </row>
    <row r="2774" spans="1:1">
      <c r="A2774" s="153" t="s">
        <v>4754</v>
      </c>
    </row>
    <row r="2775" spans="1:1">
      <c r="A2775" s="153" t="s">
        <v>4755</v>
      </c>
    </row>
    <row r="2776" spans="1:1">
      <c r="A2776" s="153" t="s">
        <v>4756</v>
      </c>
    </row>
    <row r="2777" spans="1:1">
      <c r="A2777" s="153" t="s">
        <v>4757</v>
      </c>
    </row>
    <row r="2778" spans="1:1">
      <c r="A2778" s="153" t="s">
        <v>4758</v>
      </c>
    </row>
    <row r="2779" spans="1:1">
      <c r="A2779" s="153" t="s">
        <v>4759</v>
      </c>
    </row>
    <row r="2780" spans="1:1">
      <c r="A2780" s="153" t="s">
        <v>4760</v>
      </c>
    </row>
    <row r="2781" spans="1:1">
      <c r="A2781" s="153" t="s">
        <v>4761</v>
      </c>
    </row>
    <row r="2782" spans="1:1">
      <c r="A2782" s="153" t="s">
        <v>4762</v>
      </c>
    </row>
    <row r="2783" spans="1:1">
      <c r="A2783" s="153" t="s">
        <v>4763</v>
      </c>
    </row>
    <row r="2784" spans="1:1">
      <c r="A2784" s="153" t="s">
        <v>4764</v>
      </c>
    </row>
    <row r="2785" spans="1:1">
      <c r="A2785" s="153" t="s">
        <v>4765</v>
      </c>
    </row>
    <row r="2786" spans="1:1">
      <c r="A2786" s="153" t="s">
        <v>4766</v>
      </c>
    </row>
    <row r="2787" spans="1:1">
      <c r="A2787" s="153" t="s">
        <v>4767</v>
      </c>
    </row>
    <row r="2788" spans="1:1">
      <c r="A2788" s="153" t="s">
        <v>4768</v>
      </c>
    </row>
    <row r="2789" spans="1:1">
      <c r="A2789" s="153" t="s">
        <v>4769</v>
      </c>
    </row>
    <row r="2790" spans="1:1">
      <c r="A2790" s="153" t="s">
        <v>4770</v>
      </c>
    </row>
    <row r="2791" spans="1:1">
      <c r="A2791" s="153" t="s">
        <v>4771</v>
      </c>
    </row>
    <row r="2792" spans="1:1">
      <c r="A2792" s="153" t="s">
        <v>4772</v>
      </c>
    </row>
    <row r="2793" spans="1:1">
      <c r="A2793" s="153" t="s">
        <v>4773</v>
      </c>
    </row>
    <row r="2794" spans="1:1">
      <c r="A2794" s="153" t="s">
        <v>4774</v>
      </c>
    </row>
    <row r="2795" spans="1:1">
      <c r="A2795" s="153" t="s">
        <v>4775</v>
      </c>
    </row>
    <row r="2796" spans="1:1">
      <c r="A2796" s="153" t="s">
        <v>4776</v>
      </c>
    </row>
    <row r="2797" spans="1:1">
      <c r="A2797" s="153" t="s">
        <v>4777</v>
      </c>
    </row>
    <row r="2798" spans="1:1">
      <c r="A2798" s="153" t="s">
        <v>4778</v>
      </c>
    </row>
    <row r="2799" spans="1:1">
      <c r="A2799" s="153" t="s">
        <v>4779</v>
      </c>
    </row>
    <row r="2800" spans="1:1">
      <c r="A2800" s="153" t="s">
        <v>4780</v>
      </c>
    </row>
    <row r="2801" spans="1:1">
      <c r="A2801" s="153" t="s">
        <v>4781</v>
      </c>
    </row>
    <row r="2802" spans="1:1">
      <c r="A2802" s="153" t="s">
        <v>4782</v>
      </c>
    </row>
    <row r="2803" spans="1:1">
      <c r="A2803" s="153" t="s">
        <v>4783</v>
      </c>
    </row>
    <row r="2804" spans="1:1">
      <c r="A2804" s="153" t="s">
        <v>4784</v>
      </c>
    </row>
    <row r="2805" spans="1:1">
      <c r="A2805" s="153" t="s">
        <v>4785</v>
      </c>
    </row>
    <row r="2806" spans="1:1">
      <c r="A2806" s="153" t="s">
        <v>4786</v>
      </c>
    </row>
    <row r="2807" spans="1:1">
      <c r="A2807" s="153" t="s">
        <v>4787</v>
      </c>
    </row>
    <row r="2808" spans="1:1">
      <c r="A2808" s="153" t="s">
        <v>4788</v>
      </c>
    </row>
    <row r="2809" spans="1:1">
      <c r="A2809" s="153" t="s">
        <v>4789</v>
      </c>
    </row>
    <row r="2810" spans="1:1">
      <c r="A2810" s="153" t="s">
        <v>4790</v>
      </c>
    </row>
    <row r="2811" spans="1:1">
      <c r="A2811" s="153" t="s">
        <v>4791</v>
      </c>
    </row>
    <row r="2812" spans="1:1">
      <c r="A2812" s="153" t="s">
        <v>4792</v>
      </c>
    </row>
    <row r="2813" spans="1:1">
      <c r="A2813" s="153" t="s">
        <v>4793</v>
      </c>
    </row>
    <row r="2814" spans="1:1">
      <c r="A2814" s="153" t="s">
        <v>4794</v>
      </c>
    </row>
    <row r="2815" spans="1:1">
      <c r="A2815" s="153" t="s">
        <v>4795</v>
      </c>
    </row>
    <row r="2816" spans="1:1">
      <c r="A2816" s="153" t="s">
        <v>4796</v>
      </c>
    </row>
    <row r="2817" spans="1:1">
      <c r="A2817" s="153" t="s">
        <v>4797</v>
      </c>
    </row>
    <row r="2818" spans="1:1">
      <c r="A2818" s="153" t="s">
        <v>4798</v>
      </c>
    </row>
    <row r="2819" spans="1:1">
      <c r="A2819" s="153" t="s">
        <v>4799</v>
      </c>
    </row>
    <row r="2820" spans="1:1">
      <c r="A2820" s="153" t="s">
        <v>4800</v>
      </c>
    </row>
    <row r="2821" spans="1:1">
      <c r="A2821" s="153" t="s">
        <v>4801</v>
      </c>
    </row>
    <row r="2822" spans="1:1">
      <c r="A2822" s="153" t="s">
        <v>4802</v>
      </c>
    </row>
    <row r="2823" spans="1:1">
      <c r="A2823" s="153" t="s">
        <v>4803</v>
      </c>
    </row>
    <row r="2824" spans="1:1">
      <c r="A2824" s="153" t="s">
        <v>4804</v>
      </c>
    </row>
    <row r="2825" spans="1:1">
      <c r="A2825" s="153" t="s">
        <v>4805</v>
      </c>
    </row>
    <row r="2826" spans="1:1">
      <c r="A2826" s="153" t="s">
        <v>4806</v>
      </c>
    </row>
    <row r="2827" spans="1:1">
      <c r="A2827" s="153" t="s">
        <v>4807</v>
      </c>
    </row>
    <row r="2828" spans="1:1">
      <c r="A2828" s="153" t="s">
        <v>4808</v>
      </c>
    </row>
    <row r="2829" spans="1:1">
      <c r="A2829" s="153" t="s">
        <v>4809</v>
      </c>
    </row>
    <row r="2830" spans="1:1">
      <c r="A2830" s="153" t="s">
        <v>4810</v>
      </c>
    </row>
    <row r="2831" spans="1:1">
      <c r="A2831" s="153" t="s">
        <v>4811</v>
      </c>
    </row>
    <row r="2832" spans="1:1">
      <c r="A2832" s="153" t="s">
        <v>4812</v>
      </c>
    </row>
    <row r="2833" spans="1:1">
      <c r="A2833" s="153" t="s">
        <v>4813</v>
      </c>
    </row>
    <row r="2834" spans="1:1">
      <c r="A2834" s="153" t="s">
        <v>4814</v>
      </c>
    </row>
    <row r="2835" spans="1:1">
      <c r="A2835" s="153" t="s">
        <v>4815</v>
      </c>
    </row>
    <row r="2836" spans="1:1">
      <c r="A2836" s="153" t="s">
        <v>4816</v>
      </c>
    </row>
    <row r="2837" spans="1:1">
      <c r="A2837" s="153" t="s">
        <v>4817</v>
      </c>
    </row>
    <row r="2838" spans="1:1">
      <c r="A2838" s="153" t="s">
        <v>4818</v>
      </c>
    </row>
    <row r="2839" spans="1:1">
      <c r="A2839" s="153" t="s">
        <v>4819</v>
      </c>
    </row>
    <row r="2840" spans="1:1">
      <c r="A2840" s="153" t="s">
        <v>4820</v>
      </c>
    </row>
    <row r="2841" spans="1:1">
      <c r="A2841" s="153" t="s">
        <v>4821</v>
      </c>
    </row>
    <row r="2842" spans="1:1">
      <c r="A2842" s="153" t="s">
        <v>4822</v>
      </c>
    </row>
    <row r="2843" spans="1:1">
      <c r="A2843" s="153" t="s">
        <v>4823</v>
      </c>
    </row>
    <row r="2844" spans="1:1">
      <c r="A2844" s="153" t="s">
        <v>4824</v>
      </c>
    </row>
    <row r="2845" spans="1:1">
      <c r="A2845" s="153" t="s">
        <v>4825</v>
      </c>
    </row>
    <row r="2846" spans="1:1">
      <c r="A2846" s="153" t="s">
        <v>4826</v>
      </c>
    </row>
    <row r="2847" spans="1:1">
      <c r="A2847" s="153" t="s">
        <v>4827</v>
      </c>
    </row>
    <row r="2848" spans="1:1">
      <c r="A2848" s="153" t="s">
        <v>4828</v>
      </c>
    </row>
    <row r="2849" spans="1:1">
      <c r="A2849" s="153" t="s">
        <v>4829</v>
      </c>
    </row>
    <row r="2850" spans="1:1">
      <c r="A2850" s="153" t="s">
        <v>4830</v>
      </c>
    </row>
    <row r="2851" spans="1:1">
      <c r="A2851" s="153" t="s">
        <v>4831</v>
      </c>
    </row>
    <row r="2852" spans="1:1">
      <c r="A2852" s="153" t="s">
        <v>4832</v>
      </c>
    </row>
    <row r="2853" spans="1:1">
      <c r="A2853" s="153" t="s">
        <v>4833</v>
      </c>
    </row>
    <row r="2854" spans="1:1">
      <c r="A2854" s="153" t="s">
        <v>4834</v>
      </c>
    </row>
    <row r="2855" spans="1:1">
      <c r="A2855" s="153" t="s">
        <v>4835</v>
      </c>
    </row>
    <row r="2856" spans="1:1">
      <c r="A2856" s="153" t="s">
        <v>4836</v>
      </c>
    </row>
    <row r="2857" spans="1:1">
      <c r="A2857" s="153" t="s">
        <v>4837</v>
      </c>
    </row>
    <row r="2858" spans="1:1">
      <c r="A2858" s="153" t="s">
        <v>4838</v>
      </c>
    </row>
    <row r="2859" spans="1:1">
      <c r="A2859" s="153" t="s">
        <v>4839</v>
      </c>
    </row>
    <row r="2860" spans="1:1">
      <c r="A2860" s="153" t="s">
        <v>4840</v>
      </c>
    </row>
    <row r="2861" spans="1:1">
      <c r="A2861" s="153" t="s">
        <v>4841</v>
      </c>
    </row>
    <row r="2862" spans="1:1">
      <c r="A2862" s="153" t="s">
        <v>4842</v>
      </c>
    </row>
    <row r="2863" spans="1:1">
      <c r="A2863" s="153" t="s">
        <v>4843</v>
      </c>
    </row>
    <row r="2864" spans="1:1">
      <c r="A2864" s="153" t="s">
        <v>4844</v>
      </c>
    </row>
    <row r="2865" spans="1:1">
      <c r="A2865" s="153" t="s">
        <v>4845</v>
      </c>
    </row>
    <row r="2866" spans="1:1">
      <c r="A2866" s="153" t="s">
        <v>4846</v>
      </c>
    </row>
    <row r="2867" spans="1:1">
      <c r="A2867" s="153" t="s">
        <v>4847</v>
      </c>
    </row>
    <row r="2868" spans="1:1">
      <c r="A2868" s="153" t="s">
        <v>4848</v>
      </c>
    </row>
    <row r="2869" spans="1:1">
      <c r="A2869" s="153" t="s">
        <v>4849</v>
      </c>
    </row>
    <row r="2870" spans="1:1">
      <c r="A2870" s="153" t="s">
        <v>4850</v>
      </c>
    </row>
    <row r="2871" spans="1:1">
      <c r="A2871" s="153" t="s">
        <v>4851</v>
      </c>
    </row>
    <row r="2872" spans="1:1">
      <c r="A2872" s="153" t="s">
        <v>4852</v>
      </c>
    </row>
    <row r="2873" spans="1:1">
      <c r="A2873" s="153" t="s">
        <v>4853</v>
      </c>
    </row>
    <row r="2874" spans="1:1">
      <c r="A2874" s="153" t="s">
        <v>4854</v>
      </c>
    </row>
    <row r="2875" spans="1:1">
      <c r="A2875" s="153" t="s">
        <v>4855</v>
      </c>
    </row>
    <row r="2876" spans="1:1">
      <c r="A2876" s="153" t="s">
        <v>4856</v>
      </c>
    </row>
    <row r="2877" spans="1:1">
      <c r="A2877" s="153" t="s">
        <v>4857</v>
      </c>
    </row>
    <row r="2878" spans="1:1">
      <c r="A2878" s="153" t="s">
        <v>4858</v>
      </c>
    </row>
    <row r="2879" spans="1:1">
      <c r="A2879" s="153" t="s">
        <v>4859</v>
      </c>
    </row>
    <row r="2880" spans="1:1">
      <c r="A2880" s="153" t="s">
        <v>4860</v>
      </c>
    </row>
    <row r="2881" spans="1:1">
      <c r="A2881" s="153" t="s">
        <v>4861</v>
      </c>
    </row>
    <row r="2882" spans="1:1">
      <c r="A2882" s="153" t="s">
        <v>4862</v>
      </c>
    </row>
    <row r="2883" spans="1:1">
      <c r="A2883" s="153" t="s">
        <v>4863</v>
      </c>
    </row>
    <row r="2884" spans="1:1">
      <c r="A2884" s="153" t="s">
        <v>4864</v>
      </c>
    </row>
    <row r="2885" spans="1:1">
      <c r="A2885" s="153" t="s">
        <v>4865</v>
      </c>
    </row>
    <row r="2886" spans="1:1">
      <c r="A2886" s="153" t="s">
        <v>4866</v>
      </c>
    </row>
    <row r="2887" spans="1:1">
      <c r="A2887" s="153" t="s">
        <v>4867</v>
      </c>
    </row>
    <row r="2888" spans="1:1">
      <c r="A2888" s="153" t="s">
        <v>4868</v>
      </c>
    </row>
    <row r="2889" spans="1:1">
      <c r="A2889" s="153" t="s">
        <v>4869</v>
      </c>
    </row>
    <row r="2890" spans="1:1">
      <c r="A2890" s="153" t="s">
        <v>4870</v>
      </c>
    </row>
    <row r="2891" spans="1:1">
      <c r="A2891" s="153" t="s">
        <v>4871</v>
      </c>
    </row>
    <row r="2892" spans="1:1">
      <c r="A2892" s="153" t="s">
        <v>4872</v>
      </c>
    </row>
    <row r="2893" spans="1:1">
      <c r="A2893" s="153" t="s">
        <v>4873</v>
      </c>
    </row>
    <row r="2894" spans="1:1">
      <c r="A2894" s="153" t="s">
        <v>4874</v>
      </c>
    </row>
    <row r="2895" spans="1:1">
      <c r="A2895" s="153" t="s">
        <v>4875</v>
      </c>
    </row>
    <row r="2896" spans="1:1">
      <c r="A2896" s="153" t="s">
        <v>4876</v>
      </c>
    </row>
    <row r="2897" spans="1:1">
      <c r="A2897" s="153" t="s">
        <v>4877</v>
      </c>
    </row>
    <row r="2898" spans="1:1">
      <c r="A2898" s="153" t="s">
        <v>4878</v>
      </c>
    </row>
    <row r="2899" spans="1:1">
      <c r="A2899" s="153" t="s">
        <v>4879</v>
      </c>
    </row>
    <row r="2900" spans="1:1">
      <c r="A2900" s="153" t="s">
        <v>4880</v>
      </c>
    </row>
    <row r="2901" spans="1:1">
      <c r="A2901" s="153" t="s">
        <v>4881</v>
      </c>
    </row>
    <row r="2902" spans="1:1">
      <c r="A2902" s="153" t="s">
        <v>4882</v>
      </c>
    </row>
    <row r="2903" spans="1:1">
      <c r="A2903" s="153" t="s">
        <v>4883</v>
      </c>
    </row>
    <row r="2904" spans="1:1">
      <c r="A2904" s="153" t="s">
        <v>4884</v>
      </c>
    </row>
    <row r="2905" spans="1:1">
      <c r="A2905" s="153" t="s">
        <v>4885</v>
      </c>
    </row>
    <row r="2906" spans="1:1">
      <c r="A2906" s="153" t="s">
        <v>4886</v>
      </c>
    </row>
    <row r="2907" spans="1:1">
      <c r="A2907" s="153" t="s">
        <v>4887</v>
      </c>
    </row>
    <row r="2908" spans="1:1">
      <c r="A2908" s="153" t="s">
        <v>4888</v>
      </c>
    </row>
    <row r="2909" spans="1:1">
      <c r="A2909" s="153" t="s">
        <v>4889</v>
      </c>
    </row>
    <row r="2910" spans="1:1">
      <c r="A2910" s="153" t="s">
        <v>4890</v>
      </c>
    </row>
    <row r="2911" spans="1:1">
      <c r="A2911" s="153" t="s">
        <v>4891</v>
      </c>
    </row>
    <row r="2912" spans="1:1">
      <c r="A2912" s="153" t="s">
        <v>4892</v>
      </c>
    </row>
    <row r="2913" spans="1:1">
      <c r="A2913" s="153" t="s">
        <v>4893</v>
      </c>
    </row>
    <row r="2914" spans="1:1">
      <c r="A2914" s="153" t="s">
        <v>4894</v>
      </c>
    </row>
    <row r="2915" spans="1:1">
      <c r="A2915" s="153" t="s">
        <v>4895</v>
      </c>
    </row>
    <row r="2916" spans="1:1">
      <c r="A2916" s="153" t="s">
        <v>4896</v>
      </c>
    </row>
    <row r="2917" spans="1:1">
      <c r="A2917" s="153" t="s">
        <v>4897</v>
      </c>
    </row>
    <row r="2918" spans="1:1">
      <c r="A2918" s="153" t="s">
        <v>4898</v>
      </c>
    </row>
    <row r="2919" spans="1:1">
      <c r="A2919" s="153" t="s">
        <v>4899</v>
      </c>
    </row>
    <row r="2920" spans="1:1">
      <c r="A2920" s="153" t="s">
        <v>4900</v>
      </c>
    </row>
    <row r="2921" spans="1:1">
      <c r="A2921" s="153" t="s">
        <v>4901</v>
      </c>
    </row>
    <row r="2922" spans="1:1">
      <c r="A2922" s="153" t="s">
        <v>4902</v>
      </c>
    </row>
    <row r="2923" spans="1:1">
      <c r="A2923" s="153" t="s">
        <v>4903</v>
      </c>
    </row>
    <row r="2924" spans="1:1">
      <c r="A2924" s="153" t="s">
        <v>4904</v>
      </c>
    </row>
    <row r="2925" spans="1:1">
      <c r="A2925" s="153" t="s">
        <v>4905</v>
      </c>
    </row>
    <row r="2926" spans="1:1">
      <c r="A2926" s="153" t="s">
        <v>4906</v>
      </c>
    </row>
    <row r="2927" spans="1:1">
      <c r="A2927" s="153" t="s">
        <v>4907</v>
      </c>
    </row>
    <row r="2928" spans="1:1">
      <c r="A2928" s="153" t="s">
        <v>4908</v>
      </c>
    </row>
    <row r="2929" spans="1:1">
      <c r="A2929" s="153" t="s">
        <v>4909</v>
      </c>
    </row>
    <row r="2930" spans="1:1">
      <c r="A2930" s="153" t="s">
        <v>4910</v>
      </c>
    </row>
    <row r="2931" spans="1:1">
      <c r="A2931" s="153" t="s">
        <v>4911</v>
      </c>
    </row>
    <row r="2932" spans="1:1">
      <c r="A2932" s="153" t="s">
        <v>4912</v>
      </c>
    </row>
    <row r="2933" spans="1:1">
      <c r="A2933" s="153" t="s">
        <v>4913</v>
      </c>
    </row>
    <row r="2934" spans="1:1">
      <c r="A2934" s="153" t="s">
        <v>4914</v>
      </c>
    </row>
    <row r="2935" spans="1:1">
      <c r="A2935" s="153" t="s">
        <v>4915</v>
      </c>
    </row>
    <row r="2936" spans="1:1">
      <c r="A2936" s="153" t="s">
        <v>4916</v>
      </c>
    </row>
    <row r="2937" spans="1:1">
      <c r="A2937" s="153" t="s">
        <v>4917</v>
      </c>
    </row>
    <row r="2938" spans="1:1">
      <c r="A2938" s="153" t="s">
        <v>4918</v>
      </c>
    </row>
    <row r="2939" spans="1:1">
      <c r="A2939" s="153" t="s">
        <v>4919</v>
      </c>
    </row>
    <row r="2940" spans="1:1">
      <c r="A2940" s="153" t="s">
        <v>4920</v>
      </c>
    </row>
    <row r="2941" spans="1:1">
      <c r="A2941" s="153" t="s">
        <v>4921</v>
      </c>
    </row>
    <row r="2942" spans="1:1">
      <c r="A2942" s="153" t="s">
        <v>4922</v>
      </c>
    </row>
    <row r="2943" spans="1:1">
      <c r="A2943" s="153" t="s">
        <v>4923</v>
      </c>
    </row>
    <row r="2944" spans="1:1">
      <c r="A2944" s="153" t="s">
        <v>4924</v>
      </c>
    </row>
    <row r="2945" spans="1:1">
      <c r="A2945" s="153" t="s">
        <v>4925</v>
      </c>
    </row>
    <row r="2946" spans="1:1">
      <c r="A2946" s="153" t="s">
        <v>4926</v>
      </c>
    </row>
    <row r="2947" spans="1:1">
      <c r="A2947" s="153" t="s">
        <v>4927</v>
      </c>
    </row>
    <row r="2948" spans="1:1">
      <c r="A2948" s="153" t="s">
        <v>4928</v>
      </c>
    </row>
    <row r="2949" spans="1:1">
      <c r="A2949" s="153" t="s">
        <v>4929</v>
      </c>
    </row>
    <row r="2950" spans="1:1">
      <c r="A2950" s="153" t="s">
        <v>4930</v>
      </c>
    </row>
    <row r="2951" spans="1:1">
      <c r="A2951" s="153" t="s">
        <v>4931</v>
      </c>
    </row>
    <row r="2952" spans="1:1">
      <c r="A2952" s="153" t="s">
        <v>4932</v>
      </c>
    </row>
    <row r="2953" spans="1:1">
      <c r="A2953" s="153" t="s">
        <v>4933</v>
      </c>
    </row>
    <row r="2954" spans="1:1">
      <c r="A2954" s="153" t="s">
        <v>4934</v>
      </c>
    </row>
    <row r="2955" spans="1:1">
      <c r="A2955" s="153" t="s">
        <v>4935</v>
      </c>
    </row>
    <row r="2956" spans="1:1">
      <c r="A2956" s="153" t="s">
        <v>4936</v>
      </c>
    </row>
    <row r="2957" spans="1:1">
      <c r="A2957" s="153" t="s">
        <v>4937</v>
      </c>
    </row>
    <row r="2958" spans="1:1">
      <c r="A2958" s="153" t="s">
        <v>4938</v>
      </c>
    </row>
    <row r="2959" spans="1:1">
      <c r="A2959" s="153" t="s">
        <v>4939</v>
      </c>
    </row>
    <row r="2960" spans="1:1">
      <c r="A2960" s="153" t="s">
        <v>4940</v>
      </c>
    </row>
    <row r="2961" spans="1:1">
      <c r="A2961" s="153" t="s">
        <v>4941</v>
      </c>
    </row>
    <row r="2962" spans="1:1">
      <c r="A2962" s="153" t="s">
        <v>4942</v>
      </c>
    </row>
    <row r="2963" spans="1:1">
      <c r="A2963" s="153" t="s">
        <v>4943</v>
      </c>
    </row>
    <row r="2964" spans="1:1">
      <c r="A2964" s="153" t="s">
        <v>4944</v>
      </c>
    </row>
    <row r="2965" spans="1:1">
      <c r="A2965" s="153" t="s">
        <v>4945</v>
      </c>
    </row>
    <row r="2966" spans="1:1">
      <c r="A2966" s="153" t="s">
        <v>4946</v>
      </c>
    </row>
    <row r="2967" spans="1:1">
      <c r="A2967" s="153" t="s">
        <v>4947</v>
      </c>
    </row>
    <row r="2968" spans="1:1">
      <c r="A2968" s="153" t="s">
        <v>4948</v>
      </c>
    </row>
    <row r="2969" spans="1:1">
      <c r="A2969" s="153" t="s">
        <v>4949</v>
      </c>
    </row>
    <row r="2970" spans="1:1">
      <c r="A2970" s="153" t="s">
        <v>4950</v>
      </c>
    </row>
    <row r="2971" spans="1:1">
      <c r="A2971" s="153" t="s">
        <v>4951</v>
      </c>
    </row>
    <row r="2972" spans="1:1">
      <c r="A2972" s="153" t="s">
        <v>4952</v>
      </c>
    </row>
    <row r="2973" spans="1:1">
      <c r="A2973" s="153" t="s">
        <v>4953</v>
      </c>
    </row>
    <row r="2974" spans="1:1">
      <c r="A2974" s="153" t="s">
        <v>4954</v>
      </c>
    </row>
    <row r="2975" spans="1:1">
      <c r="A2975" s="153" t="s">
        <v>4955</v>
      </c>
    </row>
    <row r="2976" spans="1:1">
      <c r="A2976" s="153" t="s">
        <v>4956</v>
      </c>
    </row>
    <row r="2977" spans="1:1">
      <c r="A2977" s="153" t="s">
        <v>4957</v>
      </c>
    </row>
    <row r="2978" spans="1:1">
      <c r="A2978" s="153" t="s">
        <v>4958</v>
      </c>
    </row>
    <row r="2979" spans="1:1">
      <c r="A2979" s="153" t="s">
        <v>4959</v>
      </c>
    </row>
    <row r="2980" spans="1:1">
      <c r="A2980" s="153" t="s">
        <v>4960</v>
      </c>
    </row>
    <row r="2981" spans="1:1">
      <c r="A2981" s="153" t="s">
        <v>4961</v>
      </c>
    </row>
    <row r="2982" spans="1:1">
      <c r="A2982" s="153" t="s">
        <v>4962</v>
      </c>
    </row>
    <row r="2983" spans="1:1">
      <c r="A2983" s="153" t="s">
        <v>4963</v>
      </c>
    </row>
    <row r="2984" spans="1:1">
      <c r="A2984" s="153" t="s">
        <v>4964</v>
      </c>
    </row>
    <row r="2985" spans="1:1">
      <c r="A2985" s="153" t="s">
        <v>4965</v>
      </c>
    </row>
    <row r="2986" spans="1:1">
      <c r="A2986" s="153" t="s">
        <v>4966</v>
      </c>
    </row>
    <row r="2987" spans="1:1">
      <c r="A2987" s="153" t="s">
        <v>4967</v>
      </c>
    </row>
    <row r="2988" spans="1:1">
      <c r="A2988" s="153" t="s">
        <v>4968</v>
      </c>
    </row>
    <row r="2989" spans="1:1">
      <c r="A2989" s="153" t="s">
        <v>4969</v>
      </c>
    </row>
    <row r="2990" spans="1:1">
      <c r="A2990" s="153" t="s">
        <v>4970</v>
      </c>
    </row>
    <row r="2991" spans="1:1">
      <c r="A2991" s="153" t="s">
        <v>4971</v>
      </c>
    </row>
    <row r="2992" spans="1:1">
      <c r="A2992" s="153" t="s">
        <v>4972</v>
      </c>
    </row>
    <row r="2993" spans="1:1">
      <c r="A2993" s="153" t="s">
        <v>4973</v>
      </c>
    </row>
    <row r="2994" spans="1:1">
      <c r="A2994" s="153" t="s">
        <v>4974</v>
      </c>
    </row>
    <row r="2995" spans="1:1">
      <c r="A2995" s="153" t="s">
        <v>4975</v>
      </c>
    </row>
    <row r="2996" spans="1:1">
      <c r="A2996" s="153" t="s">
        <v>4976</v>
      </c>
    </row>
    <row r="2997" spans="1:1">
      <c r="A2997" s="153" t="s">
        <v>4977</v>
      </c>
    </row>
    <row r="2998" spans="1:1">
      <c r="A2998" s="153" t="s">
        <v>4978</v>
      </c>
    </row>
    <row r="2999" spans="1:1">
      <c r="A2999" s="153" t="s">
        <v>4979</v>
      </c>
    </row>
    <row r="3000" spans="1:1">
      <c r="A3000" s="153" t="s">
        <v>4980</v>
      </c>
    </row>
    <row r="3001" spans="1:1">
      <c r="A3001" s="153" t="s">
        <v>4981</v>
      </c>
    </row>
    <row r="3002" spans="1:1">
      <c r="A3002" s="153" t="s">
        <v>4982</v>
      </c>
    </row>
    <row r="3003" spans="1:1">
      <c r="A3003" s="153" t="s">
        <v>4983</v>
      </c>
    </row>
    <row r="3004" spans="1:1">
      <c r="A3004" s="153" t="s">
        <v>4984</v>
      </c>
    </row>
    <row r="3005" spans="1:1">
      <c r="A3005" s="153" t="s">
        <v>4985</v>
      </c>
    </row>
    <row r="3006" spans="1:1">
      <c r="A3006" s="153" t="s">
        <v>4986</v>
      </c>
    </row>
    <row r="3007" spans="1:1">
      <c r="A3007" s="153" t="s">
        <v>4987</v>
      </c>
    </row>
    <row r="3008" spans="1:1">
      <c r="A3008" s="153" t="s">
        <v>4988</v>
      </c>
    </row>
    <row r="3009" spans="1:1">
      <c r="A3009" s="153" t="s">
        <v>4989</v>
      </c>
    </row>
    <row r="3010" spans="1:1">
      <c r="A3010" s="153" t="s">
        <v>4990</v>
      </c>
    </row>
    <row r="3011" spans="1:1">
      <c r="A3011" s="153" t="s">
        <v>4991</v>
      </c>
    </row>
    <row r="3012" spans="1:1">
      <c r="A3012" s="153" t="s">
        <v>4992</v>
      </c>
    </row>
    <row r="3013" spans="1:1">
      <c r="A3013" s="153" t="s">
        <v>4993</v>
      </c>
    </row>
    <row r="3014" spans="1:1">
      <c r="A3014" s="153" t="s">
        <v>4994</v>
      </c>
    </row>
    <row r="3015" spans="1:1">
      <c r="A3015" s="153" t="s">
        <v>4995</v>
      </c>
    </row>
    <row r="3016" spans="1:1">
      <c r="A3016" s="153" t="s">
        <v>4996</v>
      </c>
    </row>
    <row r="3017" spans="1:1">
      <c r="A3017" s="153" t="s">
        <v>4997</v>
      </c>
    </row>
    <row r="3018" spans="1:1">
      <c r="A3018" s="153" t="s">
        <v>4998</v>
      </c>
    </row>
    <row r="3019" spans="1:1">
      <c r="A3019" s="153" t="s">
        <v>4999</v>
      </c>
    </row>
    <row r="3020" spans="1:1">
      <c r="A3020" s="153" t="s">
        <v>5000</v>
      </c>
    </row>
    <row r="3021" spans="1:1">
      <c r="A3021" s="153" t="s">
        <v>5001</v>
      </c>
    </row>
    <row r="3022" spans="1:1">
      <c r="A3022" s="153" t="s">
        <v>5002</v>
      </c>
    </row>
    <row r="3023" spans="1:1">
      <c r="A3023" s="153" t="s">
        <v>5003</v>
      </c>
    </row>
    <row r="3024" spans="1:1">
      <c r="A3024" s="153" t="s">
        <v>5004</v>
      </c>
    </row>
    <row r="3025" spans="1:1">
      <c r="A3025" s="153" t="s">
        <v>5005</v>
      </c>
    </row>
    <row r="3026" spans="1:1">
      <c r="A3026" s="153" t="s">
        <v>5006</v>
      </c>
    </row>
    <row r="3027" spans="1:1">
      <c r="A3027" s="153" t="s">
        <v>5007</v>
      </c>
    </row>
    <row r="3028" spans="1:1">
      <c r="A3028" s="153" t="s">
        <v>5008</v>
      </c>
    </row>
    <row r="3029" spans="1:1">
      <c r="A3029" s="153" t="s">
        <v>5009</v>
      </c>
    </row>
    <row r="3030" spans="1:1">
      <c r="A3030" s="153" t="s">
        <v>5010</v>
      </c>
    </row>
    <row r="3031" spans="1:1">
      <c r="A3031" s="153" t="s">
        <v>5011</v>
      </c>
    </row>
    <row r="3032" spans="1:1">
      <c r="A3032" s="153" t="s">
        <v>5012</v>
      </c>
    </row>
    <row r="3033" spans="1:1">
      <c r="A3033" s="153" t="s">
        <v>5013</v>
      </c>
    </row>
    <row r="3034" spans="1:1">
      <c r="A3034" s="153" t="s">
        <v>5014</v>
      </c>
    </row>
    <row r="3035" spans="1:1">
      <c r="A3035" s="153" t="s">
        <v>5015</v>
      </c>
    </row>
    <row r="3036" spans="1:1">
      <c r="A3036" s="153" t="s">
        <v>5016</v>
      </c>
    </row>
    <row r="3037" spans="1:1">
      <c r="A3037" s="153" t="s">
        <v>5017</v>
      </c>
    </row>
    <row r="3038" spans="1:1">
      <c r="A3038" s="153" t="s">
        <v>5018</v>
      </c>
    </row>
    <row r="3039" spans="1:1">
      <c r="A3039" s="153" t="s">
        <v>5019</v>
      </c>
    </row>
    <row r="3040" spans="1:1">
      <c r="A3040" s="153" t="s">
        <v>5020</v>
      </c>
    </row>
    <row r="3041" spans="1:1">
      <c r="A3041" s="153" t="s">
        <v>5021</v>
      </c>
    </row>
    <row r="3042" spans="1:1">
      <c r="A3042" s="153" t="s">
        <v>5022</v>
      </c>
    </row>
    <row r="3043" spans="1:1">
      <c r="A3043" s="153" t="s">
        <v>5023</v>
      </c>
    </row>
    <row r="3044" spans="1:1">
      <c r="A3044" s="153" t="s">
        <v>5024</v>
      </c>
    </row>
    <row r="3045" spans="1:1">
      <c r="A3045" s="153" t="s">
        <v>5025</v>
      </c>
    </row>
    <row r="3046" spans="1:1">
      <c r="A3046" s="153" t="s">
        <v>5026</v>
      </c>
    </row>
    <row r="3047" spans="1:1">
      <c r="A3047" s="153" t="s">
        <v>5027</v>
      </c>
    </row>
    <row r="3048" spans="1:1">
      <c r="A3048" s="153" t="s">
        <v>5028</v>
      </c>
    </row>
    <row r="3049" spans="1:1">
      <c r="A3049" s="153" t="s">
        <v>5029</v>
      </c>
    </row>
    <row r="3050" spans="1:1">
      <c r="A3050" s="153" t="s">
        <v>5030</v>
      </c>
    </row>
    <row r="3051" spans="1:1">
      <c r="A3051" s="153" t="s">
        <v>5031</v>
      </c>
    </row>
    <row r="3052" spans="1:1">
      <c r="A3052" s="153" t="s">
        <v>5032</v>
      </c>
    </row>
    <row r="3053" spans="1:1">
      <c r="A3053" s="153" t="s">
        <v>5033</v>
      </c>
    </row>
    <row r="3054" spans="1:1">
      <c r="A3054" s="153" t="s">
        <v>5034</v>
      </c>
    </row>
    <row r="3055" spans="1:1">
      <c r="A3055" s="153" t="s">
        <v>5035</v>
      </c>
    </row>
    <row r="3056" spans="1:1">
      <c r="A3056" s="153" t="s">
        <v>5036</v>
      </c>
    </row>
    <row r="3057" spans="1:1">
      <c r="A3057" s="153" t="s">
        <v>5037</v>
      </c>
    </row>
    <row r="3058" spans="1:1">
      <c r="A3058" s="153" t="s">
        <v>5038</v>
      </c>
    </row>
    <row r="3059" spans="1:1">
      <c r="A3059" s="153" t="s">
        <v>5039</v>
      </c>
    </row>
    <row r="3060" spans="1:1">
      <c r="A3060" s="153" t="s">
        <v>5040</v>
      </c>
    </row>
    <row r="3061" spans="1:1">
      <c r="A3061" s="153" t="s">
        <v>5041</v>
      </c>
    </row>
    <row r="3062" spans="1:1">
      <c r="A3062" s="153" t="s">
        <v>5042</v>
      </c>
    </row>
    <row r="3063" spans="1:1">
      <c r="A3063" s="153" t="s">
        <v>5043</v>
      </c>
    </row>
    <row r="3064" spans="1:1">
      <c r="A3064" s="153" t="s">
        <v>5044</v>
      </c>
    </row>
    <row r="3065" spans="1:1">
      <c r="A3065" s="153" t="s">
        <v>5045</v>
      </c>
    </row>
    <row r="3066" spans="1:1">
      <c r="A3066" s="153" t="s">
        <v>5046</v>
      </c>
    </row>
    <row r="3067" spans="1:1">
      <c r="A3067" s="153" t="s">
        <v>5047</v>
      </c>
    </row>
    <row r="3068" spans="1:1">
      <c r="A3068" s="153" t="s">
        <v>5048</v>
      </c>
    </row>
    <row r="3069" spans="1:1">
      <c r="A3069" s="153" t="s">
        <v>5049</v>
      </c>
    </row>
    <row r="3070" spans="1:1">
      <c r="A3070" s="153" t="s">
        <v>5050</v>
      </c>
    </row>
    <row r="3071" spans="1:1">
      <c r="A3071" s="153" t="s">
        <v>5051</v>
      </c>
    </row>
    <row r="3072" spans="1:1">
      <c r="A3072" s="153" t="s">
        <v>5052</v>
      </c>
    </row>
    <row r="3073" spans="1:1">
      <c r="A3073" s="153" t="s">
        <v>5053</v>
      </c>
    </row>
    <row r="3074" spans="1:1">
      <c r="A3074" s="153" t="s">
        <v>5054</v>
      </c>
    </row>
    <row r="3075" spans="1:1">
      <c r="A3075" s="153" t="s">
        <v>5055</v>
      </c>
    </row>
    <row r="3076" spans="1:1">
      <c r="A3076" s="153" t="s">
        <v>5056</v>
      </c>
    </row>
    <row r="3077" spans="1:1">
      <c r="A3077" s="153" t="s">
        <v>5057</v>
      </c>
    </row>
    <row r="3078" spans="1:1">
      <c r="A3078" s="153" t="s">
        <v>5058</v>
      </c>
    </row>
    <row r="3079" spans="1:1">
      <c r="A3079" s="153" t="s">
        <v>5059</v>
      </c>
    </row>
    <row r="3080" spans="1:1">
      <c r="A3080" s="153" t="s">
        <v>5060</v>
      </c>
    </row>
    <row r="3081" spans="1:1">
      <c r="A3081" s="153" t="s">
        <v>5061</v>
      </c>
    </row>
    <row r="3082" spans="1:1">
      <c r="A3082" s="153" t="s">
        <v>5062</v>
      </c>
    </row>
    <row r="3083" spans="1:1">
      <c r="A3083" s="153" t="s">
        <v>5063</v>
      </c>
    </row>
    <row r="3084" spans="1:1">
      <c r="A3084" s="153" t="s">
        <v>5064</v>
      </c>
    </row>
    <row r="3085" spans="1:1">
      <c r="A3085" s="153" t="s">
        <v>5065</v>
      </c>
    </row>
    <row r="3086" spans="1:1">
      <c r="A3086" s="153" t="s">
        <v>5066</v>
      </c>
    </row>
    <row r="3087" spans="1:1">
      <c r="A3087" s="153" t="s">
        <v>5067</v>
      </c>
    </row>
    <row r="3088" spans="1:1">
      <c r="A3088" s="153" t="s">
        <v>5068</v>
      </c>
    </row>
    <row r="3089" spans="1:1">
      <c r="A3089" s="153" t="s">
        <v>5069</v>
      </c>
    </row>
    <row r="3090" spans="1:1">
      <c r="A3090" s="153" t="s">
        <v>5070</v>
      </c>
    </row>
    <row r="3091" spans="1:1">
      <c r="A3091" s="153" t="s">
        <v>5071</v>
      </c>
    </row>
    <row r="3092" spans="1:1">
      <c r="A3092" s="153" t="s">
        <v>5072</v>
      </c>
    </row>
    <row r="3093" spans="1:1">
      <c r="A3093" s="153" t="s">
        <v>5073</v>
      </c>
    </row>
    <row r="3094" spans="1:1">
      <c r="A3094" s="153" t="s">
        <v>5074</v>
      </c>
    </row>
    <row r="3095" spans="1:1">
      <c r="A3095" s="153" t="s">
        <v>5075</v>
      </c>
    </row>
    <row r="3096" spans="1:1">
      <c r="A3096" s="153" t="s">
        <v>5076</v>
      </c>
    </row>
    <row r="3097" spans="1:1">
      <c r="A3097" s="153" t="s">
        <v>5077</v>
      </c>
    </row>
    <row r="3098" spans="1:1">
      <c r="A3098" s="153" t="s">
        <v>5078</v>
      </c>
    </row>
    <row r="3099" spans="1:1">
      <c r="A3099" s="153" t="s">
        <v>5079</v>
      </c>
    </row>
    <row r="3100" spans="1:1">
      <c r="A3100" s="153" t="s">
        <v>5080</v>
      </c>
    </row>
    <row r="3101" spans="1:1">
      <c r="A3101" s="153" t="s">
        <v>5081</v>
      </c>
    </row>
    <row r="3102" spans="1:1">
      <c r="A3102" s="153" t="s">
        <v>5082</v>
      </c>
    </row>
    <row r="3103" spans="1:1">
      <c r="A3103" s="153" t="s">
        <v>5083</v>
      </c>
    </row>
    <row r="3104" spans="1:1">
      <c r="A3104" s="153" t="s">
        <v>5084</v>
      </c>
    </row>
    <row r="3105" spans="1:1">
      <c r="A3105" s="153" t="s">
        <v>5085</v>
      </c>
    </row>
    <row r="3106" spans="1:1">
      <c r="A3106" s="153" t="s">
        <v>5086</v>
      </c>
    </row>
    <row r="3107" spans="1:1">
      <c r="A3107" s="153" t="s">
        <v>5087</v>
      </c>
    </row>
    <row r="3108" spans="1:1">
      <c r="A3108" s="153" t="s">
        <v>5088</v>
      </c>
    </row>
    <row r="3109" spans="1:1">
      <c r="A3109" s="153" t="s">
        <v>5089</v>
      </c>
    </row>
    <row r="3110" spans="1:1">
      <c r="A3110" s="153" t="s">
        <v>5090</v>
      </c>
    </row>
    <row r="3111" spans="1:1">
      <c r="A3111" s="153" t="s">
        <v>5091</v>
      </c>
    </row>
    <row r="3112" spans="1:1">
      <c r="A3112" s="153" t="s">
        <v>5092</v>
      </c>
    </row>
    <row r="3113" spans="1:1">
      <c r="A3113" s="153" t="s">
        <v>5093</v>
      </c>
    </row>
    <row r="3114" spans="1:1">
      <c r="A3114" s="153" t="s">
        <v>5094</v>
      </c>
    </row>
    <row r="3115" spans="1:1">
      <c r="A3115" s="153" t="s">
        <v>5095</v>
      </c>
    </row>
    <row r="3116" spans="1:1">
      <c r="A3116" s="153" t="s">
        <v>5096</v>
      </c>
    </row>
    <row r="3117" spans="1:1">
      <c r="A3117" s="153" t="s">
        <v>5097</v>
      </c>
    </row>
    <row r="3118" spans="1:1">
      <c r="A3118" s="153" t="s">
        <v>5098</v>
      </c>
    </row>
    <row r="3119" spans="1:1">
      <c r="A3119" s="153" t="s">
        <v>5099</v>
      </c>
    </row>
    <row r="3120" spans="1:1">
      <c r="A3120" s="153" t="s">
        <v>5100</v>
      </c>
    </row>
    <row r="3121" spans="1:1">
      <c r="A3121" s="153" t="s">
        <v>5101</v>
      </c>
    </row>
    <row r="3122" spans="1:1">
      <c r="A3122" s="153" t="s">
        <v>5102</v>
      </c>
    </row>
    <row r="3123" spans="1:1">
      <c r="A3123" s="153" t="s">
        <v>5103</v>
      </c>
    </row>
    <row r="3124" spans="1:1">
      <c r="A3124" s="153" t="s">
        <v>5104</v>
      </c>
    </row>
    <row r="3125" spans="1:1">
      <c r="A3125" s="153" t="s">
        <v>5105</v>
      </c>
    </row>
    <row r="3126" spans="1:1">
      <c r="A3126" s="153" t="s">
        <v>5106</v>
      </c>
    </row>
    <row r="3127" spans="1:1">
      <c r="A3127" s="153" t="s">
        <v>5107</v>
      </c>
    </row>
    <row r="3128" spans="1:1">
      <c r="A3128" s="153" t="s">
        <v>5108</v>
      </c>
    </row>
    <row r="3129" spans="1:1">
      <c r="A3129" s="153" t="s">
        <v>5109</v>
      </c>
    </row>
    <row r="3130" spans="1:1">
      <c r="A3130" s="153" t="s">
        <v>5110</v>
      </c>
    </row>
    <row r="3131" spans="1:1">
      <c r="A3131" s="153" t="s">
        <v>5111</v>
      </c>
    </row>
    <row r="3132" spans="1:1">
      <c r="A3132" s="153" t="s">
        <v>5112</v>
      </c>
    </row>
    <row r="3133" spans="1:1">
      <c r="A3133" s="153" t="s">
        <v>5113</v>
      </c>
    </row>
    <row r="3134" spans="1:1">
      <c r="A3134" s="153" t="s">
        <v>5114</v>
      </c>
    </row>
    <row r="3135" spans="1:1">
      <c r="A3135" s="153" t="s">
        <v>5115</v>
      </c>
    </row>
    <row r="3136" spans="1:1">
      <c r="A3136" s="153" t="s">
        <v>5116</v>
      </c>
    </row>
    <row r="3137" spans="1:1">
      <c r="A3137" s="153" t="s">
        <v>5117</v>
      </c>
    </row>
    <row r="3138" spans="1:1">
      <c r="A3138" s="153" t="s">
        <v>5118</v>
      </c>
    </row>
    <row r="3139" spans="1:1">
      <c r="A3139" s="153" t="s">
        <v>5119</v>
      </c>
    </row>
    <row r="3140" spans="1:1">
      <c r="A3140" s="153" t="s">
        <v>5120</v>
      </c>
    </row>
    <row r="3141" spans="1:1">
      <c r="A3141" s="153" t="s">
        <v>5121</v>
      </c>
    </row>
    <row r="3142" spans="1:1">
      <c r="A3142" s="153" t="s">
        <v>5122</v>
      </c>
    </row>
    <row r="3143" spans="1:1">
      <c r="A3143" s="153" t="s">
        <v>5123</v>
      </c>
    </row>
    <row r="3144" spans="1:1">
      <c r="A3144" s="153" t="s">
        <v>5124</v>
      </c>
    </row>
    <row r="3145" spans="1:1">
      <c r="A3145" s="153" t="s">
        <v>5125</v>
      </c>
    </row>
    <row r="3146" spans="1:1">
      <c r="A3146" s="153" t="s">
        <v>5126</v>
      </c>
    </row>
    <row r="3147" spans="1:1">
      <c r="A3147" s="153" t="s">
        <v>5127</v>
      </c>
    </row>
    <row r="3148" spans="1:1">
      <c r="A3148" s="153" t="s">
        <v>5128</v>
      </c>
    </row>
    <row r="3149" spans="1:1">
      <c r="A3149" s="153" t="s">
        <v>5129</v>
      </c>
    </row>
    <row r="3150" spans="1:1">
      <c r="A3150" s="153" t="s">
        <v>5130</v>
      </c>
    </row>
    <row r="3151" spans="1:1">
      <c r="A3151" s="153" t="s">
        <v>5131</v>
      </c>
    </row>
    <row r="3152" spans="1:1">
      <c r="A3152" s="153" t="s">
        <v>5132</v>
      </c>
    </row>
    <row r="3153" spans="1:1">
      <c r="A3153" s="153" t="s">
        <v>5133</v>
      </c>
    </row>
    <row r="3154" spans="1:1">
      <c r="A3154" s="153" t="s">
        <v>5134</v>
      </c>
    </row>
    <row r="3155" spans="1:1">
      <c r="A3155" s="153" t="s">
        <v>5135</v>
      </c>
    </row>
    <row r="3156" spans="1:1">
      <c r="A3156" s="153" t="s">
        <v>5136</v>
      </c>
    </row>
    <row r="3157" spans="1:1">
      <c r="A3157" s="153" t="s">
        <v>5137</v>
      </c>
    </row>
    <row r="3158" spans="1:1">
      <c r="A3158" s="153" t="s">
        <v>5138</v>
      </c>
    </row>
    <row r="3159" spans="1:1">
      <c r="A3159" s="153" t="s">
        <v>5139</v>
      </c>
    </row>
    <row r="3160" spans="1:1">
      <c r="A3160" s="153" t="s">
        <v>5140</v>
      </c>
    </row>
    <row r="3161" spans="1:1">
      <c r="A3161" s="153" t="s">
        <v>5141</v>
      </c>
    </row>
    <row r="3162" spans="1:1">
      <c r="A3162" s="153" t="s">
        <v>5142</v>
      </c>
    </row>
    <row r="3163" spans="1:1">
      <c r="A3163" s="153" t="s">
        <v>5143</v>
      </c>
    </row>
    <row r="3164" spans="1:1">
      <c r="A3164" s="153" t="s">
        <v>5144</v>
      </c>
    </row>
    <row r="3165" spans="1:1">
      <c r="A3165" s="153" t="s">
        <v>5145</v>
      </c>
    </row>
    <row r="3166" spans="1:1">
      <c r="A3166" s="153" t="s">
        <v>5146</v>
      </c>
    </row>
    <row r="3167" spans="1:1">
      <c r="A3167" s="153" t="s">
        <v>5147</v>
      </c>
    </row>
    <row r="3168" spans="1:1">
      <c r="A3168" s="153" t="s">
        <v>5148</v>
      </c>
    </row>
    <row r="3169" spans="1:1">
      <c r="A3169" s="153" t="s">
        <v>5149</v>
      </c>
    </row>
    <row r="3170" spans="1:1">
      <c r="A3170" s="153" t="s">
        <v>5150</v>
      </c>
    </row>
    <row r="3171" spans="1:1">
      <c r="A3171" s="153" t="s">
        <v>5151</v>
      </c>
    </row>
    <row r="3172" spans="1:1">
      <c r="A3172" s="153" t="s">
        <v>5152</v>
      </c>
    </row>
    <row r="3173" spans="1:1">
      <c r="A3173" s="153" t="s">
        <v>5153</v>
      </c>
    </row>
    <row r="3174" spans="1:1">
      <c r="A3174" s="153" t="s">
        <v>5154</v>
      </c>
    </row>
    <row r="3175" spans="1:1">
      <c r="A3175" s="153" t="s">
        <v>5155</v>
      </c>
    </row>
    <row r="3176" spans="1:1">
      <c r="A3176" s="153" t="s">
        <v>5156</v>
      </c>
    </row>
    <row r="3177" spans="1:1">
      <c r="A3177" s="153" t="s">
        <v>5157</v>
      </c>
    </row>
    <row r="3178" spans="1:1">
      <c r="A3178" s="153" t="s">
        <v>5158</v>
      </c>
    </row>
    <row r="3179" spans="1:1">
      <c r="A3179" s="153" t="s">
        <v>5159</v>
      </c>
    </row>
    <row r="3180" spans="1:1">
      <c r="A3180" s="153" t="s">
        <v>5160</v>
      </c>
    </row>
    <row r="3181" spans="1:1">
      <c r="A3181" s="153" t="s">
        <v>5161</v>
      </c>
    </row>
    <row r="3182" spans="1:1">
      <c r="A3182" s="153" t="s">
        <v>5162</v>
      </c>
    </row>
    <row r="3183" spans="1:1">
      <c r="A3183" s="153" t="s">
        <v>5163</v>
      </c>
    </row>
    <row r="3184" spans="1:1">
      <c r="A3184" s="153" t="s">
        <v>5164</v>
      </c>
    </row>
    <row r="3185" spans="1:1">
      <c r="A3185" s="153" t="s">
        <v>5165</v>
      </c>
    </row>
    <row r="3186" spans="1:1">
      <c r="A3186" s="153" t="s">
        <v>5166</v>
      </c>
    </row>
    <row r="3187" spans="1:1">
      <c r="A3187" s="153" t="s">
        <v>5167</v>
      </c>
    </row>
    <row r="3188" spans="1:1">
      <c r="A3188" s="153" t="s">
        <v>5168</v>
      </c>
    </row>
    <row r="3189" spans="1:1">
      <c r="A3189" s="153" t="s">
        <v>5169</v>
      </c>
    </row>
    <row r="3190" spans="1:1">
      <c r="A3190" s="153" t="s">
        <v>5170</v>
      </c>
    </row>
    <row r="3191" spans="1:1">
      <c r="A3191" s="153" t="s">
        <v>5171</v>
      </c>
    </row>
    <row r="3192" spans="1:1">
      <c r="A3192" s="153" t="s">
        <v>5172</v>
      </c>
    </row>
    <row r="3193" spans="1:1">
      <c r="A3193" s="153" t="s">
        <v>5173</v>
      </c>
    </row>
    <row r="3194" spans="1:1">
      <c r="A3194" s="153" t="s">
        <v>5174</v>
      </c>
    </row>
    <row r="3195" spans="1:1">
      <c r="A3195" s="153" t="s">
        <v>5175</v>
      </c>
    </row>
    <row r="3196" spans="1:1">
      <c r="A3196" s="153" t="s">
        <v>5176</v>
      </c>
    </row>
    <row r="3197" spans="1:1">
      <c r="A3197" s="153" t="s">
        <v>5177</v>
      </c>
    </row>
    <row r="3198" spans="1:1">
      <c r="A3198" s="153" t="s">
        <v>5178</v>
      </c>
    </row>
    <row r="3199" spans="1:1">
      <c r="A3199" s="153" t="s">
        <v>5179</v>
      </c>
    </row>
    <row r="3200" spans="1:1">
      <c r="A3200" s="153" t="s">
        <v>5180</v>
      </c>
    </row>
    <row r="3201" spans="1:1">
      <c r="A3201" s="153" t="s">
        <v>5181</v>
      </c>
    </row>
    <row r="3202" spans="1:1">
      <c r="A3202" s="153" t="s">
        <v>5182</v>
      </c>
    </row>
    <row r="3203" spans="1:1">
      <c r="A3203" s="153" t="s">
        <v>5183</v>
      </c>
    </row>
    <row r="3204" spans="1:1">
      <c r="A3204" s="153" t="s">
        <v>5184</v>
      </c>
    </row>
    <row r="3205" spans="1:1">
      <c r="A3205" s="153" t="s">
        <v>5185</v>
      </c>
    </row>
    <row r="3206" spans="1:1">
      <c r="A3206" s="153" t="s">
        <v>5186</v>
      </c>
    </row>
    <row r="3207" spans="1:1">
      <c r="A3207" s="153" t="s">
        <v>5187</v>
      </c>
    </row>
    <row r="3208" spans="1:1">
      <c r="A3208" s="153" t="s">
        <v>5188</v>
      </c>
    </row>
    <row r="3209" spans="1:1">
      <c r="A3209" s="153" t="s">
        <v>5189</v>
      </c>
    </row>
    <row r="3210" spans="1:1">
      <c r="A3210" s="153" t="s">
        <v>5190</v>
      </c>
    </row>
    <row r="3211" spans="1:1">
      <c r="A3211" s="153" t="s">
        <v>5191</v>
      </c>
    </row>
    <row r="3212" spans="1:1">
      <c r="A3212" s="153" t="s">
        <v>5192</v>
      </c>
    </row>
    <row r="3213" spans="1:1">
      <c r="A3213" s="153" t="s">
        <v>5193</v>
      </c>
    </row>
    <row r="3214" spans="1:1">
      <c r="A3214" s="153" t="s">
        <v>5194</v>
      </c>
    </row>
    <row r="3215" spans="1:1">
      <c r="A3215" s="153" t="s">
        <v>5195</v>
      </c>
    </row>
    <row r="3216" spans="1:1">
      <c r="A3216" s="153" t="s">
        <v>5196</v>
      </c>
    </row>
    <row r="3217" spans="1:1">
      <c r="A3217" s="153" t="s">
        <v>5197</v>
      </c>
    </row>
    <row r="3218" spans="1:1">
      <c r="A3218" s="153" t="s">
        <v>5198</v>
      </c>
    </row>
    <row r="3219" spans="1:1">
      <c r="A3219" s="153" t="s">
        <v>5199</v>
      </c>
    </row>
    <row r="3220" spans="1:1">
      <c r="A3220" s="153" t="s">
        <v>5200</v>
      </c>
    </row>
    <row r="3221" spans="1:1">
      <c r="A3221" s="153" t="s">
        <v>5201</v>
      </c>
    </row>
    <row r="3222" spans="1:1">
      <c r="A3222" s="153" t="s">
        <v>5202</v>
      </c>
    </row>
    <row r="3223" spans="1:1">
      <c r="A3223" s="153" t="s">
        <v>5203</v>
      </c>
    </row>
    <row r="3224" spans="1:1">
      <c r="A3224" s="153" t="s">
        <v>5204</v>
      </c>
    </row>
    <row r="3225" spans="1:1">
      <c r="A3225" s="153" t="s">
        <v>5205</v>
      </c>
    </row>
    <row r="3226" spans="1:1">
      <c r="A3226" s="153" t="s">
        <v>5206</v>
      </c>
    </row>
    <row r="3227" spans="1:1">
      <c r="A3227" s="153" t="s">
        <v>5207</v>
      </c>
    </row>
    <row r="3228" spans="1:1">
      <c r="A3228" s="153" t="s">
        <v>5208</v>
      </c>
    </row>
    <row r="3229" spans="1:1">
      <c r="A3229" s="153" t="s">
        <v>5209</v>
      </c>
    </row>
    <row r="3230" spans="1:1">
      <c r="A3230" s="153" t="s">
        <v>5210</v>
      </c>
    </row>
    <row r="3231" spans="1:1">
      <c r="A3231" s="153" t="s">
        <v>5211</v>
      </c>
    </row>
    <row r="3232" spans="1:1">
      <c r="A3232" s="153" t="s">
        <v>5212</v>
      </c>
    </row>
    <row r="3233" spans="1:1">
      <c r="A3233" s="153" t="s">
        <v>5213</v>
      </c>
    </row>
    <row r="3234" spans="1:1">
      <c r="A3234" s="153" t="s">
        <v>5214</v>
      </c>
    </row>
    <row r="3235" spans="1:1">
      <c r="A3235" s="153" t="s">
        <v>5215</v>
      </c>
    </row>
    <row r="3236" spans="1:1">
      <c r="A3236" s="153" t="s">
        <v>5216</v>
      </c>
    </row>
    <row r="3237" spans="1:1">
      <c r="A3237" s="153" t="s">
        <v>5217</v>
      </c>
    </row>
    <row r="3238" spans="1:1">
      <c r="A3238" s="153" t="s">
        <v>5218</v>
      </c>
    </row>
    <row r="3239" spans="1:1">
      <c r="A3239" s="153" t="s">
        <v>5219</v>
      </c>
    </row>
    <row r="3240" spans="1:1">
      <c r="A3240" s="153" t="s">
        <v>5220</v>
      </c>
    </row>
    <row r="3241" spans="1:1">
      <c r="A3241" s="153" t="s">
        <v>5221</v>
      </c>
    </row>
    <row r="3242" spans="1:1">
      <c r="A3242" s="153" t="s">
        <v>5222</v>
      </c>
    </row>
    <row r="3243" spans="1:1">
      <c r="A3243" s="153" t="s">
        <v>5223</v>
      </c>
    </row>
    <row r="3244" spans="1:1">
      <c r="A3244" s="153" t="s">
        <v>5224</v>
      </c>
    </row>
    <row r="3245" spans="1:1">
      <c r="A3245" s="153" t="s">
        <v>5225</v>
      </c>
    </row>
    <row r="3246" spans="1:1">
      <c r="A3246" s="153" t="s">
        <v>5226</v>
      </c>
    </row>
    <row r="3247" spans="1:1">
      <c r="A3247" s="153" t="s">
        <v>5227</v>
      </c>
    </row>
    <row r="3248" spans="1:1">
      <c r="A3248" s="153" t="s">
        <v>5228</v>
      </c>
    </row>
    <row r="3249" spans="1:1">
      <c r="A3249" s="153" t="s">
        <v>5229</v>
      </c>
    </row>
    <row r="3250" spans="1:1">
      <c r="A3250" s="153" t="s">
        <v>5230</v>
      </c>
    </row>
    <row r="3251" spans="1:1">
      <c r="A3251" s="153" t="s">
        <v>5231</v>
      </c>
    </row>
    <row r="3252" spans="1:1">
      <c r="A3252" s="153" t="s">
        <v>5232</v>
      </c>
    </row>
    <row r="3253" spans="1:1">
      <c r="A3253" s="153" t="s">
        <v>5233</v>
      </c>
    </row>
    <row r="3254" spans="1:1">
      <c r="A3254" s="153" t="s">
        <v>5234</v>
      </c>
    </row>
    <row r="3255" spans="1:1">
      <c r="A3255" s="153" t="s">
        <v>5235</v>
      </c>
    </row>
    <row r="3256" spans="1:1">
      <c r="A3256" s="153" t="s">
        <v>5236</v>
      </c>
    </row>
    <row r="3257" spans="1:1">
      <c r="A3257" s="153" t="s">
        <v>5237</v>
      </c>
    </row>
    <row r="3258" spans="1:1">
      <c r="A3258" s="153" t="s">
        <v>5238</v>
      </c>
    </row>
    <row r="3259" spans="1:1">
      <c r="A3259" s="153" t="s">
        <v>5239</v>
      </c>
    </row>
    <row r="3260" spans="1:1">
      <c r="A3260" s="153" t="s">
        <v>5240</v>
      </c>
    </row>
    <row r="3261" spans="1:1">
      <c r="A3261" s="153" t="s">
        <v>5241</v>
      </c>
    </row>
    <row r="3262" spans="1:1">
      <c r="A3262" s="153" t="s">
        <v>5242</v>
      </c>
    </row>
    <row r="3263" spans="1:1">
      <c r="A3263" s="153" t="s">
        <v>5243</v>
      </c>
    </row>
    <row r="3264" spans="1:1">
      <c r="A3264" s="153" t="s">
        <v>5244</v>
      </c>
    </row>
    <row r="3265" spans="1:1">
      <c r="A3265" s="153" t="s">
        <v>5245</v>
      </c>
    </row>
    <row r="3266" spans="1:1">
      <c r="A3266" s="153" t="s">
        <v>5246</v>
      </c>
    </row>
    <row r="3267" spans="1:1">
      <c r="A3267" s="153" t="s">
        <v>5247</v>
      </c>
    </row>
    <row r="3268" spans="1:1">
      <c r="A3268" s="153" t="s">
        <v>5248</v>
      </c>
    </row>
    <row r="3269" spans="1:1">
      <c r="A3269" s="153" t="s">
        <v>5249</v>
      </c>
    </row>
    <row r="3270" spans="1:1">
      <c r="A3270" s="153" t="s">
        <v>5250</v>
      </c>
    </row>
    <row r="3271" spans="1:1">
      <c r="A3271" s="153" t="s">
        <v>5251</v>
      </c>
    </row>
    <row r="3272" spans="1:1">
      <c r="A3272" s="153" t="s">
        <v>5252</v>
      </c>
    </row>
    <row r="3273" spans="1:1">
      <c r="A3273" s="153" t="s">
        <v>5253</v>
      </c>
    </row>
    <row r="3274" spans="1:1">
      <c r="A3274" s="153" t="s">
        <v>5254</v>
      </c>
    </row>
    <row r="3275" spans="1:1">
      <c r="A3275" s="153" t="s">
        <v>5255</v>
      </c>
    </row>
    <row r="3276" spans="1:1">
      <c r="A3276" s="153" t="s">
        <v>5256</v>
      </c>
    </row>
    <row r="3277" spans="1:1">
      <c r="A3277" s="153" t="s">
        <v>5257</v>
      </c>
    </row>
    <row r="3278" spans="1:1">
      <c r="A3278" s="153" t="s">
        <v>5258</v>
      </c>
    </row>
    <row r="3279" spans="1:1">
      <c r="A3279" s="153" t="s">
        <v>5259</v>
      </c>
    </row>
    <row r="3280" spans="1:1">
      <c r="A3280" s="153" t="s">
        <v>5260</v>
      </c>
    </row>
    <row r="3281" spans="1:1">
      <c r="A3281" s="153" t="s">
        <v>5261</v>
      </c>
    </row>
    <row r="3282" spans="1:1">
      <c r="A3282" s="153" t="s">
        <v>5262</v>
      </c>
    </row>
    <row r="3283" spans="1:1">
      <c r="A3283" s="153" t="s">
        <v>5263</v>
      </c>
    </row>
    <row r="3284" spans="1:1">
      <c r="A3284" s="153" t="s">
        <v>5264</v>
      </c>
    </row>
    <row r="3285" spans="1:1">
      <c r="A3285" s="153" t="s">
        <v>5265</v>
      </c>
    </row>
    <row r="3286" spans="1:1">
      <c r="A3286" s="153" t="s">
        <v>5266</v>
      </c>
    </row>
    <row r="3287" spans="1:1">
      <c r="A3287" s="153" t="s">
        <v>5267</v>
      </c>
    </row>
    <row r="3288" spans="1:1">
      <c r="A3288" s="153" t="s">
        <v>5268</v>
      </c>
    </row>
    <row r="3289" spans="1:1">
      <c r="A3289" s="153" t="s">
        <v>5269</v>
      </c>
    </row>
    <row r="3290" spans="1:1">
      <c r="A3290" s="153" t="s">
        <v>5270</v>
      </c>
    </row>
    <row r="3291" spans="1:1">
      <c r="A3291" s="153" t="s">
        <v>5271</v>
      </c>
    </row>
    <row r="3292" spans="1:1">
      <c r="A3292" s="153" t="s">
        <v>5272</v>
      </c>
    </row>
    <row r="3293" spans="1:1">
      <c r="A3293" s="153" t="s">
        <v>5273</v>
      </c>
    </row>
    <row r="3294" spans="1:1">
      <c r="A3294" s="153" t="s">
        <v>5274</v>
      </c>
    </row>
    <row r="3295" spans="1:1">
      <c r="A3295" s="153" t="s">
        <v>5275</v>
      </c>
    </row>
    <row r="3296" spans="1:1">
      <c r="A3296" s="153" t="s">
        <v>5276</v>
      </c>
    </row>
    <row r="3297" spans="1:1">
      <c r="A3297" s="153" t="s">
        <v>5277</v>
      </c>
    </row>
    <row r="3298" spans="1:1">
      <c r="A3298" s="153" t="s">
        <v>5278</v>
      </c>
    </row>
    <row r="3299" spans="1:1">
      <c r="A3299" s="153" t="s">
        <v>5279</v>
      </c>
    </row>
    <row r="3300" spans="1:1">
      <c r="A3300" s="153" t="s">
        <v>5280</v>
      </c>
    </row>
    <row r="3301" spans="1:1">
      <c r="A3301" s="153" t="s">
        <v>5281</v>
      </c>
    </row>
    <row r="3302" spans="1:1">
      <c r="A3302" s="153" t="s">
        <v>5282</v>
      </c>
    </row>
    <row r="3303" spans="1:1">
      <c r="A3303" s="153" t="s">
        <v>5283</v>
      </c>
    </row>
    <row r="3304" spans="1:1">
      <c r="A3304" s="153" t="s">
        <v>5284</v>
      </c>
    </row>
    <row r="3305" spans="1:1">
      <c r="A3305" s="153" t="s">
        <v>5285</v>
      </c>
    </row>
    <row r="3306" spans="1:1">
      <c r="A3306" s="153" t="s">
        <v>5286</v>
      </c>
    </row>
    <row r="3307" spans="1:1">
      <c r="A3307" s="153" t="s">
        <v>5287</v>
      </c>
    </row>
    <row r="3308" spans="1:1">
      <c r="A3308" s="153" t="s">
        <v>5288</v>
      </c>
    </row>
    <row r="3309" spans="1:1">
      <c r="A3309" s="153" t="s">
        <v>5289</v>
      </c>
    </row>
    <row r="3310" spans="1:1">
      <c r="A3310" s="153" t="s">
        <v>5290</v>
      </c>
    </row>
    <row r="3311" spans="1:1">
      <c r="A3311" s="153" t="s">
        <v>5291</v>
      </c>
    </row>
    <row r="3312" spans="1:1">
      <c r="A3312" s="153" t="s">
        <v>5292</v>
      </c>
    </row>
    <row r="3313" spans="1:1">
      <c r="A3313" s="153" t="s">
        <v>5293</v>
      </c>
    </row>
    <row r="3314" spans="1:1">
      <c r="A3314" s="153" t="s">
        <v>5294</v>
      </c>
    </row>
    <row r="3315" spans="1:1">
      <c r="A3315" s="153" t="s">
        <v>5295</v>
      </c>
    </row>
    <row r="3316" spans="1:1">
      <c r="A3316" s="153" t="s">
        <v>5296</v>
      </c>
    </row>
    <row r="3317" spans="1:1">
      <c r="A3317" s="153" t="s">
        <v>5297</v>
      </c>
    </row>
    <row r="3318" spans="1:1">
      <c r="A3318" s="153" t="s">
        <v>5298</v>
      </c>
    </row>
    <row r="3319" spans="1:1">
      <c r="A3319" s="153" t="s">
        <v>5299</v>
      </c>
    </row>
    <row r="3320" spans="1:1">
      <c r="A3320" s="153" t="s">
        <v>5300</v>
      </c>
    </row>
    <row r="3321" spans="1:1">
      <c r="A3321" s="153" t="s">
        <v>5301</v>
      </c>
    </row>
    <row r="3322" spans="1:1">
      <c r="A3322" s="153" t="s">
        <v>5302</v>
      </c>
    </row>
    <row r="3323" spans="1:1">
      <c r="A3323" s="153" t="s">
        <v>5303</v>
      </c>
    </row>
    <row r="3324" spans="1:1">
      <c r="A3324" s="153" t="s">
        <v>5304</v>
      </c>
    </row>
    <row r="3325" spans="1:1">
      <c r="A3325" s="153" t="s">
        <v>5305</v>
      </c>
    </row>
    <row r="3326" spans="1:1">
      <c r="A3326" s="153" t="s">
        <v>5306</v>
      </c>
    </row>
    <row r="3327" spans="1:1">
      <c r="A3327" s="153" t="s">
        <v>5307</v>
      </c>
    </row>
    <row r="3328" spans="1:1">
      <c r="A3328" s="153" t="s">
        <v>5308</v>
      </c>
    </row>
    <row r="3329" spans="1:1">
      <c r="A3329" s="153" t="s">
        <v>5309</v>
      </c>
    </row>
    <row r="3330" spans="1:1">
      <c r="A3330" s="153" t="s">
        <v>5310</v>
      </c>
    </row>
    <row r="3331" spans="1:1">
      <c r="A3331" s="153" t="s">
        <v>5311</v>
      </c>
    </row>
    <row r="3332" spans="1:1">
      <c r="A3332" s="153" t="s">
        <v>5312</v>
      </c>
    </row>
    <row r="3333" spans="1:1">
      <c r="A3333" s="153" t="s">
        <v>5313</v>
      </c>
    </row>
    <row r="3334" spans="1:1">
      <c r="A3334" s="153" t="s">
        <v>5314</v>
      </c>
    </row>
    <row r="3335" spans="1:1">
      <c r="A3335" s="153" t="s">
        <v>5315</v>
      </c>
    </row>
    <row r="3336" spans="1:1">
      <c r="A3336" s="153" t="s">
        <v>5316</v>
      </c>
    </row>
    <row r="3337" spans="1:1">
      <c r="A3337" s="153" t="s">
        <v>5317</v>
      </c>
    </row>
    <row r="3338" spans="1:1">
      <c r="A3338" s="153" t="s">
        <v>5318</v>
      </c>
    </row>
    <row r="3339" spans="1:1">
      <c r="A3339" s="153" t="s">
        <v>5319</v>
      </c>
    </row>
    <row r="3340" spans="1:1">
      <c r="A3340" s="153" t="s">
        <v>5320</v>
      </c>
    </row>
    <row r="3341" spans="1:1">
      <c r="A3341" s="153" t="s">
        <v>5321</v>
      </c>
    </row>
    <row r="3342" spans="1:1">
      <c r="A3342" s="153" t="s">
        <v>5322</v>
      </c>
    </row>
    <row r="3343" spans="1:1">
      <c r="A3343" s="153" t="s">
        <v>5323</v>
      </c>
    </row>
    <row r="3344" spans="1:1">
      <c r="A3344" s="153" t="s">
        <v>5324</v>
      </c>
    </row>
    <row r="3345" spans="1:1">
      <c r="A3345" s="153" t="s">
        <v>5325</v>
      </c>
    </row>
    <row r="3346" spans="1:1">
      <c r="A3346" s="153" t="s">
        <v>5326</v>
      </c>
    </row>
    <row r="3347" spans="1:1">
      <c r="A3347" s="153" t="s">
        <v>5327</v>
      </c>
    </row>
    <row r="3348" spans="1:1">
      <c r="A3348" s="153" t="s">
        <v>5328</v>
      </c>
    </row>
    <row r="3349" spans="1:1">
      <c r="A3349" s="153" t="s">
        <v>5329</v>
      </c>
    </row>
    <row r="3350" spans="1:1">
      <c r="A3350" s="153" t="s">
        <v>5330</v>
      </c>
    </row>
    <row r="3351" spans="1:1">
      <c r="A3351" s="153" t="s">
        <v>5331</v>
      </c>
    </row>
    <row r="3352" spans="1:1">
      <c r="A3352" s="153" t="s">
        <v>5332</v>
      </c>
    </row>
    <row r="3353" spans="1:1">
      <c r="A3353" s="153" t="s">
        <v>5333</v>
      </c>
    </row>
    <row r="3354" spans="1:1">
      <c r="A3354" s="153" t="s">
        <v>5334</v>
      </c>
    </row>
    <row r="3355" spans="1:1">
      <c r="A3355" s="153" t="s">
        <v>5335</v>
      </c>
    </row>
    <row r="3356" spans="1:1">
      <c r="A3356" s="153" t="s">
        <v>5336</v>
      </c>
    </row>
    <row r="3357" spans="1:1">
      <c r="A3357" s="153" t="s">
        <v>5337</v>
      </c>
    </row>
    <row r="3358" spans="1:1">
      <c r="A3358" s="153" t="s">
        <v>5338</v>
      </c>
    </row>
    <row r="3359" spans="1:1">
      <c r="A3359" s="153" t="s">
        <v>5339</v>
      </c>
    </row>
    <row r="3360" spans="1:1">
      <c r="A3360" s="153" t="s">
        <v>5340</v>
      </c>
    </row>
    <row r="3361" spans="1:1">
      <c r="A3361" s="153" t="s">
        <v>5341</v>
      </c>
    </row>
    <row r="3362" spans="1:1">
      <c r="A3362" s="153" t="s">
        <v>5342</v>
      </c>
    </row>
    <row r="3363" spans="1:1">
      <c r="A3363" s="153" t="s">
        <v>5343</v>
      </c>
    </row>
    <row r="3364" spans="1:1">
      <c r="A3364" s="153" t="s">
        <v>5344</v>
      </c>
    </row>
    <row r="3365" spans="1:1">
      <c r="A3365" s="153" t="s">
        <v>5345</v>
      </c>
    </row>
    <row r="3366" spans="1:1">
      <c r="A3366" s="153" t="s">
        <v>5346</v>
      </c>
    </row>
    <row r="3367" spans="1:1">
      <c r="A3367" s="153" t="s">
        <v>5347</v>
      </c>
    </row>
    <row r="3368" spans="1:1">
      <c r="A3368" s="153" t="s">
        <v>5348</v>
      </c>
    </row>
    <row r="3369" spans="1:1">
      <c r="A3369" s="153" t="s">
        <v>5349</v>
      </c>
    </row>
    <row r="3370" spans="1:1">
      <c r="A3370" s="153" t="s">
        <v>5350</v>
      </c>
    </row>
    <row r="3371" spans="1:1">
      <c r="A3371" s="153" t="s">
        <v>5351</v>
      </c>
    </row>
    <row r="3372" spans="1:1">
      <c r="A3372" s="153" t="s">
        <v>5352</v>
      </c>
    </row>
    <row r="3373" spans="1:1">
      <c r="A3373" s="153" t="s">
        <v>5353</v>
      </c>
    </row>
    <row r="3374" spans="1:1">
      <c r="A3374" s="153" t="s">
        <v>5354</v>
      </c>
    </row>
    <row r="3375" spans="1:1">
      <c r="A3375" s="153" t="s">
        <v>5355</v>
      </c>
    </row>
    <row r="3376" spans="1:1">
      <c r="A3376" s="153" t="s">
        <v>5356</v>
      </c>
    </row>
    <row r="3377" spans="1:1">
      <c r="A3377" s="153" t="s">
        <v>5357</v>
      </c>
    </row>
    <row r="3378" spans="1:1">
      <c r="A3378" s="153" t="s">
        <v>5358</v>
      </c>
    </row>
    <row r="3379" spans="1:1">
      <c r="A3379" s="153" t="s">
        <v>5359</v>
      </c>
    </row>
    <row r="3380" spans="1:1">
      <c r="A3380" s="153" t="s">
        <v>5360</v>
      </c>
    </row>
    <row r="3381" spans="1:1">
      <c r="A3381" s="153" t="s">
        <v>5361</v>
      </c>
    </row>
    <row r="3382" spans="1:1">
      <c r="A3382" s="153" t="s">
        <v>5362</v>
      </c>
    </row>
    <row r="3383" spans="1:1">
      <c r="A3383" s="153" t="s">
        <v>5363</v>
      </c>
    </row>
    <row r="3384" spans="1:1">
      <c r="A3384" s="153" t="s">
        <v>5364</v>
      </c>
    </row>
    <row r="3385" spans="1:1">
      <c r="A3385" s="153" t="s">
        <v>5365</v>
      </c>
    </row>
    <row r="3386" spans="1:1">
      <c r="A3386" s="153" t="s">
        <v>5366</v>
      </c>
    </row>
    <row r="3387" spans="1:1">
      <c r="A3387" s="153" t="s">
        <v>5367</v>
      </c>
    </row>
    <row r="3388" spans="1:1">
      <c r="A3388" s="153" t="s">
        <v>5368</v>
      </c>
    </row>
    <row r="3389" spans="1:1">
      <c r="A3389" s="153" t="s">
        <v>5369</v>
      </c>
    </row>
    <row r="3390" spans="1:1">
      <c r="A3390" s="153" t="s">
        <v>5370</v>
      </c>
    </row>
    <row r="3391" spans="1:1">
      <c r="A3391" s="153" t="s">
        <v>5371</v>
      </c>
    </row>
    <row r="3392" spans="1:1">
      <c r="A3392" s="153" t="s">
        <v>5372</v>
      </c>
    </row>
    <row r="3393" spans="1:1">
      <c r="A3393" s="153" t="s">
        <v>5373</v>
      </c>
    </row>
    <row r="3394" spans="1:1">
      <c r="A3394" s="153" t="s">
        <v>5374</v>
      </c>
    </row>
    <row r="3395" spans="1:1">
      <c r="A3395" s="153" t="s">
        <v>5375</v>
      </c>
    </row>
    <row r="3396" spans="1:1">
      <c r="A3396" s="153" t="s">
        <v>5376</v>
      </c>
    </row>
    <row r="3397" spans="1:1">
      <c r="A3397" s="153" t="s">
        <v>5377</v>
      </c>
    </row>
    <row r="3398" spans="1:1">
      <c r="A3398" s="153" t="s">
        <v>5378</v>
      </c>
    </row>
    <row r="3399" spans="1:1">
      <c r="A3399" s="153" t="s">
        <v>5379</v>
      </c>
    </row>
    <row r="3400" spans="1:1">
      <c r="A3400" s="153" t="s">
        <v>5380</v>
      </c>
    </row>
    <row r="3401" spans="1:1">
      <c r="A3401" s="153" t="s">
        <v>5381</v>
      </c>
    </row>
    <row r="3402" spans="1:1">
      <c r="A3402" s="153" t="s">
        <v>5382</v>
      </c>
    </row>
    <row r="3403" spans="1:1">
      <c r="A3403" s="153" t="s">
        <v>5383</v>
      </c>
    </row>
    <row r="3404" spans="1:1">
      <c r="A3404" s="153" t="s">
        <v>5384</v>
      </c>
    </row>
    <row r="3405" spans="1:1">
      <c r="A3405" s="153" t="s">
        <v>5385</v>
      </c>
    </row>
    <row r="3406" spans="1:1">
      <c r="A3406" s="153" t="s">
        <v>5386</v>
      </c>
    </row>
    <row r="3407" spans="1:1">
      <c r="A3407" s="153" t="s">
        <v>5387</v>
      </c>
    </row>
    <row r="3408" spans="1:1">
      <c r="A3408" s="153" t="s">
        <v>5388</v>
      </c>
    </row>
    <row r="3409" spans="1:1">
      <c r="A3409" s="153" t="s">
        <v>5389</v>
      </c>
    </row>
    <row r="3410" spans="1:1">
      <c r="A3410" s="153" t="s">
        <v>5390</v>
      </c>
    </row>
    <row r="3411" spans="1:1">
      <c r="A3411" s="153" t="s">
        <v>5391</v>
      </c>
    </row>
    <row r="3412" spans="1:1">
      <c r="A3412" s="153" t="s">
        <v>5392</v>
      </c>
    </row>
    <row r="3413" spans="1:1">
      <c r="A3413" s="153" t="s">
        <v>5393</v>
      </c>
    </row>
    <row r="3414" spans="1:1">
      <c r="A3414" s="153" t="s">
        <v>5394</v>
      </c>
    </row>
    <row r="3415" spans="1:1">
      <c r="A3415" s="153" t="s">
        <v>5395</v>
      </c>
    </row>
    <row r="3416" spans="1:1">
      <c r="A3416" s="153" t="s">
        <v>5396</v>
      </c>
    </row>
    <row r="3417" spans="1:1">
      <c r="A3417" s="153" t="s">
        <v>5397</v>
      </c>
    </row>
    <row r="3418" spans="1:1">
      <c r="A3418" s="153" t="s">
        <v>5398</v>
      </c>
    </row>
    <row r="3419" spans="1:1">
      <c r="A3419" s="153" t="s">
        <v>5399</v>
      </c>
    </row>
    <row r="3420" spans="1:1">
      <c r="A3420" s="153" t="s">
        <v>5400</v>
      </c>
    </row>
    <row r="3421" spans="1:1">
      <c r="A3421" s="153" t="s">
        <v>5401</v>
      </c>
    </row>
    <row r="3422" spans="1:1">
      <c r="A3422" s="153" t="s">
        <v>5402</v>
      </c>
    </row>
    <row r="3423" spans="1:1">
      <c r="A3423" s="153" t="s">
        <v>5403</v>
      </c>
    </row>
    <row r="3424" spans="1:1">
      <c r="A3424" s="153" t="s">
        <v>5404</v>
      </c>
    </row>
    <row r="3425" spans="1:1">
      <c r="A3425" s="153" t="s">
        <v>5405</v>
      </c>
    </row>
    <row r="3426" spans="1:1">
      <c r="A3426" s="153" t="s">
        <v>5406</v>
      </c>
    </row>
    <row r="3427" spans="1:1">
      <c r="A3427" s="153" t="s">
        <v>5407</v>
      </c>
    </row>
    <row r="3428" spans="1:1">
      <c r="A3428" s="153" t="s">
        <v>5408</v>
      </c>
    </row>
    <row r="3429" spans="1:1">
      <c r="A3429" s="153" t="s">
        <v>5409</v>
      </c>
    </row>
    <row r="3430" spans="1:1">
      <c r="A3430" s="153" t="s">
        <v>5410</v>
      </c>
    </row>
    <row r="3431" spans="1:1">
      <c r="A3431" s="153" t="s">
        <v>5411</v>
      </c>
    </row>
    <row r="3432" spans="1:1">
      <c r="A3432" s="153" t="s">
        <v>5412</v>
      </c>
    </row>
    <row r="3433" spans="1:1">
      <c r="A3433" s="153" t="s">
        <v>5413</v>
      </c>
    </row>
    <row r="3434" spans="1:1">
      <c r="A3434" s="153" t="s">
        <v>5414</v>
      </c>
    </row>
    <row r="3435" spans="1:1">
      <c r="A3435" s="153" t="s">
        <v>5415</v>
      </c>
    </row>
    <row r="3436" spans="1:1">
      <c r="A3436" s="153" t="s">
        <v>5416</v>
      </c>
    </row>
    <row r="3437" spans="1:1">
      <c r="A3437" s="153" t="s">
        <v>5417</v>
      </c>
    </row>
    <row r="3438" spans="1:1">
      <c r="A3438" s="153" t="s">
        <v>5418</v>
      </c>
    </row>
    <row r="3439" spans="1:1">
      <c r="A3439" s="153" t="s">
        <v>5419</v>
      </c>
    </row>
    <row r="3440" spans="1:1">
      <c r="A3440" s="153" t="s">
        <v>5420</v>
      </c>
    </row>
    <row r="3441" spans="1:1">
      <c r="A3441" s="153" t="s">
        <v>5421</v>
      </c>
    </row>
    <row r="3442" spans="1:1">
      <c r="A3442" s="153" t="s">
        <v>5422</v>
      </c>
    </row>
    <row r="3443" spans="1:1">
      <c r="A3443" s="153" t="s">
        <v>5423</v>
      </c>
    </row>
    <row r="3444" spans="1:1">
      <c r="A3444" s="153" t="s">
        <v>5424</v>
      </c>
    </row>
    <row r="3445" spans="1:1">
      <c r="A3445" s="153" t="s">
        <v>5425</v>
      </c>
    </row>
    <row r="3446" spans="1:1">
      <c r="A3446" s="153" t="s">
        <v>5426</v>
      </c>
    </row>
    <row r="3447" spans="1:1">
      <c r="A3447" s="153" t="s">
        <v>5427</v>
      </c>
    </row>
    <row r="3448" spans="1:1">
      <c r="A3448" s="153" t="s">
        <v>5428</v>
      </c>
    </row>
    <row r="3449" spans="1:1">
      <c r="A3449" s="153" t="s">
        <v>5429</v>
      </c>
    </row>
    <row r="3450" spans="1:1">
      <c r="A3450" s="153" t="s">
        <v>5430</v>
      </c>
    </row>
    <row r="3451" spans="1:1">
      <c r="A3451" s="153" t="s">
        <v>5431</v>
      </c>
    </row>
    <row r="3452" spans="1:1">
      <c r="A3452" s="153" t="s">
        <v>5432</v>
      </c>
    </row>
    <row r="3453" spans="1:1">
      <c r="A3453" s="153" t="s">
        <v>5433</v>
      </c>
    </row>
    <row r="3454" spans="1:1">
      <c r="A3454" s="153" t="s">
        <v>5434</v>
      </c>
    </row>
    <row r="3455" spans="1:1">
      <c r="A3455" s="153" t="s">
        <v>5435</v>
      </c>
    </row>
    <row r="3456" spans="1:1">
      <c r="A3456" s="153" t="s">
        <v>5436</v>
      </c>
    </row>
    <row r="3457" spans="1:1">
      <c r="A3457" s="153" t="s">
        <v>5437</v>
      </c>
    </row>
    <row r="3458" spans="1:1">
      <c r="A3458" s="153" t="s">
        <v>5438</v>
      </c>
    </row>
    <row r="3459" spans="1:1">
      <c r="A3459" s="153" t="s">
        <v>5439</v>
      </c>
    </row>
    <row r="3460" spans="1:1">
      <c r="A3460" s="153" t="s">
        <v>5440</v>
      </c>
    </row>
    <row r="3461" spans="1:1">
      <c r="A3461" s="153" t="s">
        <v>5441</v>
      </c>
    </row>
    <row r="3462" spans="1:1">
      <c r="A3462" s="153" t="s">
        <v>5442</v>
      </c>
    </row>
    <row r="3463" spans="1:1">
      <c r="A3463" s="153" t="s">
        <v>5443</v>
      </c>
    </row>
    <row r="3464" spans="1:1">
      <c r="A3464" s="153" t="s">
        <v>5444</v>
      </c>
    </row>
    <row r="3465" spans="1:1">
      <c r="A3465" s="153" t="s">
        <v>5445</v>
      </c>
    </row>
    <row r="3466" spans="1:1">
      <c r="A3466" s="153" t="s">
        <v>5446</v>
      </c>
    </row>
    <row r="3467" spans="1:1">
      <c r="A3467" s="153" t="s">
        <v>5447</v>
      </c>
    </row>
    <row r="3468" spans="1:1">
      <c r="A3468" s="153" t="s">
        <v>5448</v>
      </c>
    </row>
    <row r="3469" spans="1:1">
      <c r="A3469" s="153" t="s">
        <v>5449</v>
      </c>
    </row>
    <row r="3470" spans="1:1">
      <c r="A3470" s="153" t="s">
        <v>5450</v>
      </c>
    </row>
    <row r="3471" spans="1:1">
      <c r="A3471" s="153" t="s">
        <v>5451</v>
      </c>
    </row>
    <row r="3472" spans="1:1">
      <c r="A3472" s="153" t="s">
        <v>5452</v>
      </c>
    </row>
    <row r="3473" spans="1:1">
      <c r="A3473" s="153" t="s">
        <v>5453</v>
      </c>
    </row>
    <row r="3474" spans="1:1">
      <c r="A3474" s="153" t="s">
        <v>5454</v>
      </c>
    </row>
    <row r="3475" spans="1:1">
      <c r="A3475" s="153" t="s">
        <v>5455</v>
      </c>
    </row>
    <row r="3476" spans="1:1">
      <c r="A3476" s="153" t="s">
        <v>5456</v>
      </c>
    </row>
    <row r="3477" spans="1:1">
      <c r="A3477" s="153" t="s">
        <v>5457</v>
      </c>
    </row>
    <row r="3478" spans="1:1">
      <c r="A3478" s="153" t="s">
        <v>5458</v>
      </c>
    </row>
    <row r="3479" spans="1:1">
      <c r="A3479" s="153" t="s">
        <v>5459</v>
      </c>
    </row>
    <row r="3480" spans="1:1">
      <c r="A3480" s="153" t="s">
        <v>5460</v>
      </c>
    </row>
    <row r="3481" spans="1:1">
      <c r="A3481" s="153" t="s">
        <v>5461</v>
      </c>
    </row>
    <row r="3482" spans="1:1">
      <c r="A3482" s="153" t="s">
        <v>5462</v>
      </c>
    </row>
    <row r="3483" spans="1:1">
      <c r="A3483" s="153" t="s">
        <v>5463</v>
      </c>
    </row>
    <row r="3484" spans="1:1">
      <c r="A3484" s="153" t="s">
        <v>5464</v>
      </c>
    </row>
    <row r="3485" spans="1:1">
      <c r="A3485" s="153" t="s">
        <v>5465</v>
      </c>
    </row>
    <row r="3486" spans="1:1">
      <c r="A3486" s="153" t="s">
        <v>5466</v>
      </c>
    </row>
    <row r="3487" spans="1:1">
      <c r="A3487" s="153" t="s">
        <v>5467</v>
      </c>
    </row>
    <row r="3488" spans="1:1">
      <c r="A3488" s="153" t="s">
        <v>5468</v>
      </c>
    </row>
    <row r="3489" spans="1:1">
      <c r="A3489" s="153" t="s">
        <v>5469</v>
      </c>
    </row>
    <row r="3490" spans="1:1">
      <c r="A3490" s="153" t="s">
        <v>5470</v>
      </c>
    </row>
    <row r="3491" spans="1:1">
      <c r="A3491" s="153" t="s">
        <v>5471</v>
      </c>
    </row>
    <row r="3492" spans="1:1">
      <c r="A3492" s="153" t="s">
        <v>5472</v>
      </c>
    </row>
    <row r="3493" spans="1:1">
      <c r="A3493" s="153" t="s">
        <v>5473</v>
      </c>
    </row>
    <row r="3494" spans="1:1">
      <c r="A3494" s="153" t="s">
        <v>5474</v>
      </c>
    </row>
    <row r="3495" spans="1:1">
      <c r="A3495" s="153" t="s">
        <v>5475</v>
      </c>
    </row>
    <row r="3496" spans="1:1">
      <c r="A3496" s="153" t="s">
        <v>5476</v>
      </c>
    </row>
    <row r="3497" spans="1:1">
      <c r="A3497" s="153" t="s">
        <v>5477</v>
      </c>
    </row>
    <row r="3498" spans="1:1">
      <c r="A3498" s="153" t="s">
        <v>5478</v>
      </c>
    </row>
    <row r="3499" spans="1:1">
      <c r="A3499" s="153" t="s">
        <v>5479</v>
      </c>
    </row>
    <row r="3500" spans="1:1">
      <c r="A3500" s="153" t="s">
        <v>5480</v>
      </c>
    </row>
    <row r="3501" spans="1:1">
      <c r="A3501" s="153" t="s">
        <v>5481</v>
      </c>
    </row>
    <row r="3502" spans="1:1">
      <c r="A3502" s="153" t="s">
        <v>5482</v>
      </c>
    </row>
    <row r="3503" spans="1:1">
      <c r="A3503" s="153" t="s">
        <v>5483</v>
      </c>
    </row>
    <row r="3504" spans="1:1">
      <c r="A3504" s="153" t="s">
        <v>5484</v>
      </c>
    </row>
    <row r="3505" spans="1:1">
      <c r="A3505" s="153" t="s">
        <v>5485</v>
      </c>
    </row>
    <row r="3506" spans="1:1">
      <c r="A3506" s="153" t="s">
        <v>5486</v>
      </c>
    </row>
    <row r="3507" spans="1:1">
      <c r="A3507" s="153" t="s">
        <v>5487</v>
      </c>
    </row>
    <row r="3508" spans="1:1">
      <c r="A3508" s="153" t="s">
        <v>5488</v>
      </c>
    </row>
    <row r="3509" spans="1:1">
      <c r="A3509" s="153" t="s">
        <v>5489</v>
      </c>
    </row>
    <row r="3510" spans="1:1">
      <c r="A3510" s="153" t="s">
        <v>5490</v>
      </c>
    </row>
    <row r="3511" spans="1:1">
      <c r="A3511" s="153" t="s">
        <v>5491</v>
      </c>
    </row>
    <row r="3512" spans="1:1">
      <c r="A3512" s="153" t="s">
        <v>5492</v>
      </c>
    </row>
    <row r="3513" spans="1:1">
      <c r="A3513" s="153" t="s">
        <v>5493</v>
      </c>
    </row>
    <row r="3514" spans="1:1">
      <c r="A3514" s="153" t="s">
        <v>5494</v>
      </c>
    </row>
    <row r="3515" spans="1:1">
      <c r="A3515" s="153" t="s">
        <v>5495</v>
      </c>
    </row>
    <row r="3516" spans="1:1">
      <c r="A3516" s="153" t="s">
        <v>5496</v>
      </c>
    </row>
    <row r="3517" spans="1:1">
      <c r="A3517" s="153" t="s">
        <v>5497</v>
      </c>
    </row>
    <row r="3518" spans="1:1">
      <c r="A3518" s="153" t="s">
        <v>5498</v>
      </c>
    </row>
    <row r="3519" spans="1:1">
      <c r="A3519" s="153" t="s">
        <v>5499</v>
      </c>
    </row>
    <row r="3520" spans="1:1">
      <c r="A3520" s="153" t="s">
        <v>5500</v>
      </c>
    </row>
    <row r="3521" spans="1:1">
      <c r="A3521" s="153" t="s">
        <v>5501</v>
      </c>
    </row>
    <row r="3522" spans="1:1">
      <c r="A3522" s="153" t="s">
        <v>5502</v>
      </c>
    </row>
    <row r="3523" spans="1:1">
      <c r="A3523" s="153" t="s">
        <v>5503</v>
      </c>
    </row>
    <row r="3524" spans="1:1">
      <c r="A3524" s="153" t="s">
        <v>5504</v>
      </c>
    </row>
    <row r="3525" spans="1:1">
      <c r="A3525" s="153" t="s">
        <v>5505</v>
      </c>
    </row>
    <row r="3526" spans="1:1">
      <c r="A3526" s="153" t="s">
        <v>5506</v>
      </c>
    </row>
    <row r="3527" spans="1:1">
      <c r="A3527" s="153" t="s">
        <v>5507</v>
      </c>
    </row>
    <row r="3528" spans="1:1">
      <c r="A3528" s="153" t="s">
        <v>5508</v>
      </c>
    </row>
    <row r="3529" spans="1:1">
      <c r="A3529" s="153" t="s">
        <v>5509</v>
      </c>
    </row>
    <row r="3530" spans="1:1">
      <c r="A3530" s="153" t="s">
        <v>5510</v>
      </c>
    </row>
    <row r="3531" spans="1:1">
      <c r="A3531" s="153" t="s">
        <v>5511</v>
      </c>
    </row>
    <row r="3532" spans="1:1">
      <c r="A3532" s="153" t="s">
        <v>5512</v>
      </c>
    </row>
    <row r="3533" spans="1:1">
      <c r="A3533" s="153" t="s">
        <v>5513</v>
      </c>
    </row>
    <row r="3534" spans="1:1">
      <c r="A3534" s="153" t="s">
        <v>5514</v>
      </c>
    </row>
    <row r="3535" spans="1:1">
      <c r="A3535" s="153" t="s">
        <v>5515</v>
      </c>
    </row>
    <row r="3536" spans="1:1">
      <c r="A3536" s="153" t="s">
        <v>5516</v>
      </c>
    </row>
    <row r="3537" spans="1:1">
      <c r="A3537" s="153" t="s">
        <v>5517</v>
      </c>
    </row>
    <row r="3538" spans="1:1">
      <c r="A3538" s="153" t="s">
        <v>5518</v>
      </c>
    </row>
    <row r="3539" spans="1:1">
      <c r="A3539" s="153" t="s">
        <v>5519</v>
      </c>
    </row>
    <row r="3540" spans="1:1">
      <c r="A3540" s="153" t="s">
        <v>5520</v>
      </c>
    </row>
    <row r="3541" spans="1:1">
      <c r="A3541" s="153" t="s">
        <v>5521</v>
      </c>
    </row>
    <row r="3542" spans="1:1">
      <c r="A3542" s="153" t="s">
        <v>5522</v>
      </c>
    </row>
    <row r="3543" spans="1:1">
      <c r="A3543" s="153" t="s">
        <v>5523</v>
      </c>
    </row>
    <row r="3544" spans="1:1">
      <c r="A3544" s="153" t="s">
        <v>5524</v>
      </c>
    </row>
    <row r="3545" spans="1:1">
      <c r="A3545" s="153" t="s">
        <v>5525</v>
      </c>
    </row>
    <row r="3546" spans="1:1">
      <c r="A3546" s="153" t="s">
        <v>5526</v>
      </c>
    </row>
    <row r="3547" spans="1:1">
      <c r="A3547" s="153" t="s">
        <v>5527</v>
      </c>
    </row>
    <row r="3548" spans="1:1">
      <c r="A3548" s="153" t="s">
        <v>5528</v>
      </c>
    </row>
    <row r="3549" spans="1:1">
      <c r="A3549" s="153" t="s">
        <v>5529</v>
      </c>
    </row>
    <row r="3550" spans="1:1">
      <c r="A3550" s="153" t="s">
        <v>5530</v>
      </c>
    </row>
    <row r="3551" spans="1:1">
      <c r="A3551" s="153" t="s">
        <v>5531</v>
      </c>
    </row>
    <row r="3552" spans="1:1">
      <c r="A3552" s="153" t="s">
        <v>5532</v>
      </c>
    </row>
    <row r="3553" spans="1:1">
      <c r="A3553" s="153" t="s">
        <v>5533</v>
      </c>
    </row>
    <row r="3554" spans="1:1">
      <c r="A3554" s="153" t="s">
        <v>5534</v>
      </c>
    </row>
    <row r="3555" spans="1:1">
      <c r="A3555" s="153" t="s">
        <v>5535</v>
      </c>
    </row>
    <row r="3556" spans="1:1">
      <c r="A3556" s="153" t="s">
        <v>5536</v>
      </c>
    </row>
    <row r="3557" spans="1:1">
      <c r="A3557" s="153" t="s">
        <v>5537</v>
      </c>
    </row>
    <row r="3558" spans="1:1">
      <c r="A3558" s="153" t="s">
        <v>5538</v>
      </c>
    </row>
    <row r="3559" spans="1:1">
      <c r="A3559" s="153" t="s">
        <v>5539</v>
      </c>
    </row>
    <row r="3560" spans="1:1">
      <c r="A3560" s="153" t="s">
        <v>5540</v>
      </c>
    </row>
    <row r="3561" spans="1:1">
      <c r="A3561" s="153" t="s">
        <v>5541</v>
      </c>
    </row>
    <row r="3562" spans="1:1">
      <c r="A3562" s="153" t="s">
        <v>5542</v>
      </c>
    </row>
    <row r="3563" spans="1:1">
      <c r="A3563" s="153" t="s">
        <v>5543</v>
      </c>
    </row>
    <row r="3564" spans="1:1">
      <c r="A3564" s="153" t="s">
        <v>5544</v>
      </c>
    </row>
    <row r="3565" spans="1:1">
      <c r="A3565" s="153" t="s">
        <v>5545</v>
      </c>
    </row>
    <row r="3566" spans="1:1">
      <c r="A3566" s="153" t="s">
        <v>5546</v>
      </c>
    </row>
    <row r="3567" spans="1:1">
      <c r="A3567" s="153" t="s">
        <v>5547</v>
      </c>
    </row>
    <row r="3568" spans="1:1">
      <c r="A3568" s="153" t="s">
        <v>5548</v>
      </c>
    </row>
    <row r="3569" spans="1:1">
      <c r="A3569" s="153" t="s">
        <v>5549</v>
      </c>
    </row>
    <row r="3570" spans="1:1">
      <c r="A3570" s="153" t="s">
        <v>5550</v>
      </c>
    </row>
    <row r="3571" spans="1:1">
      <c r="A3571" s="153" t="s">
        <v>5551</v>
      </c>
    </row>
    <row r="3572" spans="1:1">
      <c r="A3572" s="153" t="s">
        <v>5552</v>
      </c>
    </row>
    <row r="3573" spans="1:1">
      <c r="A3573" s="153" t="s">
        <v>5553</v>
      </c>
    </row>
    <row r="3574" spans="1:1">
      <c r="A3574" s="153" t="s">
        <v>5554</v>
      </c>
    </row>
    <row r="3575" spans="1:1">
      <c r="A3575" s="153" t="s">
        <v>5555</v>
      </c>
    </row>
    <row r="3576" spans="1:1">
      <c r="A3576" s="153" t="s">
        <v>5556</v>
      </c>
    </row>
    <row r="3577" spans="1:1">
      <c r="A3577" s="153" t="s">
        <v>5557</v>
      </c>
    </row>
    <row r="3578" spans="1:1">
      <c r="A3578" s="153" t="s">
        <v>5558</v>
      </c>
    </row>
    <row r="3579" spans="1:1">
      <c r="A3579" s="153" t="s">
        <v>5559</v>
      </c>
    </row>
    <row r="3580" spans="1:1">
      <c r="A3580" s="153" t="s">
        <v>5560</v>
      </c>
    </row>
    <row r="3581" spans="1:1">
      <c r="A3581" s="153" t="s">
        <v>5561</v>
      </c>
    </row>
    <row r="3582" spans="1:1">
      <c r="A3582" s="153" t="s">
        <v>5562</v>
      </c>
    </row>
    <row r="3583" spans="1:1">
      <c r="A3583" s="153" t="s">
        <v>5563</v>
      </c>
    </row>
    <row r="3584" spans="1:1">
      <c r="A3584" s="153" t="s">
        <v>5564</v>
      </c>
    </row>
    <row r="3585" spans="1:1">
      <c r="A3585" s="153" t="s">
        <v>5565</v>
      </c>
    </row>
    <row r="3586" spans="1:1">
      <c r="A3586" s="153" t="s">
        <v>5566</v>
      </c>
    </row>
    <row r="3587" spans="1:1">
      <c r="A3587" s="153" t="s">
        <v>5567</v>
      </c>
    </row>
    <row r="3588" spans="1:1">
      <c r="A3588" s="153" t="s">
        <v>5568</v>
      </c>
    </row>
    <row r="3589" spans="1:1">
      <c r="A3589" s="153" t="s">
        <v>5569</v>
      </c>
    </row>
    <row r="3590" spans="1:1">
      <c r="A3590" s="153" t="s">
        <v>5570</v>
      </c>
    </row>
    <row r="3591" spans="1:1">
      <c r="A3591" s="153" t="s">
        <v>5571</v>
      </c>
    </row>
    <row r="3592" spans="1:1">
      <c r="A3592" s="153" t="s">
        <v>5572</v>
      </c>
    </row>
    <row r="3593" spans="1:1">
      <c r="A3593" s="153" t="s">
        <v>5573</v>
      </c>
    </row>
    <row r="3594" spans="1:1">
      <c r="A3594" s="153" t="s">
        <v>5574</v>
      </c>
    </row>
    <row r="3595" spans="1:1">
      <c r="A3595" s="153" t="s">
        <v>5575</v>
      </c>
    </row>
    <row r="3596" spans="1:1">
      <c r="A3596" s="153" t="s">
        <v>5576</v>
      </c>
    </row>
    <row r="3597" spans="1:1">
      <c r="A3597" s="153" t="s">
        <v>5577</v>
      </c>
    </row>
    <row r="3598" spans="1:1">
      <c r="A3598" s="153" t="s">
        <v>5578</v>
      </c>
    </row>
    <row r="3599" spans="1:1">
      <c r="A3599" s="153" t="s">
        <v>5579</v>
      </c>
    </row>
    <row r="3600" spans="1:1">
      <c r="A3600" s="153" t="s">
        <v>5580</v>
      </c>
    </row>
    <row r="3601" spans="1:1">
      <c r="A3601" s="153" t="s">
        <v>5581</v>
      </c>
    </row>
    <row r="3602" spans="1:1">
      <c r="A3602" s="153" t="s">
        <v>5582</v>
      </c>
    </row>
    <row r="3603" spans="1:1">
      <c r="A3603" s="153" t="s">
        <v>5583</v>
      </c>
    </row>
    <row r="3604" spans="1:1">
      <c r="A3604" s="153" t="s">
        <v>5584</v>
      </c>
    </row>
    <row r="3605" spans="1:1">
      <c r="A3605" s="153" t="s">
        <v>5585</v>
      </c>
    </row>
    <row r="3606" spans="1:1">
      <c r="A3606" s="153" t="s">
        <v>5586</v>
      </c>
    </row>
    <row r="3607" spans="1:1">
      <c r="A3607" s="153" t="s">
        <v>5587</v>
      </c>
    </row>
    <row r="3608" spans="1:1">
      <c r="A3608" s="153" t="s">
        <v>5588</v>
      </c>
    </row>
    <row r="3609" spans="1:1">
      <c r="A3609" s="153" t="s">
        <v>5589</v>
      </c>
    </row>
    <row r="3610" spans="1:1">
      <c r="A3610" s="153" t="s">
        <v>5590</v>
      </c>
    </row>
    <row r="3611" spans="1:1">
      <c r="A3611" s="153" t="s">
        <v>5591</v>
      </c>
    </row>
    <row r="3612" spans="1:1">
      <c r="A3612" s="153" t="s">
        <v>5592</v>
      </c>
    </row>
    <row r="3613" spans="1:1">
      <c r="A3613" s="153" t="s">
        <v>5593</v>
      </c>
    </row>
    <row r="3614" spans="1:1">
      <c r="A3614" s="153" t="s">
        <v>5594</v>
      </c>
    </row>
    <row r="3615" spans="1:1">
      <c r="A3615" s="153" t="s">
        <v>5595</v>
      </c>
    </row>
    <row r="3616" spans="1:1">
      <c r="A3616" s="153" t="s">
        <v>5596</v>
      </c>
    </row>
    <row r="3617" spans="1:1">
      <c r="A3617" s="153" t="s">
        <v>5597</v>
      </c>
    </row>
    <row r="3618" spans="1:1">
      <c r="A3618" s="153" t="s">
        <v>5598</v>
      </c>
    </row>
    <row r="3619" spans="1:1">
      <c r="A3619" s="153" t="s">
        <v>5599</v>
      </c>
    </row>
    <row r="3620" spans="1:1">
      <c r="A3620" s="153" t="s">
        <v>5600</v>
      </c>
    </row>
    <row r="3621" spans="1:1">
      <c r="A3621" s="153" t="s">
        <v>5601</v>
      </c>
    </row>
    <row r="3622" spans="1:1">
      <c r="A3622" s="153" t="s">
        <v>5602</v>
      </c>
    </row>
    <row r="3623" spans="1:1">
      <c r="A3623" s="153" t="s">
        <v>5603</v>
      </c>
    </row>
    <row r="3624" spans="1:1">
      <c r="A3624" s="153" t="s">
        <v>5604</v>
      </c>
    </row>
    <row r="3625" spans="1:1">
      <c r="A3625" s="153" t="s">
        <v>5605</v>
      </c>
    </row>
    <row r="3626" spans="1:1">
      <c r="A3626" s="153" t="s">
        <v>5606</v>
      </c>
    </row>
    <row r="3627" spans="1:1">
      <c r="A3627" s="153" t="s">
        <v>5607</v>
      </c>
    </row>
    <row r="3628" spans="1:1">
      <c r="A3628" s="153" t="s">
        <v>5608</v>
      </c>
    </row>
    <row r="3629" spans="1:1">
      <c r="A3629" s="153" t="s">
        <v>5609</v>
      </c>
    </row>
    <row r="3630" spans="1:1">
      <c r="A3630" s="153" t="s">
        <v>5610</v>
      </c>
    </row>
    <row r="3631" spans="1:1">
      <c r="A3631" s="153" t="s">
        <v>5611</v>
      </c>
    </row>
    <row r="3632" spans="1:1">
      <c r="A3632" s="153" t="s">
        <v>5612</v>
      </c>
    </row>
    <row r="3633" spans="1:1">
      <c r="A3633" s="153" t="s">
        <v>5613</v>
      </c>
    </row>
    <row r="3634" spans="1:1">
      <c r="A3634" s="153" t="s">
        <v>5614</v>
      </c>
    </row>
    <row r="3635" spans="1:1">
      <c r="A3635" s="153" t="s">
        <v>5615</v>
      </c>
    </row>
    <row r="3636" spans="1:1">
      <c r="A3636" s="153" t="s">
        <v>5616</v>
      </c>
    </row>
    <row r="3637" spans="1:1">
      <c r="A3637" s="153" t="s">
        <v>5617</v>
      </c>
    </row>
    <row r="3638" spans="1:1">
      <c r="A3638" s="153" t="s">
        <v>5618</v>
      </c>
    </row>
    <row r="3639" spans="1:1">
      <c r="A3639" s="153" t="s">
        <v>5619</v>
      </c>
    </row>
    <row r="3640" spans="1:1">
      <c r="A3640" s="153" t="s">
        <v>5620</v>
      </c>
    </row>
    <row r="3641" spans="1:1">
      <c r="A3641" s="153" t="s">
        <v>5621</v>
      </c>
    </row>
    <row r="3642" spans="1:1">
      <c r="A3642" s="153" t="s">
        <v>5622</v>
      </c>
    </row>
    <row r="3643" spans="1:1">
      <c r="A3643" s="153" t="s">
        <v>5623</v>
      </c>
    </row>
    <row r="3644" spans="1:1">
      <c r="A3644" s="153" t="s">
        <v>5624</v>
      </c>
    </row>
    <row r="3645" spans="1:1">
      <c r="A3645" s="153" t="s">
        <v>5625</v>
      </c>
    </row>
    <row r="3646" spans="1:1">
      <c r="A3646" s="153" t="s">
        <v>5626</v>
      </c>
    </row>
    <row r="3647" spans="1:1">
      <c r="A3647" s="153" t="s">
        <v>5627</v>
      </c>
    </row>
    <row r="3648" spans="1:1">
      <c r="A3648" s="153" t="s">
        <v>5628</v>
      </c>
    </row>
    <row r="3649" spans="1:1">
      <c r="A3649" s="153" t="s">
        <v>5629</v>
      </c>
    </row>
    <row r="3650" spans="1:1">
      <c r="A3650" s="153" t="s">
        <v>5630</v>
      </c>
    </row>
    <row r="3651" spans="1:1">
      <c r="A3651" s="153" t="s">
        <v>5631</v>
      </c>
    </row>
    <row r="3652" spans="1:1">
      <c r="A3652" s="153" t="s">
        <v>5632</v>
      </c>
    </row>
    <row r="3653" spans="1:1">
      <c r="A3653" s="153" t="s">
        <v>5633</v>
      </c>
    </row>
    <row r="3654" spans="1:1">
      <c r="A3654" s="153" t="s">
        <v>5634</v>
      </c>
    </row>
    <row r="3655" spans="1:1">
      <c r="A3655" s="153" t="s">
        <v>5635</v>
      </c>
    </row>
    <row r="3656" spans="1:1">
      <c r="A3656" s="153" t="s">
        <v>5636</v>
      </c>
    </row>
    <row r="3657" spans="1:1">
      <c r="A3657" s="153" t="s">
        <v>5637</v>
      </c>
    </row>
    <row r="3658" spans="1:1">
      <c r="A3658" s="153" t="s">
        <v>5638</v>
      </c>
    </row>
    <row r="3659" spans="1:1">
      <c r="A3659" s="153" t="s">
        <v>5639</v>
      </c>
    </row>
    <row r="3660" spans="1:1">
      <c r="A3660" s="153" t="s">
        <v>5640</v>
      </c>
    </row>
    <row r="3661" spans="1:1">
      <c r="A3661" s="153" t="s">
        <v>5641</v>
      </c>
    </row>
    <row r="3662" spans="1:1">
      <c r="A3662" s="153" t="s">
        <v>5642</v>
      </c>
    </row>
    <row r="3663" spans="1:1">
      <c r="A3663" s="153" t="s">
        <v>5643</v>
      </c>
    </row>
    <row r="3664" spans="1:1">
      <c r="A3664" s="153" t="s">
        <v>5644</v>
      </c>
    </row>
    <row r="3665" spans="1:1">
      <c r="A3665" s="153" t="s">
        <v>5645</v>
      </c>
    </row>
    <row r="3666" spans="1:1">
      <c r="A3666" s="153" t="s">
        <v>5646</v>
      </c>
    </row>
    <row r="3667" spans="1:1">
      <c r="A3667" s="153" t="s">
        <v>5647</v>
      </c>
    </row>
    <row r="3668" spans="1:1">
      <c r="A3668" s="153" t="s">
        <v>5648</v>
      </c>
    </row>
    <row r="3669" spans="1:1">
      <c r="A3669" s="153" t="s">
        <v>5649</v>
      </c>
    </row>
    <row r="3670" spans="1:1">
      <c r="A3670" s="153" t="s">
        <v>5650</v>
      </c>
    </row>
    <row r="3671" spans="1:1">
      <c r="A3671" s="153" t="s">
        <v>5651</v>
      </c>
    </row>
    <row r="3672" spans="1:1">
      <c r="A3672" s="153" t="s">
        <v>5652</v>
      </c>
    </row>
    <row r="3673" spans="1:1">
      <c r="A3673" s="153" t="s">
        <v>5653</v>
      </c>
    </row>
    <row r="3674" spans="1:1">
      <c r="A3674" s="153" t="s">
        <v>5654</v>
      </c>
    </row>
    <row r="3675" spans="1:1">
      <c r="A3675" s="153" t="s">
        <v>5655</v>
      </c>
    </row>
    <row r="3676" spans="1:1">
      <c r="A3676" s="153" t="s">
        <v>5656</v>
      </c>
    </row>
    <row r="3677" spans="1:1">
      <c r="A3677" s="153" t="s">
        <v>5657</v>
      </c>
    </row>
    <row r="3678" spans="1:1">
      <c r="A3678" s="153" t="s">
        <v>5658</v>
      </c>
    </row>
    <row r="3679" spans="1:1">
      <c r="A3679" s="153" t="s">
        <v>5659</v>
      </c>
    </row>
    <row r="3680" spans="1:1">
      <c r="A3680" s="153" t="s">
        <v>5660</v>
      </c>
    </row>
    <row r="3681" spans="1:1">
      <c r="A3681" s="153" t="s">
        <v>5661</v>
      </c>
    </row>
    <row r="3682" spans="1:1">
      <c r="A3682" s="153" t="s">
        <v>5662</v>
      </c>
    </row>
    <row r="3683" spans="1:1">
      <c r="A3683" s="153" t="s">
        <v>5663</v>
      </c>
    </row>
    <row r="3684" spans="1:1">
      <c r="A3684" s="153" t="s">
        <v>5664</v>
      </c>
    </row>
    <row r="3685" spans="1:1">
      <c r="A3685" s="153" t="s">
        <v>5665</v>
      </c>
    </row>
    <row r="3686" spans="1:1">
      <c r="A3686" s="153" t="s">
        <v>5666</v>
      </c>
    </row>
    <row r="3687" spans="1:1">
      <c r="A3687" s="153" t="s">
        <v>5667</v>
      </c>
    </row>
    <row r="3688" spans="1:1">
      <c r="A3688" s="153" t="s">
        <v>5668</v>
      </c>
    </row>
    <row r="3689" spans="1:1">
      <c r="A3689" s="153" t="s">
        <v>5669</v>
      </c>
    </row>
    <row r="3690" spans="1:1">
      <c r="A3690" s="153" t="s">
        <v>5670</v>
      </c>
    </row>
    <row r="3691" spans="1:1">
      <c r="A3691" s="153" t="s">
        <v>5671</v>
      </c>
    </row>
    <row r="3692" spans="1:1">
      <c r="A3692" s="153" t="s">
        <v>5672</v>
      </c>
    </row>
    <row r="3693" spans="1:1">
      <c r="A3693" s="153" t="s">
        <v>5673</v>
      </c>
    </row>
    <row r="3694" spans="1:1">
      <c r="A3694" s="153" t="s">
        <v>5674</v>
      </c>
    </row>
    <row r="3695" spans="1:1">
      <c r="A3695" s="153" t="s">
        <v>5675</v>
      </c>
    </row>
    <row r="3696" spans="1:1">
      <c r="A3696" s="153" t="s">
        <v>5676</v>
      </c>
    </row>
    <row r="3697" spans="1:1">
      <c r="A3697" s="153" t="s">
        <v>5677</v>
      </c>
    </row>
    <row r="3698" spans="1:1">
      <c r="A3698" s="153" t="s">
        <v>5678</v>
      </c>
    </row>
    <row r="3699" spans="1:1">
      <c r="A3699" s="153" t="s">
        <v>5679</v>
      </c>
    </row>
    <row r="3700" spans="1:1">
      <c r="A3700" s="153" t="s">
        <v>5680</v>
      </c>
    </row>
    <row r="3701" spans="1:1">
      <c r="A3701" s="153" t="s">
        <v>5681</v>
      </c>
    </row>
    <row r="3702" spans="1:1">
      <c r="A3702" s="153" t="s">
        <v>5682</v>
      </c>
    </row>
    <row r="3703" spans="1:1">
      <c r="A3703" s="153" t="s">
        <v>5683</v>
      </c>
    </row>
    <row r="3704" spans="1:1">
      <c r="A3704" s="153" t="s">
        <v>5684</v>
      </c>
    </row>
    <row r="3705" spans="1:1">
      <c r="A3705" s="153" t="s">
        <v>5685</v>
      </c>
    </row>
    <row r="3706" spans="1:1">
      <c r="A3706" s="153" t="s">
        <v>5686</v>
      </c>
    </row>
    <row r="3707" spans="1:1">
      <c r="A3707" s="153" t="s">
        <v>5687</v>
      </c>
    </row>
    <row r="3708" spans="1:1">
      <c r="A3708" s="153" t="s">
        <v>5688</v>
      </c>
    </row>
    <row r="3709" spans="1:1">
      <c r="A3709" s="153" t="s">
        <v>5689</v>
      </c>
    </row>
    <row r="3710" spans="1:1">
      <c r="A3710" s="153" t="s">
        <v>5690</v>
      </c>
    </row>
    <row r="3711" spans="1:1">
      <c r="A3711" s="153" t="s">
        <v>5691</v>
      </c>
    </row>
    <row r="3712" spans="1:1">
      <c r="A3712" s="153" t="s">
        <v>5692</v>
      </c>
    </row>
    <row r="3713" spans="1:1">
      <c r="A3713" s="153" t="s">
        <v>5693</v>
      </c>
    </row>
    <row r="3714" spans="1:1">
      <c r="A3714" s="153" t="s">
        <v>5694</v>
      </c>
    </row>
    <row r="3715" spans="1:1">
      <c r="A3715" s="153" t="s">
        <v>5695</v>
      </c>
    </row>
    <row r="3716" spans="1:1">
      <c r="A3716" s="153" t="s">
        <v>5696</v>
      </c>
    </row>
    <row r="3717" spans="1:1">
      <c r="A3717" s="153" t="s">
        <v>5697</v>
      </c>
    </row>
    <row r="3718" spans="1:1">
      <c r="A3718" s="153" t="s">
        <v>5698</v>
      </c>
    </row>
    <row r="3719" spans="1:1">
      <c r="A3719" s="153" t="s">
        <v>5699</v>
      </c>
    </row>
    <row r="3720" spans="1:1">
      <c r="A3720" s="153" t="s">
        <v>5700</v>
      </c>
    </row>
    <row r="3721" spans="1:1">
      <c r="A3721" s="153" t="s">
        <v>5701</v>
      </c>
    </row>
    <row r="3722" spans="1:1">
      <c r="A3722" s="153" t="s">
        <v>5702</v>
      </c>
    </row>
    <row r="3723" spans="1:1">
      <c r="A3723" s="153" t="s">
        <v>5703</v>
      </c>
    </row>
    <row r="3724" spans="1:1">
      <c r="A3724" s="153" t="s">
        <v>5704</v>
      </c>
    </row>
    <row r="3725" spans="1:1">
      <c r="A3725" s="153" t="s">
        <v>5705</v>
      </c>
    </row>
    <row r="3726" spans="1:1">
      <c r="A3726" s="153" t="s">
        <v>5706</v>
      </c>
    </row>
    <row r="3727" spans="1:1">
      <c r="A3727" s="153" t="s">
        <v>5707</v>
      </c>
    </row>
    <row r="3728" spans="1:1">
      <c r="A3728" s="153" t="s">
        <v>5708</v>
      </c>
    </row>
    <row r="3729" spans="1:1">
      <c r="A3729" s="153" t="s">
        <v>5709</v>
      </c>
    </row>
    <row r="3730" spans="1:1">
      <c r="A3730" s="153" t="s">
        <v>5710</v>
      </c>
    </row>
    <row r="3731" spans="1:1">
      <c r="A3731" s="153" t="s">
        <v>5711</v>
      </c>
    </row>
    <row r="3732" spans="1:1">
      <c r="A3732" s="153" t="s">
        <v>5712</v>
      </c>
    </row>
    <row r="3733" spans="1:1">
      <c r="A3733" s="153" t="s">
        <v>5713</v>
      </c>
    </row>
    <row r="3734" spans="1:1">
      <c r="A3734" s="153" t="s">
        <v>5714</v>
      </c>
    </row>
    <row r="3735" spans="1:1">
      <c r="A3735" s="153" t="s">
        <v>5715</v>
      </c>
    </row>
    <row r="3736" spans="1:1">
      <c r="A3736" s="153" t="s">
        <v>5716</v>
      </c>
    </row>
    <row r="3737" spans="1:1">
      <c r="A3737" s="153" t="s">
        <v>5717</v>
      </c>
    </row>
    <row r="3738" spans="1:1">
      <c r="A3738" s="153" t="s">
        <v>5718</v>
      </c>
    </row>
    <row r="3739" spans="1:1">
      <c r="A3739" s="153" t="s">
        <v>5719</v>
      </c>
    </row>
    <row r="3740" spans="1:1">
      <c r="A3740" s="153" t="s">
        <v>5720</v>
      </c>
    </row>
    <row r="3741" spans="1:1">
      <c r="A3741" s="153" t="s">
        <v>5721</v>
      </c>
    </row>
    <row r="3742" spans="1:1">
      <c r="A3742" s="153" t="s">
        <v>5722</v>
      </c>
    </row>
    <row r="3743" spans="1:1">
      <c r="A3743" s="153" t="s">
        <v>5723</v>
      </c>
    </row>
    <row r="3744" spans="1:1">
      <c r="A3744" s="153" t="s">
        <v>5724</v>
      </c>
    </row>
    <row r="3745" spans="1:1">
      <c r="A3745" s="153" t="s">
        <v>5725</v>
      </c>
    </row>
    <row r="3746" spans="1:1">
      <c r="A3746" s="153" t="s">
        <v>5726</v>
      </c>
    </row>
    <row r="3747" spans="1:1">
      <c r="A3747" s="153" t="s">
        <v>5727</v>
      </c>
    </row>
    <row r="3748" spans="1:1">
      <c r="A3748" s="153" t="s">
        <v>5728</v>
      </c>
    </row>
    <row r="3749" spans="1:1">
      <c r="A3749" s="153" t="s">
        <v>5729</v>
      </c>
    </row>
    <row r="3750" spans="1:1">
      <c r="A3750" s="153" t="s">
        <v>5730</v>
      </c>
    </row>
    <row r="3751" spans="1:1">
      <c r="A3751" s="153" t="s">
        <v>5731</v>
      </c>
    </row>
    <row r="3752" spans="1:1">
      <c r="A3752" s="153" t="s">
        <v>5732</v>
      </c>
    </row>
    <row r="3753" spans="1:1">
      <c r="A3753" s="153" t="s">
        <v>5733</v>
      </c>
    </row>
    <row r="3754" spans="1:1">
      <c r="A3754" s="153" t="s">
        <v>5734</v>
      </c>
    </row>
    <row r="3755" spans="1:1">
      <c r="A3755" s="153" t="s">
        <v>5735</v>
      </c>
    </row>
    <row r="3756" spans="1:1">
      <c r="A3756" s="153" t="s">
        <v>5736</v>
      </c>
    </row>
    <row r="3757" spans="1:1">
      <c r="A3757" s="153" t="s">
        <v>5737</v>
      </c>
    </row>
    <row r="3758" spans="1:1">
      <c r="A3758" s="153" t="s">
        <v>5738</v>
      </c>
    </row>
    <row r="3759" spans="1:1">
      <c r="A3759" s="153" t="s">
        <v>5739</v>
      </c>
    </row>
    <row r="3760" spans="1:1">
      <c r="A3760" s="153" t="s">
        <v>5740</v>
      </c>
    </row>
    <row r="3761" spans="1:1">
      <c r="A3761" s="153" t="s">
        <v>5741</v>
      </c>
    </row>
    <row r="3762" spans="1:1">
      <c r="A3762" s="153" t="s">
        <v>5742</v>
      </c>
    </row>
    <row r="3763" spans="1:1">
      <c r="A3763" s="153" t="s">
        <v>5743</v>
      </c>
    </row>
    <row r="3764" spans="1:1">
      <c r="A3764" s="153" t="s">
        <v>5744</v>
      </c>
    </row>
    <row r="3765" spans="1:1">
      <c r="A3765" s="153" t="s">
        <v>5745</v>
      </c>
    </row>
    <row r="3766" spans="1:1">
      <c r="A3766" s="153" t="s">
        <v>5746</v>
      </c>
    </row>
    <row r="3767" spans="1:1">
      <c r="A3767" s="153" t="s">
        <v>5747</v>
      </c>
    </row>
    <row r="3768" spans="1:1">
      <c r="A3768" s="153" t="s">
        <v>5748</v>
      </c>
    </row>
    <row r="3769" spans="1:1">
      <c r="A3769" s="153" t="s">
        <v>5749</v>
      </c>
    </row>
    <row r="3770" spans="1:1">
      <c r="A3770" s="153" t="s">
        <v>5750</v>
      </c>
    </row>
    <row r="3771" spans="1:1">
      <c r="A3771" s="153" t="s">
        <v>5751</v>
      </c>
    </row>
    <row r="3772" spans="1:1">
      <c r="A3772" s="153" t="s">
        <v>5752</v>
      </c>
    </row>
    <row r="3773" spans="1:1">
      <c r="A3773" s="153" t="s">
        <v>5753</v>
      </c>
    </row>
    <row r="3774" spans="1:1">
      <c r="A3774" s="153" t="s">
        <v>5754</v>
      </c>
    </row>
    <row r="3775" spans="1:1">
      <c r="A3775" s="153" t="s">
        <v>5755</v>
      </c>
    </row>
    <row r="3776" spans="1:1">
      <c r="A3776" s="153" t="s">
        <v>5756</v>
      </c>
    </row>
    <row r="3777" spans="1:1">
      <c r="A3777" s="153" t="s">
        <v>5757</v>
      </c>
    </row>
    <row r="3778" spans="1:1">
      <c r="A3778" s="153" t="s">
        <v>5758</v>
      </c>
    </row>
    <row r="3779" spans="1:1">
      <c r="A3779" s="153" t="s">
        <v>5759</v>
      </c>
    </row>
    <row r="3780" spans="1:1">
      <c r="A3780" s="153" t="s">
        <v>5760</v>
      </c>
    </row>
    <row r="3781" spans="1:1">
      <c r="A3781" s="153" t="s">
        <v>5761</v>
      </c>
    </row>
    <row r="3782" spans="1:1">
      <c r="A3782" s="153" t="s">
        <v>5762</v>
      </c>
    </row>
    <row r="3783" spans="1:1">
      <c r="A3783" s="153" t="s">
        <v>5763</v>
      </c>
    </row>
    <row r="3784" spans="1:1">
      <c r="A3784" s="153" t="s">
        <v>5764</v>
      </c>
    </row>
    <row r="3785" spans="1:1">
      <c r="A3785" s="153" t="s">
        <v>5765</v>
      </c>
    </row>
    <row r="3786" spans="1:1">
      <c r="A3786" s="153" t="s">
        <v>5766</v>
      </c>
    </row>
    <row r="3787" spans="1:1">
      <c r="A3787" s="153" t="s">
        <v>5767</v>
      </c>
    </row>
    <row r="3788" spans="1:1">
      <c r="A3788" s="153" t="s">
        <v>5768</v>
      </c>
    </row>
    <row r="3789" spans="1:1">
      <c r="A3789" s="153" t="s">
        <v>5769</v>
      </c>
    </row>
    <row r="3790" spans="1:1">
      <c r="A3790" s="153" t="s">
        <v>5770</v>
      </c>
    </row>
    <row r="3791" spans="1:1">
      <c r="A3791" s="153" t="s">
        <v>5771</v>
      </c>
    </row>
    <row r="3792" spans="1:1">
      <c r="A3792" s="153" t="s">
        <v>5772</v>
      </c>
    </row>
    <row r="3793" spans="1:1">
      <c r="A3793" s="153" t="s">
        <v>5773</v>
      </c>
    </row>
    <row r="3794" spans="1:1">
      <c r="A3794" s="153" t="s">
        <v>5774</v>
      </c>
    </row>
    <row r="3795" spans="1:1">
      <c r="A3795" s="153" t="s">
        <v>5775</v>
      </c>
    </row>
    <row r="3796" spans="1:1">
      <c r="A3796" s="153" t="s">
        <v>5776</v>
      </c>
    </row>
    <row r="3797" spans="1:1">
      <c r="A3797" s="153" t="s">
        <v>5777</v>
      </c>
    </row>
    <row r="3798" spans="1:1">
      <c r="A3798" s="153" t="s">
        <v>5778</v>
      </c>
    </row>
    <row r="3799" spans="1:1">
      <c r="A3799" s="153" t="s">
        <v>5779</v>
      </c>
    </row>
    <row r="3800" spans="1:1">
      <c r="A3800" s="153" t="s">
        <v>5780</v>
      </c>
    </row>
    <row r="3801" spans="1:1">
      <c r="A3801" s="153" t="s">
        <v>5781</v>
      </c>
    </row>
    <row r="3802" spans="1:1">
      <c r="A3802" s="153" t="s">
        <v>5782</v>
      </c>
    </row>
    <row r="3803" spans="1:1">
      <c r="A3803" s="153" t="s">
        <v>5783</v>
      </c>
    </row>
    <row r="3804" spans="1:1">
      <c r="A3804" s="153" t="s">
        <v>5784</v>
      </c>
    </row>
    <row r="3805" spans="1:1">
      <c r="A3805" s="153" t="s">
        <v>5785</v>
      </c>
    </row>
    <row r="3806" spans="1:1">
      <c r="A3806" s="153" t="s">
        <v>5786</v>
      </c>
    </row>
    <row r="3807" spans="1:1">
      <c r="A3807" s="153" t="s">
        <v>5787</v>
      </c>
    </row>
    <row r="3808" spans="1:1">
      <c r="A3808" s="153" t="s">
        <v>5788</v>
      </c>
    </row>
    <row r="3809" spans="1:1">
      <c r="A3809" s="153" t="s">
        <v>5789</v>
      </c>
    </row>
    <row r="3810" spans="1:1">
      <c r="A3810" s="153" t="s">
        <v>5790</v>
      </c>
    </row>
    <row r="3811" spans="1:1">
      <c r="A3811" s="153" t="s">
        <v>5791</v>
      </c>
    </row>
    <row r="3812" spans="1:1">
      <c r="A3812" s="153" t="s">
        <v>5792</v>
      </c>
    </row>
    <row r="3813" spans="1:1">
      <c r="A3813" s="153" t="s">
        <v>5793</v>
      </c>
    </row>
    <row r="3814" spans="1:1">
      <c r="A3814" s="153" t="s">
        <v>5794</v>
      </c>
    </row>
    <row r="3815" spans="1:1">
      <c r="A3815" s="153" t="s">
        <v>5795</v>
      </c>
    </row>
    <row r="3816" spans="1:1">
      <c r="A3816" s="153" t="s">
        <v>5796</v>
      </c>
    </row>
    <row r="3817" spans="1:1">
      <c r="A3817" s="153" t="s">
        <v>5797</v>
      </c>
    </row>
    <row r="3818" spans="1:1">
      <c r="A3818" s="153" t="s">
        <v>5798</v>
      </c>
    </row>
    <row r="3819" spans="1:1">
      <c r="A3819" s="153" t="s">
        <v>5799</v>
      </c>
    </row>
    <row r="3820" spans="1:1">
      <c r="A3820" s="153" t="s">
        <v>5800</v>
      </c>
    </row>
    <row r="3821" spans="1:1">
      <c r="A3821" s="153" t="s">
        <v>5801</v>
      </c>
    </row>
    <row r="3822" spans="1:1">
      <c r="A3822" s="153" t="s">
        <v>5802</v>
      </c>
    </row>
    <row r="3823" spans="1:1">
      <c r="A3823" s="153" t="s">
        <v>5803</v>
      </c>
    </row>
    <row r="3824" spans="1:1">
      <c r="A3824" s="153" t="s">
        <v>5804</v>
      </c>
    </row>
    <row r="3825" spans="1:1">
      <c r="A3825" s="153" t="s">
        <v>5805</v>
      </c>
    </row>
    <row r="3826" spans="1:1">
      <c r="A3826" s="153" t="s">
        <v>5806</v>
      </c>
    </row>
    <row r="3827" spans="1:1">
      <c r="A3827" s="153" t="s">
        <v>5807</v>
      </c>
    </row>
    <row r="3828" spans="1:1">
      <c r="A3828" s="153" t="s">
        <v>5808</v>
      </c>
    </row>
    <row r="3829" spans="1:1">
      <c r="A3829" s="153" t="s">
        <v>5809</v>
      </c>
    </row>
    <row r="3830" spans="1:1">
      <c r="A3830" s="153" t="s">
        <v>5810</v>
      </c>
    </row>
    <row r="3831" spans="1:1">
      <c r="A3831" s="153" t="s">
        <v>5811</v>
      </c>
    </row>
    <row r="3832" spans="1:1">
      <c r="A3832" s="153" t="s">
        <v>5812</v>
      </c>
    </row>
    <row r="3833" spans="1:1">
      <c r="A3833" s="153" t="s">
        <v>5813</v>
      </c>
    </row>
    <row r="3834" spans="1:1">
      <c r="A3834" s="153" t="s">
        <v>5814</v>
      </c>
    </row>
    <row r="3835" spans="1:1">
      <c r="A3835" s="153" t="s">
        <v>5815</v>
      </c>
    </row>
    <row r="3836" spans="1:1">
      <c r="A3836" s="153" t="s">
        <v>5816</v>
      </c>
    </row>
    <row r="3837" spans="1:1">
      <c r="A3837" s="153" t="s">
        <v>5817</v>
      </c>
    </row>
    <row r="3838" spans="1:1">
      <c r="A3838" s="153" t="s">
        <v>5818</v>
      </c>
    </row>
    <row r="3839" spans="1:1">
      <c r="A3839" s="153" t="s">
        <v>5819</v>
      </c>
    </row>
    <row r="3840" spans="1:1">
      <c r="A3840" s="153" t="s">
        <v>5820</v>
      </c>
    </row>
    <row r="3841" spans="1:1">
      <c r="A3841" s="153" t="s">
        <v>5821</v>
      </c>
    </row>
    <row r="3842" spans="1:1">
      <c r="A3842" s="153" t="s">
        <v>5822</v>
      </c>
    </row>
    <row r="3843" spans="1:1">
      <c r="A3843" s="153" t="s">
        <v>5823</v>
      </c>
    </row>
    <row r="3844" spans="1:1">
      <c r="A3844" s="153" t="s">
        <v>5824</v>
      </c>
    </row>
    <row r="3845" spans="1:1">
      <c r="A3845" s="153" t="s">
        <v>5825</v>
      </c>
    </row>
    <row r="3846" spans="1:1">
      <c r="A3846" s="153" t="s">
        <v>5826</v>
      </c>
    </row>
    <row r="3847" spans="1:1">
      <c r="A3847" s="153" t="s">
        <v>5827</v>
      </c>
    </row>
    <row r="3848" spans="1:1">
      <c r="A3848" s="153" t="s">
        <v>5828</v>
      </c>
    </row>
    <row r="3849" spans="1:1">
      <c r="A3849" s="153" t="s">
        <v>5829</v>
      </c>
    </row>
    <row r="3850" spans="1:1">
      <c r="A3850" s="153" t="s">
        <v>5830</v>
      </c>
    </row>
    <row r="3851" spans="1:1">
      <c r="A3851" s="153" t="s">
        <v>5831</v>
      </c>
    </row>
    <row r="3852" spans="1:1">
      <c r="A3852" s="153" t="s">
        <v>5832</v>
      </c>
    </row>
    <row r="3853" spans="1:1">
      <c r="A3853" s="153" t="s">
        <v>5833</v>
      </c>
    </row>
    <row r="3854" spans="1:1">
      <c r="A3854" s="153" t="s">
        <v>5834</v>
      </c>
    </row>
    <row r="3855" spans="1:1">
      <c r="A3855" s="153" t="s">
        <v>5835</v>
      </c>
    </row>
    <row r="3856" spans="1:1">
      <c r="A3856" s="153" t="s">
        <v>5836</v>
      </c>
    </row>
    <row r="3857" spans="1:1">
      <c r="A3857" s="153" t="s">
        <v>5837</v>
      </c>
    </row>
    <row r="3858" spans="1:1">
      <c r="A3858" s="153" t="s">
        <v>5838</v>
      </c>
    </row>
    <row r="3859" spans="1:1">
      <c r="A3859" s="153" t="s">
        <v>5839</v>
      </c>
    </row>
    <row r="3860" spans="1:1">
      <c r="A3860" s="153" t="s">
        <v>5840</v>
      </c>
    </row>
    <row r="3861" spans="1:1">
      <c r="A3861" s="153" t="s">
        <v>5841</v>
      </c>
    </row>
    <row r="3862" spans="1:1">
      <c r="A3862" s="153" t="s">
        <v>5842</v>
      </c>
    </row>
    <row r="3863" spans="1:1">
      <c r="A3863" s="153" t="s">
        <v>5843</v>
      </c>
    </row>
    <row r="3864" spans="1:1">
      <c r="A3864" s="153" t="s">
        <v>5844</v>
      </c>
    </row>
    <row r="3865" spans="1:1">
      <c r="A3865" s="153" t="s">
        <v>5845</v>
      </c>
    </row>
    <row r="3866" spans="1:1">
      <c r="A3866" s="153" t="s">
        <v>5846</v>
      </c>
    </row>
    <row r="3867" spans="1:1">
      <c r="A3867" s="153" t="s">
        <v>5847</v>
      </c>
    </row>
    <row r="3868" spans="1:1">
      <c r="A3868" s="153" t="s">
        <v>5848</v>
      </c>
    </row>
    <row r="3869" spans="1:1">
      <c r="A3869" s="153" t="s">
        <v>5849</v>
      </c>
    </row>
    <row r="3870" spans="1:1">
      <c r="A3870" s="153" t="s">
        <v>5850</v>
      </c>
    </row>
    <row r="3871" spans="1:1">
      <c r="A3871" s="153" t="s">
        <v>5851</v>
      </c>
    </row>
    <row r="3872" spans="1:1">
      <c r="A3872" s="153" t="s">
        <v>5852</v>
      </c>
    </row>
    <row r="3873" spans="1:1">
      <c r="A3873" s="153" t="s">
        <v>5853</v>
      </c>
    </row>
    <row r="3874" spans="1:1">
      <c r="A3874" s="153" t="s">
        <v>5854</v>
      </c>
    </row>
    <row r="3875" spans="1:1">
      <c r="A3875" s="153" t="s">
        <v>5855</v>
      </c>
    </row>
    <row r="3876" spans="1:1">
      <c r="A3876" s="153" t="s">
        <v>5856</v>
      </c>
    </row>
    <row r="3877" spans="1:1">
      <c r="A3877" s="153" t="s">
        <v>5857</v>
      </c>
    </row>
    <row r="3878" spans="1:1">
      <c r="A3878" s="153" t="s">
        <v>5858</v>
      </c>
    </row>
    <row r="3879" spans="1:1">
      <c r="A3879" s="153" t="s">
        <v>5859</v>
      </c>
    </row>
    <row r="3880" spans="1:1">
      <c r="A3880" s="153" t="s">
        <v>5860</v>
      </c>
    </row>
    <row r="3881" spans="1:1">
      <c r="A3881" s="153" t="s">
        <v>5861</v>
      </c>
    </row>
    <row r="3882" spans="1:1">
      <c r="A3882" s="153" t="s">
        <v>5862</v>
      </c>
    </row>
    <row r="3883" spans="1:1">
      <c r="A3883" s="153" t="s">
        <v>5863</v>
      </c>
    </row>
    <row r="3884" spans="1:1">
      <c r="A3884" s="153" t="s">
        <v>5864</v>
      </c>
    </row>
    <row r="3885" spans="1:1">
      <c r="A3885" s="153" t="s">
        <v>5865</v>
      </c>
    </row>
    <row r="3886" spans="1:1">
      <c r="A3886" s="153" t="s">
        <v>5866</v>
      </c>
    </row>
    <row r="3887" spans="1:1">
      <c r="A3887" s="153" t="s">
        <v>5867</v>
      </c>
    </row>
    <row r="3888" spans="1:1">
      <c r="A3888" s="153" t="s">
        <v>5868</v>
      </c>
    </row>
    <row r="3889" spans="1:1">
      <c r="A3889" s="153" t="s">
        <v>5869</v>
      </c>
    </row>
    <row r="3890" spans="1:1">
      <c r="A3890" s="153" t="s">
        <v>5870</v>
      </c>
    </row>
    <row r="3891" spans="1:1">
      <c r="A3891" s="153" t="s">
        <v>5871</v>
      </c>
    </row>
    <row r="3892" spans="1:1">
      <c r="A3892" s="153" t="s">
        <v>5872</v>
      </c>
    </row>
    <row r="3893" spans="1:1">
      <c r="A3893" s="153" t="s">
        <v>5873</v>
      </c>
    </row>
    <row r="3894" spans="1:1">
      <c r="A3894" s="153" t="s">
        <v>5874</v>
      </c>
    </row>
    <row r="3895" spans="1:1">
      <c r="A3895" s="153" t="s">
        <v>5875</v>
      </c>
    </row>
    <row r="3896" spans="1:1">
      <c r="A3896" s="153" t="s">
        <v>5876</v>
      </c>
    </row>
    <row r="3897" spans="1:1">
      <c r="A3897" s="153" t="s">
        <v>5877</v>
      </c>
    </row>
    <row r="3898" spans="1:1">
      <c r="A3898" s="153" t="s">
        <v>5878</v>
      </c>
    </row>
    <row r="3899" spans="1:1">
      <c r="A3899" s="153" t="s">
        <v>5879</v>
      </c>
    </row>
    <row r="3900" spans="1:1">
      <c r="A3900" s="153" t="s">
        <v>5880</v>
      </c>
    </row>
    <row r="3901" spans="1:1">
      <c r="A3901" s="153" t="s">
        <v>5881</v>
      </c>
    </row>
    <row r="3902" spans="1:1">
      <c r="A3902" s="153" t="s">
        <v>5882</v>
      </c>
    </row>
    <row r="3903" spans="1:1">
      <c r="A3903" s="153" t="s">
        <v>5883</v>
      </c>
    </row>
    <row r="3904" spans="1:1">
      <c r="A3904" s="153" t="s">
        <v>5884</v>
      </c>
    </row>
    <row r="3905" spans="1:1">
      <c r="A3905" s="153" t="s">
        <v>5885</v>
      </c>
    </row>
    <row r="3906" spans="1:1">
      <c r="A3906" s="153" t="s">
        <v>5886</v>
      </c>
    </row>
    <row r="3907" spans="1:1">
      <c r="A3907" s="153" t="s">
        <v>5887</v>
      </c>
    </row>
    <row r="3908" spans="1:1">
      <c r="A3908" s="153" t="s">
        <v>5888</v>
      </c>
    </row>
    <row r="3909" spans="1:1">
      <c r="A3909" s="153" t="s">
        <v>5889</v>
      </c>
    </row>
    <row r="3910" spans="1:1">
      <c r="A3910" s="153" t="s">
        <v>5890</v>
      </c>
    </row>
    <row r="3911" spans="1:1">
      <c r="A3911" s="153" t="s">
        <v>5891</v>
      </c>
    </row>
    <row r="3912" spans="1:1">
      <c r="A3912" s="153" t="s">
        <v>5892</v>
      </c>
    </row>
    <row r="3913" spans="1:1">
      <c r="A3913" s="153" t="s">
        <v>5893</v>
      </c>
    </row>
    <row r="3914" spans="1:1">
      <c r="A3914" s="153" t="s">
        <v>5894</v>
      </c>
    </row>
    <row r="3915" spans="1:1">
      <c r="A3915" s="153" t="s">
        <v>5895</v>
      </c>
    </row>
    <row r="3916" spans="1:1">
      <c r="A3916" s="153" t="s">
        <v>5896</v>
      </c>
    </row>
    <row r="3917" spans="1:1">
      <c r="A3917" s="153" t="s">
        <v>5897</v>
      </c>
    </row>
    <row r="3918" spans="1:1">
      <c r="A3918" s="153" t="s">
        <v>5898</v>
      </c>
    </row>
    <row r="3919" spans="1:1">
      <c r="A3919" s="153" t="s">
        <v>5899</v>
      </c>
    </row>
    <row r="3920" spans="1:1">
      <c r="A3920" s="153" t="s">
        <v>5900</v>
      </c>
    </row>
    <row r="3921" spans="1:1">
      <c r="A3921" s="153" t="s">
        <v>5901</v>
      </c>
    </row>
    <row r="3922" spans="1:1">
      <c r="A3922" s="153" t="s">
        <v>5902</v>
      </c>
    </row>
    <row r="3923" spans="1:1">
      <c r="A3923" s="153" t="s">
        <v>5903</v>
      </c>
    </row>
    <row r="3924" spans="1:1">
      <c r="A3924" s="153" t="s">
        <v>5904</v>
      </c>
    </row>
    <row r="3925" spans="1:1">
      <c r="A3925" s="153" t="s">
        <v>5905</v>
      </c>
    </row>
    <row r="3926" spans="1:1">
      <c r="A3926" s="153" t="s">
        <v>5906</v>
      </c>
    </row>
    <row r="3927" spans="1:1">
      <c r="A3927" s="153" t="s">
        <v>5907</v>
      </c>
    </row>
    <row r="3928" spans="1:1">
      <c r="A3928" s="153" t="s">
        <v>5908</v>
      </c>
    </row>
    <row r="3929" spans="1:1">
      <c r="A3929" s="153" t="s">
        <v>5909</v>
      </c>
    </row>
    <row r="3930" spans="1:1">
      <c r="A3930" s="153" t="s">
        <v>5910</v>
      </c>
    </row>
    <row r="3931" spans="1:1">
      <c r="A3931" s="153" t="s">
        <v>5911</v>
      </c>
    </row>
    <row r="3932" spans="1:1">
      <c r="A3932" s="153" t="s">
        <v>5912</v>
      </c>
    </row>
    <row r="3933" spans="1:1">
      <c r="A3933" s="153" t="s">
        <v>5913</v>
      </c>
    </row>
    <row r="3934" spans="1:1">
      <c r="A3934" s="153" t="s">
        <v>5914</v>
      </c>
    </row>
    <row r="3935" spans="1:1">
      <c r="A3935" s="153" t="s">
        <v>5915</v>
      </c>
    </row>
    <row r="3936" spans="1:1">
      <c r="A3936" s="153" t="s">
        <v>5916</v>
      </c>
    </row>
    <row r="3937" spans="1:1">
      <c r="A3937" s="153" t="s">
        <v>5917</v>
      </c>
    </row>
    <row r="3938" spans="1:1">
      <c r="A3938" s="153" t="s">
        <v>5918</v>
      </c>
    </row>
    <row r="3939" spans="1:1">
      <c r="A3939" s="153" t="s">
        <v>5919</v>
      </c>
    </row>
    <row r="3940" spans="1:1">
      <c r="A3940" s="153" t="s">
        <v>5920</v>
      </c>
    </row>
    <row r="3941" spans="1:1">
      <c r="A3941" s="153" t="s">
        <v>5921</v>
      </c>
    </row>
    <row r="3942" spans="1:1">
      <c r="A3942" s="153" t="s">
        <v>5922</v>
      </c>
    </row>
    <row r="3943" spans="1:1">
      <c r="A3943" s="153" t="s">
        <v>5923</v>
      </c>
    </row>
    <row r="3944" spans="1:1">
      <c r="A3944" s="153" t="s">
        <v>5924</v>
      </c>
    </row>
    <row r="3945" spans="1:1">
      <c r="A3945" s="153" t="s">
        <v>5925</v>
      </c>
    </row>
    <row r="3946" spans="1:1">
      <c r="A3946" s="153" t="s">
        <v>5926</v>
      </c>
    </row>
    <row r="3947" spans="1:1">
      <c r="A3947" s="153" t="s">
        <v>5927</v>
      </c>
    </row>
    <row r="3948" spans="1:1">
      <c r="A3948" s="153" t="s">
        <v>5928</v>
      </c>
    </row>
    <row r="3949" spans="1:1">
      <c r="A3949" s="153" t="s">
        <v>5929</v>
      </c>
    </row>
    <row r="3950" spans="1:1">
      <c r="A3950" s="153" t="s">
        <v>5930</v>
      </c>
    </row>
    <row r="3951" spans="1:1">
      <c r="A3951" s="153" t="s">
        <v>5931</v>
      </c>
    </row>
    <row r="3952" spans="1:1">
      <c r="A3952" s="153" t="s">
        <v>5932</v>
      </c>
    </row>
    <row r="3953" spans="1:1">
      <c r="A3953" s="153" t="s">
        <v>5933</v>
      </c>
    </row>
    <row r="3954" spans="1:1">
      <c r="A3954" s="153" t="s">
        <v>5934</v>
      </c>
    </row>
    <row r="3955" spans="1:1">
      <c r="A3955" s="153" t="s">
        <v>5935</v>
      </c>
    </row>
    <row r="3956" spans="1:1">
      <c r="A3956" s="153" t="s">
        <v>5936</v>
      </c>
    </row>
    <row r="3957" spans="1:1">
      <c r="A3957" s="153" t="s">
        <v>5937</v>
      </c>
    </row>
    <row r="3958" spans="1:1">
      <c r="A3958" s="153" t="s">
        <v>5938</v>
      </c>
    </row>
    <row r="3959" spans="1:1">
      <c r="A3959" s="153" t="s">
        <v>5939</v>
      </c>
    </row>
    <row r="3960" spans="1:1">
      <c r="A3960" s="153" t="s">
        <v>5940</v>
      </c>
    </row>
    <row r="3961" spans="1:1">
      <c r="A3961" s="153" t="s">
        <v>5941</v>
      </c>
    </row>
    <row r="3962" spans="1:1">
      <c r="A3962" s="153" t="s">
        <v>5942</v>
      </c>
    </row>
    <row r="3963" spans="1:1">
      <c r="A3963" s="153" t="s">
        <v>5943</v>
      </c>
    </row>
    <row r="3964" spans="1:1">
      <c r="A3964" s="153" t="s">
        <v>5944</v>
      </c>
    </row>
    <row r="3965" spans="1:1">
      <c r="A3965" s="153" t="s">
        <v>5945</v>
      </c>
    </row>
    <row r="3966" spans="1:1">
      <c r="A3966" s="153" t="s">
        <v>5946</v>
      </c>
    </row>
    <row r="3967" spans="1:1">
      <c r="A3967" s="153" t="s">
        <v>5947</v>
      </c>
    </row>
    <row r="3968" spans="1:1">
      <c r="A3968" s="153" t="s">
        <v>5948</v>
      </c>
    </row>
    <row r="3969" spans="1:1">
      <c r="A3969" s="153" t="s">
        <v>5949</v>
      </c>
    </row>
    <row r="3970" spans="1:1">
      <c r="A3970" s="153" t="s">
        <v>5950</v>
      </c>
    </row>
    <row r="3971" spans="1:1">
      <c r="A3971" s="153" t="s">
        <v>5951</v>
      </c>
    </row>
    <row r="3972" spans="1:1">
      <c r="A3972" s="153" t="s">
        <v>5952</v>
      </c>
    </row>
    <row r="3973" spans="1:1">
      <c r="A3973" s="153" t="s">
        <v>5953</v>
      </c>
    </row>
    <row r="3974" spans="1:1">
      <c r="A3974" s="153" t="s">
        <v>5954</v>
      </c>
    </row>
    <row r="3975" spans="1:1">
      <c r="A3975" s="153" t="s">
        <v>5955</v>
      </c>
    </row>
    <row r="3976" spans="1:1">
      <c r="A3976" s="153" t="s">
        <v>5956</v>
      </c>
    </row>
    <row r="3977" spans="1:1">
      <c r="A3977" s="153" t="s">
        <v>5957</v>
      </c>
    </row>
    <row r="3978" spans="1:1">
      <c r="A3978" s="153" t="s">
        <v>5958</v>
      </c>
    </row>
    <row r="3979" spans="1:1">
      <c r="A3979" s="153" t="s">
        <v>5959</v>
      </c>
    </row>
    <row r="3980" spans="1:1">
      <c r="A3980" s="153" t="s">
        <v>5960</v>
      </c>
    </row>
    <row r="3981" spans="1:1">
      <c r="A3981" s="153" t="s">
        <v>5961</v>
      </c>
    </row>
    <row r="3982" spans="1:1">
      <c r="A3982" s="153" t="s">
        <v>5962</v>
      </c>
    </row>
    <row r="3983" spans="1:1">
      <c r="A3983" s="153" t="s">
        <v>5963</v>
      </c>
    </row>
    <row r="3984" spans="1:1">
      <c r="A3984" s="153" t="s">
        <v>5964</v>
      </c>
    </row>
    <row r="3985" spans="1:1">
      <c r="A3985" s="153" t="s">
        <v>5965</v>
      </c>
    </row>
    <row r="3986" spans="1:1">
      <c r="A3986" s="153" t="s">
        <v>5966</v>
      </c>
    </row>
    <row r="3987" spans="1:1">
      <c r="A3987" s="153" t="s">
        <v>5967</v>
      </c>
    </row>
    <row r="3988" spans="1:1">
      <c r="A3988" s="153" t="s">
        <v>5968</v>
      </c>
    </row>
    <row r="3989" spans="1:1">
      <c r="A3989" s="153" t="s">
        <v>5969</v>
      </c>
    </row>
    <row r="3990" spans="1:1">
      <c r="A3990" s="153" t="s">
        <v>5970</v>
      </c>
    </row>
    <row r="3991" spans="1:1">
      <c r="A3991" s="153" t="s">
        <v>5971</v>
      </c>
    </row>
    <row r="3992" spans="1:1">
      <c r="A3992" s="153" t="s">
        <v>5972</v>
      </c>
    </row>
    <row r="3993" spans="1:1">
      <c r="A3993" s="153" t="s">
        <v>5973</v>
      </c>
    </row>
    <row r="3994" spans="1:1">
      <c r="A3994" s="153" t="s">
        <v>5974</v>
      </c>
    </row>
    <row r="3995" spans="1:1">
      <c r="A3995" s="153" t="s">
        <v>5975</v>
      </c>
    </row>
    <row r="3996" spans="1:1">
      <c r="A3996" s="153" t="s">
        <v>5976</v>
      </c>
    </row>
    <row r="3997" spans="1:1">
      <c r="A3997" s="153" t="s">
        <v>5977</v>
      </c>
    </row>
    <row r="3998" spans="1:1">
      <c r="A3998" s="153" t="s">
        <v>5978</v>
      </c>
    </row>
    <row r="3999" spans="1:1">
      <c r="A3999" s="153" t="s">
        <v>5979</v>
      </c>
    </row>
    <row r="4000" spans="1:1">
      <c r="A4000" s="153" t="s">
        <v>5980</v>
      </c>
    </row>
    <row r="4001" spans="1:1">
      <c r="A4001" s="153" t="s">
        <v>5981</v>
      </c>
    </row>
    <row r="4002" spans="1:1">
      <c r="A4002" s="153" t="s">
        <v>5982</v>
      </c>
    </row>
    <row r="4003" spans="1:1">
      <c r="A4003" s="153" t="s">
        <v>5983</v>
      </c>
    </row>
    <row r="4004" spans="1:1">
      <c r="A4004" s="153" t="s">
        <v>5984</v>
      </c>
    </row>
    <row r="4005" spans="1:1">
      <c r="A4005" s="153" t="s">
        <v>5985</v>
      </c>
    </row>
    <row r="4006" spans="1:1">
      <c r="A4006" s="153" t="s">
        <v>5986</v>
      </c>
    </row>
    <row r="4007" spans="1:1">
      <c r="A4007" s="153" t="s">
        <v>5987</v>
      </c>
    </row>
    <row r="4008" spans="1:1">
      <c r="A4008" s="153" t="s">
        <v>5988</v>
      </c>
    </row>
    <row r="4009" spans="1:1">
      <c r="A4009" s="153" t="s">
        <v>5989</v>
      </c>
    </row>
    <row r="4010" spans="1:1">
      <c r="A4010" s="153" t="s">
        <v>5990</v>
      </c>
    </row>
    <row r="4011" spans="1:1">
      <c r="A4011" s="153" t="s">
        <v>5991</v>
      </c>
    </row>
    <row r="4012" spans="1:1">
      <c r="A4012" s="153" t="s">
        <v>5992</v>
      </c>
    </row>
    <row r="4013" spans="1:1">
      <c r="A4013" s="153" t="s">
        <v>5993</v>
      </c>
    </row>
    <row r="4014" spans="1:1">
      <c r="A4014" s="153" t="s">
        <v>5994</v>
      </c>
    </row>
    <row r="4015" spans="1:1">
      <c r="A4015" s="153" t="s">
        <v>5995</v>
      </c>
    </row>
    <row r="4016" spans="1:1">
      <c r="A4016" s="153" t="s">
        <v>5996</v>
      </c>
    </row>
    <row r="4017" spans="1:1">
      <c r="A4017" s="153" t="s">
        <v>5997</v>
      </c>
    </row>
    <row r="4018" spans="1:1">
      <c r="A4018" s="153" t="s">
        <v>5998</v>
      </c>
    </row>
    <row r="4019" spans="1:1">
      <c r="A4019" s="153" t="s">
        <v>5999</v>
      </c>
    </row>
    <row r="4020" spans="1:1">
      <c r="A4020" s="153" t="s">
        <v>6000</v>
      </c>
    </row>
    <row r="4021" spans="1:1">
      <c r="A4021" s="153" t="s">
        <v>6001</v>
      </c>
    </row>
    <row r="4022" spans="1:1">
      <c r="A4022" s="153" t="s">
        <v>6002</v>
      </c>
    </row>
    <row r="4023" spans="1:1">
      <c r="A4023" s="153" t="s">
        <v>6003</v>
      </c>
    </row>
    <row r="4024" spans="1:1">
      <c r="A4024" s="153" t="s">
        <v>6004</v>
      </c>
    </row>
    <row r="4025" spans="1:1">
      <c r="A4025" s="153" t="s">
        <v>6005</v>
      </c>
    </row>
    <row r="4026" spans="1:1">
      <c r="A4026" s="153" t="s">
        <v>6006</v>
      </c>
    </row>
    <row r="4027" spans="1:1">
      <c r="A4027" s="153" t="s">
        <v>6007</v>
      </c>
    </row>
    <row r="4028" spans="1:1">
      <c r="A4028" s="153" t="s">
        <v>6008</v>
      </c>
    </row>
    <row r="4029" spans="1:1">
      <c r="A4029" s="153" t="s">
        <v>6009</v>
      </c>
    </row>
    <row r="4030" spans="1:1">
      <c r="A4030" s="153" t="s">
        <v>6010</v>
      </c>
    </row>
    <row r="4031" spans="1:1">
      <c r="A4031" s="153" t="s">
        <v>6011</v>
      </c>
    </row>
    <row r="4032" spans="1:1">
      <c r="A4032" s="153" t="s">
        <v>6012</v>
      </c>
    </row>
    <row r="4033" spans="1:1">
      <c r="A4033" s="153" t="s">
        <v>6013</v>
      </c>
    </row>
    <row r="4034" spans="1:1">
      <c r="A4034" s="153" t="s">
        <v>6014</v>
      </c>
    </row>
    <row r="4035" spans="1:1">
      <c r="A4035" s="153" t="s">
        <v>6015</v>
      </c>
    </row>
    <row r="4036" spans="1:1">
      <c r="A4036" s="153" t="s">
        <v>6016</v>
      </c>
    </row>
    <row r="4037" spans="1:1">
      <c r="A4037" s="153" t="s">
        <v>6017</v>
      </c>
    </row>
    <row r="4038" spans="1:1">
      <c r="A4038" s="153" t="s">
        <v>6018</v>
      </c>
    </row>
    <row r="4039" spans="1:1">
      <c r="A4039" s="153" t="s">
        <v>6019</v>
      </c>
    </row>
    <row r="4040" spans="1:1">
      <c r="A4040" s="153" t="s">
        <v>6020</v>
      </c>
    </row>
    <row r="4041" spans="1:1">
      <c r="A4041" s="153" t="s">
        <v>6021</v>
      </c>
    </row>
    <row r="4042" spans="1:1">
      <c r="A4042" s="153" t="s">
        <v>6022</v>
      </c>
    </row>
    <row r="4043" spans="1:1">
      <c r="A4043" s="153" t="s">
        <v>6023</v>
      </c>
    </row>
    <row r="4044" spans="1:1">
      <c r="A4044" s="153" t="s">
        <v>6024</v>
      </c>
    </row>
    <row r="4045" spans="1:1">
      <c r="A4045" s="153" t="s">
        <v>6025</v>
      </c>
    </row>
    <row r="4046" spans="1:1">
      <c r="A4046" s="153" t="s">
        <v>6026</v>
      </c>
    </row>
    <row r="4047" spans="1:1">
      <c r="A4047" s="153" t="s">
        <v>6027</v>
      </c>
    </row>
    <row r="4048" spans="1:1">
      <c r="A4048" s="153" t="s">
        <v>6028</v>
      </c>
    </row>
    <row r="4049" spans="1:1">
      <c r="A4049" s="153" t="s">
        <v>6029</v>
      </c>
    </row>
    <row r="4050" spans="1:1">
      <c r="A4050" s="153" t="s">
        <v>6030</v>
      </c>
    </row>
    <row r="4051" spans="1:1">
      <c r="A4051" s="153" t="s">
        <v>6031</v>
      </c>
    </row>
    <row r="4052" spans="1:1">
      <c r="A4052" s="153" t="s">
        <v>6032</v>
      </c>
    </row>
    <row r="4053" spans="1:1">
      <c r="A4053" s="153" t="s">
        <v>6033</v>
      </c>
    </row>
    <row r="4054" spans="1:1">
      <c r="A4054" s="153" t="s">
        <v>6034</v>
      </c>
    </row>
    <row r="4055" spans="1:1">
      <c r="A4055" s="153" t="s">
        <v>6035</v>
      </c>
    </row>
    <row r="4056" spans="1:1">
      <c r="A4056" s="153" t="s">
        <v>6036</v>
      </c>
    </row>
    <row r="4057" spans="1:1">
      <c r="A4057" s="153" t="s">
        <v>6037</v>
      </c>
    </row>
    <row r="4058" spans="1:1">
      <c r="A4058" s="153" t="s">
        <v>6038</v>
      </c>
    </row>
    <row r="4059" spans="1:1">
      <c r="A4059" s="153" t="s">
        <v>6039</v>
      </c>
    </row>
    <row r="4060" spans="1:1">
      <c r="A4060" s="153" t="s">
        <v>6040</v>
      </c>
    </row>
    <row r="4061" spans="1:1">
      <c r="A4061" s="153" t="s">
        <v>6041</v>
      </c>
    </row>
    <row r="4062" spans="1:1">
      <c r="A4062" s="153" t="s">
        <v>6042</v>
      </c>
    </row>
    <row r="4063" spans="1:1">
      <c r="A4063" s="153" t="s">
        <v>6043</v>
      </c>
    </row>
    <row r="4064" spans="1:1">
      <c r="A4064" s="153" t="s">
        <v>6044</v>
      </c>
    </row>
    <row r="4065" spans="1:1">
      <c r="A4065" s="153" t="s">
        <v>6045</v>
      </c>
    </row>
    <row r="4066" spans="1:1">
      <c r="A4066" s="153" t="s">
        <v>6046</v>
      </c>
    </row>
    <row r="4067" spans="1:1">
      <c r="A4067" s="153" t="s">
        <v>6047</v>
      </c>
    </row>
    <row r="4068" spans="1:1">
      <c r="A4068" s="153" t="s">
        <v>6048</v>
      </c>
    </row>
    <row r="4069" spans="1:1">
      <c r="A4069" s="153" t="s">
        <v>6049</v>
      </c>
    </row>
    <row r="4070" spans="1:1">
      <c r="A4070" s="153" t="s">
        <v>6050</v>
      </c>
    </row>
    <row r="4071" spans="1:1">
      <c r="A4071" s="153" t="s">
        <v>6051</v>
      </c>
    </row>
    <row r="4072" spans="1:1">
      <c r="A4072" s="153" t="s">
        <v>6052</v>
      </c>
    </row>
    <row r="4073" spans="1:1">
      <c r="A4073" s="153" t="s">
        <v>6053</v>
      </c>
    </row>
    <row r="4074" spans="1:1">
      <c r="A4074" s="153" t="s">
        <v>6054</v>
      </c>
    </row>
    <row r="4075" spans="1:1">
      <c r="A4075" s="153" t="s">
        <v>6055</v>
      </c>
    </row>
    <row r="4076" spans="1:1">
      <c r="A4076" s="153" t="s">
        <v>6056</v>
      </c>
    </row>
    <row r="4077" spans="1:1">
      <c r="A4077" s="153" t="s">
        <v>6057</v>
      </c>
    </row>
    <row r="4078" spans="1:1">
      <c r="A4078" s="153" t="s">
        <v>6058</v>
      </c>
    </row>
    <row r="4079" spans="1:1">
      <c r="A4079" s="153" t="s">
        <v>6059</v>
      </c>
    </row>
    <row r="4080" spans="1:1">
      <c r="A4080" s="153" t="s">
        <v>6060</v>
      </c>
    </row>
    <row r="4081" spans="1:1">
      <c r="A4081" s="153" t="s">
        <v>6061</v>
      </c>
    </row>
    <row r="4082" spans="1:1">
      <c r="A4082" s="153" t="s">
        <v>6062</v>
      </c>
    </row>
    <row r="4083" spans="1:1">
      <c r="A4083" s="153" t="s">
        <v>6063</v>
      </c>
    </row>
    <row r="4084" spans="1:1">
      <c r="A4084" s="153" t="s">
        <v>6064</v>
      </c>
    </row>
    <row r="4085" spans="1:1">
      <c r="A4085" s="153" t="s">
        <v>6065</v>
      </c>
    </row>
    <row r="4086" spans="1:1">
      <c r="A4086" s="153" t="s">
        <v>6066</v>
      </c>
    </row>
    <row r="4087" spans="1:1">
      <c r="A4087" s="153" t="s">
        <v>6067</v>
      </c>
    </row>
    <row r="4088" spans="1:1">
      <c r="A4088" s="153" t="s">
        <v>6068</v>
      </c>
    </row>
    <row r="4089" spans="1:1">
      <c r="A4089" s="153" t="s">
        <v>6069</v>
      </c>
    </row>
    <row r="4090" spans="1:1">
      <c r="A4090" s="153" t="s">
        <v>6070</v>
      </c>
    </row>
    <row r="4091" spans="1:1">
      <c r="A4091" s="153" t="s">
        <v>6071</v>
      </c>
    </row>
    <row r="4092" spans="1:1">
      <c r="A4092" s="153" t="s">
        <v>6072</v>
      </c>
    </row>
    <row r="4093" spans="1:1">
      <c r="A4093" s="153" t="s">
        <v>6073</v>
      </c>
    </row>
    <row r="4094" spans="1:1">
      <c r="A4094" s="153" t="s">
        <v>6074</v>
      </c>
    </row>
    <row r="4095" spans="1:1">
      <c r="A4095" s="153" t="s">
        <v>6075</v>
      </c>
    </row>
    <row r="4096" spans="1:1">
      <c r="A4096" s="153" t="s">
        <v>6076</v>
      </c>
    </row>
    <row r="4097" spans="1:1">
      <c r="A4097" s="153" t="s">
        <v>6077</v>
      </c>
    </row>
    <row r="4098" spans="1:1">
      <c r="A4098" s="153" t="s">
        <v>6078</v>
      </c>
    </row>
    <row r="4099" spans="1:1">
      <c r="A4099" s="153" t="s">
        <v>6079</v>
      </c>
    </row>
    <row r="4100" spans="1:1">
      <c r="A4100" s="153" t="s">
        <v>6080</v>
      </c>
    </row>
    <row r="4101" spans="1:1">
      <c r="A4101" s="153" t="s">
        <v>6081</v>
      </c>
    </row>
    <row r="4102" spans="1:1">
      <c r="A4102" s="153" t="s">
        <v>6082</v>
      </c>
    </row>
    <row r="4103" spans="1:1">
      <c r="A4103" s="153" t="s">
        <v>6083</v>
      </c>
    </row>
    <row r="4104" spans="1:1">
      <c r="A4104" s="153" t="s">
        <v>6084</v>
      </c>
    </row>
    <row r="4105" spans="1:1">
      <c r="A4105" s="153" t="s">
        <v>6085</v>
      </c>
    </row>
    <row r="4106" spans="1:1">
      <c r="A4106" s="153" t="s">
        <v>6086</v>
      </c>
    </row>
    <row r="4107" spans="1:1">
      <c r="A4107" s="153" t="s">
        <v>6087</v>
      </c>
    </row>
    <row r="4108" spans="1:1">
      <c r="A4108" s="153" t="s">
        <v>6088</v>
      </c>
    </row>
    <row r="4109" spans="1:1">
      <c r="A4109" s="153" t="s">
        <v>6089</v>
      </c>
    </row>
    <row r="4110" spans="1:1">
      <c r="A4110" s="153" t="s">
        <v>6090</v>
      </c>
    </row>
    <row r="4111" spans="1:1">
      <c r="A4111" s="153" t="s">
        <v>6091</v>
      </c>
    </row>
    <row r="4112" spans="1:1">
      <c r="A4112" s="153" t="s">
        <v>6092</v>
      </c>
    </row>
    <row r="4113" spans="1:1">
      <c r="A4113" s="153" t="s">
        <v>6093</v>
      </c>
    </row>
    <row r="4114" spans="1:1">
      <c r="A4114" s="153" t="s">
        <v>6094</v>
      </c>
    </row>
    <row r="4115" spans="1:1">
      <c r="A4115" s="153" t="s">
        <v>6095</v>
      </c>
    </row>
    <row r="4116" spans="1:1">
      <c r="A4116" s="153" t="s">
        <v>6096</v>
      </c>
    </row>
    <row r="4117" spans="1:1">
      <c r="A4117" s="153" t="s">
        <v>6097</v>
      </c>
    </row>
    <row r="4118" spans="1:1">
      <c r="A4118" s="153" t="s">
        <v>6098</v>
      </c>
    </row>
    <row r="4119" spans="1:1">
      <c r="A4119" s="153" t="s">
        <v>6099</v>
      </c>
    </row>
    <row r="4120" spans="1:1">
      <c r="A4120" s="153" t="s">
        <v>6100</v>
      </c>
    </row>
    <row r="4121" spans="1:1">
      <c r="A4121" s="153" t="s">
        <v>6101</v>
      </c>
    </row>
    <row r="4122" spans="1:1">
      <c r="A4122" s="153" t="s">
        <v>6102</v>
      </c>
    </row>
    <row r="4123" spans="1:1">
      <c r="A4123" s="153" t="s">
        <v>6103</v>
      </c>
    </row>
    <row r="4124" spans="1:1">
      <c r="A4124" s="153" t="s">
        <v>6104</v>
      </c>
    </row>
    <row r="4125" spans="1:1">
      <c r="A4125" s="153" t="s">
        <v>6105</v>
      </c>
    </row>
    <row r="4126" spans="1:1">
      <c r="A4126" s="153" t="s">
        <v>6106</v>
      </c>
    </row>
    <row r="4127" spans="1:1">
      <c r="A4127" s="153" t="s">
        <v>6107</v>
      </c>
    </row>
    <row r="4128" spans="1:1">
      <c r="A4128" s="153" t="s">
        <v>6108</v>
      </c>
    </row>
    <row r="4129" spans="1:1">
      <c r="A4129" s="153" t="s">
        <v>6109</v>
      </c>
    </row>
    <row r="4130" spans="1:1">
      <c r="A4130" s="153" t="s">
        <v>6110</v>
      </c>
    </row>
    <row r="4131" spans="1:1">
      <c r="A4131" s="153" t="s">
        <v>6111</v>
      </c>
    </row>
    <row r="4132" spans="1:1">
      <c r="A4132" s="153" t="s">
        <v>6112</v>
      </c>
    </row>
    <row r="4133" spans="1:1">
      <c r="A4133" s="153" t="s">
        <v>6113</v>
      </c>
    </row>
    <row r="4134" spans="1:1">
      <c r="A4134" s="153" t="s">
        <v>6114</v>
      </c>
    </row>
    <row r="4135" spans="1:1">
      <c r="A4135" s="153" t="s">
        <v>6115</v>
      </c>
    </row>
    <row r="4136" spans="1:1">
      <c r="A4136" s="153" t="s">
        <v>6116</v>
      </c>
    </row>
    <row r="4137" spans="1:1">
      <c r="A4137" s="153" t="s">
        <v>6117</v>
      </c>
    </row>
    <row r="4138" spans="1:1">
      <c r="A4138" s="153" t="s">
        <v>6118</v>
      </c>
    </row>
    <row r="4139" spans="1:1">
      <c r="A4139" s="153" t="s">
        <v>6119</v>
      </c>
    </row>
    <row r="4140" spans="1:1">
      <c r="A4140" s="153" t="s">
        <v>6120</v>
      </c>
    </row>
    <row r="4141" spans="1:1">
      <c r="A4141" s="153" t="s">
        <v>6121</v>
      </c>
    </row>
    <row r="4142" spans="1:1">
      <c r="A4142" s="153" t="s">
        <v>6122</v>
      </c>
    </row>
    <row r="4143" spans="1:1">
      <c r="A4143" s="153" t="s">
        <v>6123</v>
      </c>
    </row>
    <row r="4144" spans="1:1">
      <c r="A4144" s="153" t="s">
        <v>6124</v>
      </c>
    </row>
    <row r="4145" spans="1:1">
      <c r="A4145" s="153" t="s">
        <v>6125</v>
      </c>
    </row>
    <row r="4146" spans="1:1">
      <c r="A4146" s="153" t="s">
        <v>6126</v>
      </c>
    </row>
    <row r="4147" spans="1:1">
      <c r="A4147" s="153" t="s">
        <v>6127</v>
      </c>
    </row>
    <row r="4148" spans="1:1">
      <c r="A4148" s="153" t="s">
        <v>6128</v>
      </c>
    </row>
    <row r="4149" spans="1:1">
      <c r="A4149" s="153" t="s">
        <v>6129</v>
      </c>
    </row>
    <row r="4150" spans="1:1">
      <c r="A4150" s="153" t="s">
        <v>6130</v>
      </c>
    </row>
    <row r="4151" spans="1:1">
      <c r="A4151" s="153" t="s">
        <v>6131</v>
      </c>
    </row>
    <row r="4152" spans="1:1">
      <c r="A4152" s="153" t="s">
        <v>6132</v>
      </c>
    </row>
    <row r="4153" spans="1:1">
      <c r="A4153" s="153" t="s">
        <v>6133</v>
      </c>
    </row>
    <row r="4154" spans="1:1">
      <c r="A4154" s="153" t="s">
        <v>6134</v>
      </c>
    </row>
    <row r="4155" spans="1:1">
      <c r="A4155" s="153" t="s">
        <v>6135</v>
      </c>
    </row>
    <row r="4156" spans="1:1">
      <c r="A4156" s="153" t="s">
        <v>6136</v>
      </c>
    </row>
    <row r="4157" spans="1:1">
      <c r="A4157" s="153" t="s">
        <v>6137</v>
      </c>
    </row>
    <row r="4158" spans="1:1">
      <c r="A4158" s="153" t="s">
        <v>6138</v>
      </c>
    </row>
    <row r="4159" spans="1:1">
      <c r="A4159" s="153" t="s">
        <v>6139</v>
      </c>
    </row>
    <row r="4160" spans="1:1">
      <c r="A4160" s="153" t="s">
        <v>6140</v>
      </c>
    </row>
    <row r="4161" spans="1:1">
      <c r="A4161" s="153" t="s">
        <v>6141</v>
      </c>
    </row>
    <row r="4162" spans="1:1">
      <c r="A4162" s="153" t="s">
        <v>6142</v>
      </c>
    </row>
    <row r="4163" spans="1:1">
      <c r="A4163" s="153" t="s">
        <v>6143</v>
      </c>
    </row>
    <row r="4164" spans="1:1">
      <c r="A4164" s="153" t="s">
        <v>6144</v>
      </c>
    </row>
    <row r="4165" spans="1:1">
      <c r="A4165" s="153" t="s">
        <v>6145</v>
      </c>
    </row>
    <row r="4166" spans="1:1">
      <c r="A4166" s="153" t="s">
        <v>6146</v>
      </c>
    </row>
    <row r="4167" spans="1:1">
      <c r="A4167" s="153" t="s">
        <v>6147</v>
      </c>
    </row>
    <row r="4168" spans="1:1">
      <c r="A4168" s="153" t="s">
        <v>6148</v>
      </c>
    </row>
    <row r="4169" spans="1:1">
      <c r="A4169" s="153" t="s">
        <v>6149</v>
      </c>
    </row>
    <row r="4170" spans="1:1">
      <c r="A4170" s="153" t="s">
        <v>6150</v>
      </c>
    </row>
    <row r="4171" spans="1:1">
      <c r="A4171" s="153" t="s">
        <v>6151</v>
      </c>
    </row>
    <row r="4172" spans="1:1">
      <c r="A4172" s="153" t="s">
        <v>6152</v>
      </c>
    </row>
    <row r="4173" spans="1:1">
      <c r="A4173" s="153" t="s">
        <v>6153</v>
      </c>
    </row>
    <row r="4174" spans="1:1">
      <c r="A4174" s="153" t="s">
        <v>6154</v>
      </c>
    </row>
    <row r="4175" spans="1:1">
      <c r="A4175" s="153" t="s">
        <v>6155</v>
      </c>
    </row>
    <row r="4176" spans="1:1">
      <c r="A4176" s="153" t="s">
        <v>6156</v>
      </c>
    </row>
    <row r="4177" spans="1:1">
      <c r="A4177" s="153" t="s">
        <v>6157</v>
      </c>
    </row>
    <row r="4178" spans="1:1">
      <c r="A4178" s="153" t="s">
        <v>6158</v>
      </c>
    </row>
    <row r="4179" spans="1:1">
      <c r="A4179" s="153" t="s">
        <v>6159</v>
      </c>
    </row>
    <row r="4180" spans="1:1">
      <c r="A4180" s="153" t="s">
        <v>6160</v>
      </c>
    </row>
    <row r="4181" spans="1:1">
      <c r="A4181" s="153" t="s">
        <v>6161</v>
      </c>
    </row>
    <row r="4182" spans="1:1">
      <c r="A4182" s="153" t="s">
        <v>6162</v>
      </c>
    </row>
    <row r="4183" spans="1:1">
      <c r="A4183" s="153" t="s">
        <v>6163</v>
      </c>
    </row>
    <row r="4184" spans="1:1">
      <c r="A4184" s="153" t="s">
        <v>6164</v>
      </c>
    </row>
    <row r="4185" spans="1:1">
      <c r="A4185" s="153" t="s">
        <v>6165</v>
      </c>
    </row>
    <row r="4186" spans="1:1">
      <c r="A4186" s="153" t="s">
        <v>6166</v>
      </c>
    </row>
    <row r="4187" spans="1:1">
      <c r="A4187" s="153" t="s">
        <v>6167</v>
      </c>
    </row>
    <row r="4188" spans="1:1">
      <c r="A4188" s="153" t="s">
        <v>6168</v>
      </c>
    </row>
    <row r="4189" spans="1:1">
      <c r="A4189" s="153" t="s">
        <v>6169</v>
      </c>
    </row>
    <row r="4190" spans="1:1">
      <c r="A4190" s="153" t="s">
        <v>6170</v>
      </c>
    </row>
    <row r="4191" spans="1:1">
      <c r="A4191" s="153" t="s">
        <v>6171</v>
      </c>
    </row>
    <row r="4192" spans="1:1">
      <c r="A4192" s="153" t="s">
        <v>6172</v>
      </c>
    </row>
    <row r="4193" spans="1:1">
      <c r="A4193" s="153" t="s">
        <v>6173</v>
      </c>
    </row>
    <row r="4194" spans="1:1">
      <c r="A4194" s="153" t="s">
        <v>6174</v>
      </c>
    </row>
    <row r="4195" spans="1:1">
      <c r="A4195" s="153" t="s">
        <v>6175</v>
      </c>
    </row>
    <row r="4196" spans="1:1">
      <c r="A4196" s="153" t="s">
        <v>6176</v>
      </c>
    </row>
    <row r="4197" spans="1:1">
      <c r="A4197" s="153" t="s">
        <v>6177</v>
      </c>
    </row>
    <row r="4198" spans="1:1">
      <c r="A4198" s="153" t="s">
        <v>6178</v>
      </c>
    </row>
    <row r="4199" spans="1:1">
      <c r="A4199" s="153" t="s">
        <v>6179</v>
      </c>
    </row>
    <row r="4200" spans="1:1">
      <c r="A4200" s="153" t="s">
        <v>6180</v>
      </c>
    </row>
    <row r="4201" spans="1:1">
      <c r="A4201" s="153" t="s">
        <v>6181</v>
      </c>
    </row>
    <row r="4202" spans="1:1">
      <c r="A4202" s="153" t="s">
        <v>6182</v>
      </c>
    </row>
    <row r="4203" spans="1:1">
      <c r="A4203" s="153" t="s">
        <v>6183</v>
      </c>
    </row>
    <row r="4204" spans="1:1">
      <c r="A4204" s="153" t="s">
        <v>6184</v>
      </c>
    </row>
    <row r="4205" spans="1:1">
      <c r="A4205" s="153" t="s">
        <v>6185</v>
      </c>
    </row>
    <row r="4206" spans="1:1">
      <c r="A4206" s="153" t="s">
        <v>6186</v>
      </c>
    </row>
    <row r="4207" spans="1:1">
      <c r="A4207" s="153" t="s">
        <v>6187</v>
      </c>
    </row>
    <row r="4208" spans="1:1">
      <c r="A4208" s="153" t="s">
        <v>6188</v>
      </c>
    </row>
    <row r="4209" spans="1:1">
      <c r="A4209" s="153" t="s">
        <v>6189</v>
      </c>
    </row>
    <row r="4210" spans="1:1">
      <c r="A4210" s="153" t="s">
        <v>6190</v>
      </c>
    </row>
    <row r="4211" spans="1:1">
      <c r="A4211" s="153" t="s">
        <v>6191</v>
      </c>
    </row>
    <row r="4212" spans="1:1">
      <c r="A4212" s="153" t="s">
        <v>6192</v>
      </c>
    </row>
    <row r="4213" spans="1:1">
      <c r="A4213" s="153" t="s">
        <v>6193</v>
      </c>
    </row>
    <row r="4214" spans="1:1">
      <c r="A4214" s="153" t="s">
        <v>6194</v>
      </c>
    </row>
    <row r="4215" spans="1:1">
      <c r="A4215" s="153" t="s">
        <v>6195</v>
      </c>
    </row>
    <row r="4216" spans="1:1">
      <c r="A4216" s="153" t="s">
        <v>6196</v>
      </c>
    </row>
    <row r="4217" spans="1:1">
      <c r="A4217" s="153" t="s">
        <v>6197</v>
      </c>
    </row>
    <row r="4218" spans="1:1">
      <c r="A4218" s="153" t="s">
        <v>6198</v>
      </c>
    </row>
    <row r="4219" spans="1:1">
      <c r="A4219" s="153" t="s">
        <v>6199</v>
      </c>
    </row>
    <row r="4220" spans="1:1">
      <c r="A4220" s="153" t="s">
        <v>6200</v>
      </c>
    </row>
    <row r="4221" spans="1:1">
      <c r="A4221" s="153" t="s">
        <v>6201</v>
      </c>
    </row>
    <row r="4222" spans="1:1">
      <c r="A4222" s="153" t="s">
        <v>6202</v>
      </c>
    </row>
    <row r="4223" spans="1:1">
      <c r="A4223" s="153" t="s">
        <v>6203</v>
      </c>
    </row>
    <row r="4224" spans="1:1">
      <c r="A4224" s="153" t="s">
        <v>6204</v>
      </c>
    </row>
    <row r="4225" spans="1:1">
      <c r="A4225" s="153" t="s">
        <v>6205</v>
      </c>
    </row>
    <row r="4226" spans="1:1">
      <c r="A4226" s="153" t="s">
        <v>6206</v>
      </c>
    </row>
    <row r="4227" spans="1:1">
      <c r="A4227" s="153" t="s">
        <v>6207</v>
      </c>
    </row>
    <row r="4228" spans="1:1">
      <c r="A4228" s="153" t="s">
        <v>6208</v>
      </c>
    </row>
    <row r="4229" spans="1:1">
      <c r="A4229" s="153" t="s">
        <v>6209</v>
      </c>
    </row>
    <row r="4230" spans="1:1">
      <c r="A4230" s="153" t="s">
        <v>6210</v>
      </c>
    </row>
    <row r="4231" spans="1:1">
      <c r="A4231" s="153" t="s">
        <v>6211</v>
      </c>
    </row>
    <row r="4232" spans="1:1">
      <c r="A4232" s="153" t="s">
        <v>6212</v>
      </c>
    </row>
    <row r="4233" spans="1:1">
      <c r="A4233" s="153" t="s">
        <v>6213</v>
      </c>
    </row>
    <row r="4234" spans="1:1">
      <c r="A4234" s="153" t="s">
        <v>6214</v>
      </c>
    </row>
    <row r="4235" spans="1:1">
      <c r="A4235" s="153" t="s">
        <v>6215</v>
      </c>
    </row>
    <row r="4236" spans="1:1">
      <c r="A4236" s="153" t="s">
        <v>6216</v>
      </c>
    </row>
    <row r="4237" spans="1:1">
      <c r="A4237" s="153" t="s">
        <v>6217</v>
      </c>
    </row>
    <row r="4238" spans="1:1">
      <c r="A4238" s="153" t="s">
        <v>6218</v>
      </c>
    </row>
    <row r="4239" spans="1:1">
      <c r="A4239" s="153" t="s">
        <v>6219</v>
      </c>
    </row>
    <row r="4240" spans="1:1">
      <c r="A4240" s="153" t="s">
        <v>6220</v>
      </c>
    </row>
    <row r="4241" spans="1:1">
      <c r="A4241" s="153" t="s">
        <v>6221</v>
      </c>
    </row>
    <row r="4242" spans="1:1">
      <c r="A4242" s="153" t="s">
        <v>6222</v>
      </c>
    </row>
    <row r="4243" spans="1:1">
      <c r="A4243" s="153" t="s">
        <v>6223</v>
      </c>
    </row>
    <row r="4244" spans="1:1">
      <c r="A4244" s="153" t="s">
        <v>6224</v>
      </c>
    </row>
    <row r="4245" spans="1:1">
      <c r="A4245" s="153" t="s">
        <v>6225</v>
      </c>
    </row>
    <row r="4246" spans="1:1">
      <c r="A4246" s="153" t="s">
        <v>6226</v>
      </c>
    </row>
    <row r="4247" spans="1:1">
      <c r="A4247" s="153" t="s">
        <v>6227</v>
      </c>
    </row>
    <row r="4248" spans="1:1">
      <c r="A4248" s="153" t="s">
        <v>6228</v>
      </c>
    </row>
    <row r="4249" spans="1:1">
      <c r="A4249" s="153" t="s">
        <v>6229</v>
      </c>
    </row>
    <row r="4250" spans="1:1">
      <c r="A4250" s="153" t="s">
        <v>6230</v>
      </c>
    </row>
    <row r="4251" spans="1:1">
      <c r="A4251" s="153" t="s">
        <v>6231</v>
      </c>
    </row>
    <row r="4252" spans="1:1">
      <c r="A4252" s="153" t="s">
        <v>6232</v>
      </c>
    </row>
    <row r="4253" spans="1:1">
      <c r="A4253" s="153" t="s">
        <v>6233</v>
      </c>
    </row>
    <row r="4254" spans="1:1">
      <c r="A4254" s="153" t="s">
        <v>6234</v>
      </c>
    </row>
    <row r="4255" spans="1:1">
      <c r="A4255" s="153" t="s">
        <v>6235</v>
      </c>
    </row>
    <row r="4256" spans="1:1">
      <c r="A4256" s="153" t="s">
        <v>6236</v>
      </c>
    </row>
    <row r="4257" spans="1:1">
      <c r="A4257" s="153" t="s">
        <v>6237</v>
      </c>
    </row>
    <row r="4258" spans="1:1">
      <c r="A4258" s="153" t="s">
        <v>6238</v>
      </c>
    </row>
    <row r="4259" spans="1:1">
      <c r="A4259" s="153" t="s">
        <v>6239</v>
      </c>
    </row>
    <row r="4260" spans="1:1">
      <c r="A4260" s="153" t="s">
        <v>6240</v>
      </c>
    </row>
    <row r="4261" spans="1:1">
      <c r="A4261" s="153" t="s">
        <v>6241</v>
      </c>
    </row>
    <row r="4262" spans="1:1">
      <c r="A4262" s="153" t="s">
        <v>6242</v>
      </c>
    </row>
    <row r="4263" spans="1:1">
      <c r="A4263" s="153" t="s">
        <v>6243</v>
      </c>
    </row>
    <row r="4264" spans="1:1">
      <c r="A4264" s="153" t="s">
        <v>6244</v>
      </c>
    </row>
    <row r="4265" spans="1:1">
      <c r="A4265" s="153" t="s">
        <v>6245</v>
      </c>
    </row>
    <row r="4266" spans="1:1">
      <c r="A4266" s="153" t="s">
        <v>6246</v>
      </c>
    </row>
    <row r="4267" spans="1:1">
      <c r="A4267" s="153" t="s">
        <v>6247</v>
      </c>
    </row>
    <row r="4268" spans="1:1">
      <c r="A4268" s="153" t="s">
        <v>6248</v>
      </c>
    </row>
    <row r="4269" spans="1:1">
      <c r="A4269" s="153" t="s">
        <v>6249</v>
      </c>
    </row>
    <row r="4270" spans="1:1">
      <c r="A4270" s="153" t="s">
        <v>6250</v>
      </c>
    </row>
    <row r="4271" spans="1:1">
      <c r="A4271" s="153" t="s">
        <v>6251</v>
      </c>
    </row>
    <row r="4272" spans="1:1">
      <c r="A4272" s="153" t="s">
        <v>6252</v>
      </c>
    </row>
    <row r="4273" spans="1:1">
      <c r="A4273" s="153" t="s">
        <v>6253</v>
      </c>
    </row>
    <row r="4274" spans="1:1">
      <c r="A4274" s="153" t="s">
        <v>6254</v>
      </c>
    </row>
    <row r="4275" spans="1:1">
      <c r="A4275" s="153" t="s">
        <v>6255</v>
      </c>
    </row>
    <row r="4276" spans="1:1">
      <c r="A4276" s="153" t="s">
        <v>6256</v>
      </c>
    </row>
    <row r="4277" spans="1:1">
      <c r="A4277" s="153" t="s">
        <v>6257</v>
      </c>
    </row>
    <row r="4278" spans="1:1">
      <c r="A4278" s="153" t="s">
        <v>6258</v>
      </c>
    </row>
    <row r="4279" spans="1:1">
      <c r="A4279" s="153" t="s">
        <v>6259</v>
      </c>
    </row>
    <row r="4280" spans="1:1">
      <c r="A4280" s="153" t="s">
        <v>6260</v>
      </c>
    </row>
    <row r="4281" spans="1:1">
      <c r="A4281" s="153" t="s">
        <v>6261</v>
      </c>
    </row>
    <row r="4282" spans="1:1">
      <c r="A4282" s="153" t="s">
        <v>6262</v>
      </c>
    </row>
    <row r="4283" spans="1:1">
      <c r="A4283" s="153" t="s">
        <v>6263</v>
      </c>
    </row>
    <row r="4284" spans="1:1">
      <c r="A4284" s="153" t="s">
        <v>6264</v>
      </c>
    </row>
    <row r="4285" spans="1:1">
      <c r="A4285" s="153" t="s">
        <v>6265</v>
      </c>
    </row>
    <row r="4286" spans="1:1">
      <c r="A4286" s="153" t="s">
        <v>6266</v>
      </c>
    </row>
    <row r="4287" spans="1:1">
      <c r="A4287" s="153" t="s">
        <v>6267</v>
      </c>
    </row>
    <row r="4288" spans="1:1">
      <c r="A4288" s="153" t="s">
        <v>6268</v>
      </c>
    </row>
    <row r="4289" spans="1:1">
      <c r="A4289" s="153" t="s">
        <v>6269</v>
      </c>
    </row>
    <row r="4290" spans="1:1">
      <c r="A4290" s="153" t="s">
        <v>6270</v>
      </c>
    </row>
    <row r="4291" spans="1:1">
      <c r="A4291" s="153" t="s">
        <v>6271</v>
      </c>
    </row>
    <row r="4292" spans="1:1">
      <c r="A4292" s="153" t="s">
        <v>6272</v>
      </c>
    </row>
    <row r="4293" spans="1:1">
      <c r="A4293" s="153" t="s">
        <v>6273</v>
      </c>
    </row>
    <row r="4294" spans="1:1">
      <c r="A4294" s="153" t="s">
        <v>6274</v>
      </c>
    </row>
    <row r="4295" spans="1:1">
      <c r="A4295" s="153" t="s">
        <v>6275</v>
      </c>
    </row>
    <row r="4296" spans="1:1">
      <c r="A4296" s="153" t="s">
        <v>6276</v>
      </c>
    </row>
    <row r="4297" spans="1:1">
      <c r="A4297" s="153" t="s">
        <v>6277</v>
      </c>
    </row>
    <row r="4298" spans="1:1">
      <c r="A4298" s="153" t="s">
        <v>6278</v>
      </c>
    </row>
    <row r="4299" spans="1:1">
      <c r="A4299" s="153" t="s">
        <v>6279</v>
      </c>
    </row>
    <row r="4300" spans="1:1">
      <c r="A4300" s="153" t="s">
        <v>6280</v>
      </c>
    </row>
    <row r="4301" spans="1:1">
      <c r="A4301" s="153" t="s">
        <v>6281</v>
      </c>
    </row>
    <row r="4302" spans="1:1">
      <c r="A4302" s="153" t="s">
        <v>6282</v>
      </c>
    </row>
    <row r="4303" spans="1:1">
      <c r="A4303" s="153" t="s">
        <v>6283</v>
      </c>
    </row>
    <row r="4304" spans="1:1">
      <c r="A4304" s="153" t="s">
        <v>6284</v>
      </c>
    </row>
    <row r="4305" spans="1:1">
      <c r="A4305" s="153" t="s">
        <v>6285</v>
      </c>
    </row>
    <row r="4306" spans="1:1">
      <c r="A4306" s="153" t="s">
        <v>6286</v>
      </c>
    </row>
    <row r="4307" spans="1:1">
      <c r="A4307" s="153" t="s">
        <v>6287</v>
      </c>
    </row>
    <row r="4308" spans="1:1">
      <c r="A4308" s="153" t="s">
        <v>6288</v>
      </c>
    </row>
    <row r="4309" spans="1:1">
      <c r="A4309" s="153" t="s">
        <v>6289</v>
      </c>
    </row>
    <row r="4310" spans="1:1">
      <c r="A4310" s="153" t="s">
        <v>6290</v>
      </c>
    </row>
    <row r="4311" spans="1:1">
      <c r="A4311" s="153" t="s">
        <v>6291</v>
      </c>
    </row>
    <row r="4312" spans="1:1">
      <c r="A4312" s="153" t="s">
        <v>6292</v>
      </c>
    </row>
    <row r="4313" spans="1:1">
      <c r="A4313" s="153" t="s">
        <v>6293</v>
      </c>
    </row>
    <row r="4314" spans="1:1">
      <c r="A4314" s="153" t="s">
        <v>6294</v>
      </c>
    </row>
    <row r="4315" spans="1:1">
      <c r="A4315" s="153" t="s">
        <v>6295</v>
      </c>
    </row>
    <row r="4316" spans="1:1">
      <c r="A4316" s="153" t="s">
        <v>6296</v>
      </c>
    </row>
    <row r="4317" spans="1:1">
      <c r="A4317" s="153" t="s">
        <v>6297</v>
      </c>
    </row>
    <row r="4318" spans="1:1">
      <c r="A4318" s="153" t="s">
        <v>6298</v>
      </c>
    </row>
    <row r="4319" spans="1:1">
      <c r="A4319" s="153" t="s">
        <v>6299</v>
      </c>
    </row>
    <row r="4320" spans="1:1">
      <c r="A4320" s="153" t="s">
        <v>6300</v>
      </c>
    </row>
    <row r="4321" spans="1:1">
      <c r="A4321" s="153" t="s">
        <v>6301</v>
      </c>
    </row>
    <row r="4322" spans="1:1">
      <c r="A4322" s="153" t="s">
        <v>6302</v>
      </c>
    </row>
    <row r="4323" spans="1:1">
      <c r="A4323" s="153" t="s">
        <v>6303</v>
      </c>
    </row>
    <row r="4324" spans="1:1">
      <c r="A4324" s="153" t="s">
        <v>6304</v>
      </c>
    </row>
    <row r="4325" spans="1:1">
      <c r="A4325" s="153" t="s">
        <v>6305</v>
      </c>
    </row>
    <row r="4326" spans="1:1">
      <c r="A4326" s="153" t="s">
        <v>6306</v>
      </c>
    </row>
    <row r="4327" spans="1:1">
      <c r="A4327" s="153" t="s">
        <v>6307</v>
      </c>
    </row>
    <row r="4328" spans="1:1">
      <c r="A4328" s="153" t="s">
        <v>6308</v>
      </c>
    </row>
    <row r="4329" spans="1:1">
      <c r="A4329" s="153" t="s">
        <v>6309</v>
      </c>
    </row>
    <row r="4330" spans="1:1">
      <c r="A4330" s="153" t="s">
        <v>6310</v>
      </c>
    </row>
    <row r="4331" spans="1:1">
      <c r="A4331" s="153" t="s">
        <v>6311</v>
      </c>
    </row>
    <row r="4332" spans="1:1">
      <c r="A4332" s="153" t="s">
        <v>6312</v>
      </c>
    </row>
    <row r="4333" spans="1:1">
      <c r="A4333" s="153" t="s">
        <v>6313</v>
      </c>
    </row>
    <row r="4334" spans="1:1">
      <c r="A4334" s="153" t="s">
        <v>6314</v>
      </c>
    </row>
    <row r="4335" spans="1:1">
      <c r="A4335" s="153" t="s">
        <v>6315</v>
      </c>
    </row>
    <row r="4336" spans="1:1">
      <c r="A4336" s="153" t="s">
        <v>6316</v>
      </c>
    </row>
    <row r="4337" spans="1:1">
      <c r="A4337" s="153" t="s">
        <v>6317</v>
      </c>
    </row>
    <row r="4338" spans="1:1">
      <c r="A4338" s="153" t="s">
        <v>6318</v>
      </c>
    </row>
    <row r="4339" spans="1:1">
      <c r="A4339" s="153" t="s">
        <v>6319</v>
      </c>
    </row>
    <row r="4340" spans="1:1">
      <c r="A4340" s="153" t="s">
        <v>6320</v>
      </c>
    </row>
    <row r="4341" spans="1:1">
      <c r="A4341" s="153" t="s">
        <v>6321</v>
      </c>
    </row>
    <row r="4342" spans="1:1">
      <c r="A4342" s="153" t="s">
        <v>6322</v>
      </c>
    </row>
    <row r="4343" spans="1:1">
      <c r="A4343" s="153" t="s">
        <v>6323</v>
      </c>
    </row>
    <row r="4344" spans="1:1">
      <c r="A4344" s="153" t="s">
        <v>6324</v>
      </c>
    </row>
    <row r="4345" spans="1:1">
      <c r="A4345" s="153" t="s">
        <v>6325</v>
      </c>
    </row>
    <row r="4346" spans="1:1">
      <c r="A4346" s="153" t="s">
        <v>6326</v>
      </c>
    </row>
    <row r="4347" spans="1:1">
      <c r="A4347" s="153" t="s">
        <v>6327</v>
      </c>
    </row>
    <row r="4348" spans="1:1">
      <c r="A4348" s="153" t="s">
        <v>6328</v>
      </c>
    </row>
    <row r="4349" spans="1:1">
      <c r="A4349" s="153" t="s">
        <v>6329</v>
      </c>
    </row>
    <row r="4350" spans="1:1">
      <c r="A4350" s="153" t="s">
        <v>6330</v>
      </c>
    </row>
    <row r="4351" spans="1:1">
      <c r="A4351" s="153" t="s">
        <v>6331</v>
      </c>
    </row>
    <row r="4352" spans="1:1">
      <c r="A4352" s="153" t="s">
        <v>6332</v>
      </c>
    </row>
    <row r="4353" spans="1:1">
      <c r="A4353" s="153" t="s">
        <v>6333</v>
      </c>
    </row>
    <row r="4354" spans="1:1">
      <c r="A4354" s="153" t="s">
        <v>6334</v>
      </c>
    </row>
    <row r="4355" spans="1:1">
      <c r="A4355" s="153" t="s">
        <v>6335</v>
      </c>
    </row>
    <row r="4356" spans="1:1">
      <c r="A4356" s="153" t="s">
        <v>6336</v>
      </c>
    </row>
    <row r="4357" spans="1:1">
      <c r="A4357" s="153" t="s">
        <v>6337</v>
      </c>
    </row>
    <row r="4358" spans="1:1">
      <c r="A4358" s="153" t="s">
        <v>6338</v>
      </c>
    </row>
    <row r="4359" spans="1:1">
      <c r="A4359" s="153" t="s">
        <v>6339</v>
      </c>
    </row>
    <row r="4360" spans="1:1">
      <c r="A4360" s="153" t="s">
        <v>6340</v>
      </c>
    </row>
    <row r="4361" spans="1:1">
      <c r="A4361" s="153" t="s">
        <v>6341</v>
      </c>
    </row>
    <row r="4362" spans="1:1">
      <c r="A4362" s="153" t="s">
        <v>6342</v>
      </c>
    </row>
    <row r="4363" spans="1:1">
      <c r="A4363" s="153" t="s">
        <v>6343</v>
      </c>
    </row>
    <row r="4364" spans="1:1">
      <c r="A4364" s="153" t="s">
        <v>6344</v>
      </c>
    </row>
    <row r="4365" spans="1:1">
      <c r="A4365" s="153" t="s">
        <v>6345</v>
      </c>
    </row>
    <row r="4366" spans="1:1">
      <c r="A4366" s="153" t="s">
        <v>6346</v>
      </c>
    </row>
    <row r="4367" spans="1:1">
      <c r="A4367" s="153" t="s">
        <v>6347</v>
      </c>
    </row>
    <row r="4368" spans="1:1">
      <c r="A4368" s="153" t="s">
        <v>6348</v>
      </c>
    </row>
    <row r="4369" spans="1:1">
      <c r="A4369" s="153" t="s">
        <v>6349</v>
      </c>
    </row>
    <row r="4370" spans="1:1">
      <c r="A4370" s="153" t="s">
        <v>6350</v>
      </c>
    </row>
    <row r="4371" spans="1:1">
      <c r="A4371" s="153" t="s">
        <v>6351</v>
      </c>
    </row>
    <row r="4372" spans="1:1">
      <c r="A4372" s="153" t="s">
        <v>6352</v>
      </c>
    </row>
    <row r="4373" spans="1:1">
      <c r="A4373" s="153" t="s">
        <v>6353</v>
      </c>
    </row>
    <row r="4374" spans="1:1">
      <c r="A4374" s="153" t="s">
        <v>6354</v>
      </c>
    </row>
    <row r="4375" spans="1:1">
      <c r="A4375" s="153" t="s">
        <v>6355</v>
      </c>
    </row>
    <row r="4376" spans="1:1">
      <c r="A4376" s="153" t="s">
        <v>6356</v>
      </c>
    </row>
    <row r="4377" spans="1:1">
      <c r="A4377" s="153" t="s">
        <v>6357</v>
      </c>
    </row>
    <row r="4378" spans="1:1">
      <c r="A4378" s="153" t="s">
        <v>6358</v>
      </c>
    </row>
    <row r="4379" spans="1:1">
      <c r="A4379" s="153" t="s">
        <v>6359</v>
      </c>
    </row>
    <row r="4380" spans="1:1">
      <c r="A4380" s="153" t="s">
        <v>6360</v>
      </c>
    </row>
    <row r="4381" spans="1:1">
      <c r="A4381" s="153" t="s">
        <v>6361</v>
      </c>
    </row>
    <row r="4382" spans="1:1">
      <c r="A4382" s="153" t="s">
        <v>6362</v>
      </c>
    </row>
    <row r="4383" spans="1:1">
      <c r="A4383" s="153" t="s">
        <v>6363</v>
      </c>
    </row>
    <row r="4384" spans="1:1">
      <c r="A4384" s="153" t="s">
        <v>6364</v>
      </c>
    </row>
    <row r="4385" spans="1:1">
      <c r="A4385" s="153" t="s">
        <v>6365</v>
      </c>
    </row>
    <row r="4386" spans="1:1">
      <c r="A4386" s="153" t="s">
        <v>6366</v>
      </c>
    </row>
    <row r="4387" spans="1:1">
      <c r="A4387" s="153" t="s">
        <v>6367</v>
      </c>
    </row>
    <row r="4388" spans="1:1">
      <c r="A4388" s="153" t="s">
        <v>6368</v>
      </c>
    </row>
    <row r="4389" spans="1:1">
      <c r="A4389" s="153" t="s">
        <v>6369</v>
      </c>
    </row>
    <row r="4390" spans="1:1">
      <c r="A4390" s="153" t="s">
        <v>6370</v>
      </c>
    </row>
    <row r="4391" spans="1:1">
      <c r="A4391" s="153" t="s">
        <v>6371</v>
      </c>
    </row>
    <row r="4392" spans="1:1">
      <c r="A4392" s="153" t="s">
        <v>6372</v>
      </c>
    </row>
    <row r="4393" spans="1:1">
      <c r="A4393" s="153" t="s">
        <v>6373</v>
      </c>
    </row>
    <row r="4394" spans="1:1">
      <c r="A4394" s="153" t="s">
        <v>6374</v>
      </c>
    </row>
    <row r="4395" spans="1:1">
      <c r="A4395" s="153" t="s">
        <v>6375</v>
      </c>
    </row>
    <row r="4396" spans="1:1">
      <c r="A4396" s="153" t="s">
        <v>6376</v>
      </c>
    </row>
    <row r="4397" spans="1:1">
      <c r="A4397" s="153" t="s">
        <v>6377</v>
      </c>
    </row>
    <row r="4398" spans="1:1">
      <c r="A4398" s="153" t="s">
        <v>6378</v>
      </c>
    </row>
    <row r="4399" spans="1:1">
      <c r="A4399" s="153" t="s">
        <v>6379</v>
      </c>
    </row>
    <row r="4400" spans="1:1">
      <c r="A4400" s="153" t="s">
        <v>6380</v>
      </c>
    </row>
    <row r="4401" spans="1:1">
      <c r="A4401" s="153" t="s">
        <v>6381</v>
      </c>
    </row>
    <row r="4402" spans="1:1">
      <c r="A4402" s="153" t="s">
        <v>6382</v>
      </c>
    </row>
    <row r="4403" spans="1:1">
      <c r="A4403" s="153" t="s">
        <v>6383</v>
      </c>
    </row>
    <row r="4404" spans="1:1">
      <c r="A4404" s="153" t="s">
        <v>6384</v>
      </c>
    </row>
    <row r="4405" spans="1:1">
      <c r="A4405" s="153" t="s">
        <v>6385</v>
      </c>
    </row>
    <row r="4406" spans="1:1">
      <c r="A4406" s="153" t="s">
        <v>6386</v>
      </c>
    </row>
    <row r="4407" spans="1:1">
      <c r="A4407" s="153" t="s">
        <v>6387</v>
      </c>
    </row>
    <row r="4408" spans="1:1">
      <c r="A4408" s="153" t="s">
        <v>6388</v>
      </c>
    </row>
    <row r="4409" spans="1:1">
      <c r="A4409" s="153" t="s">
        <v>6389</v>
      </c>
    </row>
    <row r="4410" spans="1:1">
      <c r="A4410" s="153" t="s">
        <v>6390</v>
      </c>
    </row>
    <row r="4411" spans="1:1">
      <c r="A4411" s="153" t="s">
        <v>6391</v>
      </c>
    </row>
    <row r="4412" spans="1:1">
      <c r="A4412" s="153" t="s">
        <v>6392</v>
      </c>
    </row>
    <row r="4413" spans="1:1">
      <c r="A4413" s="153" t="s">
        <v>6393</v>
      </c>
    </row>
    <row r="4414" spans="1:1">
      <c r="A4414" s="153" t="s">
        <v>6394</v>
      </c>
    </row>
    <row r="4415" spans="1:1">
      <c r="A4415" s="153" t="s">
        <v>6395</v>
      </c>
    </row>
    <row r="4416" spans="1:1">
      <c r="A4416" s="153" t="s">
        <v>6396</v>
      </c>
    </row>
    <row r="4417" spans="1:1">
      <c r="A4417" s="153" t="s">
        <v>6397</v>
      </c>
    </row>
    <row r="4418" spans="1:1">
      <c r="A4418" s="153" t="s">
        <v>6398</v>
      </c>
    </row>
    <row r="4419" spans="1:1">
      <c r="A4419" s="153" t="s">
        <v>6399</v>
      </c>
    </row>
    <row r="4420" spans="1:1">
      <c r="A4420" s="153" t="s">
        <v>6400</v>
      </c>
    </row>
    <row r="4421" spans="1:1">
      <c r="A4421" s="153" t="s">
        <v>6401</v>
      </c>
    </row>
    <row r="4422" spans="1:1">
      <c r="A4422" s="153" t="s">
        <v>6402</v>
      </c>
    </row>
    <row r="4423" spans="1:1">
      <c r="A4423" s="153" t="s">
        <v>6403</v>
      </c>
    </row>
    <row r="4424" spans="1:1">
      <c r="A4424" s="153" t="s">
        <v>6404</v>
      </c>
    </row>
    <row r="4425" spans="1:1">
      <c r="A4425" s="153" t="s">
        <v>6405</v>
      </c>
    </row>
    <row r="4426" spans="1:1">
      <c r="A4426" s="153" t="s">
        <v>6406</v>
      </c>
    </row>
    <row r="4427" spans="1:1">
      <c r="A4427" s="153" t="s">
        <v>6407</v>
      </c>
    </row>
    <row r="4428" spans="1:1">
      <c r="A4428" s="153" t="s">
        <v>6408</v>
      </c>
    </row>
    <row r="4429" spans="1:1">
      <c r="A4429" s="153" t="s">
        <v>6409</v>
      </c>
    </row>
    <row r="4430" spans="1:1">
      <c r="A4430" s="153" t="s">
        <v>6410</v>
      </c>
    </row>
    <row r="4431" spans="1:1">
      <c r="A4431" s="153" t="s">
        <v>6411</v>
      </c>
    </row>
    <row r="4432" spans="1:1">
      <c r="A4432" s="153" t="s">
        <v>6412</v>
      </c>
    </row>
    <row r="4433" spans="1:1">
      <c r="A4433" s="153" t="s">
        <v>6413</v>
      </c>
    </row>
    <row r="4434" spans="1:1">
      <c r="A4434" s="153" t="s">
        <v>6414</v>
      </c>
    </row>
    <row r="4435" spans="1:1">
      <c r="A4435" s="153" t="s">
        <v>6415</v>
      </c>
    </row>
    <row r="4436" spans="1:1">
      <c r="A4436" s="153" t="s">
        <v>6416</v>
      </c>
    </row>
    <row r="4437" spans="1:1">
      <c r="A4437" s="153" t="s">
        <v>6417</v>
      </c>
    </row>
    <row r="4438" spans="1:1">
      <c r="A4438" s="153" t="s">
        <v>6418</v>
      </c>
    </row>
    <row r="4439" spans="1:1">
      <c r="A4439" s="153" t="s">
        <v>6419</v>
      </c>
    </row>
    <row r="4440" spans="1:1">
      <c r="A4440" s="153" t="s">
        <v>6420</v>
      </c>
    </row>
    <row r="4441" spans="1:1">
      <c r="A4441" s="153" t="s">
        <v>6421</v>
      </c>
    </row>
    <row r="4442" spans="1:1">
      <c r="A4442" s="153" t="s">
        <v>6422</v>
      </c>
    </row>
    <row r="4443" spans="1:1">
      <c r="A4443" s="153" t="s">
        <v>6423</v>
      </c>
    </row>
    <row r="4444" spans="1:1">
      <c r="A4444" s="153" t="s">
        <v>6424</v>
      </c>
    </row>
    <row r="4445" spans="1:1">
      <c r="A4445" s="153" t="s">
        <v>6425</v>
      </c>
    </row>
    <row r="4446" spans="1:1">
      <c r="A4446" s="153" t="s">
        <v>6426</v>
      </c>
    </row>
    <row r="4447" spans="1:1">
      <c r="A4447" s="153" t="s">
        <v>6427</v>
      </c>
    </row>
    <row r="4448" spans="1:1">
      <c r="A4448" s="153" t="s">
        <v>6428</v>
      </c>
    </row>
    <row r="4449" spans="1:1">
      <c r="A4449" s="153" t="s">
        <v>6429</v>
      </c>
    </row>
    <row r="4450" spans="1:1">
      <c r="A4450" s="153" t="s">
        <v>6430</v>
      </c>
    </row>
    <row r="4451" spans="1:1">
      <c r="A4451" s="153" t="s">
        <v>6431</v>
      </c>
    </row>
    <row r="4452" spans="1:1">
      <c r="A4452" s="153" t="s">
        <v>6432</v>
      </c>
    </row>
    <row r="4453" spans="1:1">
      <c r="A4453" s="153" t="s">
        <v>6433</v>
      </c>
    </row>
    <row r="4454" spans="1:1">
      <c r="A4454" s="153" t="s">
        <v>6434</v>
      </c>
    </row>
    <row r="4455" spans="1:1">
      <c r="A4455" s="153" t="s">
        <v>6435</v>
      </c>
    </row>
    <row r="4456" spans="1:1">
      <c r="A4456" s="153" t="s">
        <v>6436</v>
      </c>
    </row>
    <row r="4457" spans="1:1">
      <c r="A4457" s="153" t="s">
        <v>6437</v>
      </c>
    </row>
    <row r="4458" spans="1:1">
      <c r="A4458" s="153" t="s">
        <v>6438</v>
      </c>
    </row>
    <row r="4459" spans="1:1">
      <c r="A4459" s="153" t="s">
        <v>6439</v>
      </c>
    </row>
    <row r="4460" spans="1:1">
      <c r="A4460" s="153" t="s">
        <v>6440</v>
      </c>
    </row>
    <row r="4461" spans="1:1">
      <c r="A4461" s="153" t="s">
        <v>6441</v>
      </c>
    </row>
    <row r="4462" spans="1:1">
      <c r="A4462" s="153" t="s">
        <v>6442</v>
      </c>
    </row>
    <row r="4463" spans="1:1">
      <c r="A4463" s="153" t="s">
        <v>6443</v>
      </c>
    </row>
    <row r="4464" spans="1:1">
      <c r="A4464" s="153" t="s">
        <v>6444</v>
      </c>
    </row>
    <row r="4465" spans="1:1">
      <c r="A4465" s="153" t="s">
        <v>6445</v>
      </c>
    </row>
    <row r="4466" spans="1:1">
      <c r="A4466" s="153" t="s">
        <v>6446</v>
      </c>
    </row>
    <row r="4467" spans="1:1">
      <c r="A4467" s="153" t="s">
        <v>6447</v>
      </c>
    </row>
    <row r="4468" spans="1:1">
      <c r="A4468" s="153" t="s">
        <v>6448</v>
      </c>
    </row>
    <row r="4469" spans="1:1">
      <c r="A4469" s="153" t="s">
        <v>6449</v>
      </c>
    </row>
    <row r="4470" spans="1:1">
      <c r="A4470" s="153" t="s">
        <v>6450</v>
      </c>
    </row>
    <row r="4471" spans="1:1">
      <c r="A4471" s="153" t="s">
        <v>6451</v>
      </c>
    </row>
    <row r="4472" spans="1:1">
      <c r="A4472" s="153" t="s">
        <v>6452</v>
      </c>
    </row>
    <row r="4473" spans="1:1">
      <c r="A4473" s="153" t="s">
        <v>6453</v>
      </c>
    </row>
    <row r="4474" spans="1:1">
      <c r="A4474" s="153" t="s">
        <v>6454</v>
      </c>
    </row>
    <row r="4475" spans="1:1">
      <c r="A4475" s="153" t="s">
        <v>6455</v>
      </c>
    </row>
    <row r="4476" spans="1:1">
      <c r="A4476" s="153" t="s">
        <v>6456</v>
      </c>
    </row>
    <row r="4477" spans="1:1">
      <c r="A4477" s="153" t="s">
        <v>6457</v>
      </c>
    </row>
    <row r="4478" spans="1:1">
      <c r="A4478" s="153" t="s">
        <v>6458</v>
      </c>
    </row>
    <row r="4479" spans="1:1">
      <c r="A4479" s="153" t="s">
        <v>6459</v>
      </c>
    </row>
    <row r="4480" spans="1:1">
      <c r="A4480" s="153" t="s">
        <v>6460</v>
      </c>
    </row>
    <row r="4481" spans="1:1">
      <c r="A4481" s="153" t="s">
        <v>6461</v>
      </c>
    </row>
    <row r="4482" spans="1:1">
      <c r="A4482" s="153" t="s">
        <v>6462</v>
      </c>
    </row>
    <row r="4483" spans="1:1">
      <c r="A4483" s="153" t="s">
        <v>6463</v>
      </c>
    </row>
    <row r="4484" spans="1:1">
      <c r="A4484" s="153" t="s">
        <v>6464</v>
      </c>
    </row>
    <row r="4485" spans="1:1">
      <c r="A4485" s="153" t="s">
        <v>6465</v>
      </c>
    </row>
    <row r="4486" spans="1:1">
      <c r="A4486" s="153" t="s">
        <v>6466</v>
      </c>
    </row>
    <row r="4487" spans="1:1">
      <c r="A4487" s="153" t="s">
        <v>6467</v>
      </c>
    </row>
    <row r="4488" spans="1:1">
      <c r="A4488" s="153" t="s">
        <v>6468</v>
      </c>
    </row>
    <row r="4489" spans="1:1">
      <c r="A4489" s="153" t="s">
        <v>6469</v>
      </c>
    </row>
    <row r="4490" spans="1:1">
      <c r="A4490" s="153" t="s">
        <v>6470</v>
      </c>
    </row>
    <row r="4491" spans="1:1">
      <c r="A4491" s="153" t="s">
        <v>6471</v>
      </c>
    </row>
    <row r="4492" spans="1:1">
      <c r="A4492" s="153" t="s">
        <v>6472</v>
      </c>
    </row>
    <row r="4493" spans="1:1">
      <c r="A4493" s="153" t="s">
        <v>6473</v>
      </c>
    </row>
    <row r="4494" spans="1:1">
      <c r="A4494" s="153" t="s">
        <v>6474</v>
      </c>
    </row>
    <row r="4495" spans="1:1">
      <c r="A4495" s="153" t="s">
        <v>6475</v>
      </c>
    </row>
    <row r="4496" spans="1:1">
      <c r="A4496" s="153" t="s">
        <v>6476</v>
      </c>
    </row>
    <row r="4497" spans="1:1">
      <c r="A4497" s="153" t="s">
        <v>6477</v>
      </c>
    </row>
    <row r="4498" spans="1:1">
      <c r="A4498" s="153" t="s">
        <v>6478</v>
      </c>
    </row>
    <row r="4499" spans="1:1">
      <c r="A4499" s="153" t="s">
        <v>6479</v>
      </c>
    </row>
    <row r="4500" spans="1:1">
      <c r="A4500" s="153" t="s">
        <v>6480</v>
      </c>
    </row>
    <row r="4501" spans="1:1">
      <c r="A4501" s="153" t="s">
        <v>6481</v>
      </c>
    </row>
    <row r="4502" spans="1:1">
      <c r="A4502" s="153" t="s">
        <v>6482</v>
      </c>
    </row>
    <row r="4503" spans="1:1">
      <c r="A4503" s="153" t="s">
        <v>6483</v>
      </c>
    </row>
    <row r="4504" spans="1:1">
      <c r="A4504" s="153" t="s">
        <v>6484</v>
      </c>
    </row>
    <row r="4505" spans="1:1">
      <c r="A4505" s="153" t="s">
        <v>6485</v>
      </c>
    </row>
    <row r="4506" spans="1:1">
      <c r="A4506" s="153" t="s">
        <v>6486</v>
      </c>
    </row>
    <row r="4507" spans="1:1">
      <c r="A4507" s="153" t="s">
        <v>6487</v>
      </c>
    </row>
    <row r="4508" spans="1:1">
      <c r="A4508" s="153" t="s">
        <v>6488</v>
      </c>
    </row>
    <row r="4509" spans="1:1">
      <c r="A4509" s="153" t="s">
        <v>6489</v>
      </c>
    </row>
    <row r="4510" spans="1:1">
      <c r="A4510" s="153" t="s">
        <v>6490</v>
      </c>
    </row>
    <row r="4511" spans="1:1">
      <c r="A4511" s="153" t="s">
        <v>6491</v>
      </c>
    </row>
    <row r="4512" spans="1:1">
      <c r="A4512" s="153" t="s">
        <v>6492</v>
      </c>
    </row>
    <row r="4513" spans="1:1">
      <c r="A4513" s="153" t="s">
        <v>6493</v>
      </c>
    </row>
    <row r="4514" spans="1:1">
      <c r="A4514" s="153" t="s">
        <v>6494</v>
      </c>
    </row>
    <row r="4515" spans="1:1">
      <c r="A4515" s="153" t="s">
        <v>6495</v>
      </c>
    </row>
    <row r="4516" spans="1:1">
      <c r="A4516" s="153" t="s">
        <v>6496</v>
      </c>
    </row>
    <row r="4517" spans="1:1">
      <c r="A4517" s="153" t="s">
        <v>6497</v>
      </c>
    </row>
    <row r="4518" spans="1:1">
      <c r="A4518" s="153" t="s">
        <v>6498</v>
      </c>
    </row>
    <row r="4519" spans="1:1">
      <c r="A4519" s="153" t="s">
        <v>6499</v>
      </c>
    </row>
    <row r="4520" spans="1:1">
      <c r="A4520" s="153" t="s">
        <v>6500</v>
      </c>
    </row>
    <row r="4521" spans="1:1">
      <c r="A4521" s="153" t="s">
        <v>6501</v>
      </c>
    </row>
    <row r="4522" spans="1:1">
      <c r="A4522" s="153" t="s">
        <v>6502</v>
      </c>
    </row>
    <row r="4523" spans="1:1">
      <c r="A4523" s="153" t="s">
        <v>6503</v>
      </c>
    </row>
    <row r="4524" spans="1:1">
      <c r="A4524" s="153" t="s">
        <v>6504</v>
      </c>
    </row>
    <row r="4525" spans="1:1">
      <c r="A4525" s="153" t="s">
        <v>6505</v>
      </c>
    </row>
    <row r="4526" spans="1:1">
      <c r="A4526" s="153" t="s">
        <v>6506</v>
      </c>
    </row>
    <row r="4527" spans="1:1">
      <c r="A4527" s="153" t="s">
        <v>6507</v>
      </c>
    </row>
    <row r="4528" spans="1:1">
      <c r="A4528" s="153" t="s">
        <v>6508</v>
      </c>
    </row>
    <row r="4529" spans="1:1">
      <c r="A4529" s="153" t="s">
        <v>6509</v>
      </c>
    </row>
    <row r="4530" spans="1:1">
      <c r="A4530" s="153" t="s">
        <v>6510</v>
      </c>
    </row>
    <row r="4531" spans="1:1">
      <c r="A4531" s="153" t="s">
        <v>6511</v>
      </c>
    </row>
    <row r="4532" spans="1:1">
      <c r="A4532" s="153" t="s">
        <v>6512</v>
      </c>
    </row>
    <row r="4533" spans="1:1">
      <c r="A4533" s="153" t="s">
        <v>6513</v>
      </c>
    </row>
    <row r="4534" spans="1:1">
      <c r="A4534" s="153" t="s">
        <v>6514</v>
      </c>
    </row>
    <row r="4535" spans="1:1">
      <c r="A4535" s="153" t="s">
        <v>6515</v>
      </c>
    </row>
    <row r="4536" spans="1:1">
      <c r="A4536" s="153" t="s">
        <v>6516</v>
      </c>
    </row>
    <row r="4537" spans="1:1">
      <c r="A4537" s="153" t="s">
        <v>6517</v>
      </c>
    </row>
    <row r="4538" spans="1:1">
      <c r="A4538" s="153" t="s">
        <v>6518</v>
      </c>
    </row>
    <row r="4539" spans="1:1">
      <c r="A4539" s="153" t="s">
        <v>6519</v>
      </c>
    </row>
    <row r="4540" spans="1:1">
      <c r="A4540" s="153" t="s">
        <v>6520</v>
      </c>
    </row>
    <row r="4541" spans="1:1">
      <c r="A4541" s="153" t="s">
        <v>6521</v>
      </c>
    </row>
    <row r="4542" spans="1:1">
      <c r="A4542" s="153" t="s">
        <v>6522</v>
      </c>
    </row>
    <row r="4543" spans="1:1">
      <c r="A4543" s="153" t="s">
        <v>6523</v>
      </c>
    </row>
    <row r="4544" spans="1:1">
      <c r="A4544" s="153" t="s">
        <v>6524</v>
      </c>
    </row>
    <row r="4545" spans="1:1">
      <c r="A4545" s="153" t="s">
        <v>6525</v>
      </c>
    </row>
    <row r="4546" spans="1:1">
      <c r="A4546" s="153" t="s">
        <v>6526</v>
      </c>
    </row>
    <row r="4547" spans="1:1">
      <c r="A4547" s="153" t="s">
        <v>6527</v>
      </c>
    </row>
    <row r="4548" spans="1:1">
      <c r="A4548" s="153" t="s">
        <v>6528</v>
      </c>
    </row>
    <row r="4549" spans="1:1">
      <c r="A4549" s="153" t="s">
        <v>6529</v>
      </c>
    </row>
    <row r="4550" spans="1:1">
      <c r="A4550" s="153" t="s">
        <v>6530</v>
      </c>
    </row>
    <row r="4551" spans="1:1">
      <c r="A4551" s="153" t="s">
        <v>6531</v>
      </c>
    </row>
    <row r="4552" spans="1:1">
      <c r="A4552" s="153" t="s">
        <v>6532</v>
      </c>
    </row>
    <row r="4553" spans="1:1">
      <c r="A4553" s="153" t="s">
        <v>6533</v>
      </c>
    </row>
    <row r="4554" spans="1:1">
      <c r="A4554" s="153" t="s">
        <v>6534</v>
      </c>
    </row>
    <row r="4555" spans="1:1">
      <c r="A4555" s="153" t="s">
        <v>6535</v>
      </c>
    </row>
    <row r="4556" spans="1:1">
      <c r="A4556" s="153" t="s">
        <v>6536</v>
      </c>
    </row>
    <row r="4557" spans="1:1">
      <c r="A4557" s="153" t="s">
        <v>6537</v>
      </c>
    </row>
    <row r="4558" spans="1:1">
      <c r="A4558" s="153" t="s">
        <v>6538</v>
      </c>
    </row>
    <row r="4559" spans="1:1">
      <c r="A4559" s="153" t="s">
        <v>6539</v>
      </c>
    </row>
    <row r="4560" spans="1:1">
      <c r="A4560" s="153" t="s">
        <v>6540</v>
      </c>
    </row>
    <row r="4561" spans="1:1">
      <c r="A4561" s="153" t="s">
        <v>6541</v>
      </c>
    </row>
    <row r="4562" spans="1:1">
      <c r="A4562" s="153" t="s">
        <v>6542</v>
      </c>
    </row>
    <row r="4563" spans="1:1">
      <c r="A4563" s="153" t="s">
        <v>6543</v>
      </c>
    </row>
    <row r="4564" spans="1:1">
      <c r="A4564" s="153" t="s">
        <v>6544</v>
      </c>
    </row>
    <row r="4565" spans="1:1">
      <c r="A4565" s="153" t="s">
        <v>6545</v>
      </c>
    </row>
    <row r="4566" spans="1:1">
      <c r="A4566" s="153" t="s">
        <v>6546</v>
      </c>
    </row>
    <row r="4567" spans="1:1">
      <c r="A4567" s="153" t="s">
        <v>6547</v>
      </c>
    </row>
    <row r="4568" spans="1:1">
      <c r="A4568" s="153" t="s">
        <v>6548</v>
      </c>
    </row>
    <row r="4569" spans="1:1">
      <c r="A4569" s="153" t="s">
        <v>6549</v>
      </c>
    </row>
    <row r="4570" spans="1:1">
      <c r="A4570" s="153" t="s">
        <v>6550</v>
      </c>
    </row>
    <row r="4571" spans="1:1">
      <c r="A4571" s="153" t="s">
        <v>6551</v>
      </c>
    </row>
    <row r="4572" spans="1:1">
      <c r="A4572" s="153" t="s">
        <v>6552</v>
      </c>
    </row>
    <row r="4573" spans="1:1">
      <c r="A4573" s="153" t="s">
        <v>6553</v>
      </c>
    </row>
    <row r="4574" spans="1:1">
      <c r="A4574" s="153" t="s">
        <v>6554</v>
      </c>
    </row>
    <row r="4575" spans="1:1">
      <c r="A4575" s="153" t="s">
        <v>6555</v>
      </c>
    </row>
    <row r="4576" spans="1:1">
      <c r="A4576" s="153" t="s">
        <v>6556</v>
      </c>
    </row>
    <row r="4577" spans="1:1">
      <c r="A4577" s="153" t="s">
        <v>6557</v>
      </c>
    </row>
    <row r="4578" spans="1:1">
      <c r="A4578" s="153" t="s">
        <v>6558</v>
      </c>
    </row>
    <row r="4579" spans="1:1">
      <c r="A4579" s="153" t="s">
        <v>6559</v>
      </c>
    </row>
    <row r="4580" spans="1:1">
      <c r="A4580" s="153" t="s">
        <v>6560</v>
      </c>
    </row>
    <row r="4581" spans="1:1">
      <c r="A4581" s="153" t="s">
        <v>6561</v>
      </c>
    </row>
    <row r="4582" spans="1:1">
      <c r="A4582" s="153" t="s">
        <v>6562</v>
      </c>
    </row>
    <row r="4583" spans="1:1">
      <c r="A4583" s="153" t="s">
        <v>6563</v>
      </c>
    </row>
    <row r="4584" spans="1:1">
      <c r="A4584" s="153" t="s">
        <v>6564</v>
      </c>
    </row>
    <row r="4585" spans="1:1">
      <c r="A4585" s="153" t="s">
        <v>6565</v>
      </c>
    </row>
    <row r="4586" spans="1:1">
      <c r="A4586" s="153" t="s">
        <v>6566</v>
      </c>
    </row>
    <row r="4587" spans="1:1">
      <c r="A4587" s="153" t="s">
        <v>6567</v>
      </c>
    </row>
    <row r="4588" spans="1:1">
      <c r="A4588" s="153" t="s">
        <v>6568</v>
      </c>
    </row>
    <row r="4589" spans="1:1">
      <c r="A4589" s="153" t="s">
        <v>6569</v>
      </c>
    </row>
    <row r="4590" spans="1:1">
      <c r="A4590" s="153" t="s">
        <v>6570</v>
      </c>
    </row>
    <row r="4591" spans="1:1">
      <c r="A4591" s="153" t="s">
        <v>6571</v>
      </c>
    </row>
    <row r="4592" spans="1:1">
      <c r="A4592" s="153" t="s">
        <v>6572</v>
      </c>
    </row>
    <row r="4593" spans="1:1">
      <c r="A4593" s="153" t="s">
        <v>6573</v>
      </c>
    </row>
    <row r="4594" spans="1:1">
      <c r="A4594" s="153" t="s">
        <v>6574</v>
      </c>
    </row>
    <row r="4595" spans="1:1">
      <c r="A4595" s="153" t="s">
        <v>6575</v>
      </c>
    </row>
    <row r="4596" spans="1:1">
      <c r="A4596" s="153" t="s">
        <v>6576</v>
      </c>
    </row>
    <row r="4597" spans="1:1">
      <c r="A4597" s="153" t="s">
        <v>6577</v>
      </c>
    </row>
    <row r="4598" spans="1:1">
      <c r="A4598" s="153" t="s">
        <v>6578</v>
      </c>
    </row>
    <row r="4599" spans="1:1">
      <c r="A4599" s="153" t="s">
        <v>6579</v>
      </c>
    </row>
    <row r="4600" spans="1:1">
      <c r="A4600" s="153" t="s">
        <v>6580</v>
      </c>
    </row>
    <row r="4601" spans="1:1">
      <c r="A4601" s="153" t="s">
        <v>6581</v>
      </c>
    </row>
    <row r="4602" spans="1:1">
      <c r="A4602" s="153" t="s">
        <v>6582</v>
      </c>
    </row>
    <row r="4603" spans="1:1">
      <c r="A4603" s="153" t="s">
        <v>6583</v>
      </c>
    </row>
    <row r="4604" spans="1:1">
      <c r="A4604" s="153" t="s">
        <v>6584</v>
      </c>
    </row>
    <row r="4605" spans="1:1">
      <c r="A4605" s="153" t="s">
        <v>6585</v>
      </c>
    </row>
    <row r="4606" spans="1:1">
      <c r="A4606" s="153" t="s">
        <v>6586</v>
      </c>
    </row>
    <row r="4607" spans="1:1">
      <c r="A4607" s="153" t="s">
        <v>6587</v>
      </c>
    </row>
    <row r="4608" spans="1:1">
      <c r="A4608" s="153" t="s">
        <v>6588</v>
      </c>
    </row>
    <row r="4609" spans="1:1">
      <c r="A4609" s="153" t="s">
        <v>6589</v>
      </c>
    </row>
    <row r="4610" spans="1:1">
      <c r="A4610" s="153" t="s">
        <v>6590</v>
      </c>
    </row>
    <row r="4611" spans="1:1">
      <c r="A4611" s="153" t="s">
        <v>6591</v>
      </c>
    </row>
    <row r="4612" spans="1:1">
      <c r="A4612" s="153" t="s">
        <v>6592</v>
      </c>
    </row>
    <row r="4613" spans="1:1">
      <c r="A4613" s="153" t="s">
        <v>6593</v>
      </c>
    </row>
    <row r="4614" spans="1:1">
      <c r="A4614" s="153" t="s">
        <v>6594</v>
      </c>
    </row>
    <row r="4615" spans="1:1">
      <c r="A4615" s="153" t="s">
        <v>6595</v>
      </c>
    </row>
    <row r="4616" spans="1:1">
      <c r="A4616" s="153" t="s">
        <v>6596</v>
      </c>
    </row>
    <row r="4617" spans="1:1">
      <c r="A4617" s="153" t="s">
        <v>6597</v>
      </c>
    </row>
    <row r="4618" spans="1:1">
      <c r="A4618" s="153" t="s">
        <v>6598</v>
      </c>
    </row>
    <row r="4619" spans="1:1">
      <c r="A4619" s="153" t="s">
        <v>6599</v>
      </c>
    </row>
    <row r="4620" spans="1:1">
      <c r="A4620" s="153" t="s">
        <v>6600</v>
      </c>
    </row>
    <row r="4621" spans="1:1">
      <c r="A4621" s="153" t="s">
        <v>6601</v>
      </c>
    </row>
    <row r="4622" spans="1:1">
      <c r="A4622" s="153" t="s">
        <v>6602</v>
      </c>
    </row>
    <row r="4623" spans="1:1">
      <c r="A4623" s="153" t="s">
        <v>6603</v>
      </c>
    </row>
    <row r="4624" spans="1:1">
      <c r="A4624" s="153" t="s">
        <v>6604</v>
      </c>
    </row>
    <row r="4625" spans="1:1">
      <c r="A4625" s="153" t="s">
        <v>6605</v>
      </c>
    </row>
    <row r="4626" spans="1:1">
      <c r="A4626" s="153" t="s">
        <v>6606</v>
      </c>
    </row>
    <row r="4627" spans="1:1">
      <c r="A4627" s="153" t="s">
        <v>6607</v>
      </c>
    </row>
    <row r="4628" spans="1:1">
      <c r="A4628" s="153" t="s">
        <v>6608</v>
      </c>
    </row>
    <row r="4629" spans="1:1">
      <c r="A4629" s="153" t="s">
        <v>6609</v>
      </c>
    </row>
    <row r="4630" spans="1:1">
      <c r="A4630" s="153" t="s">
        <v>6610</v>
      </c>
    </row>
    <row r="4631" spans="1:1">
      <c r="A4631" s="153" t="s">
        <v>6611</v>
      </c>
    </row>
    <row r="4632" spans="1:1">
      <c r="A4632" s="153" t="s">
        <v>6612</v>
      </c>
    </row>
    <row r="4633" spans="1:1">
      <c r="A4633" s="153" t="s">
        <v>6613</v>
      </c>
    </row>
    <row r="4634" spans="1:1">
      <c r="A4634" s="153" t="s">
        <v>6614</v>
      </c>
    </row>
    <row r="4635" spans="1:1">
      <c r="A4635" s="153" t="s">
        <v>6615</v>
      </c>
    </row>
    <row r="4636" spans="1:1">
      <c r="A4636" s="153" t="s">
        <v>6616</v>
      </c>
    </row>
    <row r="4637" spans="1:1">
      <c r="A4637" s="153" t="s">
        <v>6617</v>
      </c>
    </row>
    <row r="4638" spans="1:1">
      <c r="A4638" s="153" t="s">
        <v>6618</v>
      </c>
    </row>
    <row r="4639" spans="1:1">
      <c r="A4639" s="153" t="s">
        <v>6619</v>
      </c>
    </row>
    <row r="4640" spans="1:1">
      <c r="A4640" s="153" t="s">
        <v>6620</v>
      </c>
    </row>
    <row r="4641" spans="1:1">
      <c r="A4641" s="153" t="s">
        <v>6621</v>
      </c>
    </row>
    <row r="4642" spans="1:1">
      <c r="A4642" s="153" t="s">
        <v>6622</v>
      </c>
    </row>
    <row r="4643" spans="1:1">
      <c r="A4643" s="153" t="s">
        <v>6623</v>
      </c>
    </row>
    <row r="4644" spans="1:1">
      <c r="A4644" s="153" t="s">
        <v>6624</v>
      </c>
    </row>
    <row r="4645" spans="1:1">
      <c r="A4645" s="153" t="s">
        <v>6625</v>
      </c>
    </row>
    <row r="4646" spans="1:1">
      <c r="A4646" s="153" t="s">
        <v>6626</v>
      </c>
    </row>
    <row r="4647" spans="1:1">
      <c r="A4647" s="153" t="s">
        <v>6627</v>
      </c>
    </row>
    <row r="4648" spans="1:1">
      <c r="A4648" s="153" t="s">
        <v>6628</v>
      </c>
    </row>
    <row r="4649" spans="1:1">
      <c r="A4649" s="153" t="s">
        <v>6629</v>
      </c>
    </row>
    <row r="4650" spans="1:1">
      <c r="A4650" s="153" t="s">
        <v>6630</v>
      </c>
    </row>
    <row r="4651" spans="1:1">
      <c r="A4651" s="153" t="s">
        <v>6631</v>
      </c>
    </row>
    <row r="4652" spans="1:1">
      <c r="A4652" s="153" t="s">
        <v>6632</v>
      </c>
    </row>
    <row r="4653" spans="1:1">
      <c r="A4653" s="153" t="s">
        <v>6633</v>
      </c>
    </row>
    <row r="4654" spans="1:1">
      <c r="A4654" s="153" t="s">
        <v>6634</v>
      </c>
    </row>
    <row r="4655" spans="1:1">
      <c r="A4655" s="153" t="s">
        <v>6635</v>
      </c>
    </row>
    <row r="4656" spans="1:1">
      <c r="A4656" s="153" t="s">
        <v>6636</v>
      </c>
    </row>
    <row r="4657" spans="1:1">
      <c r="A4657" s="153" t="s">
        <v>6637</v>
      </c>
    </row>
    <row r="4658" spans="1:1">
      <c r="A4658" s="153" t="s">
        <v>6638</v>
      </c>
    </row>
    <row r="4659" spans="1:1">
      <c r="A4659" s="153" t="s">
        <v>6639</v>
      </c>
    </row>
    <row r="4660" spans="1:1">
      <c r="A4660" s="153" t="s">
        <v>6640</v>
      </c>
    </row>
    <row r="4661" spans="1:1">
      <c r="A4661" s="153" t="s">
        <v>6641</v>
      </c>
    </row>
    <row r="4662" spans="1:1">
      <c r="A4662" s="153" t="s">
        <v>6642</v>
      </c>
    </row>
    <row r="4663" spans="1:1">
      <c r="A4663" s="153" t="s">
        <v>6643</v>
      </c>
    </row>
    <row r="4664" spans="1:1">
      <c r="A4664" s="153" t="s">
        <v>6644</v>
      </c>
    </row>
    <row r="4665" spans="1:1">
      <c r="A4665" s="153" t="s">
        <v>6645</v>
      </c>
    </row>
    <row r="4666" spans="1:1">
      <c r="A4666" s="153" t="s">
        <v>6646</v>
      </c>
    </row>
    <row r="4667" spans="1:1">
      <c r="A4667" s="153" t="s">
        <v>6647</v>
      </c>
    </row>
    <row r="4668" spans="1:1">
      <c r="A4668" s="153" t="s">
        <v>6648</v>
      </c>
    </row>
    <row r="4669" spans="1:1">
      <c r="A4669" s="153" t="s">
        <v>6649</v>
      </c>
    </row>
    <row r="4670" spans="1:1">
      <c r="A4670" s="153" t="s">
        <v>6650</v>
      </c>
    </row>
    <row r="4671" spans="1:1">
      <c r="A4671" s="153" t="s">
        <v>6651</v>
      </c>
    </row>
    <row r="4672" spans="1:1">
      <c r="A4672" s="153" t="s">
        <v>6652</v>
      </c>
    </row>
    <row r="4673" spans="1:1">
      <c r="A4673" s="153" t="s">
        <v>6653</v>
      </c>
    </row>
    <row r="4674" spans="1:1">
      <c r="A4674" s="153" t="s">
        <v>6654</v>
      </c>
    </row>
    <row r="4675" spans="1:1">
      <c r="A4675" s="153" t="s">
        <v>6655</v>
      </c>
    </row>
    <row r="4676" spans="1:1">
      <c r="A4676" s="153" t="s">
        <v>6656</v>
      </c>
    </row>
    <row r="4677" spans="1:1">
      <c r="A4677" s="153" t="s">
        <v>6657</v>
      </c>
    </row>
    <row r="4678" spans="1:1">
      <c r="A4678" s="153" t="s">
        <v>6658</v>
      </c>
    </row>
    <row r="4679" spans="1:1">
      <c r="A4679" s="153" t="s">
        <v>6659</v>
      </c>
    </row>
    <row r="4680" spans="1:1">
      <c r="A4680" s="153" t="s">
        <v>6660</v>
      </c>
    </row>
    <row r="4681" spans="1:1">
      <c r="A4681" s="153" t="s">
        <v>6661</v>
      </c>
    </row>
    <row r="4682" spans="1:1">
      <c r="A4682" s="153" t="s">
        <v>6662</v>
      </c>
    </row>
    <row r="4683" spans="1:1">
      <c r="A4683" s="153" t="s">
        <v>6663</v>
      </c>
    </row>
    <row r="4684" spans="1:1">
      <c r="A4684" s="153" t="s">
        <v>6664</v>
      </c>
    </row>
    <row r="4685" spans="1:1">
      <c r="A4685" s="153" t="s">
        <v>6665</v>
      </c>
    </row>
    <row r="4686" spans="1:1">
      <c r="A4686" s="153" t="s">
        <v>6666</v>
      </c>
    </row>
    <row r="4687" spans="1:1">
      <c r="A4687" s="153" t="s">
        <v>6667</v>
      </c>
    </row>
    <row r="4688" spans="1:1">
      <c r="A4688" s="153" t="s">
        <v>6668</v>
      </c>
    </row>
    <row r="4689" spans="1:1">
      <c r="A4689" s="153" t="s">
        <v>6669</v>
      </c>
    </row>
    <row r="4690" spans="1:1">
      <c r="A4690" s="153" t="s">
        <v>6670</v>
      </c>
    </row>
    <row r="4691" spans="1:1">
      <c r="A4691" s="153" t="s">
        <v>6671</v>
      </c>
    </row>
    <row r="4692" spans="1:1">
      <c r="A4692" s="153" t="s">
        <v>6672</v>
      </c>
    </row>
    <row r="4693" spans="1:1">
      <c r="A4693" s="153" t="s">
        <v>6673</v>
      </c>
    </row>
    <row r="4694" spans="1:1">
      <c r="A4694" s="153" t="s">
        <v>6674</v>
      </c>
    </row>
    <row r="4695" spans="1:1">
      <c r="A4695" s="153" t="s">
        <v>6675</v>
      </c>
    </row>
    <row r="4696" spans="1:1">
      <c r="A4696" s="153" t="s">
        <v>6676</v>
      </c>
    </row>
    <row r="4697" spans="1:1">
      <c r="A4697" s="153" t="s">
        <v>6677</v>
      </c>
    </row>
    <row r="4698" spans="1:1">
      <c r="A4698" s="153" t="s">
        <v>6678</v>
      </c>
    </row>
    <row r="4699" spans="1:1">
      <c r="A4699" s="153" t="s">
        <v>6679</v>
      </c>
    </row>
    <row r="4700" spans="1:1">
      <c r="A4700" s="153" t="s">
        <v>6680</v>
      </c>
    </row>
    <row r="4701" spans="1:1">
      <c r="A4701" s="153" t="s">
        <v>6681</v>
      </c>
    </row>
    <row r="4702" spans="1:1">
      <c r="A4702" s="153" t="s">
        <v>6682</v>
      </c>
    </row>
    <row r="4703" spans="1:1">
      <c r="A4703" s="153" t="s">
        <v>6683</v>
      </c>
    </row>
    <row r="4704" spans="1:1">
      <c r="A4704" s="153" t="s">
        <v>6684</v>
      </c>
    </row>
    <row r="4705" spans="1:1">
      <c r="A4705" s="153" t="s">
        <v>6685</v>
      </c>
    </row>
    <row r="4706" spans="1:1">
      <c r="A4706" s="153" t="s">
        <v>6686</v>
      </c>
    </row>
    <row r="4707" spans="1:1">
      <c r="A4707" s="153" t="s">
        <v>6687</v>
      </c>
    </row>
    <row r="4708" spans="1:1">
      <c r="A4708" s="153" t="s">
        <v>6688</v>
      </c>
    </row>
    <row r="4709" spans="1:1">
      <c r="A4709" s="153" t="s">
        <v>6689</v>
      </c>
    </row>
    <row r="4710" spans="1:1">
      <c r="A4710" s="153" t="s">
        <v>6690</v>
      </c>
    </row>
    <row r="4711" spans="1:1">
      <c r="A4711" s="153" t="s">
        <v>6691</v>
      </c>
    </row>
    <row r="4712" spans="1:1">
      <c r="A4712" s="153" t="s">
        <v>6692</v>
      </c>
    </row>
    <row r="4713" spans="1:1">
      <c r="A4713" s="153" t="s">
        <v>6693</v>
      </c>
    </row>
    <row r="4714" spans="1:1">
      <c r="A4714" s="153" t="s">
        <v>6694</v>
      </c>
    </row>
    <row r="4715" spans="1:1">
      <c r="A4715" s="153" t="s">
        <v>6695</v>
      </c>
    </row>
    <row r="4716" spans="1:1">
      <c r="A4716" s="153" t="s">
        <v>6696</v>
      </c>
    </row>
    <row r="4717" spans="1:1">
      <c r="A4717" s="153" t="s">
        <v>6697</v>
      </c>
    </row>
    <row r="4718" spans="1:1">
      <c r="A4718" s="153" t="s">
        <v>6698</v>
      </c>
    </row>
    <row r="4719" spans="1:1">
      <c r="A4719" s="153" t="s">
        <v>6699</v>
      </c>
    </row>
    <row r="4720" spans="1:1">
      <c r="A4720" s="153" t="s">
        <v>6700</v>
      </c>
    </row>
    <row r="4721" spans="1:1">
      <c r="A4721" s="153" t="s">
        <v>6701</v>
      </c>
    </row>
    <row r="4722" spans="1:1">
      <c r="A4722" s="153" t="s">
        <v>6702</v>
      </c>
    </row>
    <row r="4723" spans="1:1">
      <c r="A4723" s="153" t="s">
        <v>6703</v>
      </c>
    </row>
    <row r="4724" spans="1:1">
      <c r="A4724" s="153" t="s">
        <v>6704</v>
      </c>
    </row>
    <row r="4725" spans="1:1">
      <c r="A4725" s="153" t="s">
        <v>6705</v>
      </c>
    </row>
    <row r="4726" spans="1:1">
      <c r="A4726" s="153" t="s">
        <v>6706</v>
      </c>
    </row>
    <row r="4727" spans="1:1">
      <c r="A4727" s="153" t="s">
        <v>6707</v>
      </c>
    </row>
    <row r="4728" spans="1:1">
      <c r="A4728" s="153" t="s">
        <v>6708</v>
      </c>
    </row>
    <row r="4729" spans="1:1">
      <c r="A4729" s="153" t="s">
        <v>6709</v>
      </c>
    </row>
    <row r="4730" spans="1:1">
      <c r="A4730" s="153" t="s">
        <v>6710</v>
      </c>
    </row>
    <row r="4731" spans="1:1">
      <c r="A4731" s="153" t="s">
        <v>6711</v>
      </c>
    </row>
    <row r="4732" spans="1:1">
      <c r="A4732" s="153" t="s">
        <v>6712</v>
      </c>
    </row>
    <row r="4733" spans="1:1">
      <c r="A4733" s="153" t="s">
        <v>6713</v>
      </c>
    </row>
    <row r="4734" spans="1:1">
      <c r="A4734" s="153" t="s">
        <v>6714</v>
      </c>
    </row>
    <row r="4735" spans="1:1">
      <c r="A4735" s="153" t="s">
        <v>6715</v>
      </c>
    </row>
    <row r="4736" spans="1:1">
      <c r="A4736" s="153" t="s">
        <v>6716</v>
      </c>
    </row>
    <row r="4737" spans="1:1">
      <c r="A4737" s="153" t="s">
        <v>6717</v>
      </c>
    </row>
    <row r="4738" spans="1:1">
      <c r="A4738" s="153" t="s">
        <v>6718</v>
      </c>
    </row>
    <row r="4739" spans="1:1">
      <c r="A4739" s="153" t="s">
        <v>6719</v>
      </c>
    </row>
    <row r="4740" spans="1:1">
      <c r="A4740" s="153" t="s">
        <v>6720</v>
      </c>
    </row>
    <row r="4741" spans="1:1">
      <c r="A4741" s="153" t="s">
        <v>6721</v>
      </c>
    </row>
    <row r="4742" spans="1:1">
      <c r="A4742" s="153" t="s">
        <v>6722</v>
      </c>
    </row>
    <row r="4743" spans="1:1">
      <c r="A4743" s="153" t="s">
        <v>6723</v>
      </c>
    </row>
    <row r="4744" spans="1:1">
      <c r="A4744" s="153" t="s">
        <v>6724</v>
      </c>
    </row>
    <row r="4745" spans="1:1">
      <c r="A4745" s="153" t="s">
        <v>6725</v>
      </c>
    </row>
    <row r="4746" spans="1:1">
      <c r="A4746" s="153" t="s">
        <v>6726</v>
      </c>
    </row>
    <row r="4747" spans="1:1">
      <c r="A4747" s="153" t="s">
        <v>6727</v>
      </c>
    </row>
    <row r="4748" spans="1:1">
      <c r="A4748" s="153" t="s">
        <v>6728</v>
      </c>
    </row>
    <row r="4749" spans="1:1">
      <c r="A4749" s="153" t="s">
        <v>6729</v>
      </c>
    </row>
    <row r="4750" spans="1:1">
      <c r="A4750" s="153" t="s">
        <v>6730</v>
      </c>
    </row>
    <row r="4751" spans="1:1">
      <c r="A4751" s="153" t="s">
        <v>6731</v>
      </c>
    </row>
    <row r="4752" spans="1:1">
      <c r="A4752" s="153" t="s">
        <v>6732</v>
      </c>
    </row>
    <row r="4753" spans="1:1">
      <c r="A4753" s="153" t="s">
        <v>6733</v>
      </c>
    </row>
    <row r="4754" spans="1:1">
      <c r="A4754" s="153" t="s">
        <v>6734</v>
      </c>
    </row>
    <row r="4755" spans="1:1">
      <c r="A4755" s="153" t="s">
        <v>6735</v>
      </c>
    </row>
    <row r="4756" spans="1:1">
      <c r="A4756" s="153" t="s">
        <v>6736</v>
      </c>
    </row>
    <row r="4757" spans="1:1">
      <c r="A4757" s="153" t="s">
        <v>6737</v>
      </c>
    </row>
    <row r="4758" spans="1:1">
      <c r="A4758" s="153" t="s">
        <v>6738</v>
      </c>
    </row>
    <row r="4759" spans="1:1">
      <c r="A4759" s="153" t="s">
        <v>6739</v>
      </c>
    </row>
    <row r="4760" spans="1:1">
      <c r="A4760" s="153" t="s">
        <v>6740</v>
      </c>
    </row>
    <row r="4761" spans="1:1">
      <c r="A4761" s="153" t="s">
        <v>6741</v>
      </c>
    </row>
    <row r="4762" spans="1:1">
      <c r="A4762" s="153" t="s">
        <v>6742</v>
      </c>
    </row>
    <row r="4763" spans="1:1">
      <c r="A4763" s="153" t="s">
        <v>6743</v>
      </c>
    </row>
    <row r="4764" spans="1:1">
      <c r="A4764" s="153" t="s">
        <v>6744</v>
      </c>
    </row>
    <row r="4765" spans="1:1">
      <c r="A4765" s="153" t="s">
        <v>6745</v>
      </c>
    </row>
    <row r="4766" spans="1:1">
      <c r="A4766" s="153" t="s">
        <v>6746</v>
      </c>
    </row>
    <row r="4767" spans="1:1">
      <c r="A4767" s="153" t="s">
        <v>6747</v>
      </c>
    </row>
    <row r="4768" spans="1:1">
      <c r="A4768" s="153" t="s">
        <v>6748</v>
      </c>
    </row>
    <row r="4769" spans="1:1">
      <c r="A4769" s="153" t="s">
        <v>6749</v>
      </c>
    </row>
    <row r="4770" spans="1:1">
      <c r="A4770" s="153" t="s">
        <v>6750</v>
      </c>
    </row>
    <row r="4771" spans="1:1">
      <c r="A4771" s="153" t="s">
        <v>6751</v>
      </c>
    </row>
    <row r="4772" spans="1:1">
      <c r="A4772" s="153" t="s">
        <v>6752</v>
      </c>
    </row>
    <row r="4773" spans="1:1">
      <c r="A4773" s="153" t="s">
        <v>6753</v>
      </c>
    </row>
    <row r="4774" spans="1:1">
      <c r="A4774" s="153" t="s">
        <v>6754</v>
      </c>
    </row>
    <row r="4775" spans="1:1">
      <c r="A4775" s="153" t="s">
        <v>6755</v>
      </c>
    </row>
    <row r="4776" spans="1:1">
      <c r="A4776" s="153" t="s">
        <v>6756</v>
      </c>
    </row>
    <row r="4777" spans="1:1">
      <c r="A4777" s="153" t="s">
        <v>6757</v>
      </c>
    </row>
    <row r="4778" spans="1:1">
      <c r="A4778" s="153" t="s">
        <v>6758</v>
      </c>
    </row>
    <row r="4779" spans="1:1">
      <c r="A4779" s="153" t="s">
        <v>6759</v>
      </c>
    </row>
    <row r="4780" spans="1:1">
      <c r="A4780" s="153" t="s">
        <v>6760</v>
      </c>
    </row>
    <row r="4781" spans="1:1">
      <c r="A4781" s="153" t="s">
        <v>6761</v>
      </c>
    </row>
    <row r="4782" spans="1:1">
      <c r="A4782" s="153" t="s">
        <v>6762</v>
      </c>
    </row>
    <row r="4783" spans="1:1">
      <c r="A4783" s="153" t="s">
        <v>6763</v>
      </c>
    </row>
    <row r="4784" spans="1:1">
      <c r="A4784" s="153" t="s">
        <v>6764</v>
      </c>
    </row>
    <row r="4785" spans="1:1">
      <c r="A4785" s="153" t="s">
        <v>6765</v>
      </c>
    </row>
    <row r="4786" spans="1:1">
      <c r="A4786" s="153" t="s">
        <v>6766</v>
      </c>
    </row>
    <row r="4787" spans="1:1">
      <c r="A4787" s="153" t="s">
        <v>6767</v>
      </c>
    </row>
    <row r="4788" spans="1:1">
      <c r="A4788" s="153" t="s">
        <v>6768</v>
      </c>
    </row>
    <row r="4789" spans="1:1">
      <c r="A4789" s="153" t="s">
        <v>6769</v>
      </c>
    </row>
    <row r="4790" spans="1:1">
      <c r="A4790" s="153" t="s">
        <v>6770</v>
      </c>
    </row>
    <row r="4791" spans="1:1">
      <c r="A4791" s="153" t="s">
        <v>6771</v>
      </c>
    </row>
    <row r="4792" spans="1:1">
      <c r="A4792" s="153" t="s">
        <v>6772</v>
      </c>
    </row>
    <row r="4793" spans="1:1">
      <c r="A4793" s="153" t="s">
        <v>6773</v>
      </c>
    </row>
    <row r="4794" spans="1:1">
      <c r="A4794" s="153" t="s">
        <v>6774</v>
      </c>
    </row>
    <row r="4795" spans="1:1">
      <c r="A4795" s="153" t="s">
        <v>6775</v>
      </c>
    </row>
    <row r="4796" spans="1:1">
      <c r="A4796" s="153" t="s">
        <v>6776</v>
      </c>
    </row>
    <row r="4797" spans="1:1">
      <c r="A4797" s="153" t="s">
        <v>6777</v>
      </c>
    </row>
    <row r="4798" spans="1:1">
      <c r="A4798" s="153" t="s">
        <v>6778</v>
      </c>
    </row>
    <row r="4799" spans="1:1">
      <c r="A4799" s="153" t="s">
        <v>6779</v>
      </c>
    </row>
    <row r="4800" spans="1:1">
      <c r="A4800" s="153" t="s">
        <v>6780</v>
      </c>
    </row>
    <row r="4801" spans="1:1">
      <c r="A4801" s="153" t="s">
        <v>6781</v>
      </c>
    </row>
    <row r="4802" spans="1:1">
      <c r="A4802" s="153" t="s">
        <v>6782</v>
      </c>
    </row>
    <row r="4803" spans="1:1">
      <c r="A4803" s="153" t="s">
        <v>6783</v>
      </c>
    </row>
    <row r="4804" spans="1:1">
      <c r="A4804" s="153" t="s">
        <v>6784</v>
      </c>
    </row>
    <row r="4805" spans="1:1">
      <c r="A4805" s="153" t="s">
        <v>6785</v>
      </c>
    </row>
    <row r="4806" spans="1:1">
      <c r="A4806" s="153" t="s">
        <v>6786</v>
      </c>
    </row>
    <row r="4807" spans="1:1">
      <c r="A4807" s="153" t="s">
        <v>6787</v>
      </c>
    </row>
    <row r="4808" spans="1:1">
      <c r="A4808" s="153" t="s">
        <v>6788</v>
      </c>
    </row>
    <row r="4809" spans="1:1">
      <c r="A4809" s="153" t="s">
        <v>6789</v>
      </c>
    </row>
    <row r="4810" spans="1:1">
      <c r="A4810" s="153" t="s">
        <v>6790</v>
      </c>
    </row>
    <row r="4811" spans="1:1">
      <c r="A4811" s="153" t="s">
        <v>6791</v>
      </c>
    </row>
    <row r="4812" spans="1:1">
      <c r="A4812" s="153" t="s">
        <v>6792</v>
      </c>
    </row>
    <row r="4813" spans="1:1">
      <c r="A4813" s="153" t="s">
        <v>6793</v>
      </c>
    </row>
    <row r="4814" spans="1:1">
      <c r="A4814" s="153" t="s">
        <v>6794</v>
      </c>
    </row>
    <row r="4815" spans="1:1">
      <c r="A4815" s="153" t="s">
        <v>6795</v>
      </c>
    </row>
    <row r="4816" spans="1:1">
      <c r="A4816" s="153" t="s">
        <v>6796</v>
      </c>
    </row>
    <row r="4817" spans="1:1">
      <c r="A4817" s="153" t="s">
        <v>6797</v>
      </c>
    </row>
    <row r="4818" spans="1:1">
      <c r="A4818" s="153" t="s">
        <v>6798</v>
      </c>
    </row>
    <row r="4819" spans="1:1">
      <c r="A4819" s="153" t="s">
        <v>6799</v>
      </c>
    </row>
    <row r="4820" spans="1:1">
      <c r="A4820" s="153" t="s">
        <v>6800</v>
      </c>
    </row>
    <row r="4821" spans="1:1">
      <c r="A4821" s="153" t="s">
        <v>6801</v>
      </c>
    </row>
    <row r="4822" spans="1:1">
      <c r="A4822" s="153" t="s">
        <v>6802</v>
      </c>
    </row>
    <row r="4823" spans="1:1">
      <c r="A4823" s="153" t="s">
        <v>6803</v>
      </c>
    </row>
    <row r="4824" spans="1:1">
      <c r="A4824" s="153" t="s">
        <v>6804</v>
      </c>
    </row>
    <row r="4825" spans="1:1">
      <c r="A4825" s="153" t="s">
        <v>6805</v>
      </c>
    </row>
    <row r="4826" spans="1:1">
      <c r="A4826" s="153" t="s">
        <v>6806</v>
      </c>
    </row>
    <row r="4827" spans="1:1">
      <c r="A4827" s="153" t="s">
        <v>6807</v>
      </c>
    </row>
    <row r="4828" spans="1:1">
      <c r="A4828" s="153" t="s">
        <v>6808</v>
      </c>
    </row>
    <row r="4829" spans="1:1">
      <c r="A4829" s="153" t="s">
        <v>6809</v>
      </c>
    </row>
    <row r="4830" spans="1:1">
      <c r="A4830" s="153" t="s">
        <v>6810</v>
      </c>
    </row>
    <row r="4831" spans="1:1">
      <c r="A4831" s="153" t="s">
        <v>6811</v>
      </c>
    </row>
    <row r="4832" spans="1:1">
      <c r="A4832" s="153" t="s">
        <v>6812</v>
      </c>
    </row>
    <row r="4833" spans="1:1">
      <c r="A4833" s="153" t="s">
        <v>6813</v>
      </c>
    </row>
    <row r="4834" spans="1:1">
      <c r="A4834" s="153" t="s">
        <v>6814</v>
      </c>
    </row>
    <row r="4835" spans="1:1">
      <c r="A4835" s="153" t="s">
        <v>6815</v>
      </c>
    </row>
    <row r="4836" spans="1:1">
      <c r="A4836" s="153" t="s">
        <v>6816</v>
      </c>
    </row>
    <row r="4837" spans="1:1">
      <c r="A4837" s="153" t="s">
        <v>6817</v>
      </c>
    </row>
    <row r="4838" spans="1:1">
      <c r="A4838" s="153" t="s">
        <v>6818</v>
      </c>
    </row>
    <row r="4839" spans="1:1">
      <c r="A4839" s="153" t="s">
        <v>6819</v>
      </c>
    </row>
    <row r="4840" spans="1:1">
      <c r="A4840" s="153" t="s">
        <v>6820</v>
      </c>
    </row>
    <row r="4841" spans="1:1">
      <c r="A4841" s="153" t="s">
        <v>6821</v>
      </c>
    </row>
    <row r="4842" spans="1:1">
      <c r="A4842" s="153" t="s">
        <v>6822</v>
      </c>
    </row>
    <row r="4843" spans="1:1">
      <c r="A4843" s="153" t="s">
        <v>6823</v>
      </c>
    </row>
    <row r="4844" spans="1:1">
      <c r="A4844" s="153" t="s">
        <v>6824</v>
      </c>
    </row>
    <row r="4845" spans="1:1">
      <c r="A4845" s="153" t="s">
        <v>6825</v>
      </c>
    </row>
    <row r="4846" spans="1:1">
      <c r="A4846" s="153" t="s">
        <v>6826</v>
      </c>
    </row>
    <row r="4847" spans="1:1">
      <c r="A4847" s="153" t="s">
        <v>6827</v>
      </c>
    </row>
    <row r="4848" spans="1:1">
      <c r="A4848" s="153" t="s">
        <v>6828</v>
      </c>
    </row>
    <row r="4849" spans="1:1">
      <c r="A4849" s="153" t="s">
        <v>6829</v>
      </c>
    </row>
    <row r="4850" spans="1:1">
      <c r="A4850" s="153" t="s">
        <v>6830</v>
      </c>
    </row>
    <row r="4851" spans="1:1">
      <c r="A4851" s="153" t="s">
        <v>6831</v>
      </c>
    </row>
    <row r="4852" spans="1:1">
      <c r="A4852" s="153" t="s">
        <v>6832</v>
      </c>
    </row>
    <row r="4853" spans="1:1">
      <c r="A4853" s="153" t="s">
        <v>6833</v>
      </c>
    </row>
    <row r="4854" spans="1:1">
      <c r="A4854" s="153" t="s">
        <v>6834</v>
      </c>
    </row>
    <row r="4855" spans="1:1">
      <c r="A4855" s="153" t="s">
        <v>6835</v>
      </c>
    </row>
    <row r="4856" spans="1:1">
      <c r="A4856" s="153" t="s">
        <v>6836</v>
      </c>
    </row>
    <row r="4857" spans="1:1">
      <c r="A4857" s="153" t="s">
        <v>6837</v>
      </c>
    </row>
    <row r="4858" spans="1:1">
      <c r="A4858" s="153" t="s">
        <v>6838</v>
      </c>
    </row>
    <row r="4859" spans="1:1">
      <c r="A4859" s="153" t="s">
        <v>6839</v>
      </c>
    </row>
    <row r="4860" spans="1:1">
      <c r="A4860" s="153" t="s">
        <v>6840</v>
      </c>
    </row>
    <row r="4861" spans="1:1">
      <c r="A4861" s="153" t="s">
        <v>6841</v>
      </c>
    </row>
    <row r="4862" spans="1:1">
      <c r="A4862" s="153" t="s">
        <v>6842</v>
      </c>
    </row>
    <row r="4863" spans="1:1">
      <c r="A4863" s="153" t="s">
        <v>6843</v>
      </c>
    </row>
    <row r="4864" spans="1:1">
      <c r="A4864" s="153" t="s">
        <v>6844</v>
      </c>
    </row>
    <row r="4865" spans="1:1">
      <c r="A4865" s="153" t="s">
        <v>6845</v>
      </c>
    </row>
    <row r="4866" spans="1:1">
      <c r="A4866" s="153" t="s">
        <v>6846</v>
      </c>
    </row>
    <row r="4867" spans="1:1">
      <c r="A4867" s="153" t="s">
        <v>6847</v>
      </c>
    </row>
    <row r="4868" spans="1:1">
      <c r="A4868" s="153" t="s">
        <v>6848</v>
      </c>
    </row>
    <row r="4869" spans="1:1">
      <c r="A4869" s="153" t="s">
        <v>6849</v>
      </c>
    </row>
    <row r="4870" spans="1:1">
      <c r="A4870" s="153" t="s">
        <v>6850</v>
      </c>
    </row>
    <row r="4871" spans="1:1">
      <c r="A4871" s="153" t="s">
        <v>6851</v>
      </c>
    </row>
    <row r="4872" spans="1:1">
      <c r="A4872" s="153" t="s">
        <v>6852</v>
      </c>
    </row>
    <row r="4873" spans="1:1">
      <c r="A4873" s="153" t="s">
        <v>6853</v>
      </c>
    </row>
    <row r="4874" spans="1:1">
      <c r="A4874" s="153" t="s">
        <v>6854</v>
      </c>
    </row>
    <row r="4875" spans="1:1">
      <c r="A4875" s="153" t="s">
        <v>6855</v>
      </c>
    </row>
    <row r="4876" spans="1:1">
      <c r="A4876" s="153" t="s">
        <v>6856</v>
      </c>
    </row>
    <row r="4877" spans="1:1">
      <c r="A4877" s="153" t="s">
        <v>6857</v>
      </c>
    </row>
    <row r="4878" spans="1:1">
      <c r="A4878" s="153" t="s">
        <v>6858</v>
      </c>
    </row>
    <row r="4879" spans="1:1">
      <c r="A4879" s="153" t="s">
        <v>6859</v>
      </c>
    </row>
    <row r="4880" spans="1:1">
      <c r="A4880" s="153" t="s">
        <v>6860</v>
      </c>
    </row>
    <row r="4881" spans="1:1">
      <c r="A4881" s="153" t="s">
        <v>6861</v>
      </c>
    </row>
    <row r="4882" spans="1:1">
      <c r="A4882" s="153" t="s">
        <v>6862</v>
      </c>
    </row>
    <row r="4883" spans="1:1">
      <c r="A4883" s="153" t="s">
        <v>6863</v>
      </c>
    </row>
    <row r="4884" spans="1:1">
      <c r="A4884" s="153" t="s">
        <v>6864</v>
      </c>
    </row>
    <row r="4885" spans="1:1">
      <c r="A4885" s="153" t="s">
        <v>6865</v>
      </c>
    </row>
    <row r="4886" spans="1:1">
      <c r="A4886" s="153" t="s">
        <v>6866</v>
      </c>
    </row>
    <row r="4887" spans="1:1">
      <c r="A4887" s="153" t="s">
        <v>6867</v>
      </c>
    </row>
    <row r="4888" spans="1:1">
      <c r="A4888" s="153" t="s">
        <v>6868</v>
      </c>
    </row>
    <row r="4889" spans="1:1">
      <c r="A4889" s="153" t="s">
        <v>6869</v>
      </c>
    </row>
    <row r="4890" spans="1:1">
      <c r="A4890" s="153" t="s">
        <v>6870</v>
      </c>
    </row>
    <row r="4891" spans="1:1">
      <c r="A4891" s="153" t="s">
        <v>6871</v>
      </c>
    </row>
    <row r="4892" spans="1:1">
      <c r="A4892" s="153" t="s">
        <v>6872</v>
      </c>
    </row>
    <row r="4893" spans="1:1">
      <c r="A4893" s="153" t="s">
        <v>6873</v>
      </c>
    </row>
    <row r="4894" spans="1:1">
      <c r="A4894" s="153" t="s">
        <v>6874</v>
      </c>
    </row>
    <row r="4895" spans="1:1">
      <c r="A4895" s="153" t="s">
        <v>6875</v>
      </c>
    </row>
    <row r="4896" spans="1:1">
      <c r="A4896" s="153" t="s">
        <v>6876</v>
      </c>
    </row>
    <row r="4897" spans="1:1">
      <c r="A4897" s="153" t="s">
        <v>6877</v>
      </c>
    </row>
    <row r="4898" spans="1:1">
      <c r="A4898" s="153" t="s">
        <v>6878</v>
      </c>
    </row>
    <row r="4899" spans="1:1">
      <c r="A4899" s="153" t="s">
        <v>6879</v>
      </c>
    </row>
    <row r="4900" spans="1:1">
      <c r="A4900" s="153" t="s">
        <v>6880</v>
      </c>
    </row>
    <row r="4901" spans="1:1">
      <c r="A4901" s="153" t="s">
        <v>6881</v>
      </c>
    </row>
    <row r="4902" spans="1:1">
      <c r="A4902" s="153" t="s">
        <v>6882</v>
      </c>
    </row>
    <row r="4903" spans="1:1">
      <c r="A4903" s="153" t="s">
        <v>6883</v>
      </c>
    </row>
    <row r="4904" spans="1:1">
      <c r="A4904" s="153" t="s">
        <v>6884</v>
      </c>
    </row>
    <row r="4905" spans="1:1">
      <c r="A4905" s="153" t="s">
        <v>6885</v>
      </c>
    </row>
    <row r="4906" spans="1:1">
      <c r="A4906" s="153" t="s">
        <v>6886</v>
      </c>
    </row>
    <row r="4907" spans="1:1">
      <c r="A4907" s="153" t="s">
        <v>6887</v>
      </c>
    </row>
    <row r="4908" spans="1:1">
      <c r="A4908" s="153" t="s">
        <v>6888</v>
      </c>
    </row>
    <row r="4909" spans="1:1">
      <c r="A4909" s="153" t="s">
        <v>6889</v>
      </c>
    </row>
    <row r="4910" spans="1:1">
      <c r="A4910" s="153" t="s">
        <v>6890</v>
      </c>
    </row>
    <row r="4911" spans="1:1">
      <c r="A4911" s="153" t="s">
        <v>6891</v>
      </c>
    </row>
    <row r="4912" spans="1:1">
      <c r="A4912" s="153" t="s">
        <v>6892</v>
      </c>
    </row>
    <row r="4913" spans="1:1">
      <c r="A4913" s="153" t="s">
        <v>6893</v>
      </c>
    </row>
    <row r="4914" spans="1:1">
      <c r="A4914" s="153" t="s">
        <v>6894</v>
      </c>
    </row>
    <row r="4915" spans="1:1">
      <c r="A4915" s="153" t="s">
        <v>6895</v>
      </c>
    </row>
    <row r="4916" spans="1:1">
      <c r="A4916" s="153" t="s">
        <v>6896</v>
      </c>
    </row>
    <row r="4917" spans="1:1">
      <c r="A4917" s="153" t="s">
        <v>6897</v>
      </c>
    </row>
    <row r="4918" spans="1:1">
      <c r="A4918" s="153" t="s">
        <v>6898</v>
      </c>
    </row>
    <row r="4919" spans="1:1">
      <c r="A4919" s="153" t="s">
        <v>6899</v>
      </c>
    </row>
    <row r="4920" spans="1:1">
      <c r="A4920" s="153" t="s">
        <v>6900</v>
      </c>
    </row>
    <row r="4921" spans="1:1">
      <c r="A4921" s="153" t="s">
        <v>6901</v>
      </c>
    </row>
    <row r="4922" spans="1:1">
      <c r="A4922" s="153" t="s">
        <v>6902</v>
      </c>
    </row>
    <row r="4923" spans="1:1">
      <c r="A4923" s="153" t="s">
        <v>6903</v>
      </c>
    </row>
    <row r="4924" spans="1:1">
      <c r="A4924" s="153" t="s">
        <v>6904</v>
      </c>
    </row>
    <row r="4925" spans="1:1">
      <c r="A4925" s="153" t="s">
        <v>6905</v>
      </c>
    </row>
    <row r="4926" spans="1:1">
      <c r="A4926" s="153" t="s">
        <v>6906</v>
      </c>
    </row>
    <row r="4927" spans="1:1">
      <c r="A4927" s="153" t="s">
        <v>6907</v>
      </c>
    </row>
    <row r="4928" spans="1:1">
      <c r="A4928" s="153" t="s">
        <v>6908</v>
      </c>
    </row>
    <row r="4929" spans="1:1">
      <c r="A4929" s="153" t="s">
        <v>6909</v>
      </c>
    </row>
    <row r="4930" spans="1:1">
      <c r="A4930" s="153" t="s">
        <v>6910</v>
      </c>
    </row>
    <row r="4931" spans="1:1">
      <c r="A4931" s="153" t="s">
        <v>6911</v>
      </c>
    </row>
    <row r="4932" spans="1:1">
      <c r="A4932" s="153" t="s">
        <v>6912</v>
      </c>
    </row>
    <row r="4933" spans="1:1">
      <c r="A4933" s="153" t="s">
        <v>6913</v>
      </c>
    </row>
    <row r="4934" spans="1:1">
      <c r="A4934" s="153" t="s">
        <v>6914</v>
      </c>
    </row>
    <row r="4935" spans="1:1">
      <c r="A4935" s="153" t="s">
        <v>6915</v>
      </c>
    </row>
    <row r="4936" spans="1:1">
      <c r="A4936" s="153" t="s">
        <v>6916</v>
      </c>
    </row>
    <row r="4937" spans="1:1">
      <c r="A4937" s="153" t="s">
        <v>6917</v>
      </c>
    </row>
    <row r="4938" spans="1:1">
      <c r="A4938" s="153" t="s">
        <v>6918</v>
      </c>
    </row>
    <row r="4939" spans="1:1">
      <c r="A4939" s="153" t="s">
        <v>6919</v>
      </c>
    </row>
    <row r="4940" spans="1:1">
      <c r="A4940" s="153" t="s">
        <v>6920</v>
      </c>
    </row>
    <row r="4941" spans="1:1">
      <c r="A4941" s="153" t="s">
        <v>6921</v>
      </c>
    </row>
    <row r="4942" spans="1:1">
      <c r="A4942" s="153" t="s">
        <v>6922</v>
      </c>
    </row>
    <row r="4943" spans="1:1">
      <c r="A4943" s="153" t="s">
        <v>6923</v>
      </c>
    </row>
    <row r="4944" spans="1:1">
      <c r="A4944" s="153" t="s">
        <v>6924</v>
      </c>
    </row>
    <row r="4945" spans="1:1">
      <c r="A4945" s="153" t="s">
        <v>6925</v>
      </c>
    </row>
    <row r="4946" spans="1:1">
      <c r="A4946" s="153" t="s">
        <v>6926</v>
      </c>
    </row>
    <row r="4947" spans="1:1">
      <c r="A4947" s="153" t="s">
        <v>6927</v>
      </c>
    </row>
    <row r="4948" spans="1:1">
      <c r="A4948" s="153" t="s">
        <v>6928</v>
      </c>
    </row>
    <row r="4949" spans="1:1">
      <c r="A4949" s="153" t="s">
        <v>6929</v>
      </c>
    </row>
    <row r="4950" spans="1:1">
      <c r="A4950" s="153" t="s">
        <v>6930</v>
      </c>
    </row>
    <row r="4951" spans="1:1">
      <c r="A4951" s="153" t="s">
        <v>6931</v>
      </c>
    </row>
    <row r="4952" spans="1:1">
      <c r="A4952" s="153" t="s">
        <v>6932</v>
      </c>
    </row>
    <row r="4953" spans="1:1">
      <c r="A4953" s="153" t="s">
        <v>6933</v>
      </c>
    </row>
    <row r="4954" spans="1:1">
      <c r="A4954" s="153" t="s">
        <v>6934</v>
      </c>
    </row>
    <row r="4955" spans="1:1">
      <c r="A4955" s="153" t="s">
        <v>6935</v>
      </c>
    </row>
    <row r="4956" spans="1:1">
      <c r="A4956" s="153" t="s">
        <v>6936</v>
      </c>
    </row>
    <row r="4957" spans="1:1">
      <c r="A4957" s="153" t="s">
        <v>6937</v>
      </c>
    </row>
    <row r="4958" spans="1:1">
      <c r="A4958" s="153" t="s">
        <v>6938</v>
      </c>
    </row>
    <row r="4959" spans="1:1">
      <c r="A4959" s="153" t="s">
        <v>6939</v>
      </c>
    </row>
    <row r="4960" spans="1:1">
      <c r="A4960" s="153" t="s">
        <v>6940</v>
      </c>
    </row>
    <row r="4961" spans="1:1">
      <c r="A4961" s="153" t="s">
        <v>6941</v>
      </c>
    </row>
    <row r="4962" spans="1:1">
      <c r="A4962" s="153" t="s">
        <v>6942</v>
      </c>
    </row>
    <row r="4963" spans="1:1">
      <c r="A4963" s="153" t="s">
        <v>6943</v>
      </c>
    </row>
    <row r="4964" spans="1:1">
      <c r="A4964" s="153" t="s">
        <v>6944</v>
      </c>
    </row>
    <row r="4965" spans="1:1">
      <c r="A4965" s="153" t="s">
        <v>6945</v>
      </c>
    </row>
    <row r="4966" spans="1:1">
      <c r="A4966" s="153" t="s">
        <v>6946</v>
      </c>
    </row>
    <row r="4967" spans="1:1">
      <c r="A4967" s="153" t="s">
        <v>6947</v>
      </c>
    </row>
    <row r="4968" spans="1:1">
      <c r="A4968" s="153" t="s">
        <v>6948</v>
      </c>
    </row>
    <row r="4969" spans="1:1">
      <c r="A4969" s="153" t="s">
        <v>6949</v>
      </c>
    </row>
    <row r="4970" spans="1:1">
      <c r="A4970" s="153" t="s">
        <v>6950</v>
      </c>
    </row>
    <row r="4971" spans="1:1">
      <c r="A4971" s="153" t="s">
        <v>6951</v>
      </c>
    </row>
    <row r="4972" spans="1:1">
      <c r="A4972" s="153" t="s">
        <v>6952</v>
      </c>
    </row>
    <row r="4973" spans="1:1">
      <c r="A4973" s="153" t="s">
        <v>6953</v>
      </c>
    </row>
    <row r="4974" spans="1:1">
      <c r="A4974" s="153" t="s">
        <v>6954</v>
      </c>
    </row>
    <row r="4975" spans="1:1">
      <c r="A4975" s="153" t="s">
        <v>6955</v>
      </c>
    </row>
    <row r="4976" spans="1:1">
      <c r="A4976" s="153" t="s">
        <v>6956</v>
      </c>
    </row>
    <row r="4977" spans="1:1">
      <c r="A4977" s="153" t="s">
        <v>6957</v>
      </c>
    </row>
    <row r="4978" spans="1:1">
      <c r="A4978" s="153" t="s">
        <v>6958</v>
      </c>
    </row>
    <row r="4979" spans="1:1">
      <c r="A4979" s="153" t="s">
        <v>6959</v>
      </c>
    </row>
    <row r="4980" spans="1:1">
      <c r="A4980" s="153" t="s">
        <v>6960</v>
      </c>
    </row>
    <row r="4981" spans="1:1">
      <c r="A4981" s="153" t="s">
        <v>6961</v>
      </c>
    </row>
    <row r="4982" spans="1:1">
      <c r="A4982" s="153" t="s">
        <v>6962</v>
      </c>
    </row>
    <row r="4983" spans="1:1">
      <c r="A4983" s="153" t="s">
        <v>6963</v>
      </c>
    </row>
    <row r="4984" spans="1:1">
      <c r="A4984" s="153" t="s">
        <v>6964</v>
      </c>
    </row>
    <row r="4985" spans="1:1">
      <c r="A4985" s="153" t="s">
        <v>6965</v>
      </c>
    </row>
    <row r="4986" spans="1:1">
      <c r="A4986" s="153" t="s">
        <v>6966</v>
      </c>
    </row>
    <row r="4987" spans="1:1">
      <c r="A4987" s="153" t="s">
        <v>6967</v>
      </c>
    </row>
    <row r="4988" spans="1:1">
      <c r="A4988" s="153" t="s">
        <v>6968</v>
      </c>
    </row>
    <row r="4989" spans="1:1">
      <c r="A4989" s="153" t="s">
        <v>6969</v>
      </c>
    </row>
    <row r="4990" spans="1:1">
      <c r="A4990" s="153" t="s">
        <v>6970</v>
      </c>
    </row>
    <row r="4991" spans="1:1">
      <c r="A4991" s="153" t="s">
        <v>6971</v>
      </c>
    </row>
    <row r="4992" spans="1:1">
      <c r="A4992" s="153" t="s">
        <v>6972</v>
      </c>
    </row>
    <row r="4993" spans="1:1">
      <c r="A4993" s="153" t="s">
        <v>6973</v>
      </c>
    </row>
    <row r="4994" spans="1:1">
      <c r="A4994" s="153" t="s">
        <v>6974</v>
      </c>
    </row>
    <row r="4995" spans="1:1">
      <c r="A4995" s="153" t="s">
        <v>6975</v>
      </c>
    </row>
    <row r="4996" spans="1:1">
      <c r="A4996" s="153" t="s">
        <v>6976</v>
      </c>
    </row>
    <row r="4997" spans="1:1">
      <c r="A4997" s="153" t="s">
        <v>6977</v>
      </c>
    </row>
    <row r="4998" spans="1:1">
      <c r="A4998" s="153" t="s">
        <v>6978</v>
      </c>
    </row>
    <row r="4999" spans="1:1">
      <c r="A4999" s="153" t="s">
        <v>6979</v>
      </c>
    </row>
    <row r="5000" spans="1:1">
      <c r="A5000" s="153" t="s">
        <v>6980</v>
      </c>
    </row>
    <row r="5001" spans="1:1">
      <c r="A5001" s="153" t="s">
        <v>6981</v>
      </c>
    </row>
    <row r="5002" spans="1:1">
      <c r="A5002" s="153" t="s">
        <v>6982</v>
      </c>
    </row>
    <row r="5003" spans="1:1">
      <c r="A5003" s="153" t="s">
        <v>6983</v>
      </c>
    </row>
    <row r="5004" spans="1:1">
      <c r="A5004" s="153" t="s">
        <v>6984</v>
      </c>
    </row>
    <row r="5005" spans="1:1">
      <c r="A5005" s="153" t="s">
        <v>6985</v>
      </c>
    </row>
    <row r="5006" spans="1:1">
      <c r="A5006" s="153" t="s">
        <v>6986</v>
      </c>
    </row>
    <row r="5007" spans="1:1">
      <c r="A5007" s="153" t="s">
        <v>6987</v>
      </c>
    </row>
    <row r="5008" spans="1:1">
      <c r="A5008" s="153" t="s">
        <v>6988</v>
      </c>
    </row>
    <row r="5009" spans="1:1">
      <c r="A5009" s="153" t="s">
        <v>6989</v>
      </c>
    </row>
    <row r="5010" spans="1:1">
      <c r="A5010" s="153" t="s">
        <v>6990</v>
      </c>
    </row>
    <row r="5011" spans="1:1">
      <c r="A5011" s="153" t="s">
        <v>6991</v>
      </c>
    </row>
    <row r="5012" spans="1:1">
      <c r="A5012" s="153" t="s">
        <v>6992</v>
      </c>
    </row>
    <row r="5013" spans="1:1">
      <c r="A5013" s="153" t="s">
        <v>6993</v>
      </c>
    </row>
    <row r="5014" spans="1:1">
      <c r="A5014" s="153" t="s">
        <v>6994</v>
      </c>
    </row>
    <row r="5015" spans="1:1">
      <c r="A5015" s="153" t="s">
        <v>6995</v>
      </c>
    </row>
    <row r="5016" spans="1:1">
      <c r="A5016" s="153" t="s">
        <v>6996</v>
      </c>
    </row>
    <row r="5017" spans="1:1">
      <c r="A5017" s="153" t="s">
        <v>6997</v>
      </c>
    </row>
    <row r="5018" spans="1:1">
      <c r="A5018" s="153" t="s">
        <v>6998</v>
      </c>
    </row>
    <row r="5019" spans="1:1">
      <c r="A5019" s="153" t="s">
        <v>6999</v>
      </c>
    </row>
    <row r="5020" spans="1:1">
      <c r="A5020" s="153" t="s">
        <v>7000</v>
      </c>
    </row>
    <row r="5021" spans="1:1">
      <c r="A5021" s="153" t="s">
        <v>7001</v>
      </c>
    </row>
    <row r="5022" spans="1:1">
      <c r="A5022" s="153" t="s">
        <v>7002</v>
      </c>
    </row>
    <row r="5023" spans="1:1">
      <c r="A5023" s="153" t="s">
        <v>7003</v>
      </c>
    </row>
    <row r="5024" spans="1:1">
      <c r="A5024" s="153" t="s">
        <v>7004</v>
      </c>
    </row>
    <row r="5025" spans="1:1">
      <c r="A5025" s="153" t="s">
        <v>7005</v>
      </c>
    </row>
    <row r="5026" spans="1:1">
      <c r="A5026" s="153" t="s">
        <v>7006</v>
      </c>
    </row>
    <row r="5027" spans="1:1">
      <c r="A5027" s="153" t="s">
        <v>7007</v>
      </c>
    </row>
    <row r="5028" spans="1:1">
      <c r="A5028" s="153" t="s">
        <v>7008</v>
      </c>
    </row>
    <row r="5029" spans="1:1">
      <c r="A5029" s="153" t="s">
        <v>7009</v>
      </c>
    </row>
    <row r="5030" spans="1:1">
      <c r="A5030" s="153" t="s">
        <v>7010</v>
      </c>
    </row>
    <row r="5031" spans="1:1">
      <c r="A5031" s="153" t="s">
        <v>7011</v>
      </c>
    </row>
    <row r="5032" spans="1:1">
      <c r="A5032" s="153" t="s">
        <v>7012</v>
      </c>
    </row>
    <row r="5033" spans="1:1">
      <c r="A5033" s="153" t="s">
        <v>7013</v>
      </c>
    </row>
    <row r="5034" spans="1:1">
      <c r="A5034" s="153" t="s">
        <v>7014</v>
      </c>
    </row>
    <row r="5035" spans="1:1">
      <c r="A5035" s="153" t="s">
        <v>7015</v>
      </c>
    </row>
    <row r="5036" spans="1:1">
      <c r="A5036" s="153" t="s">
        <v>7016</v>
      </c>
    </row>
    <row r="5037" spans="1:1">
      <c r="A5037" s="153" t="s">
        <v>7017</v>
      </c>
    </row>
    <row r="5038" spans="1:1">
      <c r="A5038" s="153" t="s">
        <v>7018</v>
      </c>
    </row>
    <row r="5039" spans="1:1">
      <c r="A5039" s="153" t="s">
        <v>7019</v>
      </c>
    </row>
    <row r="5040" spans="1:1">
      <c r="A5040" s="153" t="s">
        <v>7020</v>
      </c>
    </row>
    <row r="5041" spans="1:1">
      <c r="A5041" s="153" t="s">
        <v>7021</v>
      </c>
    </row>
    <row r="5042" spans="1:1">
      <c r="A5042" s="153" t="s">
        <v>7022</v>
      </c>
    </row>
    <row r="5043" spans="1:1">
      <c r="A5043" s="153" t="s">
        <v>7023</v>
      </c>
    </row>
    <row r="5044" spans="1:1">
      <c r="A5044" s="153" t="s">
        <v>7024</v>
      </c>
    </row>
    <row r="5045" spans="1:1">
      <c r="A5045" s="153" t="s">
        <v>7025</v>
      </c>
    </row>
    <row r="5046" spans="1:1">
      <c r="A5046" s="153" t="s">
        <v>7026</v>
      </c>
    </row>
    <row r="5047" spans="1:1">
      <c r="A5047" s="153" t="s">
        <v>7027</v>
      </c>
    </row>
    <row r="5048" spans="1:1">
      <c r="A5048" s="153" t="s">
        <v>7028</v>
      </c>
    </row>
    <row r="5049" spans="1:1">
      <c r="A5049" s="153" t="s">
        <v>7029</v>
      </c>
    </row>
    <row r="5050" spans="1:1">
      <c r="A5050" s="153" t="s">
        <v>7030</v>
      </c>
    </row>
    <row r="5051" spans="1:1">
      <c r="A5051" s="153" t="s">
        <v>7031</v>
      </c>
    </row>
    <row r="5052" spans="1:1">
      <c r="A5052" s="153" t="s">
        <v>7032</v>
      </c>
    </row>
    <row r="5053" spans="1:1">
      <c r="A5053" s="153" t="s">
        <v>7033</v>
      </c>
    </row>
    <row r="5054" spans="1:1">
      <c r="A5054" s="153" t="s">
        <v>7034</v>
      </c>
    </row>
    <row r="5055" spans="1:1">
      <c r="A5055" s="153" t="s">
        <v>7035</v>
      </c>
    </row>
    <row r="5056" spans="1:1">
      <c r="A5056" s="153" t="s">
        <v>7036</v>
      </c>
    </row>
    <row r="5057" spans="1:1">
      <c r="A5057" s="153" t="s">
        <v>7037</v>
      </c>
    </row>
    <row r="5058" spans="1:1">
      <c r="A5058" s="153" t="s">
        <v>7038</v>
      </c>
    </row>
    <row r="5059" spans="1:1">
      <c r="A5059" s="153" t="s">
        <v>7039</v>
      </c>
    </row>
    <row r="5060" spans="1:1">
      <c r="A5060" s="153" t="s">
        <v>7040</v>
      </c>
    </row>
    <row r="5061" spans="1:1">
      <c r="A5061" s="153" t="s">
        <v>7041</v>
      </c>
    </row>
    <row r="5062" spans="1:1">
      <c r="A5062" s="153" t="s">
        <v>7042</v>
      </c>
    </row>
    <row r="5063" spans="1:1">
      <c r="A5063" s="153" t="s">
        <v>7043</v>
      </c>
    </row>
    <row r="5064" spans="1:1">
      <c r="A5064" s="153" t="s">
        <v>7044</v>
      </c>
    </row>
    <row r="5065" spans="1:1">
      <c r="A5065" s="153" t="s">
        <v>7045</v>
      </c>
    </row>
    <row r="5066" spans="1:1">
      <c r="A5066" s="153" t="s">
        <v>7046</v>
      </c>
    </row>
    <row r="5067" spans="1:1">
      <c r="A5067" s="153" t="s">
        <v>7047</v>
      </c>
    </row>
    <row r="5068" spans="1:1">
      <c r="A5068" s="153" t="s">
        <v>7048</v>
      </c>
    </row>
    <row r="5069" spans="1:1">
      <c r="A5069" s="153" t="s">
        <v>7049</v>
      </c>
    </row>
    <row r="5070" spans="1:1">
      <c r="A5070" s="153" t="s">
        <v>7050</v>
      </c>
    </row>
    <row r="5071" spans="1:1">
      <c r="A5071" s="153" t="s">
        <v>7051</v>
      </c>
    </row>
    <row r="5072" spans="1:1">
      <c r="A5072" s="153" t="s">
        <v>7052</v>
      </c>
    </row>
    <row r="5073" spans="1:1">
      <c r="A5073" s="153" t="s">
        <v>7053</v>
      </c>
    </row>
    <row r="5074" spans="1:1">
      <c r="A5074" s="153" t="s">
        <v>7054</v>
      </c>
    </row>
    <row r="5075" spans="1:1">
      <c r="A5075" s="153" t="s">
        <v>7055</v>
      </c>
    </row>
    <row r="5076" spans="1:1">
      <c r="A5076" s="153" t="s">
        <v>7056</v>
      </c>
    </row>
    <row r="5077" spans="1:1">
      <c r="A5077" s="153" t="s">
        <v>7057</v>
      </c>
    </row>
    <row r="5078" spans="1:1">
      <c r="A5078" s="153" t="s">
        <v>7058</v>
      </c>
    </row>
    <row r="5079" spans="1:1">
      <c r="A5079" s="153" t="s">
        <v>7059</v>
      </c>
    </row>
    <row r="5080" spans="1:1">
      <c r="A5080" s="153" t="s">
        <v>7060</v>
      </c>
    </row>
    <row r="5081" spans="1:1">
      <c r="A5081" s="153" t="s">
        <v>7061</v>
      </c>
    </row>
    <row r="5082" spans="1:1">
      <c r="A5082" s="153" t="s">
        <v>7062</v>
      </c>
    </row>
    <row r="5083" spans="1:1">
      <c r="A5083" s="153" t="s">
        <v>7063</v>
      </c>
    </row>
    <row r="5084" spans="1:1">
      <c r="A5084" s="153" t="s">
        <v>7064</v>
      </c>
    </row>
    <row r="5085" spans="1:1">
      <c r="A5085" s="153" t="s">
        <v>7065</v>
      </c>
    </row>
    <row r="5086" spans="1:1">
      <c r="A5086" s="153" t="s">
        <v>7066</v>
      </c>
    </row>
    <row r="5087" spans="1:1">
      <c r="A5087" s="153" t="s">
        <v>7067</v>
      </c>
    </row>
    <row r="5088" spans="1:1">
      <c r="A5088" s="153" t="s">
        <v>7068</v>
      </c>
    </row>
    <row r="5089" spans="1:1">
      <c r="A5089" s="153" t="s">
        <v>7069</v>
      </c>
    </row>
    <row r="5090" spans="1:1">
      <c r="A5090" s="153" t="s">
        <v>7070</v>
      </c>
    </row>
    <row r="5091" spans="1:1">
      <c r="A5091" s="153" t="s">
        <v>7071</v>
      </c>
    </row>
    <row r="5092" spans="1:1">
      <c r="A5092" s="153" t="s">
        <v>7072</v>
      </c>
    </row>
    <row r="5093" spans="1:1">
      <c r="A5093" s="153" t="s">
        <v>7073</v>
      </c>
    </row>
    <row r="5094" spans="1:1">
      <c r="A5094" s="153" t="s">
        <v>7074</v>
      </c>
    </row>
    <row r="5095" spans="1:1">
      <c r="A5095" s="153" t="s">
        <v>7075</v>
      </c>
    </row>
    <row r="5096" spans="1:1">
      <c r="A5096" s="153" t="s">
        <v>7076</v>
      </c>
    </row>
    <row r="5097" spans="1:1">
      <c r="A5097" s="153" t="s">
        <v>7077</v>
      </c>
    </row>
    <row r="5098" spans="1:1">
      <c r="A5098" s="153" t="s">
        <v>7078</v>
      </c>
    </row>
    <row r="5099" spans="1:1">
      <c r="A5099" s="153" t="s">
        <v>7079</v>
      </c>
    </row>
    <row r="5100" spans="1:1">
      <c r="A5100" s="153" t="s">
        <v>7080</v>
      </c>
    </row>
    <row r="5101" spans="1:1">
      <c r="A5101" s="153" t="s">
        <v>7081</v>
      </c>
    </row>
    <row r="5102" spans="1:1">
      <c r="A5102" s="153" t="s">
        <v>7082</v>
      </c>
    </row>
    <row r="5103" spans="1:1">
      <c r="A5103" s="153" t="s">
        <v>7083</v>
      </c>
    </row>
    <row r="5104" spans="1:1">
      <c r="A5104" s="153" t="s">
        <v>7084</v>
      </c>
    </row>
    <row r="5105" spans="1:1">
      <c r="A5105" s="153" t="s">
        <v>7085</v>
      </c>
    </row>
    <row r="5106" spans="1:1">
      <c r="A5106" s="153" t="s">
        <v>7086</v>
      </c>
    </row>
    <row r="5107" spans="1:1">
      <c r="A5107" s="153" t="s">
        <v>7087</v>
      </c>
    </row>
    <row r="5108" spans="1:1">
      <c r="A5108" s="153" t="s">
        <v>7088</v>
      </c>
    </row>
    <row r="5109" spans="1:1">
      <c r="A5109" s="153" t="s">
        <v>7089</v>
      </c>
    </row>
    <row r="5110" spans="1:1">
      <c r="A5110" s="153" t="s">
        <v>7090</v>
      </c>
    </row>
    <row r="5111" spans="1:1">
      <c r="A5111" s="153" t="s">
        <v>7091</v>
      </c>
    </row>
    <row r="5112" spans="1:1">
      <c r="A5112" s="153" t="s">
        <v>7092</v>
      </c>
    </row>
    <row r="5113" spans="1:1">
      <c r="A5113" s="153" t="s">
        <v>7093</v>
      </c>
    </row>
    <row r="5114" spans="1:1">
      <c r="A5114" s="153" t="s">
        <v>7094</v>
      </c>
    </row>
    <row r="5115" spans="1:1">
      <c r="A5115" s="153" t="s">
        <v>7095</v>
      </c>
    </row>
    <row r="5116" spans="1:1">
      <c r="A5116" s="153" t="s">
        <v>7096</v>
      </c>
    </row>
    <row r="5117" spans="1:1">
      <c r="A5117" s="153" t="s">
        <v>7097</v>
      </c>
    </row>
    <row r="5118" spans="1:1">
      <c r="A5118" s="153" t="s">
        <v>7098</v>
      </c>
    </row>
    <row r="5119" spans="1:1">
      <c r="A5119" s="153" t="s">
        <v>7099</v>
      </c>
    </row>
    <row r="5120" spans="1:1">
      <c r="A5120" s="153" t="s">
        <v>7100</v>
      </c>
    </row>
    <row r="5121" spans="1:1">
      <c r="A5121" s="153" t="s">
        <v>7101</v>
      </c>
    </row>
    <row r="5122" spans="1:1">
      <c r="A5122" s="153" t="s">
        <v>7102</v>
      </c>
    </row>
    <row r="5123" spans="1:1">
      <c r="A5123" s="153" t="s">
        <v>7103</v>
      </c>
    </row>
    <row r="5124" spans="1:1">
      <c r="A5124" s="153" t="s">
        <v>7104</v>
      </c>
    </row>
    <row r="5125" spans="1:1">
      <c r="A5125" s="153" t="s">
        <v>7105</v>
      </c>
    </row>
    <row r="5126" spans="1:1">
      <c r="A5126" s="153" t="s">
        <v>7106</v>
      </c>
    </row>
    <row r="5127" spans="1:1">
      <c r="A5127" s="153" t="s">
        <v>7107</v>
      </c>
    </row>
    <row r="5128" spans="1:1">
      <c r="A5128" s="153" t="s">
        <v>7108</v>
      </c>
    </row>
    <row r="5129" spans="1:1">
      <c r="A5129" s="153" t="s">
        <v>7109</v>
      </c>
    </row>
    <row r="5130" spans="1:1">
      <c r="A5130" s="153" t="s">
        <v>7110</v>
      </c>
    </row>
    <row r="5131" spans="1:1">
      <c r="A5131" s="153" t="s">
        <v>7111</v>
      </c>
    </row>
    <row r="5132" spans="1:1">
      <c r="A5132" s="153" t="s">
        <v>7112</v>
      </c>
    </row>
    <row r="5133" spans="1:1">
      <c r="A5133" s="153" t="s">
        <v>7113</v>
      </c>
    </row>
    <row r="5134" spans="1:1">
      <c r="A5134" s="153" t="s">
        <v>7114</v>
      </c>
    </row>
    <row r="5135" spans="1:1">
      <c r="A5135" s="153" t="s">
        <v>7115</v>
      </c>
    </row>
    <row r="5136" spans="1:1">
      <c r="A5136" s="153" t="s">
        <v>7116</v>
      </c>
    </row>
    <row r="5137" spans="1:1">
      <c r="A5137" s="153" t="s">
        <v>7117</v>
      </c>
    </row>
    <row r="5138" spans="1:1">
      <c r="A5138" s="153" t="s">
        <v>7118</v>
      </c>
    </row>
    <row r="5139" spans="1:1">
      <c r="A5139" s="153" t="s">
        <v>7119</v>
      </c>
    </row>
    <row r="5140" spans="1:1">
      <c r="A5140" s="153" t="s">
        <v>7120</v>
      </c>
    </row>
    <row r="5141" spans="1:1">
      <c r="A5141" s="153" t="s">
        <v>7121</v>
      </c>
    </row>
    <row r="5142" spans="1:1">
      <c r="A5142" s="153" t="s">
        <v>7122</v>
      </c>
    </row>
    <row r="5143" spans="1:1">
      <c r="A5143" s="153" t="s">
        <v>7123</v>
      </c>
    </row>
    <row r="5144" spans="1:1">
      <c r="A5144" s="153" t="s">
        <v>7124</v>
      </c>
    </row>
    <row r="5145" spans="1:1">
      <c r="A5145" s="153" t="s">
        <v>7125</v>
      </c>
    </row>
    <row r="5146" spans="1:1">
      <c r="A5146" s="153" t="s">
        <v>7126</v>
      </c>
    </row>
    <row r="5147" spans="1:1">
      <c r="A5147" s="153" t="s">
        <v>7127</v>
      </c>
    </row>
    <row r="5148" spans="1:1">
      <c r="A5148" s="153" t="s">
        <v>7128</v>
      </c>
    </row>
    <row r="5149" spans="1:1">
      <c r="A5149" s="153" t="s">
        <v>7129</v>
      </c>
    </row>
    <row r="5150" spans="1:1">
      <c r="A5150" s="153" t="s">
        <v>7130</v>
      </c>
    </row>
    <row r="5151" spans="1:1">
      <c r="A5151" s="153" t="s">
        <v>7131</v>
      </c>
    </row>
    <row r="5152" spans="1:1">
      <c r="A5152" s="153" t="s">
        <v>7132</v>
      </c>
    </row>
    <row r="5153" spans="1:1">
      <c r="A5153" s="153" t="s">
        <v>7133</v>
      </c>
    </row>
    <row r="5154" spans="1:1">
      <c r="A5154" s="153" t="s">
        <v>7134</v>
      </c>
    </row>
    <row r="5155" spans="1:1">
      <c r="A5155" s="153" t="s">
        <v>7135</v>
      </c>
    </row>
    <row r="5156" spans="1:1">
      <c r="A5156" s="153" t="s">
        <v>7136</v>
      </c>
    </row>
    <row r="5157" spans="1:1">
      <c r="A5157" s="153" t="s">
        <v>7137</v>
      </c>
    </row>
    <row r="5158" spans="1:1">
      <c r="A5158" s="153" t="s">
        <v>7138</v>
      </c>
    </row>
    <row r="5159" spans="1:1">
      <c r="A5159" s="153" t="s">
        <v>7139</v>
      </c>
    </row>
    <row r="5160" spans="1:1">
      <c r="A5160" s="153" t="s">
        <v>7140</v>
      </c>
    </row>
    <row r="5161" spans="1:1">
      <c r="A5161" s="153" t="s">
        <v>7141</v>
      </c>
    </row>
    <row r="5162" spans="1:1">
      <c r="A5162" s="153" t="s">
        <v>7142</v>
      </c>
    </row>
    <row r="5163" spans="1:1">
      <c r="A5163" s="153" t="s">
        <v>7143</v>
      </c>
    </row>
    <row r="5164" spans="1:1">
      <c r="A5164" s="153" t="s">
        <v>7144</v>
      </c>
    </row>
    <row r="5165" spans="1:1">
      <c r="A5165" s="153" t="s">
        <v>7145</v>
      </c>
    </row>
    <row r="5166" spans="1:1">
      <c r="A5166" s="153" t="s">
        <v>7146</v>
      </c>
    </row>
    <row r="5167" spans="1:1">
      <c r="A5167" s="153" t="s">
        <v>7147</v>
      </c>
    </row>
    <row r="5168" spans="1:1">
      <c r="A5168" s="153" t="s">
        <v>7148</v>
      </c>
    </row>
    <row r="5169" spans="1:1">
      <c r="A5169" s="153" t="s">
        <v>7149</v>
      </c>
    </row>
    <row r="5170" spans="1:1">
      <c r="A5170" s="153" t="s">
        <v>7150</v>
      </c>
    </row>
    <row r="5171" spans="1:1">
      <c r="A5171" s="153" t="s">
        <v>7151</v>
      </c>
    </row>
    <row r="5172" spans="1:1">
      <c r="A5172" s="153" t="s">
        <v>7152</v>
      </c>
    </row>
    <row r="5173" spans="1:1">
      <c r="A5173" s="153" t="s">
        <v>7153</v>
      </c>
    </row>
    <row r="5174" spans="1:1">
      <c r="A5174" s="153" t="s">
        <v>7154</v>
      </c>
    </row>
    <row r="5175" spans="1:1">
      <c r="A5175" s="153" t="s">
        <v>7155</v>
      </c>
    </row>
    <row r="5176" spans="1:1">
      <c r="A5176" s="153" t="s">
        <v>7156</v>
      </c>
    </row>
    <row r="5177" spans="1:1">
      <c r="A5177" s="153" t="s">
        <v>7157</v>
      </c>
    </row>
    <row r="5178" spans="1:1">
      <c r="A5178" s="153" t="s">
        <v>7158</v>
      </c>
    </row>
    <row r="5179" spans="1:1">
      <c r="A5179" s="153" t="s">
        <v>7159</v>
      </c>
    </row>
    <row r="5180" spans="1:1">
      <c r="A5180" s="153" t="s">
        <v>7160</v>
      </c>
    </row>
    <row r="5181" spans="1:1">
      <c r="A5181" s="153" t="s">
        <v>7161</v>
      </c>
    </row>
    <row r="5182" spans="1:1">
      <c r="A5182" s="153" t="s">
        <v>7162</v>
      </c>
    </row>
    <row r="5183" spans="1:1">
      <c r="A5183" s="153" t="s">
        <v>7163</v>
      </c>
    </row>
    <row r="5184" spans="1:1">
      <c r="A5184" s="153" t="s">
        <v>7164</v>
      </c>
    </row>
    <row r="5185" spans="1:1">
      <c r="A5185" s="153" t="s">
        <v>7165</v>
      </c>
    </row>
    <row r="5186" spans="1:1">
      <c r="A5186" s="153" t="s">
        <v>7166</v>
      </c>
    </row>
    <row r="5187" spans="1:1">
      <c r="A5187" s="153" t="s">
        <v>7167</v>
      </c>
    </row>
    <row r="5188" spans="1:1">
      <c r="A5188" s="153" t="s">
        <v>7168</v>
      </c>
    </row>
    <row r="5189" spans="1:1">
      <c r="A5189" s="153" t="s">
        <v>7169</v>
      </c>
    </row>
    <row r="5190" spans="1:1">
      <c r="A5190" s="153" t="s">
        <v>7170</v>
      </c>
    </row>
    <row r="5191" spans="1:1">
      <c r="A5191" s="153" t="s">
        <v>7171</v>
      </c>
    </row>
    <row r="5192" spans="1:1">
      <c r="A5192" s="153" t="s">
        <v>7172</v>
      </c>
    </row>
    <row r="5193" spans="1:1">
      <c r="A5193" s="153" t="s">
        <v>7173</v>
      </c>
    </row>
    <row r="5194" spans="1:1">
      <c r="A5194" s="153" t="s">
        <v>7174</v>
      </c>
    </row>
    <row r="5195" spans="1:1">
      <c r="A5195" s="153" t="s">
        <v>7175</v>
      </c>
    </row>
    <row r="5196" spans="1:1">
      <c r="A5196" s="153" t="s">
        <v>7176</v>
      </c>
    </row>
    <row r="5197" spans="1:1">
      <c r="A5197" s="153" t="s">
        <v>7177</v>
      </c>
    </row>
    <row r="5198" spans="1:1">
      <c r="A5198" s="153" t="s">
        <v>7178</v>
      </c>
    </row>
    <row r="5199" spans="1:1">
      <c r="A5199" s="153" t="s">
        <v>7179</v>
      </c>
    </row>
    <row r="5200" spans="1:1">
      <c r="A5200" s="153" t="s">
        <v>7180</v>
      </c>
    </row>
    <row r="5201" spans="1:1">
      <c r="A5201" s="153" t="s">
        <v>7181</v>
      </c>
    </row>
    <row r="5202" spans="1:1">
      <c r="A5202" s="153" t="s">
        <v>7182</v>
      </c>
    </row>
    <row r="5203" spans="1:1">
      <c r="A5203" s="153" t="s">
        <v>7183</v>
      </c>
    </row>
    <row r="5204" spans="1:1">
      <c r="A5204" s="153" t="s">
        <v>7184</v>
      </c>
    </row>
    <row r="5205" spans="1:1">
      <c r="A5205" s="153" t="s">
        <v>7185</v>
      </c>
    </row>
    <row r="5206" spans="1:1">
      <c r="A5206" s="153" t="s">
        <v>7186</v>
      </c>
    </row>
    <row r="5207" spans="1:1">
      <c r="A5207" s="153" t="s">
        <v>7187</v>
      </c>
    </row>
    <row r="5208" spans="1:1">
      <c r="A5208" s="153" t="s">
        <v>7188</v>
      </c>
    </row>
    <row r="5209" spans="1:1">
      <c r="A5209" s="153" t="s">
        <v>7189</v>
      </c>
    </row>
    <row r="5210" spans="1:1">
      <c r="A5210" s="153" t="s">
        <v>7190</v>
      </c>
    </row>
    <row r="5211" spans="1:1">
      <c r="A5211" s="153" t="s">
        <v>7191</v>
      </c>
    </row>
    <row r="5212" spans="1:1">
      <c r="A5212" s="153" t="s">
        <v>7192</v>
      </c>
    </row>
    <row r="5213" spans="1:1">
      <c r="A5213" s="153" t="s">
        <v>7193</v>
      </c>
    </row>
    <row r="5214" spans="1:1">
      <c r="A5214" s="153" t="s">
        <v>7194</v>
      </c>
    </row>
    <row r="5215" spans="1:1">
      <c r="A5215" s="153" t="s">
        <v>7195</v>
      </c>
    </row>
    <row r="5216" spans="1:1">
      <c r="A5216" s="153" t="s">
        <v>7196</v>
      </c>
    </row>
    <row r="5217" spans="1:1">
      <c r="A5217" s="153" t="s">
        <v>7197</v>
      </c>
    </row>
    <row r="5218" spans="1:1">
      <c r="A5218" s="153" t="s">
        <v>7198</v>
      </c>
    </row>
    <row r="5219" spans="1:1">
      <c r="A5219" s="153" t="s">
        <v>7199</v>
      </c>
    </row>
    <row r="5220" spans="1:1">
      <c r="A5220" s="153" t="s">
        <v>7200</v>
      </c>
    </row>
    <row r="5221" spans="1:1">
      <c r="A5221" s="153" t="s">
        <v>7201</v>
      </c>
    </row>
    <row r="5222" spans="1:1">
      <c r="A5222" s="153" t="s">
        <v>7202</v>
      </c>
    </row>
    <row r="5223" spans="1:1">
      <c r="A5223" s="153" t="s">
        <v>7203</v>
      </c>
    </row>
    <row r="5224" spans="1:1">
      <c r="A5224" s="153" t="s">
        <v>7204</v>
      </c>
    </row>
    <row r="5225" spans="1:1">
      <c r="A5225" s="153" t="s">
        <v>7205</v>
      </c>
    </row>
    <row r="5226" spans="1:1">
      <c r="A5226" s="153" t="s">
        <v>7206</v>
      </c>
    </row>
    <row r="5227" spans="1:1">
      <c r="A5227" s="153" t="s">
        <v>7207</v>
      </c>
    </row>
    <row r="5228" spans="1:1">
      <c r="A5228" s="153" t="s">
        <v>7208</v>
      </c>
    </row>
    <row r="5229" spans="1:1">
      <c r="A5229" s="153" t="s">
        <v>7209</v>
      </c>
    </row>
    <row r="5230" spans="1:1">
      <c r="A5230" s="153" t="s">
        <v>7210</v>
      </c>
    </row>
    <row r="5231" spans="1:1">
      <c r="A5231" s="153" t="s">
        <v>7211</v>
      </c>
    </row>
    <row r="5232" spans="1:1">
      <c r="A5232" s="153" t="s">
        <v>7212</v>
      </c>
    </row>
    <row r="5233" spans="1:1">
      <c r="A5233" s="153" t="s">
        <v>7213</v>
      </c>
    </row>
    <row r="5234" spans="1:1">
      <c r="A5234" s="153" t="s">
        <v>7214</v>
      </c>
    </row>
    <row r="5235" spans="1:1">
      <c r="A5235" s="153" t="s">
        <v>7215</v>
      </c>
    </row>
    <row r="5236" spans="1:1">
      <c r="A5236" s="153" t="s">
        <v>7216</v>
      </c>
    </row>
    <row r="5237" spans="1:1">
      <c r="A5237" s="153" t="s">
        <v>7217</v>
      </c>
    </row>
    <row r="5238" spans="1:1">
      <c r="A5238" s="153" t="s">
        <v>7218</v>
      </c>
    </row>
    <row r="5239" spans="1:1">
      <c r="A5239" s="153" t="s">
        <v>7219</v>
      </c>
    </row>
    <row r="5240" spans="1:1">
      <c r="A5240" s="153" t="s">
        <v>7220</v>
      </c>
    </row>
    <row r="5241" spans="1:1">
      <c r="A5241" s="153" t="s">
        <v>7221</v>
      </c>
    </row>
    <row r="5242" spans="1:1">
      <c r="A5242" s="153" t="s">
        <v>7222</v>
      </c>
    </row>
    <row r="5243" spans="1:1">
      <c r="A5243" s="153" t="s">
        <v>7223</v>
      </c>
    </row>
    <row r="5244" spans="1:1">
      <c r="A5244" s="153" t="s">
        <v>7224</v>
      </c>
    </row>
    <row r="5245" spans="1:1">
      <c r="A5245" s="153" t="s">
        <v>7225</v>
      </c>
    </row>
    <row r="5246" spans="1:1">
      <c r="A5246" s="153" t="s">
        <v>7226</v>
      </c>
    </row>
    <row r="5247" spans="1:1">
      <c r="A5247" s="153" t="s">
        <v>7227</v>
      </c>
    </row>
    <row r="5248" spans="1:1">
      <c r="A5248" s="153" t="s">
        <v>7228</v>
      </c>
    </row>
    <row r="5249" spans="1:1">
      <c r="A5249" s="153" t="s">
        <v>7229</v>
      </c>
    </row>
    <row r="5250" spans="1:1">
      <c r="A5250" s="153" t="s">
        <v>7230</v>
      </c>
    </row>
    <row r="5251" spans="1:1">
      <c r="A5251" s="153" t="s">
        <v>7231</v>
      </c>
    </row>
    <row r="5252" spans="1:1">
      <c r="A5252" s="153" t="s">
        <v>7232</v>
      </c>
    </row>
    <row r="5253" spans="1:1">
      <c r="A5253" s="153" t="s">
        <v>7233</v>
      </c>
    </row>
    <row r="5254" spans="1:1">
      <c r="A5254" s="153" t="s">
        <v>7234</v>
      </c>
    </row>
    <row r="5255" spans="1:1">
      <c r="A5255" s="153" t="s">
        <v>7235</v>
      </c>
    </row>
    <row r="5256" spans="1:1">
      <c r="A5256" s="153" t="s">
        <v>7236</v>
      </c>
    </row>
    <row r="5257" spans="1:1">
      <c r="A5257" s="153" t="s">
        <v>7237</v>
      </c>
    </row>
    <row r="5258" spans="1:1">
      <c r="A5258" s="153" t="s">
        <v>7238</v>
      </c>
    </row>
    <row r="5259" spans="1:1">
      <c r="A5259" s="153" t="s">
        <v>7239</v>
      </c>
    </row>
    <row r="5260" spans="1:1">
      <c r="A5260" s="153" t="s">
        <v>7240</v>
      </c>
    </row>
    <row r="5261" spans="1:1">
      <c r="A5261" s="153" t="s">
        <v>7241</v>
      </c>
    </row>
    <row r="5262" spans="1:1">
      <c r="A5262" s="153" t="s">
        <v>7242</v>
      </c>
    </row>
    <row r="5263" spans="1:1">
      <c r="A5263" s="153" t="s">
        <v>7243</v>
      </c>
    </row>
    <row r="5264" spans="1:1">
      <c r="A5264" s="153" t="s">
        <v>7244</v>
      </c>
    </row>
    <row r="5265" spans="1:1">
      <c r="A5265" s="153" t="s">
        <v>7245</v>
      </c>
    </row>
    <row r="5266" spans="1:1">
      <c r="A5266" s="153" t="s">
        <v>7246</v>
      </c>
    </row>
    <row r="5267" spans="1:1">
      <c r="A5267" s="153" t="s">
        <v>7247</v>
      </c>
    </row>
    <row r="5268" spans="1:1">
      <c r="A5268" s="153" t="s">
        <v>7248</v>
      </c>
    </row>
    <row r="5269" spans="1:1">
      <c r="A5269" s="153" t="s">
        <v>7249</v>
      </c>
    </row>
    <row r="5270" spans="1:1">
      <c r="A5270" s="153" t="s">
        <v>7250</v>
      </c>
    </row>
    <row r="5271" spans="1:1">
      <c r="A5271" s="153" t="s">
        <v>7251</v>
      </c>
    </row>
    <row r="5272" spans="1:1">
      <c r="A5272" s="153" t="s">
        <v>7252</v>
      </c>
    </row>
    <row r="5273" spans="1:1">
      <c r="A5273" s="153" t="s">
        <v>7253</v>
      </c>
    </row>
    <row r="5274" spans="1:1">
      <c r="A5274" s="153" t="s">
        <v>7254</v>
      </c>
    </row>
    <row r="5275" spans="1:1">
      <c r="A5275" s="153" t="s">
        <v>7255</v>
      </c>
    </row>
    <row r="5276" spans="1:1">
      <c r="A5276" s="153" t="s">
        <v>7256</v>
      </c>
    </row>
    <row r="5277" spans="1:1">
      <c r="A5277" s="153" t="s">
        <v>7257</v>
      </c>
    </row>
    <row r="5278" spans="1:1">
      <c r="A5278" s="153" t="s">
        <v>7258</v>
      </c>
    </row>
    <row r="5279" spans="1:1">
      <c r="A5279" s="153" t="s">
        <v>7259</v>
      </c>
    </row>
    <row r="5280" spans="1:1">
      <c r="A5280" s="153" t="s">
        <v>7260</v>
      </c>
    </row>
    <row r="5281" spans="1:1">
      <c r="A5281" s="153" t="s">
        <v>7261</v>
      </c>
    </row>
    <row r="5282" spans="1:1">
      <c r="A5282" s="153" t="s">
        <v>7262</v>
      </c>
    </row>
    <row r="5283" spans="1:1">
      <c r="A5283" s="153" t="s">
        <v>7263</v>
      </c>
    </row>
    <row r="5284" spans="1:1">
      <c r="A5284" s="153" t="s">
        <v>7264</v>
      </c>
    </row>
    <row r="5285" spans="1:1">
      <c r="A5285" s="153" t="s">
        <v>7265</v>
      </c>
    </row>
    <row r="5286" spans="1:1">
      <c r="A5286" s="153" t="s">
        <v>7266</v>
      </c>
    </row>
    <row r="5287" spans="1:1">
      <c r="A5287" s="153" t="s">
        <v>7267</v>
      </c>
    </row>
    <row r="5288" spans="1:1">
      <c r="A5288" s="153" t="s">
        <v>7268</v>
      </c>
    </row>
    <row r="5289" spans="1:1">
      <c r="A5289" s="153" t="s">
        <v>7269</v>
      </c>
    </row>
    <row r="5290" spans="1:1">
      <c r="A5290" s="153" t="s">
        <v>7270</v>
      </c>
    </row>
    <row r="5291" spans="1:1">
      <c r="A5291" s="153" t="s">
        <v>7271</v>
      </c>
    </row>
    <row r="5292" spans="1:1">
      <c r="A5292" s="153" t="s">
        <v>7272</v>
      </c>
    </row>
    <row r="5293" spans="1:1">
      <c r="A5293" s="153" t="s">
        <v>7273</v>
      </c>
    </row>
    <row r="5294" spans="1:1">
      <c r="A5294" s="153" t="s">
        <v>7274</v>
      </c>
    </row>
    <row r="5295" spans="1:1">
      <c r="A5295" s="153" t="s">
        <v>7275</v>
      </c>
    </row>
    <row r="5296" spans="1:1">
      <c r="A5296" s="153" t="s">
        <v>7276</v>
      </c>
    </row>
    <row r="5297" spans="1:1">
      <c r="A5297" s="153" t="s">
        <v>7277</v>
      </c>
    </row>
    <row r="5298" spans="1:1">
      <c r="A5298" s="153" t="s">
        <v>7278</v>
      </c>
    </row>
    <row r="5299" spans="1:1">
      <c r="A5299" s="153" t="s">
        <v>7279</v>
      </c>
    </row>
    <row r="5300" spans="1:1">
      <c r="A5300" s="153" t="s">
        <v>7280</v>
      </c>
    </row>
    <row r="5301" spans="1:1">
      <c r="A5301" s="153" t="s">
        <v>7281</v>
      </c>
    </row>
    <row r="5302" spans="1:1">
      <c r="A5302" s="153" t="s">
        <v>7282</v>
      </c>
    </row>
    <row r="5303" spans="1:1">
      <c r="A5303" s="153" t="s">
        <v>7283</v>
      </c>
    </row>
    <row r="5304" spans="1:1">
      <c r="A5304" s="153" t="s">
        <v>7284</v>
      </c>
    </row>
    <row r="5305" spans="1:1">
      <c r="A5305" s="153" t="s">
        <v>7285</v>
      </c>
    </row>
    <row r="5306" spans="1:1">
      <c r="A5306" s="153" t="s">
        <v>7286</v>
      </c>
    </row>
    <row r="5307" spans="1:1">
      <c r="A5307" s="153" t="s">
        <v>7287</v>
      </c>
    </row>
    <row r="5308" spans="1:1">
      <c r="A5308" s="153" t="s">
        <v>7288</v>
      </c>
    </row>
    <row r="5309" spans="1:1">
      <c r="A5309" s="153" t="s">
        <v>7289</v>
      </c>
    </row>
    <row r="5310" spans="1:1">
      <c r="A5310" s="153" t="s">
        <v>7290</v>
      </c>
    </row>
    <row r="5311" spans="1:1">
      <c r="A5311" s="153" t="s">
        <v>7291</v>
      </c>
    </row>
    <row r="5312" spans="1:1">
      <c r="A5312" s="153" t="s">
        <v>7292</v>
      </c>
    </row>
    <row r="5313" spans="1:1">
      <c r="A5313" s="153" t="s">
        <v>7293</v>
      </c>
    </row>
    <row r="5314" spans="1:1">
      <c r="A5314" s="153" t="s">
        <v>7294</v>
      </c>
    </row>
    <row r="5315" spans="1:1">
      <c r="A5315" s="153" t="s">
        <v>7295</v>
      </c>
    </row>
    <row r="5316" spans="1:1">
      <c r="A5316" s="153" t="s">
        <v>7296</v>
      </c>
    </row>
    <row r="5317" spans="1:1">
      <c r="A5317" s="153" t="s">
        <v>7297</v>
      </c>
    </row>
    <row r="5318" spans="1:1">
      <c r="A5318" s="153" t="s">
        <v>7298</v>
      </c>
    </row>
    <row r="5319" spans="1:1">
      <c r="A5319" s="153" t="s">
        <v>7299</v>
      </c>
    </row>
    <row r="5320" spans="1:1">
      <c r="A5320" s="153" t="s">
        <v>7300</v>
      </c>
    </row>
    <row r="5321" spans="1:1">
      <c r="A5321" s="153" t="s">
        <v>7301</v>
      </c>
    </row>
    <row r="5322" spans="1:1">
      <c r="A5322" s="153" t="s">
        <v>7302</v>
      </c>
    </row>
    <row r="5323" spans="1:1">
      <c r="A5323" s="153" t="s">
        <v>7303</v>
      </c>
    </row>
    <row r="5324" spans="1:1">
      <c r="A5324" s="153" t="s">
        <v>7304</v>
      </c>
    </row>
    <row r="5325" spans="1:1">
      <c r="A5325" s="153" t="s">
        <v>7305</v>
      </c>
    </row>
    <row r="5326" spans="1:1">
      <c r="A5326" s="153" t="s">
        <v>7306</v>
      </c>
    </row>
    <row r="5327" spans="1:1">
      <c r="A5327" s="153" t="s">
        <v>7307</v>
      </c>
    </row>
    <row r="5328" spans="1:1">
      <c r="A5328" s="153" t="s">
        <v>7308</v>
      </c>
    </row>
    <row r="5329" spans="1:1">
      <c r="A5329" s="153" t="s">
        <v>7309</v>
      </c>
    </row>
    <row r="5330" spans="1:1">
      <c r="A5330" s="153" t="s">
        <v>7310</v>
      </c>
    </row>
    <row r="5331" spans="1:1">
      <c r="A5331" s="153" t="s">
        <v>7311</v>
      </c>
    </row>
    <row r="5332" spans="1:1">
      <c r="A5332" s="153" t="s">
        <v>7312</v>
      </c>
    </row>
    <row r="5333" spans="1:1">
      <c r="A5333" s="153" t="s">
        <v>7313</v>
      </c>
    </row>
    <row r="5334" spans="1:1">
      <c r="A5334" s="153" t="s">
        <v>7314</v>
      </c>
    </row>
    <row r="5335" spans="1:1">
      <c r="A5335" s="153" t="s">
        <v>7315</v>
      </c>
    </row>
    <row r="5336" spans="1:1">
      <c r="A5336" s="153" t="s">
        <v>7316</v>
      </c>
    </row>
    <row r="5337" spans="1:1">
      <c r="A5337" s="153" t="s">
        <v>7317</v>
      </c>
    </row>
    <row r="5338" spans="1:1">
      <c r="A5338" s="153" t="s">
        <v>7318</v>
      </c>
    </row>
    <row r="5339" spans="1:1">
      <c r="A5339" s="153" t="s">
        <v>7319</v>
      </c>
    </row>
    <row r="5340" spans="1:1">
      <c r="A5340" s="153" t="s">
        <v>7320</v>
      </c>
    </row>
    <row r="5341" spans="1:1">
      <c r="A5341" s="153" t="s">
        <v>7321</v>
      </c>
    </row>
    <row r="5342" spans="1:1">
      <c r="A5342" s="153" t="s">
        <v>7322</v>
      </c>
    </row>
    <row r="5343" spans="1:1">
      <c r="A5343" s="153" t="s">
        <v>7323</v>
      </c>
    </row>
    <row r="5344" spans="1:1">
      <c r="A5344" s="153" t="s">
        <v>7324</v>
      </c>
    </row>
    <row r="5345" spans="1:1">
      <c r="A5345" s="153" t="s">
        <v>7325</v>
      </c>
    </row>
    <row r="5346" spans="1:1">
      <c r="A5346" s="153" t="s">
        <v>7326</v>
      </c>
    </row>
    <row r="5347" spans="1:1">
      <c r="A5347" s="153" t="s">
        <v>7327</v>
      </c>
    </row>
    <row r="5348" spans="1:1">
      <c r="A5348" s="153" t="s">
        <v>7328</v>
      </c>
    </row>
    <row r="5349" spans="1:1">
      <c r="A5349" s="153" t="s">
        <v>7329</v>
      </c>
    </row>
    <row r="5350" spans="1:1">
      <c r="A5350" s="153" t="s">
        <v>7330</v>
      </c>
    </row>
    <row r="5351" spans="1:1">
      <c r="A5351" s="153" t="s">
        <v>7331</v>
      </c>
    </row>
    <row r="5352" spans="1:1">
      <c r="A5352" s="153" t="s">
        <v>7332</v>
      </c>
    </row>
    <row r="5353" spans="1:1">
      <c r="A5353" s="153" t="s">
        <v>7333</v>
      </c>
    </row>
    <row r="5354" spans="1:1">
      <c r="A5354" s="153" t="s">
        <v>7334</v>
      </c>
    </row>
    <row r="5355" spans="1:1">
      <c r="A5355" s="153" t="s">
        <v>7335</v>
      </c>
    </row>
    <row r="5356" spans="1:1">
      <c r="A5356" s="153" t="s">
        <v>7336</v>
      </c>
    </row>
    <row r="5357" spans="1:1">
      <c r="A5357" s="153" t="s">
        <v>7337</v>
      </c>
    </row>
    <row r="5358" spans="1:1">
      <c r="A5358" s="153" t="s">
        <v>7338</v>
      </c>
    </row>
    <row r="5359" spans="1:1">
      <c r="A5359" s="153" t="s">
        <v>7339</v>
      </c>
    </row>
    <row r="5360" spans="1:1">
      <c r="A5360" s="153" t="s">
        <v>7340</v>
      </c>
    </row>
    <row r="5361" spans="1:1">
      <c r="A5361" s="153" t="s">
        <v>7341</v>
      </c>
    </row>
    <row r="5362" spans="1:1">
      <c r="A5362" s="153" t="s">
        <v>7342</v>
      </c>
    </row>
    <row r="5363" spans="1:1">
      <c r="A5363" s="153" t="s">
        <v>7343</v>
      </c>
    </row>
    <row r="5364" spans="1:1">
      <c r="A5364" s="153" t="s">
        <v>7344</v>
      </c>
    </row>
    <row r="5365" spans="1:1">
      <c r="A5365" s="153" t="s">
        <v>7345</v>
      </c>
    </row>
    <row r="5366" spans="1:1">
      <c r="A5366" s="153" t="s">
        <v>7346</v>
      </c>
    </row>
    <row r="5367" spans="1:1">
      <c r="A5367" s="153" t="s">
        <v>7347</v>
      </c>
    </row>
    <row r="5368" spans="1:1">
      <c r="A5368" s="153" t="s">
        <v>7348</v>
      </c>
    </row>
    <row r="5369" spans="1:1">
      <c r="A5369" s="153" t="s">
        <v>7349</v>
      </c>
    </row>
    <row r="5370" spans="1:1">
      <c r="A5370" s="153" t="s">
        <v>7350</v>
      </c>
    </row>
    <row r="5371" spans="1:1">
      <c r="A5371" s="153" t="s">
        <v>7351</v>
      </c>
    </row>
    <row r="5372" spans="1:1">
      <c r="A5372" s="153" t="s">
        <v>7352</v>
      </c>
    </row>
    <row r="5373" spans="1:1">
      <c r="A5373" s="153" t="s">
        <v>7353</v>
      </c>
    </row>
    <row r="5374" spans="1:1">
      <c r="A5374" s="153" t="s">
        <v>7354</v>
      </c>
    </row>
    <row r="5375" spans="1:1">
      <c r="A5375" s="153" t="s">
        <v>7355</v>
      </c>
    </row>
    <row r="5376" spans="1:1">
      <c r="A5376" s="153" t="s">
        <v>7356</v>
      </c>
    </row>
    <row r="5377" spans="1:1">
      <c r="A5377" s="153" t="s">
        <v>7357</v>
      </c>
    </row>
    <row r="5378" spans="1:1">
      <c r="A5378" s="153" t="s">
        <v>7358</v>
      </c>
    </row>
    <row r="5379" spans="1:1">
      <c r="A5379" s="153" t="s">
        <v>7359</v>
      </c>
    </row>
    <row r="5380" spans="1:1">
      <c r="A5380" s="153" t="s">
        <v>7360</v>
      </c>
    </row>
    <row r="5381" spans="1:1">
      <c r="A5381" s="153" t="s">
        <v>7361</v>
      </c>
    </row>
    <row r="5382" spans="1:1">
      <c r="A5382" s="153" t="s">
        <v>7362</v>
      </c>
    </row>
    <row r="5383" spans="1:1">
      <c r="A5383" s="153" t="s">
        <v>7363</v>
      </c>
    </row>
    <row r="5384" spans="1:1">
      <c r="A5384" s="153" t="s">
        <v>7364</v>
      </c>
    </row>
    <row r="5385" spans="1:1">
      <c r="A5385" s="153" t="s">
        <v>7365</v>
      </c>
    </row>
    <row r="5386" spans="1:1">
      <c r="A5386" s="153" t="s">
        <v>7366</v>
      </c>
    </row>
    <row r="5387" spans="1:1">
      <c r="A5387" s="153" t="s">
        <v>7367</v>
      </c>
    </row>
    <row r="5388" spans="1:1">
      <c r="A5388" s="153" t="s">
        <v>7368</v>
      </c>
    </row>
    <row r="5389" spans="1:1">
      <c r="A5389" s="153" t="s">
        <v>7369</v>
      </c>
    </row>
    <row r="5390" spans="1:1">
      <c r="A5390" s="153" t="s">
        <v>7370</v>
      </c>
    </row>
    <row r="5391" spans="1:1">
      <c r="A5391" s="153" t="s">
        <v>7371</v>
      </c>
    </row>
    <row r="5392" spans="1:1">
      <c r="A5392" s="153" t="s">
        <v>7372</v>
      </c>
    </row>
    <row r="5393" spans="1:1">
      <c r="A5393" s="153" t="s">
        <v>7373</v>
      </c>
    </row>
    <row r="5394" spans="1:1">
      <c r="A5394" s="153" t="s">
        <v>7374</v>
      </c>
    </row>
    <row r="5395" spans="1:1">
      <c r="A5395" s="153" t="s">
        <v>7375</v>
      </c>
    </row>
    <row r="5396" spans="1:1">
      <c r="A5396" s="153" t="s">
        <v>7376</v>
      </c>
    </row>
    <row r="5397" spans="1:1">
      <c r="A5397" s="153" t="s">
        <v>7377</v>
      </c>
    </row>
    <row r="5398" spans="1:1">
      <c r="A5398" s="153" t="s">
        <v>7378</v>
      </c>
    </row>
    <row r="5399" spans="1:1">
      <c r="A5399" s="153" t="s">
        <v>7379</v>
      </c>
    </row>
    <row r="5400" spans="1:1">
      <c r="A5400" s="153" t="s">
        <v>7380</v>
      </c>
    </row>
    <row r="5401" spans="1:1">
      <c r="A5401" s="153" t="s">
        <v>7381</v>
      </c>
    </row>
    <row r="5402" spans="1:1">
      <c r="A5402" s="153" t="s">
        <v>7382</v>
      </c>
    </row>
    <row r="5403" spans="1:1">
      <c r="A5403" s="153" t="s">
        <v>7383</v>
      </c>
    </row>
    <row r="5404" spans="1:1">
      <c r="A5404" s="153" t="s">
        <v>7384</v>
      </c>
    </row>
    <row r="5405" spans="1:1">
      <c r="A5405" s="153" t="s">
        <v>7385</v>
      </c>
    </row>
    <row r="5406" spans="1:1">
      <c r="A5406" s="153" t="s">
        <v>7386</v>
      </c>
    </row>
    <row r="5407" spans="1:1">
      <c r="A5407" s="153" t="s">
        <v>7387</v>
      </c>
    </row>
    <row r="5408" spans="1:1">
      <c r="A5408" s="153" t="s">
        <v>7388</v>
      </c>
    </row>
    <row r="5409" spans="1:1">
      <c r="A5409" s="153" t="s">
        <v>7389</v>
      </c>
    </row>
    <row r="5410" spans="1:1">
      <c r="A5410" s="153" t="s">
        <v>7390</v>
      </c>
    </row>
    <row r="5411" spans="1:1">
      <c r="A5411" s="153" t="s">
        <v>7391</v>
      </c>
    </row>
    <row r="5412" spans="1:1">
      <c r="A5412" s="153" t="s">
        <v>7392</v>
      </c>
    </row>
    <row r="5413" spans="1:1">
      <c r="A5413" s="153" t="s">
        <v>7393</v>
      </c>
    </row>
    <row r="5414" spans="1:1">
      <c r="A5414" s="153" t="s">
        <v>7394</v>
      </c>
    </row>
    <row r="5415" spans="1:1">
      <c r="A5415" s="153" t="s">
        <v>7395</v>
      </c>
    </row>
    <row r="5416" spans="1:1">
      <c r="A5416" s="153" t="s">
        <v>7396</v>
      </c>
    </row>
    <row r="5417" spans="1:1">
      <c r="A5417" s="153" t="s">
        <v>7397</v>
      </c>
    </row>
    <row r="5418" spans="1:1">
      <c r="A5418" s="153" t="s">
        <v>7398</v>
      </c>
    </row>
    <row r="5419" spans="1:1">
      <c r="A5419" s="153" t="s">
        <v>7399</v>
      </c>
    </row>
    <row r="5420" spans="1:1">
      <c r="A5420" s="153" t="s">
        <v>7400</v>
      </c>
    </row>
    <row r="5421" spans="1:1">
      <c r="A5421" s="153" t="s">
        <v>7401</v>
      </c>
    </row>
    <row r="5422" spans="1:1">
      <c r="A5422" s="153" t="s">
        <v>7402</v>
      </c>
    </row>
    <row r="5423" spans="1:1">
      <c r="A5423" s="153" t="s">
        <v>7403</v>
      </c>
    </row>
    <row r="5424" spans="1:1">
      <c r="A5424" s="153" t="s">
        <v>7404</v>
      </c>
    </row>
    <row r="5425" spans="1:1">
      <c r="A5425" s="153" t="s">
        <v>7405</v>
      </c>
    </row>
    <row r="5426" spans="1:1">
      <c r="A5426" s="153" t="s">
        <v>7406</v>
      </c>
    </row>
    <row r="5427" spans="1:1">
      <c r="A5427" s="153" t="s">
        <v>7407</v>
      </c>
    </row>
    <row r="5428" spans="1:1">
      <c r="A5428" s="153" t="s">
        <v>7408</v>
      </c>
    </row>
    <row r="5429" spans="1:1">
      <c r="A5429" s="153" t="s">
        <v>7409</v>
      </c>
    </row>
    <row r="5430" spans="1:1">
      <c r="A5430" s="153" t="s">
        <v>7410</v>
      </c>
    </row>
    <row r="5431" spans="1:1">
      <c r="A5431" s="153" t="s">
        <v>7411</v>
      </c>
    </row>
    <row r="5432" spans="1:1">
      <c r="A5432" s="153" t="s">
        <v>7412</v>
      </c>
    </row>
    <row r="5433" spans="1:1">
      <c r="A5433" s="153" t="s">
        <v>7413</v>
      </c>
    </row>
    <row r="5434" spans="1:1">
      <c r="A5434" s="153" t="s">
        <v>7414</v>
      </c>
    </row>
    <row r="5435" spans="1:1">
      <c r="A5435" s="153" t="s">
        <v>7415</v>
      </c>
    </row>
    <row r="5436" spans="1:1">
      <c r="A5436" s="153" t="s">
        <v>7416</v>
      </c>
    </row>
    <row r="5437" spans="1:1">
      <c r="A5437" s="153" t="s">
        <v>7417</v>
      </c>
    </row>
    <row r="5438" spans="1:1">
      <c r="A5438" s="153" t="s">
        <v>7418</v>
      </c>
    </row>
    <row r="5439" spans="1:1">
      <c r="A5439" s="153" t="s">
        <v>7419</v>
      </c>
    </row>
    <row r="5440" spans="1:1">
      <c r="A5440" s="153" t="s">
        <v>7420</v>
      </c>
    </row>
    <row r="5441" spans="1:1">
      <c r="A5441" s="153" t="s">
        <v>7421</v>
      </c>
    </row>
    <row r="5442" spans="1:1">
      <c r="A5442" s="153" t="s">
        <v>7422</v>
      </c>
    </row>
    <row r="5443" spans="1:1">
      <c r="A5443" s="153" t="s">
        <v>7423</v>
      </c>
    </row>
    <row r="5444" spans="1:1">
      <c r="A5444" s="153" t="s">
        <v>7424</v>
      </c>
    </row>
    <row r="5445" spans="1:1">
      <c r="A5445" s="153" t="s">
        <v>7425</v>
      </c>
    </row>
    <row r="5446" spans="1:1">
      <c r="A5446" s="153" t="s">
        <v>7426</v>
      </c>
    </row>
    <row r="5447" spans="1:1">
      <c r="A5447" s="153" t="s">
        <v>7427</v>
      </c>
    </row>
    <row r="5448" spans="1:1">
      <c r="A5448" s="153" t="s">
        <v>7428</v>
      </c>
    </row>
    <row r="5449" spans="1:1">
      <c r="A5449" s="153" t="s">
        <v>7429</v>
      </c>
    </row>
    <row r="5450" spans="1:1">
      <c r="A5450" s="153" t="s">
        <v>7430</v>
      </c>
    </row>
    <row r="5451" spans="1:1">
      <c r="A5451" s="153" t="s">
        <v>7431</v>
      </c>
    </row>
    <row r="5452" spans="1:1">
      <c r="A5452" s="153" t="s">
        <v>7432</v>
      </c>
    </row>
    <row r="5453" spans="1:1">
      <c r="A5453" s="153" t="s">
        <v>7433</v>
      </c>
    </row>
    <row r="5454" spans="1:1">
      <c r="A5454" s="153" t="s">
        <v>7434</v>
      </c>
    </row>
    <row r="5455" spans="1:1">
      <c r="A5455" s="153" t="s">
        <v>7435</v>
      </c>
    </row>
    <row r="5456" spans="1:1">
      <c r="A5456" s="153" t="s">
        <v>7436</v>
      </c>
    </row>
    <row r="5457" spans="1:1">
      <c r="A5457" s="153" t="s">
        <v>7437</v>
      </c>
    </row>
    <row r="5458" spans="1:1">
      <c r="A5458" s="153" t="s">
        <v>7438</v>
      </c>
    </row>
    <row r="5459" spans="1:1">
      <c r="A5459" s="153" t="s">
        <v>7439</v>
      </c>
    </row>
    <row r="5460" spans="1:1">
      <c r="A5460" s="153" t="s">
        <v>7440</v>
      </c>
    </row>
    <row r="5461" spans="1:1">
      <c r="A5461" s="153" t="s">
        <v>7441</v>
      </c>
    </row>
    <row r="5462" spans="1:1">
      <c r="A5462" s="153" t="s">
        <v>7442</v>
      </c>
    </row>
    <row r="5463" spans="1:1">
      <c r="A5463" s="153" t="s">
        <v>7443</v>
      </c>
    </row>
    <row r="5464" spans="1:1">
      <c r="A5464" s="153" t="s">
        <v>7444</v>
      </c>
    </row>
    <row r="5465" spans="1:1">
      <c r="A5465" s="153" t="s">
        <v>7445</v>
      </c>
    </row>
    <row r="5466" spans="1:1">
      <c r="A5466" s="153" t="s">
        <v>7446</v>
      </c>
    </row>
    <row r="5467" spans="1:1">
      <c r="A5467" s="153" t="s">
        <v>7447</v>
      </c>
    </row>
    <row r="5468" spans="1:1">
      <c r="A5468" s="153" t="s">
        <v>7448</v>
      </c>
    </row>
    <row r="5469" spans="1:1">
      <c r="A5469" s="153" t="s">
        <v>7449</v>
      </c>
    </row>
    <row r="5470" spans="1:1">
      <c r="A5470" s="153" t="s">
        <v>7450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tabSelected="1" zoomScale="80" zoomScaleNormal="80" workbookViewId="0">
      <selection activeCell="F32" sqref="F32"/>
    </sheetView>
  </sheetViews>
  <sheetFormatPr baseColWidth="10" defaultRowHeight="12"/>
  <cols>
    <col min="1" max="1" width="17.7109375" bestFit="1" customWidth="1"/>
    <col min="2" max="2" width="16.5703125" bestFit="1" customWidth="1"/>
    <col min="3" max="3" width="5" bestFit="1" customWidth="1"/>
    <col min="4" max="4" width="4.5703125" customWidth="1"/>
    <col min="5" max="5" width="5.85546875" bestFit="1" customWidth="1"/>
    <col min="7" max="7" width="24.85546875" customWidth="1"/>
  </cols>
  <sheetData>
    <row r="1" spans="1:13" s="203" customFormat="1" ht="12.75">
      <c r="A1" s="201" t="s">
        <v>8164</v>
      </c>
      <c r="B1" s="201" t="s">
        <v>8165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s="203" customFormat="1" ht="12.75">
      <c r="A2" s="201" t="s">
        <v>8166</v>
      </c>
      <c r="B2" s="201" t="s">
        <v>8167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s="203" customFormat="1" ht="12.75">
      <c r="A3" s="201" t="s">
        <v>8168</v>
      </c>
      <c r="B3" s="201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s="203" customFormat="1" ht="12.75">
      <c r="A4" s="201" t="s">
        <v>8169</v>
      </c>
      <c r="B4" s="204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13" s="203" customFormat="1">
      <c r="A5" s="202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</row>
    <row r="6" spans="1:13" s="203" customFormat="1" ht="12.75">
      <c r="A6" s="397" t="s">
        <v>8170</v>
      </c>
      <c r="B6" s="205" t="s">
        <v>8171</v>
      </c>
      <c r="C6" s="396" t="s">
        <v>8172</v>
      </c>
      <c r="D6" s="396"/>
      <c r="E6" s="396"/>
      <c r="F6" s="396"/>
      <c r="G6" s="396"/>
      <c r="H6" s="206" t="s">
        <v>8173</v>
      </c>
      <c r="I6" s="202"/>
      <c r="J6" s="202"/>
      <c r="K6" s="202"/>
      <c r="L6" s="202"/>
      <c r="M6" s="202"/>
    </row>
    <row r="7" spans="1:13" s="203" customFormat="1" ht="12.75">
      <c r="A7" s="397"/>
      <c r="B7" s="205" t="s">
        <v>8174</v>
      </c>
      <c r="C7" s="396" t="s">
        <v>8175</v>
      </c>
      <c r="D7" s="396"/>
      <c r="E7" s="396"/>
      <c r="F7" s="396"/>
      <c r="G7" s="396"/>
      <c r="H7" s="206" t="s">
        <v>8173</v>
      </c>
      <c r="I7" s="202"/>
      <c r="J7" s="202"/>
      <c r="K7" s="202"/>
      <c r="L7" s="202"/>
      <c r="M7" s="202"/>
    </row>
    <row r="8" spans="1:13" s="203" customFormat="1" ht="12.75">
      <c r="A8" s="397"/>
      <c r="B8" s="205" t="s">
        <v>8176</v>
      </c>
      <c r="C8" s="396" t="s">
        <v>8177</v>
      </c>
      <c r="D8" s="396"/>
      <c r="E8" s="396"/>
      <c r="F8" s="396"/>
      <c r="G8" s="396"/>
      <c r="H8" s="206" t="s">
        <v>8173</v>
      </c>
      <c r="I8" s="202"/>
      <c r="J8" s="202"/>
      <c r="K8" s="202"/>
      <c r="L8" s="202"/>
      <c r="M8" s="202"/>
    </row>
    <row r="9" spans="1:13" s="203" customFormat="1" ht="12.75">
      <c r="A9" s="205" t="s">
        <v>8178</v>
      </c>
      <c r="B9" s="205" t="s">
        <v>8171</v>
      </c>
      <c r="C9" s="396" t="s">
        <v>8179</v>
      </c>
      <c r="D9" s="396"/>
      <c r="E9" s="396"/>
      <c r="F9" s="396"/>
      <c r="G9" s="396"/>
      <c r="H9" s="207" t="s">
        <v>251</v>
      </c>
      <c r="I9" s="202"/>
      <c r="J9" s="202"/>
      <c r="K9" s="202"/>
      <c r="L9" s="202"/>
      <c r="M9" s="202"/>
    </row>
    <row r="10" spans="1:13" s="203" customFormat="1" ht="12.75">
      <c r="A10" s="205" t="s">
        <v>8180</v>
      </c>
      <c r="B10" s="205" t="s">
        <v>8181</v>
      </c>
      <c r="C10" s="396" t="s">
        <v>8182</v>
      </c>
      <c r="D10" s="396"/>
      <c r="E10" s="396"/>
      <c r="F10" s="396"/>
      <c r="G10" s="396"/>
      <c r="H10" s="207" t="s">
        <v>8183</v>
      </c>
      <c r="I10" s="202"/>
      <c r="J10" s="202"/>
      <c r="K10" s="202"/>
      <c r="L10" s="202"/>
      <c r="M10" s="202"/>
    </row>
    <row r="11" spans="1:13" s="203" customFormat="1" ht="12.75">
      <c r="A11" s="205" t="s">
        <v>8184</v>
      </c>
      <c r="B11" s="205" t="s">
        <v>8185</v>
      </c>
      <c r="C11" s="396" t="s">
        <v>8186</v>
      </c>
      <c r="D11" s="396"/>
      <c r="E11" s="396"/>
      <c r="F11" s="396"/>
      <c r="G11" s="396"/>
      <c r="H11" s="207" t="s">
        <v>8187</v>
      </c>
      <c r="I11" s="202"/>
      <c r="J11" s="202"/>
      <c r="K11" s="202"/>
      <c r="L11" s="202"/>
      <c r="M11" s="202"/>
    </row>
    <row r="12" spans="1:13" s="203" customFormat="1" ht="12.75">
      <c r="A12" s="205" t="s">
        <v>8188</v>
      </c>
      <c r="B12" s="205" t="s">
        <v>8189</v>
      </c>
      <c r="C12" s="396" t="s">
        <v>8190</v>
      </c>
      <c r="D12" s="396"/>
      <c r="E12" s="396"/>
      <c r="F12" s="396"/>
      <c r="G12" s="396"/>
      <c r="H12" s="207" t="s">
        <v>8191</v>
      </c>
      <c r="I12" s="202"/>
      <c r="J12" s="202"/>
      <c r="K12" s="202"/>
      <c r="L12" s="202"/>
      <c r="M12" s="202"/>
    </row>
    <row r="13" spans="1:13" s="203" customFormat="1" ht="12.75">
      <c r="A13" s="205" t="s">
        <v>8192</v>
      </c>
      <c r="B13" s="205" t="s">
        <v>8193</v>
      </c>
      <c r="C13" s="396" t="s">
        <v>8194</v>
      </c>
      <c r="D13" s="396"/>
      <c r="E13" s="396"/>
      <c r="F13" s="396"/>
      <c r="G13" s="396"/>
      <c r="H13" s="207" t="s">
        <v>8191</v>
      </c>
      <c r="I13" s="202"/>
      <c r="J13" s="202"/>
      <c r="K13" s="202"/>
      <c r="L13" s="202"/>
      <c r="M13" s="202"/>
    </row>
    <row r="14" spans="1:13" s="203" customFormat="1" ht="12.75">
      <c r="A14" s="205" t="s">
        <v>8192</v>
      </c>
      <c r="B14" s="205" t="s">
        <v>7869</v>
      </c>
      <c r="C14" s="396" t="s">
        <v>8195</v>
      </c>
      <c r="D14" s="396"/>
      <c r="E14" s="396"/>
      <c r="F14" s="396"/>
      <c r="G14" s="396"/>
      <c r="H14" s="207" t="s">
        <v>8191</v>
      </c>
      <c r="I14" s="202"/>
      <c r="J14" s="202"/>
      <c r="K14" s="202"/>
      <c r="L14" s="202"/>
      <c r="M14" s="202"/>
    </row>
    <row r="15" spans="1:13" s="203" customFormat="1" ht="12.75">
      <c r="A15" s="205" t="s">
        <v>8196</v>
      </c>
      <c r="B15" s="205" t="s">
        <v>8197</v>
      </c>
      <c r="C15" s="396" t="s">
        <v>8198</v>
      </c>
      <c r="D15" s="396"/>
      <c r="E15" s="396"/>
      <c r="F15" s="396"/>
      <c r="G15" s="396"/>
      <c r="H15" s="207" t="s">
        <v>8191</v>
      </c>
      <c r="I15" s="202"/>
      <c r="J15" s="202"/>
      <c r="K15" s="202"/>
      <c r="L15" s="202"/>
      <c r="M15" s="202"/>
    </row>
    <row r="16" spans="1:13" s="203" customFormat="1" ht="12.75">
      <c r="A16" s="205" t="s">
        <v>8199</v>
      </c>
      <c r="B16" s="205" t="s">
        <v>8200</v>
      </c>
      <c r="C16" s="396" t="s">
        <v>8201</v>
      </c>
      <c r="D16" s="396"/>
      <c r="E16" s="396"/>
      <c r="F16" s="396"/>
      <c r="G16" s="396"/>
      <c r="H16" s="207" t="s">
        <v>8191</v>
      </c>
      <c r="I16" s="201"/>
      <c r="J16" s="201"/>
      <c r="K16" s="201"/>
      <c r="L16" s="201"/>
      <c r="M16" s="201"/>
    </row>
    <row r="17" spans="1:13" s="203" customFormat="1" ht="12.75">
      <c r="A17" s="202" t="s">
        <v>8202</v>
      </c>
      <c r="B17" s="202" t="s">
        <v>8199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</row>
    <row r="18" spans="1:13" s="203" customFormat="1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</row>
    <row r="19" spans="1:13" s="203" customFormat="1">
      <c r="A19" s="202"/>
      <c r="B19" s="395" t="s">
        <v>8170</v>
      </c>
      <c r="C19" s="395"/>
      <c r="D19" s="395"/>
      <c r="E19" s="202" t="s">
        <v>8178</v>
      </c>
      <c r="F19" s="202" t="s">
        <v>8180</v>
      </c>
      <c r="G19" s="202" t="s">
        <v>8184</v>
      </c>
      <c r="H19" s="202" t="s">
        <v>8188</v>
      </c>
      <c r="I19" s="202" t="s">
        <v>8192</v>
      </c>
      <c r="J19" s="202" t="s">
        <v>8192</v>
      </c>
      <c r="K19" s="202" t="s">
        <v>8196</v>
      </c>
      <c r="L19" s="202" t="s">
        <v>8199</v>
      </c>
      <c r="M19" s="202" t="s">
        <v>8202</v>
      </c>
    </row>
    <row r="20" spans="1:13" s="203" customFormat="1">
      <c r="A20" s="202" t="s">
        <v>213</v>
      </c>
      <c r="B20" s="202" t="s">
        <v>8171</v>
      </c>
      <c r="C20" s="202" t="s">
        <v>8174</v>
      </c>
      <c r="D20" s="202" t="s">
        <v>8176</v>
      </c>
      <c r="E20" s="202" t="s">
        <v>8171</v>
      </c>
      <c r="F20" s="202" t="s">
        <v>8181</v>
      </c>
      <c r="G20" s="202" t="s">
        <v>8185</v>
      </c>
      <c r="H20" s="202" t="s">
        <v>8189</v>
      </c>
      <c r="I20" s="202" t="s">
        <v>8193</v>
      </c>
      <c r="J20" s="202" t="s">
        <v>7869</v>
      </c>
      <c r="K20" s="202" t="s">
        <v>8197</v>
      </c>
      <c r="L20" s="202" t="s">
        <v>8200</v>
      </c>
      <c r="M20" s="202" t="s">
        <v>8199</v>
      </c>
    </row>
    <row r="21" spans="1:13">
      <c r="A21" s="357">
        <v>41568</v>
      </c>
      <c r="B21" s="358">
        <v>17.024520000000003</v>
      </c>
      <c r="C21" s="358">
        <v>18.616</v>
      </c>
      <c r="D21" s="358">
        <v>15.186999999999999</v>
      </c>
      <c r="G21">
        <v>0</v>
      </c>
    </row>
    <row r="22" spans="1:13">
      <c r="A22" s="357">
        <v>41569</v>
      </c>
      <c r="B22" s="358">
        <v>17.33485416666667</v>
      </c>
      <c r="C22" s="358">
        <v>23.869</v>
      </c>
      <c r="D22" s="358">
        <v>14.804</v>
      </c>
      <c r="G22">
        <v>0</v>
      </c>
    </row>
    <row r="23" spans="1:13">
      <c r="A23" s="357">
        <v>41570</v>
      </c>
      <c r="B23" s="358">
        <v>15.905812499999996</v>
      </c>
      <c r="C23" s="358">
        <v>19.472000000000001</v>
      </c>
      <c r="D23" s="358">
        <v>11.819000000000001</v>
      </c>
      <c r="G23">
        <v>2.6999999999999997</v>
      </c>
    </row>
    <row r="24" spans="1:13">
      <c r="A24" s="357">
        <v>41571</v>
      </c>
      <c r="B24" s="358">
        <v>11.578291666666667</v>
      </c>
      <c r="C24" s="358">
        <v>15.855</v>
      </c>
      <c r="D24" s="358">
        <v>7.28</v>
      </c>
      <c r="G24">
        <v>0</v>
      </c>
    </row>
    <row r="25" spans="1:13">
      <c r="A25" s="357">
        <v>41572</v>
      </c>
      <c r="B25" s="358">
        <v>15.625895833333336</v>
      </c>
      <c r="C25" s="358">
        <v>19.948</v>
      </c>
      <c r="D25" s="358">
        <v>12.69</v>
      </c>
      <c r="G25">
        <v>0.29999999999999982</v>
      </c>
    </row>
    <row r="26" spans="1:13">
      <c r="A26" s="357">
        <v>41573</v>
      </c>
      <c r="B26" s="358">
        <v>16.900812500000001</v>
      </c>
      <c r="C26" s="358">
        <v>22.524999999999999</v>
      </c>
      <c r="D26" s="358">
        <v>13.846</v>
      </c>
      <c r="G26">
        <v>0</v>
      </c>
    </row>
    <row r="27" spans="1:13">
      <c r="A27" s="357">
        <v>41574</v>
      </c>
      <c r="B27" s="358">
        <v>14.983875000000005</v>
      </c>
      <c r="C27" s="358">
        <v>19.661999999999999</v>
      </c>
      <c r="D27" s="358">
        <v>13.654</v>
      </c>
      <c r="G27">
        <v>2.399999999999999</v>
      </c>
    </row>
    <row r="28" spans="1:13">
      <c r="A28" s="357">
        <v>41575</v>
      </c>
      <c r="B28" s="358">
        <v>13.885791666666671</v>
      </c>
      <c r="C28" s="358">
        <v>18.901</v>
      </c>
      <c r="D28" s="358">
        <v>9.9649999999999999</v>
      </c>
      <c r="G28">
        <v>10.200000000000017</v>
      </c>
    </row>
    <row r="29" spans="1:13">
      <c r="A29" s="357">
        <v>41576</v>
      </c>
      <c r="B29" s="358">
        <v>9.5452708333333316</v>
      </c>
      <c r="C29" s="358">
        <v>13.076000000000001</v>
      </c>
      <c r="D29" s="358">
        <v>6.1660000000000004</v>
      </c>
      <c r="G29">
        <v>11.400000000000027</v>
      </c>
    </row>
    <row r="30" spans="1:13">
      <c r="A30" s="357">
        <v>41577</v>
      </c>
      <c r="B30" s="358">
        <v>9.5826249999999984</v>
      </c>
      <c r="C30" s="358">
        <v>19.567</v>
      </c>
      <c r="D30" s="358">
        <v>3.5779999999999998</v>
      </c>
      <c r="G30">
        <v>0</v>
      </c>
    </row>
    <row r="31" spans="1:13">
      <c r="A31" s="357">
        <v>41578</v>
      </c>
      <c r="B31" s="358">
        <v>10.356708333333335</v>
      </c>
      <c r="C31" s="358">
        <v>17.57</v>
      </c>
      <c r="D31" s="358">
        <v>5.7569999999999997</v>
      </c>
      <c r="G31">
        <v>0</v>
      </c>
    </row>
    <row r="32" spans="1:13">
      <c r="A32" s="357">
        <v>41579</v>
      </c>
      <c r="B32" s="358">
        <v>11.266479166666668</v>
      </c>
      <c r="C32" s="358">
        <v>14.324999999999999</v>
      </c>
      <c r="D32" s="358">
        <v>9.077</v>
      </c>
      <c r="G32">
        <v>5.4000000000000057</v>
      </c>
    </row>
    <row r="33" spans="1:7">
      <c r="A33" s="357">
        <v>41580</v>
      </c>
      <c r="B33" s="358">
        <v>11.918833333333334</v>
      </c>
      <c r="C33" s="358">
        <v>15.186999999999999</v>
      </c>
      <c r="D33" s="358">
        <v>9.077</v>
      </c>
      <c r="G33">
        <v>16.499999999999844</v>
      </c>
    </row>
    <row r="34" spans="1:7">
      <c r="A34" s="357">
        <v>41581</v>
      </c>
      <c r="B34" s="358">
        <v>8.9634791666666658</v>
      </c>
      <c r="C34" s="358">
        <v>12.497</v>
      </c>
      <c r="D34" s="358">
        <v>7.3810000000000002</v>
      </c>
      <c r="G34">
        <v>7.1999999999999318</v>
      </c>
    </row>
    <row r="35" spans="1:7">
      <c r="A35" s="357">
        <v>41582</v>
      </c>
      <c r="B35" s="358">
        <v>9.4425208333333313</v>
      </c>
      <c r="C35" s="358">
        <v>12.882999999999999</v>
      </c>
      <c r="D35" s="358">
        <v>4.6230000000000002</v>
      </c>
      <c r="G35">
        <v>9.8999999999999062</v>
      </c>
    </row>
    <row r="36" spans="1:7">
      <c r="A36" s="357">
        <v>41583</v>
      </c>
      <c r="B36" s="358">
        <v>6.7714166666666662</v>
      </c>
      <c r="C36" s="358">
        <v>10.747999999999999</v>
      </c>
      <c r="D36" s="358">
        <v>2.8370000000000002</v>
      </c>
      <c r="G36">
        <v>14.099999999999866</v>
      </c>
    </row>
    <row r="37" spans="1:7">
      <c r="A37" s="357">
        <v>41584</v>
      </c>
      <c r="B37" s="358">
        <v>11.427833333333332</v>
      </c>
      <c r="C37" s="358">
        <v>14.709</v>
      </c>
      <c r="D37" s="358">
        <v>8.3819999999999997</v>
      </c>
      <c r="G37">
        <v>6.2999999999999403</v>
      </c>
    </row>
    <row r="38" spans="1:7">
      <c r="A38" s="357">
        <v>41585</v>
      </c>
      <c r="B38" s="358">
        <v>12.643638297872345</v>
      </c>
      <c r="C38" s="358">
        <v>14.9</v>
      </c>
      <c r="D38" s="358">
        <v>9.1760000000000002</v>
      </c>
      <c r="G38">
        <v>18.299999999999827</v>
      </c>
    </row>
    <row r="39" spans="1:7">
      <c r="A39" s="357">
        <v>41586</v>
      </c>
      <c r="B39" s="358">
        <v>9.3311250000000019</v>
      </c>
      <c r="C39" s="358">
        <v>14.324999999999999</v>
      </c>
      <c r="D39" s="358">
        <v>6.2679999999999998</v>
      </c>
      <c r="G39">
        <v>8.6999999999999176</v>
      </c>
    </row>
    <row r="40" spans="1:7">
      <c r="A40" s="357">
        <v>41587</v>
      </c>
      <c r="B40" s="358">
        <v>8.6543125000000014</v>
      </c>
      <c r="C40" s="358">
        <v>14.804</v>
      </c>
      <c r="D40" s="358">
        <v>5.9619999999999997</v>
      </c>
      <c r="G40">
        <v>2.3999999999999773</v>
      </c>
    </row>
    <row r="41" spans="1:7">
      <c r="A41" s="357">
        <v>41588</v>
      </c>
      <c r="B41" s="358">
        <v>7.2673125000000001</v>
      </c>
      <c r="C41" s="358">
        <v>12.304</v>
      </c>
      <c r="D41" s="358">
        <v>4.1020000000000003</v>
      </c>
      <c r="G41">
        <v>6.8999999999999346</v>
      </c>
    </row>
    <row r="42" spans="1:7">
      <c r="A42" s="357">
        <v>41589</v>
      </c>
      <c r="B42" s="358">
        <v>5.6124166666666673</v>
      </c>
      <c r="C42" s="358">
        <v>10.846</v>
      </c>
      <c r="D42" s="358">
        <v>0.34300000000000003</v>
      </c>
      <c r="G42">
        <v>0.29999999999999716</v>
      </c>
    </row>
    <row r="43" spans="1:7">
      <c r="A43" s="357">
        <v>41590</v>
      </c>
      <c r="B43" s="358">
        <v>8.1493333333333329</v>
      </c>
      <c r="C43" s="358">
        <v>10.259</v>
      </c>
      <c r="D43" s="358">
        <v>6.6740000000000004</v>
      </c>
      <c r="G43">
        <v>1.7999999999999829</v>
      </c>
    </row>
    <row r="44" spans="1:7">
      <c r="A44" s="357">
        <v>41591</v>
      </c>
      <c r="B44" s="358">
        <v>7.0090208333333317</v>
      </c>
      <c r="C44" s="358">
        <v>19.376999999999999</v>
      </c>
      <c r="D44" s="358">
        <v>0.45300000000000001</v>
      </c>
      <c r="G44">
        <v>0</v>
      </c>
    </row>
    <row r="45" spans="1:7">
      <c r="A45" s="357">
        <v>41592</v>
      </c>
      <c r="B45" s="358">
        <v>6.7090833333333331</v>
      </c>
      <c r="C45" s="358">
        <v>10.553000000000001</v>
      </c>
      <c r="D45" s="358">
        <v>2.1949999999999998</v>
      </c>
      <c r="G45">
        <v>14.100000000000378</v>
      </c>
    </row>
    <row r="46" spans="1:7">
      <c r="A46" s="357">
        <v>41593</v>
      </c>
      <c r="B46" s="358">
        <v>8.4211666666666645</v>
      </c>
      <c r="C46" s="358">
        <v>15.951000000000001</v>
      </c>
      <c r="D46" s="358">
        <v>3.5779999999999998</v>
      </c>
      <c r="G46">
        <v>5.1000000000001933</v>
      </c>
    </row>
    <row r="47" spans="1:7">
      <c r="A47" s="357">
        <v>41594</v>
      </c>
      <c r="B47" s="358">
        <v>4.2818958333333343</v>
      </c>
      <c r="C47" s="358">
        <v>6.0640000000000001</v>
      </c>
      <c r="D47" s="358">
        <v>2.73</v>
      </c>
      <c r="G47">
        <v>0.30000000000001137</v>
      </c>
    </row>
    <row r="48" spans="1:7">
      <c r="A48" s="357">
        <v>41595</v>
      </c>
      <c r="B48" s="358">
        <v>5.9148750000000021</v>
      </c>
      <c r="C48" s="358">
        <v>8.0820000000000007</v>
      </c>
      <c r="D48" s="358">
        <v>4.5190000000000001</v>
      </c>
      <c r="G48">
        <v>0</v>
      </c>
    </row>
    <row r="49" spans="1:7">
      <c r="A49" s="357">
        <v>41596</v>
      </c>
      <c r="B49" s="358">
        <v>5.5739791666666676</v>
      </c>
      <c r="C49" s="358">
        <v>6.8769999999999998</v>
      </c>
      <c r="D49" s="358">
        <v>4.7270000000000003</v>
      </c>
      <c r="G49">
        <v>0</v>
      </c>
    </row>
    <row r="50" spans="1:7">
      <c r="A50" s="357">
        <v>41597</v>
      </c>
      <c r="B50" s="358">
        <v>6.5583333333333327</v>
      </c>
      <c r="C50" s="358">
        <v>11.430999999999999</v>
      </c>
      <c r="D50" s="358">
        <v>4.1020000000000003</v>
      </c>
      <c r="G50">
        <v>1.2000000000000455</v>
      </c>
    </row>
    <row r="51" spans="1:7">
      <c r="A51" s="357">
        <v>41598</v>
      </c>
      <c r="B51" s="358">
        <v>3.2971875000000002</v>
      </c>
      <c r="C51" s="358">
        <v>10.846</v>
      </c>
      <c r="D51" s="358">
        <v>0.121</v>
      </c>
      <c r="G51">
        <v>13.2000000000005</v>
      </c>
    </row>
    <row r="52" spans="1:7">
      <c r="A52" s="357">
        <v>41599</v>
      </c>
      <c r="B52" s="358">
        <v>2.0174374999999993</v>
      </c>
      <c r="C52" s="358">
        <v>5.3470000000000004</v>
      </c>
      <c r="D52" s="358">
        <v>-0.437</v>
      </c>
      <c r="G52">
        <v>0</v>
      </c>
    </row>
    <row r="53" spans="1:7">
      <c r="A53" s="357">
        <v>41600</v>
      </c>
      <c r="B53" s="358">
        <v>3.3268958333333338</v>
      </c>
      <c r="C53" s="358">
        <v>8.282</v>
      </c>
      <c r="D53" s="358">
        <v>-0.10199999999999999</v>
      </c>
      <c r="G53">
        <v>0.30000000000001137</v>
      </c>
    </row>
    <row r="54" spans="1:7">
      <c r="A54" s="357">
        <v>41601</v>
      </c>
      <c r="B54" s="358">
        <v>4.8652500000000005</v>
      </c>
      <c r="C54" s="358">
        <v>12.401</v>
      </c>
      <c r="D54" s="358">
        <v>-0.77400000000000002</v>
      </c>
      <c r="G54">
        <v>0</v>
      </c>
    </row>
    <row r="55" spans="1:7">
      <c r="A55" s="357">
        <v>41602</v>
      </c>
      <c r="B55" s="358">
        <v>5.171291666666666</v>
      </c>
      <c r="C55" s="358">
        <v>10.356999999999999</v>
      </c>
      <c r="D55" s="358">
        <v>-1.1140000000000001</v>
      </c>
      <c r="G55">
        <v>0.60000000000002274</v>
      </c>
    </row>
    <row r="56" spans="1:7">
      <c r="A56" s="357">
        <v>41603</v>
      </c>
      <c r="B56" s="358">
        <v>5.9570204081632641</v>
      </c>
      <c r="C56" s="358">
        <v>10.356999999999999</v>
      </c>
      <c r="D56" s="358">
        <v>4.415</v>
      </c>
      <c r="G56">
        <v>2.1000000000000796</v>
      </c>
    </row>
    <row r="57" spans="1:7">
      <c r="A57" s="357">
        <v>41604</v>
      </c>
      <c r="B57" s="358">
        <v>6.2124999999999995</v>
      </c>
      <c r="C57" s="358">
        <v>11.722</v>
      </c>
      <c r="D57" s="358">
        <v>3.6829999999999998</v>
      </c>
      <c r="G57">
        <v>0.60000000000002274</v>
      </c>
    </row>
    <row r="58" spans="1:7">
      <c r="A58" s="357">
        <v>41605</v>
      </c>
      <c r="B58" s="358">
        <v>5.6582083333333335</v>
      </c>
      <c r="C58" s="358">
        <v>9.7680000000000007</v>
      </c>
      <c r="D58" s="358">
        <v>3.0489999999999999</v>
      </c>
      <c r="G58">
        <v>0</v>
      </c>
    </row>
    <row r="59" spans="1:7">
      <c r="A59" s="357">
        <v>41606</v>
      </c>
      <c r="B59" s="358">
        <v>7.2946874999999993</v>
      </c>
      <c r="C59" s="358">
        <v>9.3729999999999993</v>
      </c>
      <c r="D59" s="358">
        <v>5.141</v>
      </c>
      <c r="G59">
        <v>0</v>
      </c>
    </row>
    <row r="60" spans="1:7">
      <c r="A60" s="357">
        <v>41607</v>
      </c>
      <c r="B60" s="358">
        <v>7.7618541666666667</v>
      </c>
      <c r="C60" s="358">
        <v>9.7680000000000007</v>
      </c>
      <c r="D60" s="358">
        <v>6.4710000000000001</v>
      </c>
      <c r="G60">
        <v>0</v>
      </c>
    </row>
    <row r="61" spans="1:7">
      <c r="A61" s="357">
        <v>41608</v>
      </c>
      <c r="B61" s="358">
        <v>7.168541666666667</v>
      </c>
      <c r="C61" s="358">
        <v>13.846</v>
      </c>
      <c r="D61" s="358">
        <v>2.6240000000000001</v>
      </c>
      <c r="G61">
        <v>0.90000000000003411</v>
      </c>
    </row>
    <row r="62" spans="1:7">
      <c r="A62" s="357">
        <v>41609</v>
      </c>
      <c r="B62" s="358">
        <v>6.9948541666666664</v>
      </c>
      <c r="C62" s="358">
        <v>11.819000000000001</v>
      </c>
      <c r="D62" s="358">
        <v>3.7879999999999998</v>
      </c>
      <c r="G62">
        <v>0</v>
      </c>
    </row>
    <row r="63" spans="1:7">
      <c r="A63" s="357">
        <v>41610</v>
      </c>
      <c r="B63" s="358">
        <v>6.6687708333333333</v>
      </c>
      <c r="C63" s="358">
        <v>12.98</v>
      </c>
      <c r="D63" s="358">
        <v>0.45300000000000001</v>
      </c>
      <c r="G63">
        <v>0</v>
      </c>
    </row>
    <row r="64" spans="1:7">
      <c r="A64" s="357">
        <v>41611</v>
      </c>
      <c r="B64" s="358">
        <v>0.32041666666666657</v>
      </c>
      <c r="C64" s="358">
        <v>5.2439999999999998</v>
      </c>
      <c r="D64" s="358">
        <v>-2.0299999999999998</v>
      </c>
      <c r="G64">
        <v>0</v>
      </c>
    </row>
    <row r="65" spans="1:7">
      <c r="A65" s="357">
        <v>41612</v>
      </c>
      <c r="B65" s="358">
        <v>5.2666249999999986</v>
      </c>
      <c r="C65" s="358">
        <v>8.7789999999999999</v>
      </c>
      <c r="D65" s="358">
        <v>0.23200000000000001</v>
      </c>
      <c r="G65">
        <v>0.90000000000003411</v>
      </c>
    </row>
    <row r="66" spans="1:7">
      <c r="A66" s="357">
        <v>41613</v>
      </c>
      <c r="B66" s="358">
        <v>4.170583333333334</v>
      </c>
      <c r="C66" s="358">
        <v>9.5709999999999997</v>
      </c>
      <c r="D66" s="358">
        <v>-0.77400000000000002</v>
      </c>
      <c r="G66">
        <v>1.2000000000000455</v>
      </c>
    </row>
    <row r="67" spans="1:7">
      <c r="A67" s="357">
        <v>41614</v>
      </c>
      <c r="B67" s="358">
        <v>4.4721041666666652</v>
      </c>
      <c r="C67" s="358">
        <v>7.1790000000000003</v>
      </c>
      <c r="D67" s="358">
        <v>2.0880000000000001</v>
      </c>
      <c r="G67">
        <v>0.30000000000001137</v>
      </c>
    </row>
    <row r="68" spans="1:7">
      <c r="A68" s="357">
        <v>41615</v>
      </c>
      <c r="B68" s="358">
        <v>6.6857083333333298</v>
      </c>
      <c r="C68" s="358">
        <v>13.173</v>
      </c>
      <c r="D68" s="358">
        <v>3.2610000000000001</v>
      </c>
      <c r="G68">
        <v>0.60000000000002274</v>
      </c>
    </row>
    <row r="69" spans="1:7">
      <c r="A69" s="357">
        <v>41616</v>
      </c>
      <c r="B69" s="358">
        <v>7.8294166666666678</v>
      </c>
      <c r="C69" s="358">
        <v>12.207000000000001</v>
      </c>
      <c r="D69" s="358">
        <v>4.9340000000000002</v>
      </c>
      <c r="G69">
        <v>0</v>
      </c>
    </row>
    <row r="70" spans="1:7">
      <c r="A70" s="357">
        <v>41617</v>
      </c>
      <c r="B70" s="358">
        <v>6.7345000000000006</v>
      </c>
      <c r="C70" s="358">
        <v>13.942</v>
      </c>
      <c r="D70" s="358">
        <v>2.41</v>
      </c>
      <c r="G70">
        <v>0</v>
      </c>
    </row>
    <row r="71" spans="1:7">
      <c r="A71" s="357">
        <v>41618</v>
      </c>
      <c r="B71" s="358">
        <v>2.8713124999999997</v>
      </c>
      <c r="C71" s="358">
        <v>7.3810000000000002</v>
      </c>
      <c r="D71" s="358">
        <v>0.121</v>
      </c>
      <c r="G71">
        <v>0.30000000000001137</v>
      </c>
    </row>
    <row r="72" spans="1:7">
      <c r="A72" s="357">
        <v>41619</v>
      </c>
      <c r="B72" s="358">
        <v>2.6153541666666671</v>
      </c>
      <c r="C72" s="358">
        <v>9.5709999999999997</v>
      </c>
      <c r="D72" s="358">
        <v>-1.341</v>
      </c>
      <c r="G72">
        <v>0.30000000000001137</v>
      </c>
    </row>
    <row r="73" spans="1:7">
      <c r="A73" s="357">
        <v>41620</v>
      </c>
      <c r="B73" s="358">
        <v>0.48858333333333309</v>
      </c>
      <c r="C73" s="358">
        <v>2.0880000000000001</v>
      </c>
      <c r="D73" s="358">
        <v>-0.437</v>
      </c>
      <c r="G73">
        <v>0</v>
      </c>
    </row>
    <row r="74" spans="1:7">
      <c r="A74" s="357">
        <v>41621</v>
      </c>
      <c r="B74" s="358">
        <v>1.9718333333333333</v>
      </c>
      <c r="C74" s="358">
        <v>3.9980000000000002</v>
      </c>
      <c r="D74" s="358">
        <v>-0.32500000000000001</v>
      </c>
      <c r="G74">
        <v>2.4000000000000909</v>
      </c>
    </row>
    <row r="75" spans="1:7">
      <c r="A75" s="357">
        <v>41622</v>
      </c>
      <c r="B75" s="358">
        <v>6.7580208333333323</v>
      </c>
      <c r="C75" s="358">
        <v>12.304</v>
      </c>
      <c r="D75" s="358">
        <v>2.3029999999999999</v>
      </c>
      <c r="G75">
        <v>2.4000000000000909</v>
      </c>
    </row>
    <row r="76" spans="1:7">
      <c r="A76" s="357">
        <v>41623</v>
      </c>
      <c r="B76" s="358">
        <v>7.6709999999999985</v>
      </c>
      <c r="C76" s="358">
        <v>11.916</v>
      </c>
      <c r="D76" s="358">
        <v>6.4710000000000001</v>
      </c>
      <c r="G76">
        <v>0.60000000000002274</v>
      </c>
    </row>
    <row r="77" spans="1:7">
      <c r="A77" s="357">
        <v>41624</v>
      </c>
      <c r="B77" s="358">
        <v>8.7878541666666674</v>
      </c>
      <c r="C77" s="358">
        <v>11.916</v>
      </c>
      <c r="D77" s="358">
        <v>6.4710000000000001</v>
      </c>
      <c r="G77">
        <v>0</v>
      </c>
    </row>
    <row r="78" spans="1:7">
      <c r="A78" s="357">
        <v>41625</v>
      </c>
      <c r="B78" s="358">
        <v>6.9937291666666646</v>
      </c>
      <c r="C78" s="358">
        <v>7.782</v>
      </c>
      <c r="D78" s="358">
        <v>6.1660000000000004</v>
      </c>
      <c r="G78">
        <v>0</v>
      </c>
    </row>
    <row r="79" spans="1:7">
      <c r="A79" s="357">
        <v>41626</v>
      </c>
      <c r="B79" s="358">
        <v>7.9569166666666673</v>
      </c>
      <c r="C79" s="358">
        <v>10.651</v>
      </c>
      <c r="D79" s="358">
        <v>6.0640000000000001</v>
      </c>
      <c r="G79">
        <v>0.90000000000003411</v>
      </c>
    </row>
    <row r="80" spans="1:7">
      <c r="A80" s="357">
        <v>41627</v>
      </c>
      <c r="B80" s="358">
        <v>7.8236666666666634</v>
      </c>
      <c r="C80" s="358">
        <v>12.98</v>
      </c>
      <c r="D80" s="358">
        <v>3.472</v>
      </c>
      <c r="G80">
        <v>6.6000000000002501</v>
      </c>
    </row>
    <row r="81" spans="1:7">
      <c r="A81" s="357">
        <v>41628</v>
      </c>
      <c r="B81" s="358">
        <v>6.198645833333333</v>
      </c>
      <c r="C81" s="358">
        <v>11.625</v>
      </c>
      <c r="D81" s="358">
        <v>1.98</v>
      </c>
      <c r="G81">
        <v>1.2000000000000455</v>
      </c>
    </row>
    <row r="82" spans="1:7">
      <c r="A82" s="357">
        <v>41629</v>
      </c>
      <c r="B82" s="358">
        <v>6.8921041666666651</v>
      </c>
      <c r="C82" s="358">
        <v>7.9829999999999997</v>
      </c>
      <c r="D82" s="358">
        <v>5.86</v>
      </c>
      <c r="G82">
        <v>2.4000000000000909</v>
      </c>
    </row>
    <row r="83" spans="1:7">
      <c r="A83" s="357">
        <v>41630</v>
      </c>
      <c r="B83" s="358">
        <v>8.5179374999999986</v>
      </c>
      <c r="C83" s="358">
        <v>12.69</v>
      </c>
      <c r="D83" s="358">
        <v>6.6740000000000004</v>
      </c>
      <c r="G83">
        <v>7.2000000000002728</v>
      </c>
    </row>
    <row r="84" spans="1:7">
      <c r="A84" s="357">
        <v>41631</v>
      </c>
      <c r="B84" s="358">
        <v>8.4525624999999991</v>
      </c>
      <c r="C84" s="358">
        <v>11.430999999999999</v>
      </c>
      <c r="D84" s="358">
        <v>5.45</v>
      </c>
      <c r="G84">
        <v>0.60000000000002274</v>
      </c>
    </row>
    <row r="85" spans="1:7">
      <c r="A85" s="357">
        <v>41632</v>
      </c>
      <c r="B85" s="358">
        <v>10.140833333333335</v>
      </c>
      <c r="C85" s="358">
        <v>11.916</v>
      </c>
      <c r="D85" s="358">
        <v>7.28</v>
      </c>
      <c r="G85">
        <v>12.000000000000455</v>
      </c>
    </row>
    <row r="86" spans="1:7">
      <c r="A86" s="357">
        <v>41633</v>
      </c>
      <c r="B86" s="358">
        <v>7.2319166666666677</v>
      </c>
      <c r="C86" s="358">
        <v>12.69</v>
      </c>
      <c r="D86" s="358">
        <v>4.415</v>
      </c>
      <c r="G86">
        <v>1.5000000000000568</v>
      </c>
    </row>
    <row r="87" spans="1:7">
      <c r="A87" s="357">
        <v>41634</v>
      </c>
      <c r="B87" s="358">
        <v>5.3300416666666672</v>
      </c>
      <c r="C87" s="358">
        <v>10.846</v>
      </c>
      <c r="D87" s="358">
        <v>3.2610000000000001</v>
      </c>
      <c r="G87">
        <v>0</v>
      </c>
    </row>
    <row r="88" spans="1:7">
      <c r="A88" s="357">
        <v>41635</v>
      </c>
      <c r="B88" s="358">
        <v>7.752854166666669</v>
      </c>
      <c r="C88" s="358">
        <v>10.651</v>
      </c>
      <c r="D88" s="358">
        <v>3.7879999999999998</v>
      </c>
      <c r="G88">
        <v>6.0000000000002274</v>
      </c>
    </row>
    <row r="89" spans="1:7">
      <c r="A89" s="357">
        <v>41636</v>
      </c>
      <c r="B89" s="358">
        <v>7.0187500000000007</v>
      </c>
      <c r="C89" s="358">
        <v>11.041</v>
      </c>
      <c r="D89" s="358">
        <v>4.2069999999999999</v>
      </c>
      <c r="G89">
        <v>6.6000000000002501</v>
      </c>
    </row>
    <row r="90" spans="1:7">
      <c r="A90" s="357">
        <v>41637</v>
      </c>
      <c r="B90" s="358">
        <v>5.727999999999998</v>
      </c>
      <c r="C90" s="358">
        <v>12.401</v>
      </c>
      <c r="D90" s="358">
        <v>1.98</v>
      </c>
      <c r="G90">
        <v>0.60000000000002274</v>
      </c>
    </row>
    <row r="91" spans="1:7">
      <c r="A91" s="357">
        <v>41638</v>
      </c>
      <c r="B91" s="358">
        <v>5.2501250000000015</v>
      </c>
      <c r="C91" s="358">
        <v>7.4809999999999999</v>
      </c>
      <c r="D91" s="358">
        <v>2.9430000000000001</v>
      </c>
      <c r="G91">
        <v>1.2000000000000455</v>
      </c>
    </row>
    <row r="92" spans="1:7">
      <c r="A92" s="357">
        <v>41639</v>
      </c>
      <c r="B92" s="358">
        <v>6.6516458333333341</v>
      </c>
      <c r="C92" s="358">
        <v>7.9829999999999997</v>
      </c>
      <c r="D92" s="358">
        <v>5.86</v>
      </c>
      <c r="G92">
        <v>3.3000000000001251</v>
      </c>
    </row>
    <row r="93" spans="1:7">
      <c r="A93" s="357">
        <v>41640</v>
      </c>
      <c r="B93" s="358">
        <v>7.221375000000001</v>
      </c>
      <c r="C93" s="358">
        <v>9.4719999999999995</v>
      </c>
      <c r="D93" s="358">
        <v>4.9340000000000002</v>
      </c>
      <c r="G93">
        <v>3.9000000000001478</v>
      </c>
    </row>
    <row r="94" spans="1:7">
      <c r="A94" s="357">
        <v>41641</v>
      </c>
      <c r="B94" s="358">
        <v>9.4606666666666683</v>
      </c>
      <c r="C94" s="358">
        <v>13.365</v>
      </c>
      <c r="D94" s="358">
        <v>7.4809999999999999</v>
      </c>
      <c r="G94">
        <v>1.2000000000000455</v>
      </c>
    </row>
    <row r="95" spans="1:7">
      <c r="A95" s="357">
        <v>41642</v>
      </c>
      <c r="B95" s="358">
        <v>9.4439791666666668</v>
      </c>
      <c r="C95" s="358">
        <v>13.365</v>
      </c>
      <c r="D95" s="358">
        <v>5.86</v>
      </c>
      <c r="G95">
        <v>8.7000000000003297</v>
      </c>
    </row>
    <row r="96" spans="1:7">
      <c r="A96" s="357">
        <v>41643</v>
      </c>
      <c r="B96" s="358">
        <v>8.171604166666663</v>
      </c>
      <c r="C96" s="358">
        <v>9.8659999999999997</v>
      </c>
      <c r="D96" s="358">
        <v>6.8769999999999998</v>
      </c>
      <c r="G96">
        <v>1.2000000000000455</v>
      </c>
    </row>
    <row r="97" spans="1:7">
      <c r="A97" s="357">
        <v>41644</v>
      </c>
      <c r="B97" s="358">
        <v>5.8137500000000024</v>
      </c>
      <c r="C97" s="358">
        <v>8.68</v>
      </c>
      <c r="D97" s="358">
        <v>2.5169999999999999</v>
      </c>
      <c r="G97">
        <v>0</v>
      </c>
    </row>
    <row r="98" spans="1:7">
      <c r="A98" s="357">
        <v>41645</v>
      </c>
      <c r="B98" s="358">
        <v>11.660312500000002</v>
      </c>
      <c r="C98" s="358">
        <v>15.473000000000001</v>
      </c>
      <c r="D98" s="358">
        <v>8.9779999999999998</v>
      </c>
      <c r="G98">
        <v>3.3000000000001251</v>
      </c>
    </row>
    <row r="99" spans="1:7">
      <c r="A99" s="357">
        <v>41646</v>
      </c>
      <c r="B99" s="358">
        <v>10.569145833333332</v>
      </c>
      <c r="C99" s="358">
        <v>14.134</v>
      </c>
      <c r="D99" s="358">
        <v>8.7789999999999999</v>
      </c>
      <c r="G99">
        <v>0</v>
      </c>
    </row>
    <row r="100" spans="1:7">
      <c r="A100" s="357">
        <v>41647</v>
      </c>
      <c r="B100" s="358">
        <v>9.8889791666666618</v>
      </c>
      <c r="C100" s="358">
        <v>14.709</v>
      </c>
      <c r="D100" s="358">
        <v>7.9829999999999997</v>
      </c>
      <c r="G100">
        <v>3.0000000000001137</v>
      </c>
    </row>
    <row r="101" spans="1:7">
      <c r="A101" s="357">
        <v>41648</v>
      </c>
      <c r="B101" s="358">
        <v>9.5434791666666623</v>
      </c>
      <c r="C101" s="358">
        <v>12.013</v>
      </c>
      <c r="D101" s="358">
        <v>4.1020000000000003</v>
      </c>
      <c r="G101">
        <v>1.5000000000000568</v>
      </c>
    </row>
    <row r="102" spans="1:7">
      <c r="A102" s="357">
        <v>41649</v>
      </c>
      <c r="B102" s="358">
        <v>5.561979166666668</v>
      </c>
      <c r="C102" s="358">
        <v>11.334</v>
      </c>
      <c r="D102" s="358">
        <v>2.8370000000000002</v>
      </c>
      <c r="G102">
        <v>0</v>
      </c>
    </row>
    <row r="103" spans="1:7">
      <c r="A103" s="357">
        <v>41650</v>
      </c>
      <c r="B103" s="358">
        <v>4.7896250000000009</v>
      </c>
      <c r="C103" s="358">
        <v>9.9649999999999999</v>
      </c>
      <c r="D103" s="358">
        <v>-0.66200000000000003</v>
      </c>
      <c r="G103">
        <v>0</v>
      </c>
    </row>
    <row r="104" spans="1:7">
      <c r="A104" s="357">
        <v>41651</v>
      </c>
      <c r="B104" s="358">
        <v>2.0926666666666676</v>
      </c>
      <c r="C104" s="358">
        <v>6.0640000000000001</v>
      </c>
      <c r="D104" s="358">
        <v>-1.7989999999999999</v>
      </c>
      <c r="G104">
        <v>0.30000000000001137</v>
      </c>
    </row>
    <row r="105" spans="1:7">
      <c r="A105" s="357">
        <v>41652</v>
      </c>
      <c r="B105" s="358">
        <v>7.718583333333334</v>
      </c>
      <c r="C105" s="358">
        <v>12.11</v>
      </c>
      <c r="D105" s="358">
        <v>5.3470000000000004</v>
      </c>
      <c r="G105">
        <v>0</v>
      </c>
    </row>
    <row r="106" spans="1:7">
      <c r="A106" s="357">
        <v>41653</v>
      </c>
      <c r="B106" s="358">
        <v>4.6986666666666661</v>
      </c>
      <c r="C106" s="358">
        <v>6.37</v>
      </c>
      <c r="D106" s="358">
        <v>1.6559999999999999</v>
      </c>
      <c r="G106">
        <v>6.6000000000002501</v>
      </c>
    </row>
    <row r="107" spans="1:7">
      <c r="A107" s="357">
        <v>41654</v>
      </c>
      <c r="B107" s="358">
        <v>5.4196041666666668</v>
      </c>
      <c r="C107" s="358">
        <v>8.5809999999999995</v>
      </c>
      <c r="D107" s="358">
        <v>2.41</v>
      </c>
      <c r="G107">
        <v>7.2000000000002444</v>
      </c>
    </row>
    <row r="108" spans="1:7">
      <c r="A108" s="357">
        <v>41655</v>
      </c>
      <c r="B108" s="358">
        <v>8.3628958333333276</v>
      </c>
      <c r="C108" s="358">
        <v>9.6690000000000005</v>
      </c>
      <c r="D108" s="358">
        <v>6.9779999999999998</v>
      </c>
      <c r="G108">
        <v>7.8000000000002956</v>
      </c>
    </row>
    <row r="109" spans="1:7">
      <c r="A109" s="357">
        <v>41656</v>
      </c>
      <c r="B109" s="358">
        <v>7.4948333333333315</v>
      </c>
      <c r="C109" s="358">
        <v>8.68</v>
      </c>
      <c r="D109" s="358">
        <v>6.8769999999999998</v>
      </c>
      <c r="G109">
        <v>3.9000000000001478</v>
      </c>
    </row>
    <row r="110" spans="1:7">
      <c r="A110" s="357">
        <v>41657</v>
      </c>
      <c r="B110" s="358">
        <v>6.717229166666665</v>
      </c>
      <c r="C110" s="358">
        <v>9.2750000000000004</v>
      </c>
      <c r="D110" s="358">
        <v>4.3109999999999999</v>
      </c>
      <c r="G110">
        <v>0</v>
      </c>
    </row>
    <row r="111" spans="1:7">
      <c r="A111" s="357">
        <v>41658</v>
      </c>
      <c r="B111" s="358">
        <v>6.8367916666666675</v>
      </c>
      <c r="C111" s="358">
        <v>10.356999999999999</v>
      </c>
      <c r="D111" s="358">
        <v>2.41</v>
      </c>
      <c r="G111">
        <v>0.90000000000003411</v>
      </c>
    </row>
    <row r="112" spans="1:7">
      <c r="A112" s="357">
        <v>41659</v>
      </c>
      <c r="B112" s="358">
        <v>4.7933124999999999</v>
      </c>
      <c r="C112" s="358">
        <v>7.8819999999999997</v>
      </c>
      <c r="D112" s="358">
        <v>2.41</v>
      </c>
      <c r="G112">
        <v>0</v>
      </c>
    </row>
    <row r="113" spans="1:7">
      <c r="A113" s="357">
        <v>41660</v>
      </c>
      <c r="B113" s="358">
        <v>3.8504375</v>
      </c>
      <c r="C113" s="358">
        <v>5.86</v>
      </c>
      <c r="D113" s="358">
        <v>0.67400000000000004</v>
      </c>
      <c r="G113">
        <v>0.30000000000001137</v>
      </c>
    </row>
    <row r="114" spans="1:7">
      <c r="A114" s="357">
        <v>41661</v>
      </c>
      <c r="B114" s="358">
        <v>3.5870000000000002</v>
      </c>
      <c r="C114" s="358">
        <v>5.3470000000000004</v>
      </c>
      <c r="D114" s="358">
        <v>2.3029999999999999</v>
      </c>
      <c r="G114">
        <v>3.6000000000001364</v>
      </c>
    </row>
    <row r="115" spans="1:7">
      <c r="A115" s="357">
        <v>41662</v>
      </c>
      <c r="B115" s="358">
        <v>5.9439166666666665</v>
      </c>
      <c r="C115" s="358">
        <v>13.558</v>
      </c>
      <c r="D115" s="358">
        <v>3.367</v>
      </c>
      <c r="G115">
        <v>9.6000000000003638</v>
      </c>
    </row>
    <row r="116" spans="1:7">
      <c r="A116" s="357">
        <v>41663</v>
      </c>
      <c r="B116" s="358">
        <v>4.0383541666666662</v>
      </c>
      <c r="C116" s="358">
        <v>10.651</v>
      </c>
      <c r="D116" s="358">
        <v>-0.77400000000000002</v>
      </c>
      <c r="G116">
        <v>0</v>
      </c>
    </row>
    <row r="117" spans="1:7">
      <c r="A117" s="357">
        <v>41664</v>
      </c>
      <c r="B117" s="358">
        <v>4.5921666666666665</v>
      </c>
      <c r="C117" s="358">
        <v>8.282</v>
      </c>
      <c r="D117" s="358">
        <v>2.6240000000000001</v>
      </c>
      <c r="G117">
        <v>4.8000000000001819</v>
      </c>
    </row>
    <row r="118" spans="1:7">
      <c r="A118" s="357">
        <v>41665</v>
      </c>
      <c r="B118" s="358">
        <v>4.8628958333333339</v>
      </c>
      <c r="C118" s="358">
        <v>8.4809999999999999</v>
      </c>
      <c r="D118" s="358">
        <v>1.2210000000000001</v>
      </c>
      <c r="G118">
        <v>5.4000000000002046</v>
      </c>
    </row>
    <row r="119" spans="1:7">
      <c r="A119" s="357">
        <v>41666</v>
      </c>
      <c r="B119" s="358">
        <v>3.8920624999999998</v>
      </c>
      <c r="C119" s="358">
        <v>5.7569999999999997</v>
      </c>
      <c r="D119" s="358">
        <v>2.0880000000000001</v>
      </c>
      <c r="G119">
        <v>6.3000000000002387</v>
      </c>
    </row>
    <row r="120" spans="1:7">
      <c r="A120" s="357">
        <v>41667</v>
      </c>
      <c r="B120" s="358">
        <v>4.2827499999999992</v>
      </c>
      <c r="C120" s="358">
        <v>6.1660000000000004</v>
      </c>
      <c r="D120" s="358">
        <v>2.41</v>
      </c>
      <c r="G120">
        <v>3.0000000000001137</v>
      </c>
    </row>
    <row r="121" spans="1:7">
      <c r="A121" s="357">
        <v>41668</v>
      </c>
      <c r="B121" s="358">
        <v>4.4053750000000003</v>
      </c>
      <c r="C121" s="358">
        <v>7.28</v>
      </c>
      <c r="D121" s="358">
        <v>3.2610000000000001</v>
      </c>
      <c r="G121">
        <v>2.7000000000001023</v>
      </c>
    </row>
    <row r="122" spans="1:7">
      <c r="A122" s="357">
        <v>41669</v>
      </c>
      <c r="B122" s="358">
        <v>4.7779130434782617</v>
      </c>
      <c r="C122" s="358">
        <v>6.7750000000000004</v>
      </c>
      <c r="D122" s="358">
        <v>3.472</v>
      </c>
      <c r="G122">
        <v>0</v>
      </c>
    </row>
    <row r="123" spans="1:7">
      <c r="A123" s="357">
        <v>41670</v>
      </c>
      <c r="B123" s="358">
        <v>5.077979166666668</v>
      </c>
      <c r="C123" s="358">
        <v>8.5809999999999995</v>
      </c>
      <c r="D123" s="358">
        <v>0.89300000000000002</v>
      </c>
      <c r="G123">
        <v>1.5000000000000568</v>
      </c>
    </row>
    <row r="124" spans="1:7">
      <c r="A124" s="357">
        <v>41671</v>
      </c>
      <c r="B124" s="358">
        <v>6.9021666666666652</v>
      </c>
      <c r="C124" s="358">
        <v>9.4719999999999995</v>
      </c>
      <c r="D124" s="358">
        <v>3.8929999999999998</v>
      </c>
      <c r="G124">
        <v>11.100000000000421</v>
      </c>
    </row>
    <row r="125" spans="1:7">
      <c r="A125" s="357">
        <v>41672</v>
      </c>
      <c r="B125" s="358">
        <v>5.6889583333333329</v>
      </c>
      <c r="C125" s="358">
        <v>10.553000000000001</v>
      </c>
      <c r="D125" s="358">
        <v>2.73</v>
      </c>
      <c r="G125">
        <v>0</v>
      </c>
    </row>
    <row r="126" spans="1:7">
      <c r="A126" s="357">
        <v>41673</v>
      </c>
      <c r="B126" s="358">
        <v>4.9507291666666653</v>
      </c>
      <c r="C126" s="358">
        <v>9.4719999999999995</v>
      </c>
      <c r="D126" s="358">
        <v>1.4390000000000001</v>
      </c>
      <c r="G126">
        <v>0</v>
      </c>
    </row>
    <row r="127" spans="1:7">
      <c r="A127" s="357">
        <v>41674</v>
      </c>
      <c r="B127" s="358">
        <v>6.6553541666666662</v>
      </c>
      <c r="C127" s="358">
        <v>9.7680000000000007</v>
      </c>
      <c r="D127" s="358">
        <v>3.367</v>
      </c>
      <c r="G127">
        <v>0</v>
      </c>
    </row>
    <row r="128" spans="1:7">
      <c r="A128" s="357">
        <v>41675</v>
      </c>
      <c r="B128" s="358">
        <v>7.3641249999999987</v>
      </c>
      <c r="C128" s="358">
        <v>10.651</v>
      </c>
      <c r="D128" s="358">
        <v>4.7270000000000003</v>
      </c>
      <c r="G128">
        <v>4.2000000000001592</v>
      </c>
    </row>
    <row r="129" spans="1:7">
      <c r="A129" s="357">
        <v>41676</v>
      </c>
      <c r="B129" s="358">
        <v>6.7975000000000021</v>
      </c>
      <c r="C129" s="358">
        <v>8.68</v>
      </c>
      <c r="D129" s="358">
        <v>5.2439999999999998</v>
      </c>
      <c r="G129">
        <v>12.300000000000466</v>
      </c>
    </row>
    <row r="130" spans="1:7">
      <c r="A130" s="357">
        <v>41677</v>
      </c>
      <c r="B130" s="358">
        <v>8.1099583333333349</v>
      </c>
      <c r="C130" s="358">
        <v>11.334</v>
      </c>
      <c r="D130" s="358">
        <v>4.415</v>
      </c>
      <c r="G130">
        <v>4.8000000000001819</v>
      </c>
    </row>
    <row r="131" spans="1:7">
      <c r="A131" s="357">
        <v>41678</v>
      </c>
      <c r="B131" s="358">
        <v>7.7101041666666648</v>
      </c>
      <c r="C131" s="358">
        <v>11.334</v>
      </c>
      <c r="D131" s="358">
        <v>5.2439999999999998</v>
      </c>
      <c r="G131">
        <v>6.9000000000002615</v>
      </c>
    </row>
    <row r="132" spans="1:7">
      <c r="A132" s="357">
        <v>41679</v>
      </c>
      <c r="B132" s="358">
        <v>5.5286874999999993</v>
      </c>
      <c r="C132" s="358">
        <v>8.7789999999999999</v>
      </c>
      <c r="D132" s="358">
        <v>3.7879999999999998</v>
      </c>
      <c r="G132">
        <v>3.9000000000001478</v>
      </c>
    </row>
    <row r="133" spans="1:7">
      <c r="A133" s="357">
        <v>41680</v>
      </c>
      <c r="B133" s="358">
        <v>5.8205208333333323</v>
      </c>
      <c r="C133" s="358">
        <v>9.2750000000000004</v>
      </c>
      <c r="D133" s="358">
        <v>3.9980000000000002</v>
      </c>
      <c r="G133">
        <v>0.60000000000002274</v>
      </c>
    </row>
    <row r="134" spans="1:7">
      <c r="A134" s="357">
        <v>41681</v>
      </c>
      <c r="B134" s="358">
        <v>5.1360625000000013</v>
      </c>
      <c r="C134" s="358">
        <v>7.3810000000000002</v>
      </c>
      <c r="D134" s="358">
        <v>2.41</v>
      </c>
      <c r="G134">
        <v>5.1000000000001933</v>
      </c>
    </row>
    <row r="135" spans="1:7">
      <c r="A135" s="357">
        <v>41682</v>
      </c>
      <c r="B135" s="358">
        <v>5.6701458333333337</v>
      </c>
      <c r="C135" s="358">
        <v>9.7680000000000007</v>
      </c>
      <c r="D135" s="358">
        <v>2.41</v>
      </c>
      <c r="G135">
        <v>6.9000000000002615</v>
      </c>
    </row>
    <row r="136" spans="1:7">
      <c r="A136" s="357">
        <v>41683</v>
      </c>
      <c r="B136" s="358">
        <v>5.1145208333333336</v>
      </c>
      <c r="C136" s="358">
        <v>7.1790000000000003</v>
      </c>
      <c r="D136" s="358">
        <v>3.9980000000000002</v>
      </c>
      <c r="G136">
        <v>3.6000000000001364</v>
      </c>
    </row>
    <row r="137" spans="1:7">
      <c r="A137" s="357">
        <v>41684</v>
      </c>
      <c r="B137" s="358">
        <v>5.4881666666666673</v>
      </c>
      <c r="C137" s="358">
        <v>12.304</v>
      </c>
      <c r="D137" s="358">
        <v>1.98</v>
      </c>
      <c r="G137">
        <v>7.5000000000002842</v>
      </c>
    </row>
    <row r="138" spans="1:7">
      <c r="A138" s="357">
        <v>41685</v>
      </c>
      <c r="B138" s="358">
        <v>9.793666666666665</v>
      </c>
      <c r="C138" s="358">
        <v>12.207000000000001</v>
      </c>
      <c r="D138" s="358">
        <v>6.0640000000000001</v>
      </c>
      <c r="G138">
        <v>0</v>
      </c>
    </row>
    <row r="139" spans="1:7">
      <c r="A139" s="357">
        <v>41686</v>
      </c>
      <c r="B139" s="358">
        <v>7.1717499999999994</v>
      </c>
      <c r="C139" s="358">
        <v>13.076000000000001</v>
      </c>
      <c r="D139" s="358">
        <v>4.6230000000000002</v>
      </c>
      <c r="G139">
        <v>1.2000000000000455</v>
      </c>
    </row>
    <row r="140" spans="1:7">
      <c r="A140" s="357">
        <v>41687</v>
      </c>
      <c r="B140" s="358">
        <v>7.3293541666666657</v>
      </c>
      <c r="C140" s="358">
        <v>12.787000000000001</v>
      </c>
      <c r="D140" s="358">
        <v>3.9980000000000002</v>
      </c>
      <c r="G140">
        <v>0</v>
      </c>
    </row>
    <row r="141" spans="1:7">
      <c r="A141" s="357">
        <v>41688</v>
      </c>
      <c r="B141" s="358">
        <v>6.4923333333333302</v>
      </c>
      <c r="C141" s="358">
        <v>8.0820000000000007</v>
      </c>
      <c r="D141" s="358">
        <v>5.3470000000000004</v>
      </c>
      <c r="G141">
        <v>0.30000000000001137</v>
      </c>
    </row>
    <row r="142" spans="1:7">
      <c r="A142" s="357">
        <v>41689</v>
      </c>
      <c r="B142" s="358">
        <v>8.0039999999999996</v>
      </c>
      <c r="C142" s="358">
        <v>13.076000000000001</v>
      </c>
      <c r="D142" s="358">
        <v>5.2439999999999998</v>
      </c>
      <c r="G142">
        <v>0.30000000000001137</v>
      </c>
    </row>
    <row r="143" spans="1:7">
      <c r="A143" s="357">
        <v>41690</v>
      </c>
      <c r="B143" s="358">
        <v>9.1251250000000006</v>
      </c>
      <c r="C143" s="358">
        <v>11.334</v>
      </c>
      <c r="D143" s="358">
        <v>7.5819999999999999</v>
      </c>
      <c r="G143">
        <v>8.4000000000003183</v>
      </c>
    </row>
    <row r="144" spans="1:7">
      <c r="A144" s="357">
        <v>41691</v>
      </c>
      <c r="B144" s="358">
        <v>7.4952916666666676</v>
      </c>
      <c r="C144" s="358">
        <v>12.497</v>
      </c>
      <c r="D144" s="358">
        <v>4.8310000000000004</v>
      </c>
      <c r="G144">
        <v>1.8000000000000682</v>
      </c>
    </row>
    <row r="145" spans="1:7">
      <c r="A145" s="357">
        <v>41692</v>
      </c>
      <c r="B145" s="358">
        <v>7.522145833333334</v>
      </c>
      <c r="C145" s="358">
        <v>12.882999999999999</v>
      </c>
      <c r="D145" s="358">
        <v>4.415</v>
      </c>
      <c r="G145">
        <v>0.30000000000001137</v>
      </c>
    </row>
    <row r="146" spans="1:7">
      <c r="A146" s="357">
        <v>41693</v>
      </c>
      <c r="B146" s="358">
        <v>8.4333541666666658</v>
      </c>
      <c r="C146" s="358">
        <v>14.324999999999999</v>
      </c>
      <c r="D146" s="358">
        <v>3.9980000000000002</v>
      </c>
      <c r="G146">
        <v>0</v>
      </c>
    </row>
    <row r="147" spans="1:7">
      <c r="A147" s="357">
        <v>41694</v>
      </c>
      <c r="B147" s="358">
        <v>9.1432291666666679</v>
      </c>
      <c r="C147" s="358">
        <v>14.038</v>
      </c>
      <c r="D147" s="358">
        <v>5.2439999999999998</v>
      </c>
      <c r="G147">
        <v>0</v>
      </c>
    </row>
    <row r="148" spans="1:7">
      <c r="A148" s="357">
        <v>41695</v>
      </c>
      <c r="B148" s="358">
        <v>8.9158749999999998</v>
      </c>
      <c r="C148" s="358">
        <v>13.365</v>
      </c>
      <c r="D148" s="358">
        <v>5.5519999999999996</v>
      </c>
      <c r="G148">
        <v>3.6000000000001364</v>
      </c>
    </row>
    <row r="149" spans="1:7">
      <c r="A149" s="357">
        <v>41696</v>
      </c>
      <c r="B149" s="358">
        <v>7.4959791666666673</v>
      </c>
      <c r="C149" s="358">
        <v>13.75</v>
      </c>
      <c r="D149" s="358">
        <v>2.0880000000000001</v>
      </c>
      <c r="G149">
        <v>0.30000000000001137</v>
      </c>
    </row>
    <row r="150" spans="1:7">
      <c r="A150" s="357">
        <v>41697</v>
      </c>
      <c r="B150" s="358">
        <v>5.8362083333333326</v>
      </c>
      <c r="C150" s="358">
        <v>11.041</v>
      </c>
      <c r="D150" s="358">
        <v>3.1549999999999998</v>
      </c>
      <c r="G150">
        <v>2.7000000000001023</v>
      </c>
    </row>
    <row r="151" spans="1:7">
      <c r="A151" s="357">
        <v>41698</v>
      </c>
      <c r="B151" s="358">
        <v>4.617020833333334</v>
      </c>
      <c r="C151" s="358">
        <v>6.6740000000000004</v>
      </c>
      <c r="D151" s="358">
        <v>2.8370000000000002</v>
      </c>
      <c r="G151">
        <v>6.6000000000002501</v>
      </c>
    </row>
    <row r="152" spans="1:7">
      <c r="A152" s="357">
        <v>41699</v>
      </c>
      <c r="B152" s="358">
        <v>5.0219166666666686</v>
      </c>
      <c r="C152" s="358">
        <v>6.9779999999999998</v>
      </c>
      <c r="D152" s="358">
        <v>2.0880000000000001</v>
      </c>
      <c r="G152">
        <v>1.2000000000000455</v>
      </c>
    </row>
    <row r="153" spans="1:7">
      <c r="A153" s="357">
        <v>41700</v>
      </c>
      <c r="B153" s="358">
        <v>5.6592916666666673</v>
      </c>
      <c r="C153" s="358">
        <v>11.138999999999999</v>
      </c>
      <c r="D153" s="358">
        <v>0.01</v>
      </c>
      <c r="G153">
        <v>0</v>
      </c>
    </row>
    <row r="154" spans="1:7">
      <c r="A154" s="357">
        <v>41701</v>
      </c>
      <c r="B154" s="358">
        <v>6.8171041666666694</v>
      </c>
      <c r="C154" s="358">
        <v>11.334</v>
      </c>
      <c r="D154" s="358">
        <v>3.9980000000000002</v>
      </c>
      <c r="G154">
        <v>9.3000000000003524</v>
      </c>
    </row>
    <row r="155" spans="1:7">
      <c r="A155" s="357">
        <v>41702</v>
      </c>
      <c r="B155" s="358">
        <v>6.0382500000000014</v>
      </c>
      <c r="C155" s="358">
        <v>12.207000000000001</v>
      </c>
      <c r="D155" s="358">
        <v>1.764</v>
      </c>
      <c r="G155">
        <v>0.30000000000001137</v>
      </c>
    </row>
    <row r="156" spans="1:7">
      <c r="A156" s="357">
        <v>41703</v>
      </c>
      <c r="B156" s="358">
        <v>6.6567499999999979</v>
      </c>
      <c r="C156" s="358">
        <v>15.378</v>
      </c>
      <c r="D156" s="358">
        <v>-0.437</v>
      </c>
      <c r="G156">
        <v>0</v>
      </c>
    </row>
    <row r="157" spans="1:7">
      <c r="A157" s="357">
        <v>41704</v>
      </c>
      <c r="B157" s="358">
        <v>7.6354166666666652</v>
      </c>
      <c r="C157" s="358">
        <v>14.804</v>
      </c>
      <c r="D157" s="358">
        <v>-0.10199999999999999</v>
      </c>
      <c r="G157">
        <v>0</v>
      </c>
    </row>
    <row r="158" spans="1:7">
      <c r="A158" s="357">
        <v>41705</v>
      </c>
      <c r="B158" s="358">
        <v>8.6896249999999977</v>
      </c>
      <c r="C158" s="358">
        <v>15.664</v>
      </c>
      <c r="D158" s="358">
        <v>3.2610000000000001</v>
      </c>
      <c r="G158">
        <v>0</v>
      </c>
    </row>
    <row r="159" spans="1:7">
      <c r="A159" s="357">
        <v>41706</v>
      </c>
      <c r="B159" s="358">
        <v>10.278354166666666</v>
      </c>
      <c r="C159" s="358">
        <v>17.664999999999999</v>
      </c>
      <c r="D159" s="358">
        <v>2.9430000000000001</v>
      </c>
      <c r="G159">
        <v>0.30000000000001137</v>
      </c>
    </row>
    <row r="160" spans="1:7">
      <c r="A160" s="357">
        <v>41707</v>
      </c>
      <c r="B160" s="358">
        <v>12.150395833333329</v>
      </c>
      <c r="C160" s="358">
        <v>19.757999999999999</v>
      </c>
      <c r="D160" s="358">
        <v>3.2610000000000001</v>
      </c>
      <c r="G160">
        <v>0</v>
      </c>
    </row>
    <row r="161" spans="1:7">
      <c r="A161" s="357">
        <v>41708</v>
      </c>
      <c r="B161" s="358">
        <v>10.521979166666668</v>
      </c>
      <c r="C161" s="358">
        <v>19.853000000000002</v>
      </c>
      <c r="D161" s="358">
        <v>1.98</v>
      </c>
      <c r="G161">
        <v>0</v>
      </c>
    </row>
    <row r="162" spans="1:7">
      <c r="A162" s="357">
        <v>41709</v>
      </c>
      <c r="B162" s="358">
        <v>9.1472708333333319</v>
      </c>
      <c r="C162" s="358">
        <v>13.461</v>
      </c>
      <c r="D162" s="358">
        <v>6.5730000000000004</v>
      </c>
      <c r="G162">
        <v>0</v>
      </c>
    </row>
    <row r="163" spans="1:7">
      <c r="A163" s="357">
        <v>41710</v>
      </c>
      <c r="B163" s="358">
        <v>9.7820416666666663</v>
      </c>
      <c r="C163" s="358">
        <v>18.616</v>
      </c>
      <c r="D163" s="358">
        <v>3.1549999999999998</v>
      </c>
      <c r="G163">
        <v>0</v>
      </c>
    </row>
    <row r="164" spans="1:7">
      <c r="A164" s="357">
        <v>41711</v>
      </c>
      <c r="B164" s="358">
        <v>7.6637916666666674</v>
      </c>
      <c r="C164" s="358">
        <v>17.855</v>
      </c>
      <c r="D164" s="358">
        <v>1.2210000000000001</v>
      </c>
      <c r="G164">
        <v>0.30000000000001137</v>
      </c>
    </row>
    <row r="165" spans="1:7">
      <c r="A165" s="357">
        <v>41712</v>
      </c>
      <c r="B165" s="358">
        <v>7.81670833333333</v>
      </c>
      <c r="C165" s="358">
        <v>17.189</v>
      </c>
      <c r="D165" s="358">
        <v>1.33</v>
      </c>
      <c r="G165">
        <v>0.30000000000001137</v>
      </c>
    </row>
    <row r="166" spans="1:7">
      <c r="A166" s="357">
        <v>41713</v>
      </c>
      <c r="B166" s="358">
        <v>10.186937499999999</v>
      </c>
      <c r="C166" s="358">
        <v>14.420999999999999</v>
      </c>
      <c r="D166" s="358">
        <v>6.37</v>
      </c>
      <c r="G166">
        <v>0</v>
      </c>
    </row>
    <row r="167" spans="1:7">
      <c r="A167" s="357">
        <v>41714</v>
      </c>
      <c r="B167" s="358">
        <v>11.922562500000003</v>
      </c>
      <c r="C167" s="358">
        <v>18.045000000000002</v>
      </c>
      <c r="D167" s="358">
        <v>6.5730000000000004</v>
      </c>
      <c r="G167">
        <v>0</v>
      </c>
    </row>
    <row r="168" spans="1:7">
      <c r="A168" s="357">
        <v>41715</v>
      </c>
      <c r="B168" s="358">
        <v>10.112520833333335</v>
      </c>
      <c r="C168" s="358">
        <v>15.855</v>
      </c>
      <c r="D168" s="358">
        <v>4.9340000000000002</v>
      </c>
      <c r="G168">
        <v>0</v>
      </c>
    </row>
    <row r="169" spans="1:7">
      <c r="A169" s="357">
        <v>41716</v>
      </c>
      <c r="B169" s="358">
        <v>9.7986874999999962</v>
      </c>
      <c r="C169" s="358">
        <v>13.461</v>
      </c>
      <c r="D169" s="358">
        <v>8.68</v>
      </c>
      <c r="G169">
        <v>0</v>
      </c>
    </row>
    <row r="170" spans="1:7">
      <c r="A170" s="357">
        <v>41717</v>
      </c>
      <c r="B170" s="358">
        <v>10.871479166666665</v>
      </c>
      <c r="C170" s="358">
        <v>17.760000000000002</v>
      </c>
      <c r="D170" s="358">
        <v>6.2679999999999998</v>
      </c>
      <c r="G170">
        <v>0</v>
      </c>
    </row>
    <row r="171" spans="1:7">
      <c r="A171" s="357">
        <v>41718</v>
      </c>
      <c r="B171" s="358">
        <v>12.994020833333332</v>
      </c>
      <c r="C171" s="358">
        <v>20.805</v>
      </c>
      <c r="D171" s="358">
        <v>6.2679999999999998</v>
      </c>
      <c r="G171">
        <v>0</v>
      </c>
    </row>
    <row r="172" spans="1:7">
      <c r="A172" s="357">
        <v>41719</v>
      </c>
      <c r="B172" s="358">
        <v>9.2727291666666645</v>
      </c>
      <c r="C172" s="358">
        <v>12.98</v>
      </c>
      <c r="D172" s="358">
        <v>4.3109999999999999</v>
      </c>
      <c r="G172">
        <v>16.200000000000614</v>
      </c>
    </row>
    <row r="173" spans="1:7">
      <c r="A173" s="357">
        <v>41720</v>
      </c>
      <c r="B173" s="358">
        <v>6.9796666666666658</v>
      </c>
      <c r="C173" s="358">
        <v>10.846</v>
      </c>
      <c r="D173" s="358">
        <v>4.6230000000000002</v>
      </c>
      <c r="G173">
        <v>2.4000000000000909</v>
      </c>
    </row>
    <row r="174" spans="1:7">
      <c r="A174" s="357">
        <v>41721</v>
      </c>
      <c r="B174" s="358">
        <v>6.5982500000000028</v>
      </c>
      <c r="C174" s="358">
        <v>12.497</v>
      </c>
      <c r="D174" s="358">
        <v>2.73</v>
      </c>
      <c r="G174">
        <v>6.0000000000002274</v>
      </c>
    </row>
    <row r="175" spans="1:7">
      <c r="A175" s="357">
        <v>41722</v>
      </c>
      <c r="B175" s="358">
        <v>7.6863478260869575</v>
      </c>
      <c r="C175" s="358">
        <v>15.282</v>
      </c>
      <c r="D175" s="358">
        <v>0.78400000000000003</v>
      </c>
      <c r="G175">
        <v>0.30000000000001137</v>
      </c>
    </row>
    <row r="176" spans="1:7">
      <c r="A176" s="357">
        <v>41723</v>
      </c>
      <c r="B176" s="358">
        <v>7.0498333333333347</v>
      </c>
      <c r="C176" s="358">
        <v>14.996</v>
      </c>
      <c r="D176" s="358">
        <v>2.0880000000000001</v>
      </c>
      <c r="G176">
        <v>0</v>
      </c>
    </row>
    <row r="177" spans="1:7">
      <c r="A177" s="357">
        <v>41724</v>
      </c>
      <c r="B177" s="358">
        <v>6.0190624999999978</v>
      </c>
      <c r="C177" s="358">
        <v>10.944000000000001</v>
      </c>
      <c r="D177" s="358">
        <v>2.5169999999999999</v>
      </c>
      <c r="G177">
        <v>0</v>
      </c>
    </row>
    <row r="178" spans="1:7">
      <c r="A178" s="357">
        <v>41725</v>
      </c>
      <c r="B178" s="358">
        <v>6.8066874999999989</v>
      </c>
      <c r="C178" s="358">
        <v>17.283999999999999</v>
      </c>
      <c r="D178" s="358">
        <v>-1.456</v>
      </c>
      <c r="G178">
        <v>0</v>
      </c>
    </row>
    <row r="179" spans="1:7">
      <c r="A179" s="357">
        <v>41726</v>
      </c>
      <c r="B179" s="358">
        <v>9.2978333333333349</v>
      </c>
      <c r="C179" s="358">
        <v>22.141999999999999</v>
      </c>
      <c r="D179" s="358">
        <v>0.23200000000000001</v>
      </c>
      <c r="G179">
        <v>0</v>
      </c>
    </row>
    <row r="180" spans="1:7">
      <c r="A180" s="357">
        <v>41727</v>
      </c>
      <c r="B180" s="358">
        <v>13.079062499999999</v>
      </c>
      <c r="C180" s="358">
        <v>25.902000000000001</v>
      </c>
      <c r="D180" s="358">
        <v>2.41</v>
      </c>
      <c r="G180">
        <v>0</v>
      </c>
    </row>
    <row r="181" spans="1:7">
      <c r="A181" s="357">
        <v>41728</v>
      </c>
      <c r="B181" s="358">
        <v>14.257479166666668</v>
      </c>
      <c r="C181" s="358">
        <v>23.966000000000001</v>
      </c>
      <c r="D181" s="358">
        <v>8.7789999999999999</v>
      </c>
      <c r="G181">
        <v>0</v>
      </c>
    </row>
    <row r="182" spans="1:7">
      <c r="A182" s="357">
        <v>41729</v>
      </c>
      <c r="B182" s="358">
        <v>15.116187500000002</v>
      </c>
      <c r="C182" s="358">
        <v>27.074999999999999</v>
      </c>
      <c r="D182" s="358">
        <v>6.7750000000000004</v>
      </c>
      <c r="G182">
        <v>0</v>
      </c>
    </row>
    <row r="183" spans="1:7">
      <c r="A183" s="357">
        <v>41730</v>
      </c>
      <c r="B183" s="358">
        <v>15.533687500000001</v>
      </c>
      <c r="C183" s="358">
        <v>28.952999999999999</v>
      </c>
      <c r="D183" s="358">
        <v>8.3819999999999997</v>
      </c>
      <c r="G183">
        <v>0</v>
      </c>
    </row>
    <row r="184" spans="1:7">
      <c r="A184" s="357">
        <v>41731</v>
      </c>
      <c r="B184" s="358">
        <v>15.985458333333336</v>
      </c>
      <c r="C184" s="358">
        <v>27.861999999999998</v>
      </c>
      <c r="D184" s="358">
        <v>7.8819999999999997</v>
      </c>
      <c r="G184">
        <v>0</v>
      </c>
    </row>
    <row r="185" spans="1:7">
      <c r="A185" s="357">
        <v>41732</v>
      </c>
      <c r="B185" s="358">
        <v>15.613041666666668</v>
      </c>
      <c r="C185" s="358">
        <v>21.951000000000001</v>
      </c>
      <c r="D185" s="358">
        <v>11.138999999999999</v>
      </c>
      <c r="G185">
        <v>0</v>
      </c>
    </row>
    <row r="186" spans="1:7">
      <c r="A186" s="357">
        <v>41733</v>
      </c>
      <c r="B186" s="358">
        <v>11.786208333333335</v>
      </c>
      <c r="C186" s="358">
        <v>14.23</v>
      </c>
      <c r="D186" s="358">
        <v>8.68</v>
      </c>
      <c r="G186">
        <v>0</v>
      </c>
    </row>
    <row r="187" spans="1:7">
      <c r="A187" s="357">
        <v>41734</v>
      </c>
      <c r="B187" s="358">
        <v>13.597083333333337</v>
      </c>
      <c r="C187" s="358">
        <v>25.125</v>
      </c>
      <c r="D187" s="358">
        <v>5.7569999999999997</v>
      </c>
      <c r="G187">
        <v>0</v>
      </c>
    </row>
    <row r="188" spans="1:7">
      <c r="A188" s="357">
        <v>41735</v>
      </c>
      <c r="B188" s="358">
        <v>14.460854166666669</v>
      </c>
      <c r="C188" s="358">
        <v>18.14</v>
      </c>
      <c r="D188" s="358">
        <v>9.7680000000000007</v>
      </c>
      <c r="G188">
        <v>0.30000000000001137</v>
      </c>
    </row>
    <row r="189" spans="1:7">
      <c r="A189" s="357">
        <v>41736</v>
      </c>
      <c r="B189" s="358">
        <v>16.26541666666667</v>
      </c>
      <c r="C189" s="358">
        <v>24.545000000000002</v>
      </c>
      <c r="D189" s="358">
        <v>12.401</v>
      </c>
      <c r="G189">
        <v>8.7000000000003297</v>
      </c>
    </row>
    <row r="190" spans="1:7">
      <c r="A190" s="357">
        <v>41737</v>
      </c>
      <c r="B190" s="358">
        <v>10.202541666666665</v>
      </c>
      <c r="C190" s="358">
        <v>15.378</v>
      </c>
      <c r="D190" s="358">
        <v>5.3470000000000004</v>
      </c>
      <c r="G190">
        <v>0.30000000000001137</v>
      </c>
    </row>
    <row r="191" spans="1:7">
      <c r="A191" s="357">
        <v>41738</v>
      </c>
      <c r="B191" s="358">
        <v>9.8300416666666646</v>
      </c>
      <c r="C191" s="358">
        <v>21.187000000000001</v>
      </c>
      <c r="D191" s="358">
        <v>0.78400000000000003</v>
      </c>
      <c r="G191">
        <v>0</v>
      </c>
    </row>
    <row r="192" spans="1:7">
      <c r="A192" s="357">
        <v>41739</v>
      </c>
      <c r="B192" s="358">
        <v>9.8863541666666652</v>
      </c>
      <c r="C192" s="358">
        <v>21.855</v>
      </c>
      <c r="D192" s="358">
        <v>2.41</v>
      </c>
      <c r="G192">
        <v>0</v>
      </c>
    </row>
    <row r="193" spans="1:7">
      <c r="A193" s="357">
        <v>41740</v>
      </c>
      <c r="B193" s="358">
        <v>10.382208333333333</v>
      </c>
      <c r="C193" s="358">
        <v>20.518999999999998</v>
      </c>
      <c r="D193" s="358">
        <v>1.98</v>
      </c>
      <c r="G193">
        <v>0</v>
      </c>
    </row>
    <row r="194" spans="1:7">
      <c r="A194" s="357">
        <v>41741</v>
      </c>
      <c r="B194" s="358">
        <v>10.422979166666666</v>
      </c>
      <c r="C194" s="358">
        <v>19.282</v>
      </c>
      <c r="D194" s="358">
        <v>2.8370000000000002</v>
      </c>
      <c r="G194">
        <v>0.30000000000001137</v>
      </c>
    </row>
    <row r="195" spans="1:7">
      <c r="A195" s="357">
        <v>41742</v>
      </c>
      <c r="B195" s="358">
        <v>11.266979166666664</v>
      </c>
      <c r="C195" s="358">
        <v>20.138000000000002</v>
      </c>
      <c r="D195" s="358">
        <v>3.472</v>
      </c>
      <c r="G195">
        <v>0</v>
      </c>
    </row>
    <row r="196" spans="1:7">
      <c r="A196" s="357">
        <v>41743</v>
      </c>
      <c r="B196" s="358">
        <v>10.449791666666664</v>
      </c>
      <c r="C196" s="358">
        <v>21.282</v>
      </c>
      <c r="D196" s="358">
        <v>4.3109999999999999</v>
      </c>
      <c r="G196">
        <v>0</v>
      </c>
    </row>
    <row r="197" spans="1:7">
      <c r="A197" s="357">
        <v>41744</v>
      </c>
      <c r="B197" s="358">
        <v>7.9381666666666639</v>
      </c>
      <c r="C197" s="358">
        <v>17.855</v>
      </c>
      <c r="D197" s="358">
        <v>0.23200000000000001</v>
      </c>
      <c r="G197">
        <v>0</v>
      </c>
    </row>
    <row r="198" spans="1:7">
      <c r="A198" s="357">
        <v>41745</v>
      </c>
      <c r="B198" s="358">
        <v>10.461416666666668</v>
      </c>
      <c r="C198" s="358">
        <v>25.027999999999999</v>
      </c>
      <c r="D198" s="358">
        <v>0.34300000000000003</v>
      </c>
      <c r="G198">
        <v>0</v>
      </c>
    </row>
    <row r="199" spans="1:7">
      <c r="A199" s="357">
        <v>41746</v>
      </c>
      <c r="B199" s="358">
        <v>11.322645833333333</v>
      </c>
      <c r="C199" s="358">
        <v>23.966000000000001</v>
      </c>
      <c r="D199" s="358">
        <v>0.89300000000000002</v>
      </c>
      <c r="G199">
        <v>0</v>
      </c>
    </row>
    <row r="200" spans="1:7">
      <c r="A200" s="357">
        <v>41747</v>
      </c>
      <c r="B200" s="358">
        <v>10.839104166666665</v>
      </c>
      <c r="C200" s="358">
        <v>15.76</v>
      </c>
      <c r="D200" s="358">
        <v>6.6740000000000004</v>
      </c>
      <c r="G200">
        <v>0</v>
      </c>
    </row>
    <row r="201" spans="1:7">
      <c r="A201" s="357">
        <v>41748</v>
      </c>
      <c r="B201" s="358">
        <v>11.026562499999999</v>
      </c>
      <c r="C201" s="358">
        <v>19.757999999999999</v>
      </c>
      <c r="D201" s="358">
        <v>4.7270000000000003</v>
      </c>
      <c r="G201">
        <v>0</v>
      </c>
    </row>
    <row r="202" spans="1:7">
      <c r="A202" s="357">
        <v>41749</v>
      </c>
      <c r="B202" s="358">
        <v>14.503395833333338</v>
      </c>
      <c r="C202" s="358">
        <v>22.812000000000001</v>
      </c>
      <c r="D202" s="358">
        <v>8.282</v>
      </c>
      <c r="G202">
        <v>0.30000000000001137</v>
      </c>
    </row>
    <row r="203" spans="1:7">
      <c r="A203" s="357">
        <v>41750</v>
      </c>
      <c r="B203" s="358">
        <v>13.4344375</v>
      </c>
      <c r="C203" s="358">
        <v>24.545000000000002</v>
      </c>
      <c r="D203" s="358">
        <v>6.8769999999999998</v>
      </c>
      <c r="G203">
        <v>11.700000000000443</v>
      </c>
    </row>
    <row r="204" spans="1:7">
      <c r="A204" s="357">
        <v>41751</v>
      </c>
      <c r="B204" s="358">
        <v>14.395854166666668</v>
      </c>
      <c r="C204" s="358">
        <v>26.097000000000001</v>
      </c>
      <c r="D204" s="358">
        <v>9.3729999999999993</v>
      </c>
      <c r="G204">
        <v>10.500000000000398</v>
      </c>
    </row>
    <row r="205" spans="1:7">
      <c r="A205" s="357">
        <v>41752</v>
      </c>
      <c r="B205" s="358">
        <v>13.950208333333336</v>
      </c>
      <c r="C205" s="358">
        <v>23.869</v>
      </c>
      <c r="D205" s="358">
        <v>6.4710000000000001</v>
      </c>
      <c r="G205">
        <v>1.2000000000000455</v>
      </c>
    </row>
    <row r="206" spans="1:7">
      <c r="A206" s="357">
        <v>41753</v>
      </c>
      <c r="B206" s="358">
        <v>13.735020833333337</v>
      </c>
      <c r="C206" s="358">
        <v>20.614999999999998</v>
      </c>
      <c r="D206" s="358">
        <v>9.7680000000000007</v>
      </c>
      <c r="G206">
        <v>0.90000000000003411</v>
      </c>
    </row>
    <row r="207" spans="1:7">
      <c r="A207" s="357">
        <v>41754</v>
      </c>
      <c r="B207" s="358">
        <v>14.672500000000001</v>
      </c>
      <c r="C207" s="358">
        <v>23.196000000000002</v>
      </c>
      <c r="D207" s="358">
        <v>9.3729999999999993</v>
      </c>
      <c r="G207">
        <v>1.8000000000000682</v>
      </c>
    </row>
    <row r="208" spans="1:7">
      <c r="A208" s="357">
        <v>41755</v>
      </c>
      <c r="B208" s="358">
        <v>10.747729166666664</v>
      </c>
      <c r="C208" s="358">
        <v>14.804</v>
      </c>
      <c r="D208" s="358">
        <v>7.28</v>
      </c>
      <c r="G208">
        <v>1.2000000000000455</v>
      </c>
    </row>
    <row r="209" spans="1:7">
      <c r="A209" s="357">
        <v>41756</v>
      </c>
      <c r="B209" s="358">
        <v>11.654666666666669</v>
      </c>
      <c r="C209" s="358">
        <v>21.568999999999999</v>
      </c>
      <c r="D209" s="358">
        <v>6.7750000000000004</v>
      </c>
      <c r="G209">
        <v>0.30000000000001137</v>
      </c>
    </row>
    <row r="210" spans="1:7">
      <c r="A210" s="357">
        <v>41757</v>
      </c>
      <c r="B210" s="358">
        <v>12.90664583333333</v>
      </c>
      <c r="C210" s="358">
        <v>22.620999999999999</v>
      </c>
      <c r="D210" s="358">
        <v>5.9619999999999997</v>
      </c>
      <c r="G210">
        <v>0</v>
      </c>
    </row>
    <row r="211" spans="1:7">
      <c r="A211" s="357">
        <v>41758</v>
      </c>
      <c r="B211" s="358">
        <v>14.711833333333329</v>
      </c>
      <c r="C211" s="358">
        <v>27.074999999999999</v>
      </c>
      <c r="D211" s="358">
        <v>8.4809999999999999</v>
      </c>
      <c r="G211">
        <v>0</v>
      </c>
    </row>
    <row r="212" spans="1:7">
      <c r="A212" s="357">
        <v>41759</v>
      </c>
      <c r="B212" s="358">
        <v>13.230208333333335</v>
      </c>
      <c r="C212" s="358">
        <v>25.222000000000001</v>
      </c>
      <c r="D212" s="358">
        <v>6.37</v>
      </c>
      <c r="G212">
        <v>0</v>
      </c>
    </row>
    <row r="213" spans="1:7">
      <c r="A213" s="357">
        <v>41760</v>
      </c>
      <c r="B213" s="358">
        <v>12.024729166666669</v>
      </c>
      <c r="C213" s="358">
        <v>22.524999999999999</v>
      </c>
      <c r="D213" s="358">
        <v>4.9340000000000002</v>
      </c>
      <c r="G213">
        <v>13.800000000000523</v>
      </c>
    </row>
    <row r="214" spans="1:7">
      <c r="A214" s="357">
        <v>41761</v>
      </c>
      <c r="B214" s="358">
        <v>11.799854166666664</v>
      </c>
      <c r="C214" s="358">
        <v>15.76</v>
      </c>
      <c r="D214" s="358">
        <v>7.28</v>
      </c>
      <c r="G214">
        <v>0.30000000000001137</v>
      </c>
    </row>
    <row r="215" spans="1:7">
      <c r="A215" s="357">
        <v>41762</v>
      </c>
      <c r="B215" s="358">
        <v>9.4021041666666658</v>
      </c>
      <c r="C215" s="358">
        <v>15.664</v>
      </c>
      <c r="D215" s="358">
        <v>3.367</v>
      </c>
      <c r="G215">
        <v>0</v>
      </c>
    </row>
    <row r="216" spans="1:7">
      <c r="A216" s="357">
        <v>41763</v>
      </c>
      <c r="B216" s="358">
        <v>10.02345833333333</v>
      </c>
      <c r="C216" s="358">
        <v>23.581</v>
      </c>
      <c r="D216" s="358">
        <v>0.34300000000000003</v>
      </c>
      <c r="G216">
        <v>0</v>
      </c>
    </row>
    <row r="217" spans="1:7">
      <c r="A217" s="357">
        <v>41764</v>
      </c>
      <c r="B217" s="358">
        <v>13.908270833333335</v>
      </c>
      <c r="C217" s="358">
        <v>27.664999999999999</v>
      </c>
      <c r="D217" s="358">
        <v>2.1949999999999998</v>
      </c>
      <c r="G217">
        <v>0</v>
      </c>
    </row>
    <row r="218" spans="1:7">
      <c r="A218" s="357">
        <v>41765</v>
      </c>
      <c r="B218" s="358">
        <v>14.126958333333334</v>
      </c>
      <c r="C218" s="358">
        <v>20.71</v>
      </c>
      <c r="D218" s="358">
        <v>10.161</v>
      </c>
      <c r="G218">
        <v>7.2000000000002728</v>
      </c>
    </row>
    <row r="219" spans="1:7">
      <c r="A219" s="357">
        <v>41766</v>
      </c>
      <c r="B219" s="358">
        <v>12.74816666666667</v>
      </c>
      <c r="C219" s="358">
        <v>19.472000000000001</v>
      </c>
      <c r="D219" s="358">
        <v>9.1760000000000002</v>
      </c>
      <c r="G219">
        <v>2.4000000000000909</v>
      </c>
    </row>
    <row r="220" spans="1:7">
      <c r="A220" s="357">
        <v>41767</v>
      </c>
      <c r="B220" s="358">
        <v>12.198604166666669</v>
      </c>
      <c r="C220" s="358">
        <v>13.846</v>
      </c>
      <c r="D220" s="358">
        <v>10.747999999999999</v>
      </c>
      <c r="G220">
        <v>7.5000000000002842</v>
      </c>
    </row>
    <row r="221" spans="1:7">
      <c r="A221" s="357">
        <v>41768</v>
      </c>
      <c r="B221" s="358">
        <v>13.274729166666667</v>
      </c>
      <c r="C221" s="358">
        <v>18.331</v>
      </c>
      <c r="D221" s="358">
        <v>9.5709999999999997</v>
      </c>
      <c r="G221">
        <v>0</v>
      </c>
    </row>
    <row r="222" spans="1:7">
      <c r="A222" s="357">
        <v>41769</v>
      </c>
      <c r="B222" s="358">
        <v>11.908083333333332</v>
      </c>
      <c r="C222" s="358">
        <v>17.283999999999999</v>
      </c>
      <c r="D222" s="358">
        <v>9.6690000000000005</v>
      </c>
      <c r="G222">
        <v>12.299999999999159</v>
      </c>
    </row>
    <row r="223" spans="1:7">
      <c r="A223" s="357">
        <v>41770</v>
      </c>
      <c r="B223" s="358">
        <v>11.227562500000003</v>
      </c>
      <c r="C223" s="358">
        <v>13.75</v>
      </c>
      <c r="D223" s="358">
        <v>8.0820000000000007</v>
      </c>
      <c r="G223">
        <v>2.3999999999996362</v>
      </c>
    </row>
    <row r="224" spans="1:7">
      <c r="A224" s="357">
        <v>41771</v>
      </c>
      <c r="B224" s="358">
        <v>11.994875000000002</v>
      </c>
      <c r="C224" s="358">
        <v>19.567</v>
      </c>
      <c r="D224" s="358">
        <v>7.0789999999999997</v>
      </c>
      <c r="G224">
        <v>0</v>
      </c>
    </row>
    <row r="225" spans="1:7">
      <c r="A225" s="357">
        <v>41772</v>
      </c>
      <c r="B225" s="358">
        <v>11.130133333333333</v>
      </c>
      <c r="C225" s="358">
        <v>15.951000000000001</v>
      </c>
      <c r="D225" s="358">
        <v>7.0789999999999997</v>
      </c>
      <c r="G225">
        <v>1.7999999999997272</v>
      </c>
    </row>
    <row r="226" spans="1:7">
      <c r="A226" s="357">
        <v>41772</v>
      </c>
      <c r="B226" s="358"/>
      <c r="C226" s="358"/>
      <c r="D226" s="358"/>
      <c r="G226">
        <v>0.59999999999990905</v>
      </c>
    </row>
    <row r="227" spans="1:7">
      <c r="A227" s="357">
        <v>41773</v>
      </c>
      <c r="B227" s="358">
        <v>11.15775</v>
      </c>
      <c r="C227" s="358">
        <v>18.14</v>
      </c>
      <c r="D227" s="358">
        <v>4.3109999999999999</v>
      </c>
      <c r="G227">
        <v>0</v>
      </c>
    </row>
    <row r="228" spans="1:7">
      <c r="A228" s="357">
        <v>41774</v>
      </c>
      <c r="B228" s="358">
        <v>10.997729166666668</v>
      </c>
      <c r="C228" s="358">
        <v>18.331</v>
      </c>
      <c r="D228" s="358">
        <v>1.98</v>
      </c>
      <c r="G228">
        <v>0</v>
      </c>
    </row>
    <row r="229" spans="1:7">
      <c r="A229" s="357">
        <v>41775</v>
      </c>
      <c r="B229" s="358">
        <v>12.930374999999998</v>
      </c>
      <c r="C229" s="358">
        <v>20.614999999999998</v>
      </c>
      <c r="D229" s="358">
        <v>3.8929999999999998</v>
      </c>
      <c r="G229">
        <v>0</v>
      </c>
    </row>
    <row r="230" spans="1:7">
      <c r="A230" s="357">
        <v>41776</v>
      </c>
      <c r="B230" s="358">
        <v>14.777104166666666</v>
      </c>
      <c r="C230" s="358">
        <v>23.773</v>
      </c>
      <c r="D230" s="358">
        <v>4.9340000000000002</v>
      </c>
      <c r="G230">
        <v>0</v>
      </c>
    </row>
    <row r="231" spans="1:7">
      <c r="A231" s="357">
        <v>41777</v>
      </c>
      <c r="B231" s="358">
        <v>17.064395833333332</v>
      </c>
      <c r="C231" s="358">
        <v>27.37</v>
      </c>
      <c r="D231" s="358">
        <v>6.4710000000000001</v>
      </c>
      <c r="G231">
        <v>0</v>
      </c>
    </row>
    <row r="232" spans="1:7">
      <c r="A232" s="357">
        <v>41778</v>
      </c>
      <c r="B232" s="358">
        <v>19.091374999999996</v>
      </c>
      <c r="C232" s="358">
        <v>29.053000000000001</v>
      </c>
      <c r="D232" s="358">
        <v>9.7680000000000007</v>
      </c>
      <c r="G232">
        <v>0</v>
      </c>
    </row>
    <row r="233" spans="1:7">
      <c r="A233" s="357">
        <v>41779</v>
      </c>
      <c r="B233" s="358">
        <v>18.067666666666675</v>
      </c>
      <c r="C233" s="358">
        <v>26.195</v>
      </c>
      <c r="D233" s="358">
        <v>13.942</v>
      </c>
      <c r="G233">
        <v>11.399999999998272</v>
      </c>
    </row>
    <row r="234" spans="1:7">
      <c r="A234" s="357">
        <v>41780</v>
      </c>
      <c r="B234" s="358">
        <v>15.192250000000001</v>
      </c>
      <c r="C234" s="358">
        <v>17.475000000000001</v>
      </c>
      <c r="D234" s="358">
        <v>13.269</v>
      </c>
      <c r="G234">
        <v>12.899999999998045</v>
      </c>
    </row>
    <row r="235" spans="1:7">
      <c r="A235" s="357">
        <v>41781</v>
      </c>
      <c r="B235" s="358">
        <v>16.663520833333333</v>
      </c>
      <c r="C235" s="358">
        <v>21.951000000000001</v>
      </c>
      <c r="D235" s="358">
        <v>12.207000000000001</v>
      </c>
      <c r="G235">
        <v>0.89999999999986358</v>
      </c>
    </row>
    <row r="236" spans="1:7">
      <c r="A236" s="357">
        <v>41782</v>
      </c>
      <c r="B236" s="358">
        <v>14.720312499999999</v>
      </c>
      <c r="C236" s="358">
        <v>21.187000000000001</v>
      </c>
      <c r="D236" s="358">
        <v>9.9649999999999999</v>
      </c>
      <c r="G236">
        <v>15.299999999997681</v>
      </c>
    </row>
    <row r="237" spans="1:7">
      <c r="A237" s="357">
        <v>41783</v>
      </c>
      <c r="B237" s="358">
        <v>14.047791666666669</v>
      </c>
      <c r="C237" s="358">
        <v>18.521000000000001</v>
      </c>
      <c r="D237" s="358">
        <v>11.138999999999999</v>
      </c>
      <c r="G237">
        <v>6.299999999999045</v>
      </c>
    </row>
    <row r="238" spans="1:7">
      <c r="A238" s="357">
        <v>41784</v>
      </c>
      <c r="B238" s="358">
        <v>14.983999999999996</v>
      </c>
      <c r="C238" s="358">
        <v>20.901</v>
      </c>
      <c r="D238" s="358">
        <v>8.0820000000000007</v>
      </c>
      <c r="G238">
        <v>0</v>
      </c>
    </row>
    <row r="239" spans="1:7">
      <c r="A239" s="357">
        <v>41785</v>
      </c>
      <c r="B239" s="358">
        <v>14.70575</v>
      </c>
      <c r="C239" s="358">
        <v>19.091999999999999</v>
      </c>
      <c r="D239" s="358">
        <v>11.236000000000001</v>
      </c>
      <c r="G239">
        <v>14.699999999997772</v>
      </c>
    </row>
    <row r="240" spans="1:7">
      <c r="A240" s="357">
        <v>41786</v>
      </c>
      <c r="B240" s="358">
        <v>14.041000000000002</v>
      </c>
      <c r="C240" s="358">
        <v>15.76</v>
      </c>
      <c r="D240" s="358">
        <v>12.98</v>
      </c>
      <c r="G240">
        <v>0.29999999999995453</v>
      </c>
    </row>
    <row r="241" spans="1:7">
      <c r="A241" s="357">
        <v>41787</v>
      </c>
      <c r="B241" s="358">
        <v>13.519833333333333</v>
      </c>
      <c r="C241" s="358">
        <v>15.76</v>
      </c>
      <c r="D241" s="358">
        <v>12.401</v>
      </c>
      <c r="G241">
        <v>0</v>
      </c>
    </row>
    <row r="242" spans="1:7">
      <c r="A242" s="357">
        <v>41788</v>
      </c>
      <c r="B242" s="358">
        <v>15.388645833333335</v>
      </c>
      <c r="C242" s="358">
        <v>18.331</v>
      </c>
      <c r="D242" s="358">
        <v>12.497</v>
      </c>
      <c r="G242">
        <v>0.29999999999995453</v>
      </c>
    </row>
    <row r="243" spans="1:7">
      <c r="A243" s="357">
        <v>41789</v>
      </c>
      <c r="B243" s="358">
        <v>15.321499999999995</v>
      </c>
      <c r="C243" s="358">
        <v>19.853000000000002</v>
      </c>
      <c r="D243" s="358">
        <v>11.916</v>
      </c>
      <c r="G243">
        <v>0</v>
      </c>
    </row>
    <row r="244" spans="1:7">
      <c r="A244" s="357">
        <v>41790</v>
      </c>
      <c r="B244" s="358">
        <v>14.054520833333333</v>
      </c>
      <c r="C244" s="358">
        <v>20.138000000000002</v>
      </c>
      <c r="D244" s="358">
        <v>7.1790000000000003</v>
      </c>
      <c r="G244">
        <v>0</v>
      </c>
    </row>
    <row r="245" spans="1:7">
      <c r="A245" s="357">
        <v>41791</v>
      </c>
      <c r="B245" s="358">
        <v>14.394562500000001</v>
      </c>
      <c r="C245" s="358">
        <v>21.282</v>
      </c>
      <c r="D245" s="358">
        <v>7.5819999999999999</v>
      </c>
      <c r="G245">
        <v>0</v>
      </c>
    </row>
    <row r="246" spans="1:7">
      <c r="A246" s="357">
        <v>41792</v>
      </c>
      <c r="B246" s="358">
        <v>14.915499999999996</v>
      </c>
      <c r="C246" s="358">
        <v>22.428999999999998</v>
      </c>
      <c r="D246" s="358">
        <v>7.5819999999999999</v>
      </c>
      <c r="G246">
        <v>0</v>
      </c>
    </row>
    <row r="247" spans="1:7">
      <c r="A247" s="357">
        <v>41793</v>
      </c>
      <c r="B247" s="358">
        <v>15.494166666666667</v>
      </c>
      <c r="C247" s="358">
        <v>20.71</v>
      </c>
      <c r="D247" s="358">
        <v>11.722</v>
      </c>
      <c r="G247">
        <v>3.8999999999994088</v>
      </c>
    </row>
    <row r="248" spans="1:7">
      <c r="A248" s="357">
        <v>41794</v>
      </c>
      <c r="B248" s="358">
        <v>13.824979166666672</v>
      </c>
      <c r="C248" s="358">
        <v>17.379000000000001</v>
      </c>
      <c r="D248" s="358">
        <v>9.9649999999999999</v>
      </c>
      <c r="G248">
        <v>11.999999999998181</v>
      </c>
    </row>
    <row r="249" spans="1:7">
      <c r="A249" s="357">
        <v>41795</v>
      </c>
      <c r="B249" s="358">
        <v>13.448895833333333</v>
      </c>
      <c r="C249" s="358">
        <v>19.091999999999999</v>
      </c>
      <c r="D249" s="358">
        <v>8.282</v>
      </c>
      <c r="G249">
        <v>0.89999999999986358</v>
      </c>
    </row>
    <row r="250" spans="1:7">
      <c r="A250" s="357">
        <v>41796</v>
      </c>
      <c r="B250" s="358">
        <v>17.508770833333337</v>
      </c>
      <c r="C250" s="358">
        <v>27.074999999999999</v>
      </c>
      <c r="D250" s="358">
        <v>5.9619999999999997</v>
      </c>
      <c r="G250">
        <v>0</v>
      </c>
    </row>
    <row r="251" spans="1:7">
      <c r="A251" s="357">
        <v>41797</v>
      </c>
      <c r="B251" s="358">
        <v>20.951166666666662</v>
      </c>
      <c r="C251" s="358">
        <v>28.555</v>
      </c>
      <c r="D251" s="358">
        <v>13.173</v>
      </c>
      <c r="G251">
        <v>0</v>
      </c>
    </row>
    <row r="252" spans="1:7">
      <c r="A252" s="357">
        <v>41798</v>
      </c>
      <c r="B252" s="358">
        <v>21.091999999999999</v>
      </c>
      <c r="C252" s="358">
        <v>28.655000000000001</v>
      </c>
      <c r="D252" s="358">
        <v>13.942</v>
      </c>
      <c r="G252">
        <v>0.29999999999995453</v>
      </c>
    </row>
    <row r="253" spans="1:7">
      <c r="A253" s="357">
        <v>41799</v>
      </c>
      <c r="B253" s="358">
        <v>20.854624999999999</v>
      </c>
      <c r="C253" s="358">
        <v>27.172999999999998</v>
      </c>
      <c r="D253" s="358">
        <v>16.713000000000001</v>
      </c>
      <c r="G253">
        <v>3.8999999999994088</v>
      </c>
    </row>
    <row r="254" spans="1:7">
      <c r="A254" s="357">
        <v>41800</v>
      </c>
      <c r="B254" s="358">
        <v>18.986250000000002</v>
      </c>
      <c r="C254" s="358">
        <v>22.524999999999999</v>
      </c>
      <c r="D254" s="358">
        <v>12.882999999999999</v>
      </c>
      <c r="G254">
        <v>0.59999999999990905</v>
      </c>
    </row>
    <row r="255" spans="1:7">
      <c r="A255" s="357">
        <v>41801</v>
      </c>
      <c r="B255" s="358">
        <v>18.533041666666669</v>
      </c>
      <c r="C255" s="358">
        <v>25.707999999999998</v>
      </c>
      <c r="D255" s="358">
        <v>11.236000000000001</v>
      </c>
      <c r="G255">
        <v>0</v>
      </c>
    </row>
    <row r="256" spans="1:7">
      <c r="A256" s="357">
        <v>41802</v>
      </c>
      <c r="B256" s="358">
        <v>17.576937500000003</v>
      </c>
      <c r="C256" s="358">
        <v>24.835000000000001</v>
      </c>
      <c r="D256" s="358">
        <v>7.8819999999999997</v>
      </c>
      <c r="G256">
        <v>0.59999999999990905</v>
      </c>
    </row>
    <row r="257" spans="1:7">
      <c r="A257" s="357">
        <v>41803</v>
      </c>
      <c r="B257" s="358">
        <v>17.840750000000003</v>
      </c>
      <c r="C257" s="358">
        <v>24.931000000000001</v>
      </c>
      <c r="D257" s="358">
        <v>8.9779999999999998</v>
      </c>
      <c r="G257">
        <v>0</v>
      </c>
    </row>
    <row r="258" spans="1:7">
      <c r="A258" s="357">
        <v>41804</v>
      </c>
      <c r="B258" s="358">
        <v>15.991375</v>
      </c>
      <c r="C258" s="358">
        <v>22.141999999999999</v>
      </c>
      <c r="D258" s="358">
        <v>10.356999999999999</v>
      </c>
      <c r="G258">
        <v>0</v>
      </c>
    </row>
    <row r="259" spans="1:7">
      <c r="A259" s="357">
        <v>41805</v>
      </c>
      <c r="B259" s="358">
        <v>14.744791666666664</v>
      </c>
      <c r="C259" s="358">
        <v>20.614999999999998</v>
      </c>
      <c r="D259" s="358">
        <v>7.782</v>
      </c>
      <c r="G259">
        <v>0</v>
      </c>
    </row>
    <row r="260" spans="1:7">
      <c r="A260" s="357">
        <v>41806</v>
      </c>
      <c r="B260" s="358">
        <v>13.411541666666666</v>
      </c>
      <c r="C260" s="358">
        <v>18.901</v>
      </c>
      <c r="D260" s="358">
        <v>5.7569999999999997</v>
      </c>
      <c r="G260">
        <v>0</v>
      </c>
    </row>
    <row r="261" spans="1:7">
      <c r="A261" s="357">
        <v>41807</v>
      </c>
      <c r="B261" s="358">
        <v>15.432229166666668</v>
      </c>
      <c r="C261" s="358">
        <v>19.282</v>
      </c>
      <c r="D261" s="358">
        <v>12.882999999999999</v>
      </c>
      <c r="G261">
        <v>0</v>
      </c>
    </row>
    <row r="262" spans="1:7">
      <c r="A262" s="357">
        <v>41808</v>
      </c>
      <c r="B262" s="358">
        <v>15.649651162790693</v>
      </c>
      <c r="C262" s="358">
        <v>20.423999999999999</v>
      </c>
      <c r="D262" s="358">
        <v>6.9779999999999998</v>
      </c>
      <c r="G262">
        <v>0</v>
      </c>
    </row>
    <row r="263" spans="1:7">
      <c r="A263" s="357">
        <v>41809</v>
      </c>
      <c r="B263" s="358">
        <v>16.561416666666663</v>
      </c>
      <c r="C263" s="358">
        <v>25.707999999999998</v>
      </c>
      <c r="D263" s="358">
        <v>9.4719999999999995</v>
      </c>
      <c r="G263">
        <v>0</v>
      </c>
    </row>
    <row r="264" spans="1:7">
      <c r="A264" s="357">
        <v>41810</v>
      </c>
      <c r="B264" s="358">
        <v>15.459729166666664</v>
      </c>
      <c r="C264" s="358">
        <v>23.292000000000002</v>
      </c>
      <c r="D264" s="358">
        <v>8.3819999999999997</v>
      </c>
      <c r="G264">
        <v>0</v>
      </c>
    </row>
    <row r="265" spans="1:7">
      <c r="A265" s="357">
        <v>41811</v>
      </c>
      <c r="B265" s="358">
        <v>16.840562500000008</v>
      </c>
      <c r="C265" s="358">
        <v>27.960999999999999</v>
      </c>
      <c r="D265" s="358">
        <v>5.5519999999999996</v>
      </c>
      <c r="G265">
        <v>0</v>
      </c>
    </row>
    <row r="266" spans="1:7">
      <c r="A266" s="357">
        <v>41812</v>
      </c>
      <c r="B266" s="358">
        <v>17.519312500000005</v>
      </c>
      <c r="C266" s="358">
        <v>25.707999999999998</v>
      </c>
      <c r="D266" s="358">
        <v>8.68</v>
      </c>
      <c r="G266">
        <v>0</v>
      </c>
    </row>
    <row r="267" spans="1:7">
      <c r="A267" s="357">
        <v>41813</v>
      </c>
      <c r="B267" s="358">
        <v>18.288416666666674</v>
      </c>
      <c r="C267" s="358">
        <v>25.513000000000002</v>
      </c>
      <c r="D267" s="358">
        <v>8.4809999999999999</v>
      </c>
      <c r="G267">
        <v>0</v>
      </c>
    </row>
    <row r="268" spans="1:7">
      <c r="A268" s="357">
        <v>41814</v>
      </c>
      <c r="B268" s="358">
        <v>18.963708333333333</v>
      </c>
      <c r="C268" s="358">
        <v>27.271999999999998</v>
      </c>
      <c r="D268" s="358">
        <v>9.1760000000000002</v>
      </c>
      <c r="G268">
        <v>0</v>
      </c>
    </row>
    <row r="269" spans="1:7">
      <c r="A269" s="357">
        <v>41815</v>
      </c>
      <c r="B269" s="358">
        <v>17.596895833333335</v>
      </c>
      <c r="C269" s="358">
        <v>24.640999999999998</v>
      </c>
      <c r="D269" s="358">
        <v>11.236000000000001</v>
      </c>
      <c r="G269">
        <v>0</v>
      </c>
    </row>
    <row r="270" spans="1:7">
      <c r="A270" s="357">
        <v>41816</v>
      </c>
      <c r="B270" s="358">
        <v>17.943574468085107</v>
      </c>
      <c r="C270" s="358">
        <v>28.06</v>
      </c>
      <c r="D270" s="358">
        <v>7.5819999999999999</v>
      </c>
      <c r="G270">
        <v>0</v>
      </c>
    </row>
    <row r="271" spans="1:7">
      <c r="A271" s="357">
        <v>41817</v>
      </c>
      <c r="B271" s="358">
        <v>17.623062500000003</v>
      </c>
      <c r="C271" s="358">
        <v>23.1</v>
      </c>
      <c r="D271" s="358">
        <v>14.134</v>
      </c>
      <c r="G271">
        <v>6.8999999999989541</v>
      </c>
    </row>
    <row r="272" spans="1:7">
      <c r="A272" s="357">
        <v>41818</v>
      </c>
      <c r="B272" s="358">
        <v>16.562354166666669</v>
      </c>
      <c r="C272" s="358">
        <v>22.620999999999999</v>
      </c>
      <c r="D272" s="358">
        <v>13.461</v>
      </c>
      <c r="G272">
        <v>2.0999999999996817</v>
      </c>
    </row>
    <row r="273" spans="1:7">
      <c r="A273" s="357">
        <v>41819</v>
      </c>
      <c r="B273" s="358">
        <v>15.742062500000005</v>
      </c>
      <c r="C273" s="358">
        <v>23.484000000000002</v>
      </c>
      <c r="D273" s="358">
        <v>9.9649999999999999</v>
      </c>
      <c r="G273">
        <v>2.6999999999995907</v>
      </c>
    </row>
    <row r="274" spans="1:7">
      <c r="A274" s="357">
        <v>41820</v>
      </c>
      <c r="B274" s="358">
        <v>15.817916666666671</v>
      </c>
      <c r="C274" s="358">
        <v>22.716999999999999</v>
      </c>
      <c r="D274" s="358">
        <v>8.282</v>
      </c>
      <c r="G274">
        <v>0</v>
      </c>
    </row>
    <row r="275" spans="1:7">
      <c r="A275" s="357">
        <v>41821</v>
      </c>
      <c r="B275" s="358">
        <v>15.942937500000005</v>
      </c>
      <c r="C275" s="358">
        <v>23.484000000000002</v>
      </c>
      <c r="D275" s="358">
        <v>7.28</v>
      </c>
      <c r="G275">
        <v>0</v>
      </c>
    </row>
    <row r="276" spans="1:7">
      <c r="A276" s="357">
        <v>41822</v>
      </c>
      <c r="B276" s="358">
        <v>16.4230625</v>
      </c>
      <c r="C276" s="358">
        <v>26.585000000000001</v>
      </c>
      <c r="D276" s="358">
        <v>5.5519999999999996</v>
      </c>
      <c r="G276">
        <v>0</v>
      </c>
    </row>
    <row r="277" spans="1:7">
      <c r="A277" s="357">
        <v>41823</v>
      </c>
      <c r="B277" s="358">
        <v>19.704999999999995</v>
      </c>
      <c r="C277" s="358">
        <v>28.655000000000001</v>
      </c>
      <c r="D277" s="358">
        <v>8.282</v>
      </c>
      <c r="G277">
        <v>0</v>
      </c>
    </row>
    <row r="278" spans="1:7">
      <c r="A278" s="357">
        <v>41824</v>
      </c>
      <c r="B278" s="358">
        <v>20.533812499999993</v>
      </c>
      <c r="C278" s="358">
        <v>29.352</v>
      </c>
      <c r="D278" s="358">
        <v>11.430999999999999</v>
      </c>
      <c r="G278">
        <v>0</v>
      </c>
    </row>
    <row r="279" spans="1:7">
      <c r="A279" s="357">
        <v>41825</v>
      </c>
      <c r="B279" s="358">
        <v>18.620312500000001</v>
      </c>
      <c r="C279" s="358">
        <v>22.045999999999999</v>
      </c>
      <c r="D279" s="358">
        <v>15.378</v>
      </c>
      <c r="G279">
        <v>9.2999999999985903</v>
      </c>
    </row>
    <row r="280" spans="1:7">
      <c r="A280" s="357">
        <v>41826</v>
      </c>
      <c r="B280" s="358">
        <v>17.44060416666667</v>
      </c>
      <c r="C280" s="358">
        <v>22.428999999999998</v>
      </c>
      <c r="D280" s="358">
        <v>11.236000000000001</v>
      </c>
      <c r="G280">
        <v>14.699999999997772</v>
      </c>
    </row>
    <row r="281" spans="1:7">
      <c r="A281" s="357">
        <v>41827</v>
      </c>
      <c r="B281" s="358">
        <v>16.912000000000003</v>
      </c>
      <c r="C281" s="358">
        <v>23.773</v>
      </c>
      <c r="D281" s="358">
        <v>9.7680000000000007</v>
      </c>
      <c r="G281">
        <v>0</v>
      </c>
    </row>
    <row r="282" spans="1:7">
      <c r="A282" s="357">
        <v>41828</v>
      </c>
      <c r="B282" s="358">
        <v>16.320812500000002</v>
      </c>
      <c r="C282" s="358">
        <v>20.423999999999999</v>
      </c>
      <c r="D282" s="358">
        <v>14.23</v>
      </c>
      <c r="G282">
        <v>14.999999999997726</v>
      </c>
    </row>
    <row r="283" spans="1:7">
      <c r="A283" s="357">
        <v>41829</v>
      </c>
      <c r="B283" s="358">
        <v>14.400562500000008</v>
      </c>
      <c r="C283" s="358">
        <v>15.951000000000001</v>
      </c>
      <c r="D283" s="358">
        <v>13.365</v>
      </c>
      <c r="G283">
        <v>14.999999999997726</v>
      </c>
    </row>
    <row r="284" spans="1:7">
      <c r="A284" s="357">
        <v>41830</v>
      </c>
      <c r="B284" s="358">
        <v>15.878500000000004</v>
      </c>
      <c r="C284" s="358">
        <v>16.998999999999999</v>
      </c>
      <c r="D284" s="358">
        <v>14.709</v>
      </c>
      <c r="G284">
        <v>5.0999999999992269</v>
      </c>
    </row>
    <row r="285" spans="1:7">
      <c r="A285" s="357">
        <v>41831</v>
      </c>
      <c r="B285" s="358">
        <v>16.36247916666667</v>
      </c>
      <c r="C285" s="358">
        <v>18.616</v>
      </c>
      <c r="D285" s="358">
        <v>14.804</v>
      </c>
      <c r="G285">
        <v>12.299999999998136</v>
      </c>
    </row>
    <row r="286" spans="1:7">
      <c r="A286" s="357">
        <v>41832</v>
      </c>
      <c r="B286" s="358">
        <v>17.63364583333334</v>
      </c>
      <c r="C286" s="358">
        <v>21.282</v>
      </c>
      <c r="D286" s="358">
        <v>14.804</v>
      </c>
      <c r="G286">
        <v>0</v>
      </c>
    </row>
    <row r="287" spans="1:7">
      <c r="A287" s="357">
        <v>41833</v>
      </c>
      <c r="B287" s="358">
        <v>18.281270833333327</v>
      </c>
      <c r="C287" s="358">
        <v>22.524999999999999</v>
      </c>
      <c r="D287" s="358">
        <v>14.996</v>
      </c>
      <c r="G287">
        <v>3.8999999999994088</v>
      </c>
    </row>
    <row r="288" spans="1:7">
      <c r="A288" s="357">
        <v>41834</v>
      </c>
      <c r="B288" s="358">
        <v>19.598708333333338</v>
      </c>
      <c r="C288" s="358">
        <v>24.640999999999998</v>
      </c>
      <c r="D288" s="358">
        <v>12.69</v>
      </c>
      <c r="G288">
        <v>0</v>
      </c>
    </row>
    <row r="289" spans="1:7">
      <c r="A289" s="357">
        <v>41835</v>
      </c>
      <c r="B289" s="358">
        <v>18.255125000000003</v>
      </c>
      <c r="C289" s="358">
        <v>24.158000000000001</v>
      </c>
      <c r="D289" s="358">
        <v>12.11</v>
      </c>
      <c r="G289">
        <v>0</v>
      </c>
    </row>
    <row r="290" spans="1:7">
      <c r="A290" s="357">
        <v>41836</v>
      </c>
      <c r="B290" s="358">
        <v>20.563624999999998</v>
      </c>
      <c r="C290" s="358">
        <v>31.574000000000002</v>
      </c>
      <c r="D290" s="358">
        <v>9.9649999999999999</v>
      </c>
      <c r="G290">
        <v>0</v>
      </c>
    </row>
    <row r="291" spans="1:7">
      <c r="A291" s="357">
        <v>41837</v>
      </c>
      <c r="B291" s="358">
        <v>22.429083333333335</v>
      </c>
      <c r="C291" s="358">
        <v>31.268000000000001</v>
      </c>
      <c r="D291" s="358">
        <v>12.593999999999999</v>
      </c>
      <c r="G291">
        <v>0</v>
      </c>
    </row>
    <row r="292" spans="1:7">
      <c r="A292" s="357">
        <v>41838</v>
      </c>
      <c r="B292" s="358">
        <v>27.289624999999987</v>
      </c>
      <c r="C292" s="358">
        <v>37.055</v>
      </c>
      <c r="D292" s="358">
        <v>16.045999999999999</v>
      </c>
      <c r="G292">
        <v>0.29999999999995453</v>
      </c>
    </row>
    <row r="293" spans="1:7">
      <c r="A293" s="357">
        <v>41839</v>
      </c>
      <c r="B293" s="358">
        <v>25.045208333333335</v>
      </c>
      <c r="C293" s="358">
        <v>32.6</v>
      </c>
      <c r="D293" s="358">
        <v>17.760000000000002</v>
      </c>
      <c r="G293">
        <v>10.799999999998363</v>
      </c>
    </row>
    <row r="294" spans="1:7">
      <c r="A294" s="357">
        <v>41840</v>
      </c>
      <c r="B294" s="358">
        <v>19.529999999999998</v>
      </c>
      <c r="C294" s="358">
        <v>23.388000000000002</v>
      </c>
      <c r="D294" s="358">
        <v>16.523</v>
      </c>
      <c r="G294">
        <v>7.7999999999988177</v>
      </c>
    </row>
    <row r="295" spans="1:7">
      <c r="A295" s="357">
        <v>41841</v>
      </c>
      <c r="B295" s="358">
        <v>19.7973125</v>
      </c>
      <c r="C295" s="358">
        <v>23.773</v>
      </c>
      <c r="D295" s="358">
        <v>17.283999999999999</v>
      </c>
      <c r="G295">
        <v>0</v>
      </c>
    </row>
    <row r="296" spans="1:7">
      <c r="A296" s="357">
        <v>41842</v>
      </c>
      <c r="B296" s="358">
        <v>19.937625000000004</v>
      </c>
      <c r="C296" s="358">
        <v>24.931000000000001</v>
      </c>
      <c r="D296" s="358">
        <v>16.808</v>
      </c>
      <c r="G296">
        <v>0.59999999999990905</v>
      </c>
    </row>
    <row r="297" spans="1:7">
      <c r="A297" s="357">
        <v>41843</v>
      </c>
      <c r="B297" s="358">
        <v>22.349291666666669</v>
      </c>
      <c r="C297" s="358">
        <v>30.963000000000001</v>
      </c>
      <c r="D297" s="358">
        <v>13.173</v>
      </c>
      <c r="G297">
        <v>0</v>
      </c>
    </row>
    <row r="298" spans="1:7">
      <c r="A298" s="357">
        <v>41844</v>
      </c>
      <c r="B298" s="358">
        <v>22.662437499999992</v>
      </c>
      <c r="C298" s="358">
        <v>29.952999999999999</v>
      </c>
      <c r="D298" s="358">
        <v>15.855</v>
      </c>
      <c r="G298">
        <v>0</v>
      </c>
    </row>
    <row r="299" spans="1:7">
      <c r="A299" s="357">
        <v>41845</v>
      </c>
      <c r="B299" s="358">
        <v>20.391916666666667</v>
      </c>
      <c r="C299" s="358">
        <v>26.879000000000001</v>
      </c>
      <c r="D299" s="358">
        <v>14.9</v>
      </c>
      <c r="G299">
        <v>0</v>
      </c>
    </row>
    <row r="300" spans="1:7">
      <c r="A300" s="357">
        <v>41846</v>
      </c>
      <c r="B300" s="358">
        <v>20.752958333333336</v>
      </c>
      <c r="C300" s="358">
        <v>27.074999999999999</v>
      </c>
      <c r="D300" s="358">
        <v>14.516999999999999</v>
      </c>
      <c r="G300">
        <v>0</v>
      </c>
    </row>
    <row r="301" spans="1:7">
      <c r="A301" s="357">
        <v>41847</v>
      </c>
      <c r="B301" s="358">
        <v>20.947458333333334</v>
      </c>
      <c r="C301" s="358">
        <v>28.555</v>
      </c>
      <c r="D301" s="358">
        <v>16.902999999999999</v>
      </c>
      <c r="G301">
        <v>0.59999999999990905</v>
      </c>
    </row>
  </sheetData>
  <mergeCells count="13">
    <mergeCell ref="C10:G10"/>
    <mergeCell ref="A6:A8"/>
    <mergeCell ref="C6:G6"/>
    <mergeCell ref="C7:G7"/>
    <mergeCell ref="C8:G8"/>
    <mergeCell ref="C9:G9"/>
    <mergeCell ref="B19:D19"/>
    <mergeCell ref="C11:G11"/>
    <mergeCell ref="C12:G12"/>
    <mergeCell ref="C13:G13"/>
    <mergeCell ref="C14:G14"/>
    <mergeCell ref="C15:G15"/>
    <mergeCell ref="C16:G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Normal="100" workbookViewId="0">
      <selection activeCell="F62" sqref="F62"/>
    </sheetView>
  </sheetViews>
  <sheetFormatPr baseColWidth="10" defaultRowHeight="12"/>
  <cols>
    <col min="1" max="1" width="25.85546875" style="96" bestFit="1" customWidth="1"/>
    <col min="2" max="2" width="27.28515625" style="96" bestFit="1" customWidth="1"/>
    <col min="3" max="3" width="36.7109375" style="96" bestFit="1" customWidth="1"/>
    <col min="4" max="5" width="17.5703125" style="96" customWidth="1"/>
    <col min="6" max="6" width="17.42578125" style="96" customWidth="1"/>
    <col min="7" max="16384" width="11.42578125" style="96"/>
  </cols>
  <sheetData>
    <row r="1" spans="1:6" ht="15">
      <c r="A1" s="398" t="s">
        <v>8294</v>
      </c>
      <c r="B1" s="398"/>
    </row>
    <row r="2" spans="1:6">
      <c r="A2" s="370" t="s">
        <v>8295</v>
      </c>
      <c r="B2" s="370" t="s">
        <v>8301</v>
      </c>
    </row>
    <row r="3" spans="1:6">
      <c r="A3" s="370" t="s">
        <v>8296</v>
      </c>
      <c r="B3" s="370" t="s">
        <v>8302</v>
      </c>
    </row>
    <row r="4" spans="1:6">
      <c r="A4" s="370" t="s">
        <v>8297</v>
      </c>
      <c r="B4" s="370" t="s">
        <v>8290</v>
      </c>
    </row>
    <row r="5" spans="1:6">
      <c r="A5" s="370" t="s">
        <v>8298</v>
      </c>
      <c r="B5" s="370" t="s">
        <v>8291</v>
      </c>
    </row>
    <row r="6" spans="1:6">
      <c r="A6" s="370" t="s">
        <v>8299</v>
      </c>
      <c r="B6" s="370" t="s">
        <v>8292</v>
      </c>
    </row>
    <row r="7" spans="1:6">
      <c r="A7" s="370" t="s">
        <v>8300</v>
      </c>
      <c r="B7" s="370" t="s">
        <v>8293</v>
      </c>
    </row>
    <row r="9" spans="1:6" ht="15">
      <c r="A9" s="398" t="s">
        <v>8303</v>
      </c>
      <c r="B9" s="398"/>
      <c r="C9" s="398"/>
      <c r="D9" s="398"/>
      <c r="E9" s="398"/>
      <c r="F9" s="398"/>
    </row>
    <row r="10" spans="1:6">
      <c r="A10" s="373" t="s">
        <v>8304</v>
      </c>
      <c r="B10" s="373" t="s">
        <v>8307</v>
      </c>
      <c r="C10" s="373" t="s">
        <v>8310</v>
      </c>
      <c r="D10" s="375"/>
      <c r="E10" s="381"/>
      <c r="F10" s="376"/>
    </row>
    <row r="11" spans="1:6">
      <c r="A11" s="370" t="s">
        <v>8305</v>
      </c>
      <c r="B11" s="370" t="s">
        <v>8308</v>
      </c>
      <c r="C11" s="370" t="s">
        <v>8311</v>
      </c>
      <c r="D11" s="377"/>
      <c r="E11" s="382"/>
      <c r="F11" s="378"/>
    </row>
    <row r="12" spans="1:6">
      <c r="A12" s="374" t="s">
        <v>8306</v>
      </c>
      <c r="B12" s="374" t="s">
        <v>8309</v>
      </c>
      <c r="C12" s="374" t="s">
        <v>8312</v>
      </c>
      <c r="D12" s="379"/>
      <c r="E12" s="383"/>
      <c r="F12" s="380"/>
    </row>
    <row r="13" spans="1:6">
      <c r="A13" s="399" t="s">
        <v>8313</v>
      </c>
      <c r="B13" s="399"/>
      <c r="C13" s="399"/>
      <c r="D13" s="399"/>
      <c r="E13" s="399"/>
      <c r="F13" s="399"/>
    </row>
    <row r="14" spans="1:6" ht="24">
      <c r="A14" s="164" t="s">
        <v>8314</v>
      </c>
      <c r="B14" s="370" t="s">
        <v>8315</v>
      </c>
      <c r="C14" s="370" t="s">
        <v>8316</v>
      </c>
      <c r="D14" s="372" t="s">
        <v>8317</v>
      </c>
      <c r="E14" s="372" t="s">
        <v>8323</v>
      </c>
      <c r="F14" s="372" t="s">
        <v>8318</v>
      </c>
    </row>
    <row r="15" spans="1:6">
      <c r="A15" s="370">
        <v>1</v>
      </c>
      <c r="B15" s="370" t="s">
        <v>8319</v>
      </c>
      <c r="C15" s="370">
        <v>16.899999999999999</v>
      </c>
      <c r="D15" s="370">
        <v>0.6</v>
      </c>
      <c r="E15" s="370">
        <v>22.4</v>
      </c>
      <c r="F15" s="370">
        <v>23</v>
      </c>
    </row>
    <row r="16" spans="1:6">
      <c r="A16" s="370">
        <v>2</v>
      </c>
      <c r="B16" s="370" t="s">
        <v>8320</v>
      </c>
      <c r="C16" s="370">
        <v>17.7</v>
      </c>
      <c r="D16" s="370">
        <v>0.3</v>
      </c>
      <c r="E16" s="370">
        <v>8.3000000000000007</v>
      </c>
      <c r="F16" s="370">
        <v>8.6</v>
      </c>
    </row>
    <row r="17" spans="1:18">
      <c r="A17" s="370">
        <v>3</v>
      </c>
      <c r="B17" s="370" t="s">
        <v>8321</v>
      </c>
      <c r="C17" s="370">
        <v>15.7</v>
      </c>
      <c r="D17" s="370">
        <v>0.6</v>
      </c>
      <c r="E17" s="370">
        <v>8.4</v>
      </c>
      <c r="F17" s="370">
        <v>9</v>
      </c>
    </row>
    <row r="18" spans="1:18">
      <c r="A18" s="400" t="s">
        <v>8322</v>
      </c>
      <c r="B18" s="401"/>
      <c r="C18" s="402"/>
      <c r="D18" s="370">
        <v>1.5</v>
      </c>
      <c r="E18" s="370">
        <v>39.1</v>
      </c>
      <c r="F18" s="370">
        <v>40.6</v>
      </c>
    </row>
    <row r="21" spans="1:18" ht="15">
      <c r="A21" s="398" t="s">
        <v>8328</v>
      </c>
      <c r="B21" s="398"/>
      <c r="C21" s="398"/>
      <c r="D21" s="398"/>
      <c r="E21" s="398"/>
      <c r="F21" s="398"/>
    </row>
    <row r="22" spans="1:18">
      <c r="A22" s="373" t="s">
        <v>8304</v>
      </c>
      <c r="B22" s="373" t="s">
        <v>8324</v>
      </c>
      <c r="C22" s="373" t="s">
        <v>8310</v>
      </c>
      <c r="D22" s="375"/>
      <c r="E22" s="381"/>
      <c r="F22" s="376"/>
    </row>
    <row r="23" spans="1:18">
      <c r="A23" s="370" t="s">
        <v>8305</v>
      </c>
      <c r="B23" s="370" t="s">
        <v>8325</v>
      </c>
      <c r="C23" s="370" t="s">
        <v>8326</v>
      </c>
      <c r="D23" s="377"/>
      <c r="E23" s="382"/>
      <c r="F23" s="378"/>
    </row>
    <row r="24" spans="1:18">
      <c r="A24" s="374" t="s">
        <v>8306</v>
      </c>
      <c r="B24" s="374" t="s">
        <v>8309</v>
      </c>
      <c r="C24" s="374" t="s">
        <v>8312</v>
      </c>
      <c r="D24" s="379"/>
      <c r="E24" s="383"/>
      <c r="F24" s="380"/>
    </row>
    <row r="25" spans="1:18">
      <c r="A25" s="399" t="s">
        <v>8330</v>
      </c>
      <c r="B25" s="399"/>
      <c r="C25" s="399"/>
      <c r="D25" s="399"/>
      <c r="E25" s="399"/>
      <c r="F25" s="399"/>
      <c r="Q25" s="371">
        <v>41852</v>
      </c>
      <c r="R25" s="96" t="s">
        <v>269</v>
      </c>
    </row>
    <row r="26" spans="1:18" ht="24">
      <c r="A26" s="164" t="s">
        <v>8314</v>
      </c>
      <c r="B26" s="370" t="s">
        <v>8315</v>
      </c>
      <c r="C26" s="370" t="s">
        <v>8316</v>
      </c>
      <c r="D26" s="372" t="s">
        <v>8317</v>
      </c>
      <c r="E26" s="372" t="s">
        <v>8323</v>
      </c>
      <c r="F26" s="372" t="s">
        <v>8318</v>
      </c>
    </row>
    <row r="27" spans="1:18">
      <c r="A27" s="370">
        <v>1</v>
      </c>
      <c r="B27" s="370" t="s">
        <v>8319</v>
      </c>
      <c r="C27" s="370">
        <v>20.399999999999999</v>
      </c>
      <c r="D27" s="370">
        <v>0.9</v>
      </c>
      <c r="E27" s="370">
        <v>5.0999999999999996</v>
      </c>
      <c r="F27" s="370">
        <v>6</v>
      </c>
    </row>
    <row r="28" spans="1:18">
      <c r="A28" s="370">
        <v>2</v>
      </c>
      <c r="B28" s="370" t="s">
        <v>8320</v>
      </c>
      <c r="C28" s="370">
        <v>19.399999999999999</v>
      </c>
      <c r="D28" s="370">
        <v>0.7</v>
      </c>
      <c r="E28" s="370">
        <v>4.5</v>
      </c>
      <c r="F28" s="370">
        <v>5.2</v>
      </c>
    </row>
    <row r="29" spans="1:18">
      <c r="A29" s="370">
        <v>3</v>
      </c>
      <c r="B29" s="370" t="s">
        <v>8321</v>
      </c>
      <c r="C29" s="370">
        <v>19.600000000000001</v>
      </c>
      <c r="D29" s="370">
        <v>0.3</v>
      </c>
      <c r="E29" s="370">
        <v>3.9</v>
      </c>
      <c r="F29" s="370">
        <v>4.2</v>
      </c>
    </row>
    <row r="30" spans="1:18">
      <c r="A30" s="400" t="s">
        <v>8322</v>
      </c>
      <c r="B30" s="401"/>
      <c r="C30" s="402"/>
      <c r="D30" s="370">
        <v>1.9</v>
      </c>
      <c r="E30" s="370">
        <v>13.5</v>
      </c>
      <c r="F30" s="370">
        <v>15.4</v>
      </c>
    </row>
    <row r="31" spans="1:18">
      <c r="A31" s="403" t="s">
        <v>8327</v>
      </c>
      <c r="B31" s="403"/>
      <c r="C31" s="403"/>
      <c r="D31" s="403"/>
      <c r="E31" s="403"/>
      <c r="F31" s="370">
        <v>15</v>
      </c>
    </row>
    <row r="32" spans="1:18" ht="12.75">
      <c r="A32" s="404" t="s">
        <v>8329</v>
      </c>
      <c r="B32" s="404"/>
      <c r="C32" s="404"/>
      <c r="D32" s="404"/>
      <c r="E32" s="404"/>
      <c r="F32" s="404"/>
    </row>
    <row r="33" spans="1:6">
      <c r="A33" s="403" t="s">
        <v>8331</v>
      </c>
      <c r="B33" s="403"/>
      <c r="C33" s="403"/>
      <c r="D33" s="403"/>
      <c r="E33" s="403"/>
      <c r="F33" s="370">
        <v>325</v>
      </c>
    </row>
    <row r="34" spans="1:6">
      <c r="A34" s="403" t="s">
        <v>8332</v>
      </c>
      <c r="B34" s="403"/>
      <c r="C34" s="403"/>
      <c r="D34" s="403"/>
      <c r="E34" s="403"/>
      <c r="F34" s="370">
        <v>20</v>
      </c>
    </row>
    <row r="35" spans="1:6">
      <c r="A35" s="403" t="s">
        <v>8333</v>
      </c>
      <c r="B35" s="403"/>
      <c r="C35" s="403"/>
      <c r="D35" s="403"/>
      <c r="E35" s="403"/>
      <c r="F35" s="370">
        <v>345</v>
      </c>
    </row>
    <row r="36" spans="1:6">
      <c r="A36" s="403" t="s">
        <v>8334</v>
      </c>
      <c r="B36" s="403"/>
      <c r="C36" s="403"/>
      <c r="D36" s="403"/>
      <c r="E36" s="403"/>
      <c r="F36" s="370">
        <v>35</v>
      </c>
    </row>
    <row r="37" spans="1:6">
      <c r="A37" s="403" t="s">
        <v>8335</v>
      </c>
      <c r="B37" s="403"/>
      <c r="C37" s="403"/>
      <c r="D37" s="403"/>
      <c r="E37" s="403"/>
      <c r="F37" s="370">
        <v>70</v>
      </c>
    </row>
    <row r="38" spans="1:6">
      <c r="A38" s="403" t="s">
        <v>8336</v>
      </c>
      <c r="B38" s="403"/>
      <c r="C38" s="403"/>
      <c r="D38" s="403"/>
      <c r="E38" s="403"/>
      <c r="F38" s="370">
        <v>240</v>
      </c>
    </row>
    <row r="40" spans="1:6" ht="15">
      <c r="A40" s="398" t="s">
        <v>8337</v>
      </c>
      <c r="B40" s="398"/>
      <c r="C40" s="398"/>
      <c r="D40" s="398"/>
      <c r="E40" s="398"/>
      <c r="F40" s="398"/>
    </row>
    <row r="41" spans="1:6">
      <c r="A41" s="373" t="s">
        <v>8304</v>
      </c>
      <c r="B41" s="373" t="s">
        <v>8307</v>
      </c>
      <c r="C41" s="373" t="s">
        <v>8310</v>
      </c>
      <c r="D41" s="375"/>
      <c r="E41" s="381"/>
      <c r="F41" s="376"/>
    </row>
    <row r="42" spans="1:6">
      <c r="A42" s="370" t="s">
        <v>8305</v>
      </c>
      <c r="B42" s="370" t="s">
        <v>8308</v>
      </c>
      <c r="C42" s="370" t="s">
        <v>8311</v>
      </c>
      <c r="D42" s="377"/>
      <c r="E42" s="382"/>
      <c r="F42" s="378"/>
    </row>
    <row r="43" spans="1:6">
      <c r="A43" s="374" t="s">
        <v>8306</v>
      </c>
      <c r="B43" s="374" t="s">
        <v>8309</v>
      </c>
      <c r="C43" s="374" t="s">
        <v>8312</v>
      </c>
      <c r="D43" s="379"/>
      <c r="E43" s="383"/>
      <c r="F43" s="380"/>
    </row>
    <row r="44" spans="1:6">
      <c r="A44" s="399" t="s">
        <v>8339</v>
      </c>
      <c r="B44" s="399"/>
      <c r="C44" s="399"/>
      <c r="D44" s="399"/>
      <c r="E44" s="399"/>
      <c r="F44" s="399"/>
    </row>
    <row r="45" spans="1:6" ht="24">
      <c r="A45" s="164" t="s">
        <v>8314</v>
      </c>
      <c r="B45" s="370" t="s">
        <v>8315</v>
      </c>
      <c r="C45" s="370" t="s">
        <v>8316</v>
      </c>
      <c r="D45" s="372" t="s">
        <v>8317</v>
      </c>
      <c r="E45" s="372" t="s">
        <v>8341</v>
      </c>
      <c r="F45" s="372" t="s">
        <v>8318</v>
      </c>
    </row>
    <row r="46" spans="1:6">
      <c r="A46" s="370">
        <v>1</v>
      </c>
      <c r="B46" s="370" t="s">
        <v>8319</v>
      </c>
      <c r="C46" s="370">
        <v>16.399999999999999</v>
      </c>
      <c r="D46" s="370">
        <v>0.3</v>
      </c>
      <c r="E46" s="370">
        <v>18.3</v>
      </c>
      <c r="F46" s="370">
        <v>18.600000000000001</v>
      </c>
    </row>
    <row r="47" spans="1:6">
      <c r="A47" s="370">
        <v>2</v>
      </c>
      <c r="B47" s="370" t="s">
        <v>8320</v>
      </c>
      <c r="C47" s="370">
        <v>17.100000000000001</v>
      </c>
      <c r="D47" s="370">
        <v>0.3</v>
      </c>
      <c r="E47" s="370">
        <v>14.5</v>
      </c>
      <c r="F47" s="370">
        <v>14.8</v>
      </c>
    </row>
    <row r="48" spans="1:6">
      <c r="A48" s="370">
        <v>3</v>
      </c>
      <c r="B48" s="370" t="s">
        <v>8321</v>
      </c>
      <c r="C48" s="370">
        <v>18.100000000000001</v>
      </c>
      <c r="D48" s="370">
        <v>0.3</v>
      </c>
      <c r="E48" s="370">
        <v>9.1999999999999993</v>
      </c>
      <c r="F48" s="370">
        <v>9.5</v>
      </c>
    </row>
    <row r="49" spans="1:6">
      <c r="A49" s="400" t="s">
        <v>8322</v>
      </c>
      <c r="B49" s="401"/>
      <c r="C49" s="402"/>
      <c r="D49" s="370">
        <v>0.9</v>
      </c>
      <c r="E49" s="370">
        <v>42</v>
      </c>
      <c r="F49" s="370">
        <v>42.9</v>
      </c>
    </row>
    <row r="52" spans="1:6" ht="15">
      <c r="A52" s="398" t="s">
        <v>8338</v>
      </c>
      <c r="B52" s="398"/>
      <c r="C52" s="398"/>
      <c r="D52" s="398"/>
      <c r="E52" s="398"/>
      <c r="F52" s="398"/>
    </row>
    <row r="53" spans="1:6">
      <c r="A53" s="373" t="s">
        <v>8304</v>
      </c>
      <c r="B53" s="373" t="s">
        <v>8307</v>
      </c>
      <c r="C53" s="373" t="s">
        <v>8310</v>
      </c>
      <c r="D53" s="375"/>
      <c r="E53" s="381"/>
      <c r="F53" s="376"/>
    </row>
    <row r="54" spans="1:6">
      <c r="A54" s="370" t="s">
        <v>8305</v>
      </c>
      <c r="B54" s="370" t="s">
        <v>8308</v>
      </c>
      <c r="C54" s="370" t="s">
        <v>8311</v>
      </c>
      <c r="D54" s="377"/>
      <c r="E54" s="382"/>
      <c r="F54" s="378"/>
    </row>
    <row r="55" spans="1:6">
      <c r="A55" s="374" t="s">
        <v>8306</v>
      </c>
      <c r="B55" s="374" t="s">
        <v>8309</v>
      </c>
      <c r="C55" s="374" t="s">
        <v>8312</v>
      </c>
      <c r="D55" s="379"/>
      <c r="E55" s="383"/>
      <c r="F55" s="380"/>
    </row>
    <row r="56" spans="1:6">
      <c r="A56" s="399" t="s">
        <v>8340</v>
      </c>
      <c r="B56" s="399"/>
      <c r="C56" s="399"/>
      <c r="D56" s="399"/>
      <c r="E56" s="399"/>
      <c r="F56" s="399"/>
    </row>
    <row r="57" spans="1:6" ht="24">
      <c r="A57" s="164" t="s">
        <v>8314</v>
      </c>
      <c r="B57" s="370" t="s">
        <v>8315</v>
      </c>
      <c r="C57" s="370" t="s">
        <v>8316</v>
      </c>
      <c r="D57" s="372" t="s">
        <v>8317</v>
      </c>
      <c r="E57" s="372" t="s">
        <v>8341</v>
      </c>
      <c r="F57" s="372" t="s">
        <v>8318</v>
      </c>
    </row>
    <row r="58" spans="1:6">
      <c r="A58" s="370">
        <v>1</v>
      </c>
      <c r="B58" s="370" t="s">
        <v>8319</v>
      </c>
      <c r="C58" s="370">
        <v>17.2</v>
      </c>
      <c r="D58" s="370">
        <v>0.3</v>
      </c>
      <c r="E58" s="370">
        <v>7.7</v>
      </c>
      <c r="F58" s="370">
        <v>8</v>
      </c>
    </row>
    <row r="59" spans="1:6">
      <c r="A59" s="370">
        <v>2</v>
      </c>
      <c r="B59" s="370" t="s">
        <v>8320</v>
      </c>
      <c r="C59" s="370">
        <v>16.899999999999999</v>
      </c>
      <c r="D59" s="370">
        <v>0.3</v>
      </c>
      <c r="E59" s="370">
        <v>16.3</v>
      </c>
      <c r="F59" s="370">
        <v>16.600000000000001</v>
      </c>
    </row>
    <row r="60" spans="1:6">
      <c r="A60" s="370">
        <v>3</v>
      </c>
      <c r="B60" s="370" t="s">
        <v>8321</v>
      </c>
      <c r="C60" s="370">
        <v>17.5</v>
      </c>
      <c r="D60" s="370">
        <v>0.3</v>
      </c>
      <c r="E60" s="370">
        <v>28.4</v>
      </c>
      <c r="F60" s="370">
        <v>28.7</v>
      </c>
    </row>
    <row r="61" spans="1:6">
      <c r="A61" s="400" t="s">
        <v>8322</v>
      </c>
      <c r="B61" s="401"/>
      <c r="C61" s="402"/>
      <c r="D61" s="370">
        <v>0.9</v>
      </c>
      <c r="E61" s="370">
        <v>52.4</v>
      </c>
      <c r="F61" s="370">
        <v>53.3</v>
      </c>
    </row>
  </sheetData>
  <mergeCells count="21">
    <mergeCell ref="A56:F56"/>
    <mergeCell ref="A61:C61"/>
    <mergeCell ref="A37:E37"/>
    <mergeCell ref="A38:E38"/>
    <mergeCell ref="A40:F40"/>
    <mergeCell ref="A44:F44"/>
    <mergeCell ref="A34:E34"/>
    <mergeCell ref="A35:E35"/>
    <mergeCell ref="A36:E36"/>
    <mergeCell ref="A49:C49"/>
    <mergeCell ref="A52:F52"/>
    <mergeCell ref="A25:F25"/>
    <mergeCell ref="A30:C30"/>
    <mergeCell ref="A31:E31"/>
    <mergeCell ref="A32:F32"/>
    <mergeCell ref="A33:E33"/>
    <mergeCell ref="A1:B1"/>
    <mergeCell ref="A13:F13"/>
    <mergeCell ref="A9:F9"/>
    <mergeCell ref="A18:C18"/>
    <mergeCell ref="A21:F2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zoomScale="90" zoomScaleNormal="9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Z28" sqref="Z28"/>
    </sheetView>
  </sheetViews>
  <sheetFormatPr baseColWidth="10" defaultRowHeight="12"/>
  <cols>
    <col min="1" max="1" width="6.5703125" bestFit="1" customWidth="1"/>
    <col min="2" max="2" width="11.85546875" bestFit="1" customWidth="1"/>
    <col min="3" max="3" width="7.28515625" bestFit="1" customWidth="1"/>
    <col min="5" max="5" width="13" bestFit="1" customWidth="1"/>
    <col min="6" max="6" width="13.5703125" bestFit="1" customWidth="1"/>
    <col min="16" max="16" width="13.5703125" customWidth="1"/>
    <col min="24" max="24" width="16" bestFit="1" customWidth="1"/>
  </cols>
  <sheetData>
    <row r="1" spans="1:25" s="203" customFormat="1" ht="15.75">
      <c r="A1" s="210"/>
      <c r="B1" s="210"/>
      <c r="C1" s="211"/>
      <c r="D1" s="211"/>
      <c r="E1" s="211"/>
      <c r="F1" s="211"/>
      <c r="G1" s="211"/>
      <c r="H1" s="431" t="s">
        <v>8207</v>
      </c>
      <c r="I1" s="432"/>
      <c r="J1" s="433"/>
      <c r="K1" s="434" t="s">
        <v>8208</v>
      </c>
      <c r="L1" s="432"/>
      <c r="M1" s="432"/>
      <c r="N1" s="432"/>
      <c r="O1" s="432"/>
      <c r="P1" s="432"/>
      <c r="Q1" s="432"/>
      <c r="R1" s="433"/>
      <c r="S1" s="435" t="s">
        <v>8209</v>
      </c>
      <c r="T1" s="436"/>
      <c r="U1" s="437" t="s">
        <v>8210</v>
      </c>
      <c r="V1" s="437"/>
      <c r="W1" s="438"/>
      <c r="X1" s="212"/>
    </row>
    <row r="2" spans="1:25" s="203" customFormat="1" ht="12.75">
      <c r="A2" s="213" t="s">
        <v>8211</v>
      </c>
      <c r="B2" s="213" t="s">
        <v>213</v>
      </c>
      <c r="C2" s="213" t="s">
        <v>22</v>
      </c>
      <c r="D2" s="213" t="s">
        <v>21</v>
      </c>
      <c r="E2" s="213" t="s">
        <v>8212</v>
      </c>
      <c r="F2" s="213" t="s">
        <v>8213</v>
      </c>
      <c r="G2" s="213" t="s">
        <v>8214</v>
      </c>
      <c r="H2" s="213" t="s">
        <v>8215</v>
      </c>
      <c r="I2" s="213" t="s">
        <v>8216</v>
      </c>
      <c r="J2" s="214" t="s">
        <v>8217</v>
      </c>
      <c r="K2" s="215" t="s">
        <v>8215</v>
      </c>
      <c r="L2" s="213" t="s">
        <v>8218</v>
      </c>
      <c r="M2" s="216" t="s">
        <v>8219</v>
      </c>
      <c r="N2" s="216" t="s">
        <v>8220</v>
      </c>
      <c r="O2" s="213" t="s">
        <v>8221</v>
      </c>
      <c r="P2" s="216" t="s">
        <v>8222</v>
      </c>
      <c r="Q2" s="216" t="s">
        <v>8223</v>
      </c>
      <c r="R2" s="217" t="s">
        <v>8224</v>
      </c>
      <c r="S2" s="218" t="s">
        <v>8225</v>
      </c>
      <c r="T2" s="216" t="s">
        <v>8226</v>
      </c>
      <c r="U2" s="219" t="s">
        <v>8227</v>
      </c>
      <c r="V2" s="219" t="s">
        <v>8228</v>
      </c>
      <c r="W2" s="220" t="s">
        <v>8229</v>
      </c>
      <c r="X2" s="221" t="s">
        <v>8230</v>
      </c>
      <c r="Y2" s="222" t="s">
        <v>8231</v>
      </c>
    </row>
    <row r="3" spans="1:25" s="287" customFormat="1" ht="12.75">
      <c r="A3" s="276" t="s">
        <v>8232</v>
      </c>
      <c r="B3" s="277">
        <v>41610</v>
      </c>
      <c r="C3" s="278">
        <v>2</v>
      </c>
      <c r="D3" s="278">
        <v>8</v>
      </c>
      <c r="E3" s="276" t="s">
        <v>8254</v>
      </c>
      <c r="F3" s="279" t="s">
        <v>7862</v>
      </c>
      <c r="G3" s="279"/>
      <c r="H3" s="279">
        <v>28</v>
      </c>
      <c r="I3" s="280">
        <v>208</v>
      </c>
      <c r="J3" s="281">
        <f>I3*L3</f>
        <v>59.652830188679246</v>
      </c>
      <c r="K3" s="282">
        <v>7</v>
      </c>
      <c r="L3" s="280">
        <f>R3/O3</f>
        <v>0.28679245283018867</v>
      </c>
      <c r="M3" s="426">
        <v>53</v>
      </c>
      <c r="N3" s="427"/>
      <c r="O3" s="283">
        <f t="shared" ref="O3:O8" si="0">M3+N3</f>
        <v>53</v>
      </c>
      <c r="P3" s="428">
        <v>7.6</v>
      </c>
      <c r="Q3" s="429">
        <v>7.6</v>
      </c>
      <c r="R3" s="281">
        <f t="shared" ref="R3:R8" si="1">P3+Q3</f>
        <v>15.2</v>
      </c>
      <c r="S3" s="284">
        <f t="shared" ref="S3:S38" si="2">(R3+J3)/100</f>
        <v>0.74852830188679254</v>
      </c>
      <c r="T3" s="285">
        <f>MIN(4.63,4.48*S3^(-0.25))</f>
        <v>4.63</v>
      </c>
      <c r="U3" s="430"/>
      <c r="V3" s="430"/>
      <c r="W3" s="286">
        <f>(U3*P3)</f>
        <v>0</v>
      </c>
      <c r="X3" s="286">
        <f>W3/R3</f>
        <v>0</v>
      </c>
      <c r="Y3" s="286">
        <f>X3/T3</f>
        <v>0</v>
      </c>
    </row>
    <row r="4" spans="1:25" s="287" customFormat="1" ht="12.75">
      <c r="A4" s="276" t="s">
        <v>8232</v>
      </c>
      <c r="B4" s="277">
        <v>41610</v>
      </c>
      <c r="C4" s="278">
        <v>6</v>
      </c>
      <c r="D4" s="278">
        <v>20</v>
      </c>
      <c r="E4" s="276" t="s">
        <v>8254</v>
      </c>
      <c r="F4" s="279" t="s">
        <v>7863</v>
      </c>
      <c r="G4" s="279"/>
      <c r="H4" s="279">
        <v>28</v>
      </c>
      <c r="I4" s="280">
        <v>98</v>
      </c>
      <c r="J4" s="281">
        <f t="shared" ref="J4:J38" si="3">I4*L4</f>
        <v>15.339130434782611</v>
      </c>
      <c r="K4" s="282">
        <v>7</v>
      </c>
      <c r="L4" s="280">
        <f t="shared" ref="L4:L38" si="4">R4/O4</f>
        <v>0.15652173913043479</v>
      </c>
      <c r="M4" s="426">
        <v>23</v>
      </c>
      <c r="N4" s="427">
        <v>23</v>
      </c>
      <c r="O4" s="283">
        <f t="shared" si="0"/>
        <v>46</v>
      </c>
      <c r="P4" s="428">
        <v>3.6</v>
      </c>
      <c r="Q4" s="429">
        <v>3.6</v>
      </c>
      <c r="R4" s="281">
        <f t="shared" si="1"/>
        <v>7.2</v>
      </c>
      <c r="S4" s="284">
        <f t="shared" si="2"/>
        <v>0.22539130434782609</v>
      </c>
      <c r="T4" s="285">
        <f t="shared" ref="T4:T38" si="5">MIN(4.63,4.48*S4^(-0.25))</f>
        <v>4.63</v>
      </c>
      <c r="U4" s="430"/>
      <c r="V4" s="430"/>
      <c r="W4" s="286">
        <f t="shared" ref="W4:W10" si="6">(U4*P4)</f>
        <v>0</v>
      </c>
      <c r="X4" s="286">
        <f t="shared" ref="X4:X38" si="7">W4/R4</f>
        <v>0</v>
      </c>
      <c r="Y4" s="286">
        <f t="shared" ref="Y4:Y38" si="8">X4/T4</f>
        <v>0</v>
      </c>
    </row>
    <row r="5" spans="1:25" s="287" customFormat="1" ht="12.75">
      <c r="A5" s="276" t="s">
        <v>8232</v>
      </c>
      <c r="B5" s="277">
        <v>41610</v>
      </c>
      <c r="C5" s="278">
        <v>5</v>
      </c>
      <c r="D5" s="278">
        <v>28</v>
      </c>
      <c r="E5" s="276" t="s">
        <v>8254</v>
      </c>
      <c r="F5" s="279" t="s">
        <v>8130</v>
      </c>
      <c r="G5" s="279"/>
      <c r="H5" s="279">
        <v>36</v>
      </c>
      <c r="I5" s="280">
        <v>116</v>
      </c>
      <c r="J5" s="281">
        <f t="shared" si="3"/>
        <v>18.196078431372548</v>
      </c>
      <c r="K5" s="282">
        <v>9</v>
      </c>
      <c r="L5" s="280">
        <f t="shared" si="4"/>
        <v>0.15686274509803921</v>
      </c>
      <c r="M5" s="426">
        <v>51</v>
      </c>
      <c r="N5" s="427">
        <v>51</v>
      </c>
      <c r="O5" s="283">
        <f t="shared" si="0"/>
        <v>102</v>
      </c>
      <c r="P5" s="428">
        <v>8</v>
      </c>
      <c r="Q5" s="429">
        <v>8</v>
      </c>
      <c r="R5" s="281">
        <f t="shared" si="1"/>
        <v>16</v>
      </c>
      <c r="S5" s="284">
        <f t="shared" si="2"/>
        <v>0.34196078431372551</v>
      </c>
      <c r="T5" s="285">
        <f t="shared" si="5"/>
        <v>4.63</v>
      </c>
      <c r="U5" s="430"/>
      <c r="V5" s="430"/>
      <c r="W5" s="286">
        <f t="shared" si="6"/>
        <v>0</v>
      </c>
      <c r="X5" s="286">
        <f t="shared" si="7"/>
        <v>0</v>
      </c>
      <c r="Y5" s="286">
        <f t="shared" si="8"/>
        <v>0</v>
      </c>
    </row>
    <row r="6" spans="1:25" s="287" customFormat="1" ht="12.75">
      <c r="A6" s="276" t="s">
        <v>8232</v>
      </c>
      <c r="B6" s="277">
        <v>41610</v>
      </c>
      <c r="C6" s="278">
        <v>7</v>
      </c>
      <c r="D6" s="278">
        <v>69</v>
      </c>
      <c r="E6" s="276" t="s">
        <v>8255</v>
      </c>
      <c r="F6" s="279" t="s">
        <v>7862</v>
      </c>
      <c r="G6" s="279"/>
      <c r="H6" s="279">
        <v>52</v>
      </c>
      <c r="I6" s="280">
        <v>140</v>
      </c>
      <c r="J6" s="281">
        <f t="shared" si="3"/>
        <v>20.851063829787233</v>
      </c>
      <c r="K6" s="282">
        <v>12</v>
      </c>
      <c r="L6" s="280">
        <f t="shared" si="4"/>
        <v>0.14893617021276595</v>
      </c>
      <c r="M6" s="426">
        <v>47</v>
      </c>
      <c r="N6" s="427">
        <v>47</v>
      </c>
      <c r="O6" s="283">
        <f t="shared" si="0"/>
        <v>94</v>
      </c>
      <c r="P6" s="428">
        <v>7</v>
      </c>
      <c r="Q6" s="429">
        <v>7</v>
      </c>
      <c r="R6" s="281">
        <f t="shared" si="1"/>
        <v>14</v>
      </c>
      <c r="S6" s="284">
        <f t="shared" si="2"/>
        <v>0.34851063829787238</v>
      </c>
      <c r="T6" s="285">
        <f t="shared" si="5"/>
        <v>4.63</v>
      </c>
      <c r="U6" s="430"/>
      <c r="V6" s="430"/>
      <c r="W6" s="286">
        <f t="shared" si="6"/>
        <v>0</v>
      </c>
      <c r="X6" s="286">
        <f t="shared" si="7"/>
        <v>0</v>
      </c>
      <c r="Y6" s="286">
        <f t="shared" si="8"/>
        <v>0</v>
      </c>
    </row>
    <row r="7" spans="1:25" s="287" customFormat="1" ht="12.75">
      <c r="A7" s="276" t="s">
        <v>8232</v>
      </c>
      <c r="B7" s="277">
        <v>41610</v>
      </c>
      <c r="C7" s="278">
        <v>10</v>
      </c>
      <c r="D7" s="278">
        <v>60</v>
      </c>
      <c r="E7" s="276" t="s">
        <v>8255</v>
      </c>
      <c r="F7" s="279" t="s">
        <v>7863</v>
      </c>
      <c r="G7" s="279"/>
      <c r="H7" s="279">
        <v>23</v>
      </c>
      <c r="I7" s="280">
        <v>116</v>
      </c>
      <c r="J7" s="281">
        <f t="shared" si="3"/>
        <v>18.738461538461539</v>
      </c>
      <c r="K7" s="282">
        <v>5</v>
      </c>
      <c r="L7" s="280">
        <f t="shared" si="4"/>
        <v>0.16153846153846155</v>
      </c>
      <c r="M7" s="426">
        <v>26</v>
      </c>
      <c r="N7" s="427">
        <v>26</v>
      </c>
      <c r="O7" s="283">
        <f t="shared" si="0"/>
        <v>52</v>
      </c>
      <c r="P7" s="428">
        <v>4.2</v>
      </c>
      <c r="Q7" s="429">
        <v>4.2</v>
      </c>
      <c r="R7" s="281">
        <f t="shared" si="1"/>
        <v>8.4</v>
      </c>
      <c r="S7" s="284">
        <f t="shared" si="2"/>
        <v>0.27138461538461539</v>
      </c>
      <c r="T7" s="285">
        <f t="shared" si="5"/>
        <v>4.63</v>
      </c>
      <c r="U7" s="430"/>
      <c r="V7" s="430"/>
      <c r="W7" s="286">
        <f t="shared" si="6"/>
        <v>0</v>
      </c>
      <c r="X7" s="286">
        <f t="shared" si="7"/>
        <v>0</v>
      </c>
      <c r="Y7" s="286">
        <f t="shared" si="8"/>
        <v>0</v>
      </c>
    </row>
    <row r="8" spans="1:25" s="287" customFormat="1" ht="13.5" thickBot="1">
      <c r="A8" s="288" t="s">
        <v>8232</v>
      </c>
      <c r="B8" s="289">
        <v>41610</v>
      </c>
      <c r="C8" s="278">
        <v>8</v>
      </c>
      <c r="D8" s="278">
        <v>62</v>
      </c>
      <c r="E8" s="288" t="s">
        <v>8255</v>
      </c>
      <c r="F8" s="290" t="s">
        <v>8130</v>
      </c>
      <c r="G8" s="290"/>
      <c r="H8" s="290">
        <v>35</v>
      </c>
      <c r="I8" s="291">
        <v>169</v>
      </c>
      <c r="J8" s="292">
        <f t="shared" si="3"/>
        <v>26.725581395348836</v>
      </c>
      <c r="K8" s="293">
        <v>8</v>
      </c>
      <c r="L8" s="291">
        <f t="shared" si="4"/>
        <v>0.15813953488372093</v>
      </c>
      <c r="M8" s="418">
        <v>43</v>
      </c>
      <c r="N8" s="418">
        <v>43</v>
      </c>
      <c r="O8" s="294">
        <f t="shared" si="0"/>
        <v>86</v>
      </c>
      <c r="P8" s="419">
        <v>6.8</v>
      </c>
      <c r="Q8" s="420">
        <v>6.8</v>
      </c>
      <c r="R8" s="292">
        <f t="shared" si="1"/>
        <v>13.6</v>
      </c>
      <c r="S8" s="295">
        <f t="shared" si="2"/>
        <v>0.40325581395348836</v>
      </c>
      <c r="T8" s="351">
        <f t="shared" si="5"/>
        <v>4.63</v>
      </c>
      <c r="U8" s="421"/>
      <c r="V8" s="421"/>
      <c r="W8" s="296">
        <f t="shared" si="6"/>
        <v>0</v>
      </c>
      <c r="X8" s="296">
        <f t="shared" si="7"/>
        <v>0</v>
      </c>
      <c r="Y8" s="296">
        <f t="shared" si="8"/>
        <v>0</v>
      </c>
    </row>
    <row r="9" spans="1:25" s="338" customFormat="1" ht="13.5" thickTop="1">
      <c r="A9" s="239" t="s">
        <v>8233</v>
      </c>
      <c r="B9" s="238">
        <v>41695</v>
      </c>
      <c r="C9" s="240">
        <v>10</v>
      </c>
      <c r="D9" s="240">
        <v>16</v>
      </c>
      <c r="E9" s="239" t="s">
        <v>8256</v>
      </c>
      <c r="F9" s="256" t="s">
        <v>7862</v>
      </c>
      <c r="G9" s="257"/>
      <c r="H9" s="231">
        <v>36</v>
      </c>
      <c r="I9" s="241">
        <v>340</v>
      </c>
      <c r="J9" s="242">
        <f t="shared" si="3"/>
        <v>52.133333333333326</v>
      </c>
      <c r="K9" s="265">
        <v>9</v>
      </c>
      <c r="L9" s="241">
        <f t="shared" si="4"/>
        <v>0.15333333333333332</v>
      </c>
      <c r="M9" s="422">
        <v>75</v>
      </c>
      <c r="N9" s="422"/>
      <c r="O9" s="255">
        <v>75</v>
      </c>
      <c r="P9" s="423">
        <v>11.5</v>
      </c>
      <c r="Q9" s="424"/>
      <c r="R9" s="263">
        <v>11.5</v>
      </c>
      <c r="S9" s="244">
        <f t="shared" si="2"/>
        <v>0.63633333333333331</v>
      </c>
      <c r="T9" s="267">
        <f t="shared" si="5"/>
        <v>4.63</v>
      </c>
      <c r="U9" s="425">
        <v>4.069</v>
      </c>
      <c r="V9" s="407"/>
      <c r="W9" s="245">
        <f>(U9*P9)</f>
        <v>46.793500000000002</v>
      </c>
      <c r="X9" s="245">
        <f t="shared" si="7"/>
        <v>4.069</v>
      </c>
      <c r="Y9" s="245">
        <f>X9/T9</f>
        <v>0.87883369330453565</v>
      </c>
    </row>
    <row r="10" spans="1:25" s="338" customFormat="1" ht="12.75">
      <c r="A10" s="223" t="s">
        <v>8233</v>
      </c>
      <c r="B10" s="238">
        <v>41695</v>
      </c>
      <c r="C10" s="224">
        <v>8</v>
      </c>
      <c r="D10" s="224">
        <v>26</v>
      </c>
      <c r="E10" s="223" t="s">
        <v>8256</v>
      </c>
      <c r="F10" s="256" t="s">
        <v>7863</v>
      </c>
      <c r="G10" s="257"/>
      <c r="H10" s="225">
        <v>24</v>
      </c>
      <c r="I10" s="226">
        <v>240</v>
      </c>
      <c r="J10" s="227">
        <f t="shared" si="3"/>
        <v>43.199999999999996</v>
      </c>
      <c r="K10" s="254">
        <v>7</v>
      </c>
      <c r="L10" s="226">
        <f t="shared" si="4"/>
        <v>0.18</v>
      </c>
      <c r="M10" s="414">
        <v>50</v>
      </c>
      <c r="N10" s="414">
        <v>50</v>
      </c>
      <c r="O10" s="255">
        <v>50</v>
      </c>
      <c r="P10" s="415">
        <v>9</v>
      </c>
      <c r="Q10" s="415">
        <v>9</v>
      </c>
      <c r="R10" s="263">
        <v>9</v>
      </c>
      <c r="S10" s="229">
        <f t="shared" si="2"/>
        <v>0.52199999999999991</v>
      </c>
      <c r="T10" s="267">
        <f t="shared" si="5"/>
        <v>4.63</v>
      </c>
      <c r="U10" s="405">
        <v>2.9245000000000001</v>
      </c>
      <c r="V10" s="405">
        <v>2.9245000000000001</v>
      </c>
      <c r="W10" s="230">
        <f t="shared" si="6"/>
        <v>26.320500000000003</v>
      </c>
      <c r="X10" s="230">
        <f t="shared" si="7"/>
        <v>2.9245000000000001</v>
      </c>
      <c r="Y10" s="230">
        <f t="shared" si="8"/>
        <v>0.63164146868250548</v>
      </c>
    </row>
    <row r="11" spans="1:25" s="338" customFormat="1" ht="12.75">
      <c r="A11" s="223" t="s">
        <v>8233</v>
      </c>
      <c r="B11" s="238">
        <v>41695</v>
      </c>
      <c r="C11" s="224">
        <v>12</v>
      </c>
      <c r="D11" s="224">
        <v>11</v>
      </c>
      <c r="E11" s="223" t="s">
        <v>8256</v>
      </c>
      <c r="F11" s="256" t="s">
        <v>8130</v>
      </c>
      <c r="G11" s="257"/>
      <c r="H11" s="225">
        <v>25</v>
      </c>
      <c r="I11" s="226">
        <v>315</v>
      </c>
      <c r="J11" s="227">
        <f t="shared" si="3"/>
        <v>52.667999999999999</v>
      </c>
      <c r="K11" s="254">
        <v>6</v>
      </c>
      <c r="L11" s="226">
        <f t="shared" si="4"/>
        <v>0.16719999999999999</v>
      </c>
      <c r="M11" s="414">
        <v>125</v>
      </c>
      <c r="N11" s="414">
        <v>125</v>
      </c>
      <c r="O11" s="255">
        <v>125</v>
      </c>
      <c r="P11" s="415">
        <v>20.9</v>
      </c>
      <c r="Q11" s="415">
        <v>20.9</v>
      </c>
      <c r="R11" s="263">
        <v>20.9</v>
      </c>
      <c r="S11" s="229">
        <f t="shared" si="2"/>
        <v>0.73568</v>
      </c>
      <c r="T11" s="267">
        <f t="shared" si="5"/>
        <v>4.63</v>
      </c>
      <c r="U11" s="405">
        <v>3.2746</v>
      </c>
      <c r="V11" s="405">
        <v>3.2746</v>
      </c>
      <c r="W11" s="230">
        <f>(U11*P11)</f>
        <v>68.439139999999995</v>
      </c>
      <c r="X11" s="230">
        <f>W11/R11</f>
        <v>3.2746</v>
      </c>
      <c r="Y11" s="230">
        <f t="shared" si="8"/>
        <v>0.70725701943844488</v>
      </c>
    </row>
    <row r="12" spans="1:25" s="338" customFormat="1" ht="12.75">
      <c r="A12" s="223" t="s">
        <v>8233</v>
      </c>
      <c r="B12" s="238">
        <v>41695</v>
      </c>
      <c r="C12" s="224">
        <v>1</v>
      </c>
      <c r="D12" s="224">
        <v>84</v>
      </c>
      <c r="E12" s="223" t="s">
        <v>8257</v>
      </c>
      <c r="F12" s="256" t="s">
        <v>7862</v>
      </c>
      <c r="G12" s="257"/>
      <c r="H12" s="225">
        <v>40</v>
      </c>
      <c r="I12" s="226">
        <v>270</v>
      </c>
      <c r="J12" s="227">
        <f t="shared" si="3"/>
        <v>45.771428571428572</v>
      </c>
      <c r="K12" s="254">
        <v>11</v>
      </c>
      <c r="L12" s="226">
        <f t="shared" si="4"/>
        <v>0.16952380952380952</v>
      </c>
      <c r="M12" s="414">
        <v>105</v>
      </c>
      <c r="N12" s="414">
        <v>105</v>
      </c>
      <c r="O12" s="255">
        <v>105</v>
      </c>
      <c r="P12" s="415">
        <v>17.8</v>
      </c>
      <c r="Q12" s="415">
        <v>17.8</v>
      </c>
      <c r="R12" s="263">
        <v>17.8</v>
      </c>
      <c r="S12" s="229">
        <f t="shared" si="2"/>
        <v>0.63571428571428568</v>
      </c>
      <c r="T12" s="267">
        <f t="shared" si="5"/>
        <v>4.63</v>
      </c>
      <c r="U12" s="405">
        <v>3.1625000000000001</v>
      </c>
      <c r="V12" s="405">
        <v>3.1625000000000001</v>
      </c>
      <c r="W12" s="230">
        <f t="shared" ref="W12:W14" si="9">(U12*P12)</f>
        <v>56.292500000000004</v>
      </c>
      <c r="X12" s="230">
        <f t="shared" si="7"/>
        <v>3.1625000000000001</v>
      </c>
      <c r="Y12" s="230">
        <f t="shared" si="8"/>
        <v>0.68304535637149033</v>
      </c>
    </row>
    <row r="13" spans="1:25" s="338" customFormat="1" ht="12.75">
      <c r="A13" s="223" t="s">
        <v>8233</v>
      </c>
      <c r="B13" s="238">
        <v>41695</v>
      </c>
      <c r="C13" s="224">
        <v>4</v>
      </c>
      <c r="D13" s="224">
        <v>71</v>
      </c>
      <c r="E13" s="223" t="s">
        <v>8257</v>
      </c>
      <c r="F13" s="256" t="s">
        <v>7863</v>
      </c>
      <c r="G13" s="257"/>
      <c r="H13" s="225">
        <v>30</v>
      </c>
      <c r="I13" s="226">
        <v>410</v>
      </c>
      <c r="J13" s="227">
        <f t="shared" si="3"/>
        <v>67.757894736842104</v>
      </c>
      <c r="K13" s="254">
        <v>7</v>
      </c>
      <c r="L13" s="226">
        <f t="shared" si="4"/>
        <v>0.16526315789473683</v>
      </c>
      <c r="M13" s="414">
        <v>95</v>
      </c>
      <c r="N13" s="414">
        <v>95</v>
      </c>
      <c r="O13" s="255">
        <v>95</v>
      </c>
      <c r="P13" s="415">
        <v>15.7</v>
      </c>
      <c r="Q13" s="415">
        <v>15.7</v>
      </c>
      <c r="R13" s="263">
        <v>15.7</v>
      </c>
      <c r="S13" s="229">
        <f t="shared" si="2"/>
        <v>0.83457894736842109</v>
      </c>
      <c r="T13" s="267">
        <f t="shared" si="5"/>
        <v>4.63</v>
      </c>
      <c r="U13" s="405">
        <v>3.1970999999999998</v>
      </c>
      <c r="V13" s="405">
        <v>3.1970999999999998</v>
      </c>
      <c r="W13" s="230">
        <f t="shared" si="9"/>
        <v>50.194469999999995</v>
      </c>
      <c r="X13" s="230">
        <f t="shared" si="7"/>
        <v>3.1970999999999998</v>
      </c>
      <c r="Y13" s="230">
        <f t="shared" si="8"/>
        <v>0.69051835853131749</v>
      </c>
    </row>
    <row r="14" spans="1:25" s="262" customFormat="1" ht="13.5" thickBot="1">
      <c r="A14" s="246" t="s">
        <v>8233</v>
      </c>
      <c r="B14" s="247">
        <v>41695</v>
      </c>
      <c r="C14" s="248">
        <v>3</v>
      </c>
      <c r="D14" s="248">
        <v>66</v>
      </c>
      <c r="E14" s="246" t="s">
        <v>8257</v>
      </c>
      <c r="F14" s="258" t="s">
        <v>8130</v>
      </c>
      <c r="G14" s="259"/>
      <c r="H14" s="249">
        <v>28</v>
      </c>
      <c r="I14" s="250">
        <v>195</v>
      </c>
      <c r="J14" s="251">
        <f t="shared" si="3"/>
        <v>35.49</v>
      </c>
      <c r="K14" s="260">
        <v>7</v>
      </c>
      <c r="L14" s="250">
        <f t="shared" si="4"/>
        <v>0.182</v>
      </c>
      <c r="M14" s="416">
        <v>50</v>
      </c>
      <c r="N14" s="416">
        <v>50</v>
      </c>
      <c r="O14" s="261">
        <v>50</v>
      </c>
      <c r="P14" s="417">
        <v>9.1</v>
      </c>
      <c r="Q14" s="417">
        <v>9.1</v>
      </c>
      <c r="R14" s="264">
        <v>9.1</v>
      </c>
      <c r="S14" s="252">
        <f t="shared" si="2"/>
        <v>0.44590000000000002</v>
      </c>
      <c r="T14" s="353">
        <f t="shared" si="5"/>
        <v>4.63</v>
      </c>
      <c r="U14" s="413">
        <v>3.0160999999999998</v>
      </c>
      <c r="V14" s="413">
        <v>3.0160999999999998</v>
      </c>
      <c r="W14" s="253">
        <f t="shared" si="9"/>
        <v>27.446509999999996</v>
      </c>
      <c r="X14" s="253">
        <f t="shared" si="7"/>
        <v>3.0160999999999998</v>
      </c>
      <c r="Y14" s="253">
        <f t="shared" si="8"/>
        <v>0.65142548596112304</v>
      </c>
    </row>
    <row r="15" spans="1:25" s="344" customFormat="1" ht="13.5" thickTop="1">
      <c r="A15" s="297" t="s">
        <v>8234</v>
      </c>
      <c r="B15" s="346">
        <v>41747</v>
      </c>
      <c r="C15" s="347">
        <v>2</v>
      </c>
      <c r="D15" s="347">
        <v>8</v>
      </c>
      <c r="E15" s="297" t="s">
        <v>8258</v>
      </c>
      <c r="F15" s="297" t="s">
        <v>7862</v>
      </c>
      <c r="G15" s="298"/>
      <c r="H15" s="298">
        <v>30</v>
      </c>
      <c r="I15" s="298">
        <v>1272</v>
      </c>
      <c r="J15" s="299">
        <f t="shared" si="3"/>
        <v>241.24137931034483</v>
      </c>
      <c r="K15" s="348">
        <v>7</v>
      </c>
      <c r="L15" s="300">
        <f t="shared" si="4"/>
        <v>0.18965517241379309</v>
      </c>
      <c r="M15" s="349">
        <v>127</v>
      </c>
      <c r="N15" s="348">
        <v>221</v>
      </c>
      <c r="O15" s="302">
        <f t="shared" ref="O15:O38" si="10">M15+N15</f>
        <v>348</v>
      </c>
      <c r="P15" s="350">
        <v>21</v>
      </c>
      <c r="Q15" s="348">
        <v>45</v>
      </c>
      <c r="R15" s="299">
        <f t="shared" ref="R15:R38" si="11">P15+Q15</f>
        <v>66</v>
      </c>
      <c r="S15" s="304">
        <f t="shared" ref="S15:S21" si="12">(R15+J15)/100</f>
        <v>3.0724137931034483</v>
      </c>
      <c r="T15" s="305">
        <f t="shared" si="5"/>
        <v>3.3838265018959932</v>
      </c>
      <c r="U15" s="409">
        <v>2.3435000000000001</v>
      </c>
      <c r="V15" s="410"/>
      <c r="W15" s="306">
        <f>U15*R15</f>
        <v>154.67100000000002</v>
      </c>
      <c r="X15" s="306">
        <f>W15/R15</f>
        <v>2.3435000000000001</v>
      </c>
      <c r="Y15" s="306">
        <f>X15/T15</f>
        <v>0.69255914825624565</v>
      </c>
    </row>
    <row r="16" spans="1:25" s="344" customFormat="1" ht="12.75">
      <c r="A16" s="276" t="s">
        <v>8234</v>
      </c>
      <c r="B16" s="277">
        <v>41747</v>
      </c>
      <c r="C16" s="278">
        <v>6</v>
      </c>
      <c r="D16" s="278">
        <v>20</v>
      </c>
      <c r="E16" s="276" t="s">
        <v>8258</v>
      </c>
      <c r="F16" s="276" t="s">
        <v>7863</v>
      </c>
      <c r="G16" s="279"/>
      <c r="H16" s="279">
        <v>30</v>
      </c>
      <c r="I16" s="279">
        <v>1481</v>
      </c>
      <c r="J16" s="281">
        <f t="shared" si="3"/>
        <v>271.67694805194805</v>
      </c>
      <c r="K16" s="282">
        <v>7</v>
      </c>
      <c r="L16" s="280">
        <f t="shared" si="4"/>
        <v>0.18344155844155843</v>
      </c>
      <c r="M16" s="301">
        <v>213</v>
      </c>
      <c r="N16" s="282">
        <v>403</v>
      </c>
      <c r="O16" s="283">
        <f t="shared" si="10"/>
        <v>616</v>
      </c>
      <c r="P16" s="303">
        <v>36</v>
      </c>
      <c r="Q16" s="282">
        <v>77</v>
      </c>
      <c r="R16" s="281">
        <f t="shared" si="11"/>
        <v>113</v>
      </c>
      <c r="S16" s="284">
        <f t="shared" si="12"/>
        <v>3.8467694805194803</v>
      </c>
      <c r="T16" s="285">
        <f t="shared" si="5"/>
        <v>3.1989243779297256</v>
      </c>
      <c r="U16" s="411">
        <v>2.3267000000000002</v>
      </c>
      <c r="V16" s="411"/>
      <c r="W16" s="306">
        <f t="shared" ref="W16:W38" si="13">U16*R16</f>
        <v>262.9171</v>
      </c>
      <c r="X16" s="286">
        <f t="shared" si="7"/>
        <v>2.3267000000000002</v>
      </c>
      <c r="Y16" s="286">
        <f t="shared" si="8"/>
        <v>0.72733823157951294</v>
      </c>
    </row>
    <row r="17" spans="1:26" s="344" customFormat="1" ht="12.75">
      <c r="A17" s="276" t="s">
        <v>8234</v>
      </c>
      <c r="B17" s="277">
        <v>41747</v>
      </c>
      <c r="C17" s="278">
        <v>5</v>
      </c>
      <c r="D17" s="278">
        <v>28</v>
      </c>
      <c r="E17" s="276" t="s">
        <v>8258</v>
      </c>
      <c r="F17" s="276" t="s">
        <v>8130</v>
      </c>
      <c r="G17" s="279"/>
      <c r="H17" s="279">
        <v>36</v>
      </c>
      <c r="I17" s="279">
        <v>1719</v>
      </c>
      <c r="J17" s="281">
        <f t="shared" si="3"/>
        <v>316.95847176079729</v>
      </c>
      <c r="K17" s="282">
        <v>9</v>
      </c>
      <c r="L17" s="280">
        <f t="shared" si="4"/>
        <v>0.18438538205980065</v>
      </c>
      <c r="M17" s="301">
        <v>205</v>
      </c>
      <c r="N17" s="282">
        <v>397</v>
      </c>
      <c r="O17" s="283">
        <f t="shared" si="10"/>
        <v>602</v>
      </c>
      <c r="P17" s="303">
        <v>35</v>
      </c>
      <c r="Q17" s="282">
        <v>76</v>
      </c>
      <c r="R17" s="281">
        <f t="shared" si="11"/>
        <v>111</v>
      </c>
      <c r="S17" s="284">
        <f t="shared" si="12"/>
        <v>4.2795847176079729</v>
      </c>
      <c r="T17" s="285">
        <f t="shared" si="5"/>
        <v>3.1147816465116311</v>
      </c>
      <c r="U17" s="411">
        <v>2.6309999999999998</v>
      </c>
      <c r="V17" s="411"/>
      <c r="W17" s="306">
        <f t="shared" si="13"/>
        <v>292.041</v>
      </c>
      <c r="X17" s="286">
        <f t="shared" si="7"/>
        <v>2.6309999999999998</v>
      </c>
      <c r="Y17" s="286">
        <f t="shared" si="8"/>
        <v>0.8446820029733263</v>
      </c>
    </row>
    <row r="18" spans="1:26" s="344" customFormat="1" ht="12.75">
      <c r="A18" s="276" t="s">
        <v>8234</v>
      </c>
      <c r="B18" s="277">
        <v>41747</v>
      </c>
      <c r="C18" s="278">
        <v>10</v>
      </c>
      <c r="D18" s="278">
        <v>16</v>
      </c>
      <c r="E18" s="276" t="s">
        <v>8259</v>
      </c>
      <c r="F18" s="276" t="s">
        <v>7862</v>
      </c>
      <c r="G18" s="279"/>
      <c r="H18" s="279">
        <v>47</v>
      </c>
      <c r="I18" s="279">
        <v>1727</v>
      </c>
      <c r="J18" s="281">
        <f t="shared" si="3"/>
        <v>315.2911184210526</v>
      </c>
      <c r="K18" s="282">
        <v>11</v>
      </c>
      <c r="L18" s="280">
        <f t="shared" si="4"/>
        <v>0.18256578947368421</v>
      </c>
      <c r="M18" s="301">
        <v>186</v>
      </c>
      <c r="N18" s="282">
        <v>422</v>
      </c>
      <c r="O18" s="283">
        <f t="shared" si="10"/>
        <v>608</v>
      </c>
      <c r="P18" s="303">
        <v>32</v>
      </c>
      <c r="Q18" s="282">
        <v>79</v>
      </c>
      <c r="R18" s="281">
        <f t="shared" si="11"/>
        <v>111</v>
      </c>
      <c r="S18" s="284">
        <f t="shared" si="12"/>
        <v>4.2629111842105258</v>
      </c>
      <c r="T18" s="285">
        <f t="shared" si="5"/>
        <v>3.1178229023990207</v>
      </c>
      <c r="U18" s="411">
        <v>3.1629</v>
      </c>
      <c r="V18" s="411"/>
      <c r="W18" s="306">
        <f t="shared" si="13"/>
        <v>351.08190000000002</v>
      </c>
      <c r="X18" s="286">
        <f t="shared" si="7"/>
        <v>3.1629</v>
      </c>
      <c r="Y18" s="286">
        <f t="shared" si="8"/>
        <v>1.0144578762207099</v>
      </c>
    </row>
    <row r="19" spans="1:26" s="344" customFormat="1" ht="12.75">
      <c r="A19" s="276" t="s">
        <v>8234</v>
      </c>
      <c r="B19" s="277">
        <v>41747</v>
      </c>
      <c r="C19" s="278">
        <v>8</v>
      </c>
      <c r="D19" s="278">
        <v>26</v>
      </c>
      <c r="E19" s="276" t="s">
        <v>8259</v>
      </c>
      <c r="F19" s="276" t="s">
        <v>7863</v>
      </c>
      <c r="G19" s="279"/>
      <c r="H19" s="279">
        <v>27</v>
      </c>
      <c r="I19" s="279">
        <v>2315</v>
      </c>
      <c r="J19" s="281">
        <f t="shared" si="3"/>
        <v>371.30404463040446</v>
      </c>
      <c r="K19" s="282">
        <v>6</v>
      </c>
      <c r="L19" s="280">
        <f t="shared" si="4"/>
        <v>0.16039051603905161</v>
      </c>
      <c r="M19" s="301">
        <v>288</v>
      </c>
      <c r="N19" s="282">
        <v>429</v>
      </c>
      <c r="O19" s="283">
        <f t="shared" si="10"/>
        <v>717</v>
      </c>
      <c r="P19" s="303">
        <v>43</v>
      </c>
      <c r="Q19" s="282">
        <v>72</v>
      </c>
      <c r="R19" s="281">
        <f t="shared" si="11"/>
        <v>115</v>
      </c>
      <c r="S19" s="284">
        <f t="shared" si="12"/>
        <v>4.8630404463040442</v>
      </c>
      <c r="T19" s="285">
        <f t="shared" si="5"/>
        <v>3.0168314271661449</v>
      </c>
      <c r="U19" s="411">
        <v>3.3448000000000002</v>
      </c>
      <c r="V19" s="411"/>
      <c r="W19" s="306">
        <f t="shared" si="13"/>
        <v>384.65200000000004</v>
      </c>
      <c r="X19" s="286">
        <f t="shared" si="7"/>
        <v>3.3448000000000002</v>
      </c>
      <c r="Y19" s="286">
        <f t="shared" si="8"/>
        <v>1.1087129263771731</v>
      </c>
    </row>
    <row r="20" spans="1:26" s="344" customFormat="1" ht="12.75">
      <c r="A20" s="276" t="s">
        <v>8234</v>
      </c>
      <c r="B20" s="277">
        <v>41747</v>
      </c>
      <c r="C20" s="278">
        <v>12</v>
      </c>
      <c r="D20" s="278">
        <v>11</v>
      </c>
      <c r="E20" s="276" t="s">
        <v>8259</v>
      </c>
      <c r="F20" s="276" t="s">
        <v>8130</v>
      </c>
      <c r="G20" s="307"/>
      <c r="H20" s="279">
        <v>30</v>
      </c>
      <c r="I20" s="279">
        <v>2020</v>
      </c>
      <c r="J20" s="281">
        <f t="shared" si="3"/>
        <v>344.79871175523351</v>
      </c>
      <c r="K20" s="282">
        <v>7</v>
      </c>
      <c r="L20" s="280">
        <f t="shared" si="4"/>
        <v>0.17069243156199679</v>
      </c>
      <c r="M20" s="301">
        <v>208</v>
      </c>
      <c r="N20" s="282">
        <v>413</v>
      </c>
      <c r="O20" s="283">
        <f t="shared" si="10"/>
        <v>621</v>
      </c>
      <c r="P20" s="303">
        <v>32</v>
      </c>
      <c r="Q20" s="282">
        <v>74</v>
      </c>
      <c r="R20" s="281">
        <f t="shared" si="11"/>
        <v>106</v>
      </c>
      <c r="S20" s="284">
        <f t="shared" si="12"/>
        <v>4.5079871175523349</v>
      </c>
      <c r="T20" s="285">
        <f t="shared" si="5"/>
        <v>3.0745555732998739</v>
      </c>
      <c r="U20" s="411">
        <v>3.4116</v>
      </c>
      <c r="V20" s="411"/>
      <c r="W20" s="306">
        <f t="shared" si="13"/>
        <v>361.62959999999998</v>
      </c>
      <c r="X20" s="286">
        <f t="shared" si="7"/>
        <v>3.4116</v>
      </c>
      <c r="Y20" s="286">
        <f t="shared" si="8"/>
        <v>1.1096237874595909</v>
      </c>
    </row>
    <row r="21" spans="1:26" s="345" customFormat="1" ht="12.75">
      <c r="A21" s="276" t="s">
        <v>8234</v>
      </c>
      <c r="B21" s="277">
        <v>41747</v>
      </c>
      <c r="C21" s="278">
        <v>1</v>
      </c>
      <c r="D21" s="278">
        <v>84</v>
      </c>
      <c r="E21" s="276" t="s">
        <v>8260</v>
      </c>
      <c r="F21" s="308" t="s">
        <v>7862</v>
      </c>
      <c r="G21" s="309"/>
      <c r="H21" s="310">
        <v>37</v>
      </c>
      <c r="I21" s="279">
        <v>1048</v>
      </c>
      <c r="J21" s="281">
        <f t="shared" si="3"/>
        <v>190.54545454545456</v>
      </c>
      <c r="K21" s="282">
        <v>9</v>
      </c>
      <c r="L21" s="311">
        <f t="shared" si="4"/>
        <v>0.18181818181818182</v>
      </c>
      <c r="M21" s="301">
        <v>290</v>
      </c>
      <c r="N21" s="282">
        <v>425</v>
      </c>
      <c r="O21" s="283">
        <f t="shared" si="10"/>
        <v>715</v>
      </c>
      <c r="P21" s="303">
        <v>47</v>
      </c>
      <c r="Q21" s="282">
        <v>83</v>
      </c>
      <c r="R21" s="312">
        <f t="shared" si="11"/>
        <v>130</v>
      </c>
      <c r="S21" s="284">
        <f t="shared" si="12"/>
        <v>3.2054545454545456</v>
      </c>
      <c r="T21" s="285">
        <f t="shared" si="5"/>
        <v>3.3481554102567253</v>
      </c>
      <c r="U21" s="411">
        <v>3.4392</v>
      </c>
      <c r="V21" s="411"/>
      <c r="W21" s="306">
        <f t="shared" si="13"/>
        <v>447.096</v>
      </c>
      <c r="X21" s="286">
        <f t="shared" si="7"/>
        <v>3.4392</v>
      </c>
      <c r="Y21" s="286">
        <f t="shared" si="8"/>
        <v>1.0271924622926312</v>
      </c>
    </row>
    <row r="22" spans="1:26" s="345" customFormat="1" ht="12.75">
      <c r="A22" s="276" t="s">
        <v>8234</v>
      </c>
      <c r="B22" s="277">
        <v>41747</v>
      </c>
      <c r="C22" s="278">
        <v>4</v>
      </c>
      <c r="D22" s="278">
        <v>71</v>
      </c>
      <c r="E22" s="276" t="s">
        <v>8260</v>
      </c>
      <c r="F22" s="308" t="s">
        <v>7863</v>
      </c>
      <c r="G22" s="309"/>
      <c r="H22" s="310">
        <v>27</v>
      </c>
      <c r="I22" s="279">
        <v>1887</v>
      </c>
      <c r="J22" s="281">
        <f t="shared" si="3"/>
        <v>308.45192307692309</v>
      </c>
      <c r="K22" s="282">
        <v>6</v>
      </c>
      <c r="L22" s="311">
        <f t="shared" si="4"/>
        <v>0.16346153846153846</v>
      </c>
      <c r="M22" s="301">
        <v>283</v>
      </c>
      <c r="N22" s="282">
        <v>549</v>
      </c>
      <c r="O22" s="283">
        <f t="shared" si="10"/>
        <v>832</v>
      </c>
      <c r="P22" s="303">
        <v>45</v>
      </c>
      <c r="Q22" s="282">
        <v>91</v>
      </c>
      <c r="R22" s="312">
        <f t="shared" si="11"/>
        <v>136</v>
      </c>
      <c r="S22" s="284">
        <f t="shared" si="2"/>
        <v>4.4445192307692309</v>
      </c>
      <c r="T22" s="285">
        <f t="shared" si="5"/>
        <v>3.0854734702386839</v>
      </c>
      <c r="U22" s="411">
        <v>3.1667000000000001</v>
      </c>
      <c r="V22" s="411"/>
      <c r="W22" s="306">
        <f t="shared" si="13"/>
        <v>430.6712</v>
      </c>
      <c r="X22" s="286">
        <f t="shared" si="7"/>
        <v>3.1667000000000001</v>
      </c>
      <c r="Y22" s="286">
        <f t="shared" si="8"/>
        <v>1.0263254669161141</v>
      </c>
    </row>
    <row r="23" spans="1:26" s="345" customFormat="1" ht="12.75">
      <c r="A23" s="276" t="s">
        <v>8234</v>
      </c>
      <c r="B23" s="277">
        <v>41747</v>
      </c>
      <c r="C23" s="278">
        <v>3</v>
      </c>
      <c r="D23" s="278">
        <v>66</v>
      </c>
      <c r="E23" s="276" t="s">
        <v>8260</v>
      </c>
      <c r="F23" s="308" t="s">
        <v>8130</v>
      </c>
      <c r="G23" s="309"/>
      <c r="H23" s="310">
        <v>40</v>
      </c>
      <c r="I23" s="279">
        <v>1477</v>
      </c>
      <c r="J23" s="281">
        <f t="shared" si="3"/>
        <v>235.463768115942</v>
      </c>
      <c r="K23" s="313">
        <v>10</v>
      </c>
      <c r="L23" s="311">
        <f t="shared" si="4"/>
        <v>0.15942028985507245</v>
      </c>
      <c r="M23" s="301">
        <v>245</v>
      </c>
      <c r="N23" s="313">
        <v>307</v>
      </c>
      <c r="O23" s="283">
        <f t="shared" si="10"/>
        <v>552</v>
      </c>
      <c r="P23" s="303">
        <v>39</v>
      </c>
      <c r="Q23" s="313">
        <v>49</v>
      </c>
      <c r="R23" s="312">
        <f t="shared" si="11"/>
        <v>88</v>
      </c>
      <c r="S23" s="284">
        <f t="shared" si="2"/>
        <v>3.2346376811594202</v>
      </c>
      <c r="T23" s="285">
        <f t="shared" si="5"/>
        <v>3.3405778998109166</v>
      </c>
      <c r="U23" s="411">
        <v>3.4432999999999998</v>
      </c>
      <c r="V23" s="411"/>
      <c r="W23" s="306">
        <f t="shared" si="13"/>
        <v>303.0104</v>
      </c>
      <c r="X23" s="286">
        <f t="shared" si="7"/>
        <v>3.4433000000000002</v>
      </c>
      <c r="Y23" s="286">
        <f t="shared" si="8"/>
        <v>1.0307497993670192</v>
      </c>
    </row>
    <row r="24" spans="1:26" s="345" customFormat="1" ht="12.75">
      <c r="A24" s="276" t="s">
        <v>8234</v>
      </c>
      <c r="B24" s="277">
        <v>41747</v>
      </c>
      <c r="C24" s="278">
        <v>7</v>
      </c>
      <c r="D24" s="278">
        <v>69</v>
      </c>
      <c r="E24" s="276" t="s">
        <v>8261</v>
      </c>
      <c r="F24" s="308" t="s">
        <v>7862</v>
      </c>
      <c r="G24" s="309"/>
      <c r="H24" s="310">
        <v>56</v>
      </c>
      <c r="I24" s="279">
        <v>1025</v>
      </c>
      <c r="J24" s="281">
        <f t="shared" si="3"/>
        <v>207.59493670886076</v>
      </c>
      <c r="K24" s="313">
        <v>13</v>
      </c>
      <c r="L24" s="311">
        <f t="shared" si="4"/>
        <v>0.20253164556962025</v>
      </c>
      <c r="M24" s="301">
        <v>122</v>
      </c>
      <c r="N24" s="313">
        <v>273</v>
      </c>
      <c r="O24" s="283">
        <f t="shared" si="10"/>
        <v>395</v>
      </c>
      <c r="P24" s="303">
        <v>20</v>
      </c>
      <c r="Q24" s="313">
        <v>60</v>
      </c>
      <c r="R24" s="312">
        <f t="shared" si="11"/>
        <v>80</v>
      </c>
      <c r="S24" s="284">
        <f t="shared" si="2"/>
        <v>2.8759493670886074</v>
      </c>
      <c r="T24" s="285">
        <f t="shared" si="5"/>
        <v>3.4401921859446034</v>
      </c>
      <c r="U24" s="411">
        <v>2.2281</v>
      </c>
      <c r="V24" s="411"/>
      <c r="W24" s="306">
        <f t="shared" si="13"/>
        <v>178.24799999999999</v>
      </c>
      <c r="X24" s="286">
        <f t="shared" si="7"/>
        <v>2.2281</v>
      </c>
      <c r="Y24" s="286">
        <f t="shared" si="8"/>
        <v>0.64766730449049348</v>
      </c>
    </row>
    <row r="25" spans="1:26" s="345" customFormat="1" ht="12.75">
      <c r="A25" s="314" t="s">
        <v>8234</v>
      </c>
      <c r="B25" s="315">
        <v>41747</v>
      </c>
      <c r="C25" s="316">
        <v>10</v>
      </c>
      <c r="D25" s="316">
        <v>60</v>
      </c>
      <c r="E25" s="314" t="s">
        <v>8261</v>
      </c>
      <c r="F25" s="317" t="s">
        <v>7863</v>
      </c>
      <c r="G25" s="318"/>
      <c r="H25" s="319">
        <v>36</v>
      </c>
      <c r="I25" s="307">
        <v>1744</v>
      </c>
      <c r="J25" s="320">
        <f t="shared" si="3"/>
        <v>327</v>
      </c>
      <c r="K25" s="321">
        <v>8</v>
      </c>
      <c r="L25" s="322">
        <f t="shared" si="4"/>
        <v>0.1875</v>
      </c>
      <c r="M25" s="323">
        <v>146</v>
      </c>
      <c r="N25" s="321">
        <v>302</v>
      </c>
      <c r="O25" s="324">
        <f t="shared" si="10"/>
        <v>448</v>
      </c>
      <c r="P25" s="325">
        <v>25</v>
      </c>
      <c r="Q25" s="321">
        <v>59</v>
      </c>
      <c r="R25" s="326">
        <f t="shared" si="11"/>
        <v>84</v>
      </c>
      <c r="S25" s="327">
        <f t="shared" si="2"/>
        <v>4.1100000000000003</v>
      </c>
      <c r="T25" s="285">
        <f t="shared" si="5"/>
        <v>3.1464262636276668</v>
      </c>
      <c r="U25" s="412">
        <v>2.0425</v>
      </c>
      <c r="V25" s="412"/>
      <c r="W25" s="306">
        <f>U25*R25</f>
        <v>171.57</v>
      </c>
      <c r="X25" s="328">
        <f t="shared" si="7"/>
        <v>2.0425</v>
      </c>
      <c r="Y25" s="328">
        <f t="shared" si="8"/>
        <v>0.64914917079452006</v>
      </c>
    </row>
    <row r="26" spans="1:26" s="331" customFormat="1" ht="13.5" thickBot="1">
      <c r="A26" s="329" t="s">
        <v>8234</v>
      </c>
      <c r="B26" s="289">
        <v>41747</v>
      </c>
      <c r="C26" s="330">
        <v>8</v>
      </c>
      <c r="D26" s="330">
        <v>62</v>
      </c>
      <c r="E26" s="329" t="s">
        <v>8261</v>
      </c>
      <c r="F26" s="329" t="s">
        <v>8130</v>
      </c>
      <c r="H26" s="294">
        <v>39</v>
      </c>
      <c r="I26" s="294">
        <v>1079</v>
      </c>
      <c r="J26" s="332">
        <f t="shared" si="3"/>
        <v>209.95320197044336</v>
      </c>
      <c r="K26" s="333">
        <v>9</v>
      </c>
      <c r="L26" s="294">
        <f t="shared" si="4"/>
        <v>0.19458128078817735</v>
      </c>
      <c r="M26" s="334">
        <v>140</v>
      </c>
      <c r="N26" s="333">
        <v>266</v>
      </c>
      <c r="O26" s="294">
        <f t="shared" si="10"/>
        <v>406</v>
      </c>
      <c r="P26" s="335">
        <v>24</v>
      </c>
      <c r="Q26" s="333">
        <v>55</v>
      </c>
      <c r="R26" s="336">
        <f t="shared" si="11"/>
        <v>79</v>
      </c>
      <c r="S26" s="337">
        <f>(R26+J26)/100</f>
        <v>2.8895320197044341</v>
      </c>
      <c r="T26" s="352">
        <f t="shared" si="5"/>
        <v>3.4361422628846796</v>
      </c>
      <c r="U26" s="408">
        <v>1.9094</v>
      </c>
      <c r="V26" s="408"/>
      <c r="W26" s="296">
        <f t="shared" si="13"/>
        <v>150.8426</v>
      </c>
      <c r="X26" s="296">
        <f t="shared" si="7"/>
        <v>1.9094</v>
      </c>
      <c r="Y26" s="296">
        <f t="shared" si="8"/>
        <v>0.55568130010922112</v>
      </c>
    </row>
    <row r="27" spans="1:26" ht="13.5" thickTop="1">
      <c r="A27" s="339" t="s">
        <v>8235</v>
      </c>
      <c r="B27" s="340">
        <v>41808</v>
      </c>
      <c r="C27" s="265">
        <v>2</v>
      </c>
      <c r="D27" s="341">
        <v>8</v>
      </c>
      <c r="E27" s="339" t="s">
        <v>8262</v>
      </c>
      <c r="F27" s="265" t="s">
        <v>7862</v>
      </c>
      <c r="G27" s="342"/>
      <c r="H27" s="231">
        <v>33</v>
      </c>
      <c r="I27" s="231">
        <v>1158</v>
      </c>
      <c r="J27" s="243">
        <f t="shared" si="3"/>
        <v>304.73684210526312</v>
      </c>
      <c r="K27" s="254">
        <v>8</v>
      </c>
      <c r="L27" s="243">
        <f t="shared" si="4"/>
        <v>0.26315789473684209</v>
      </c>
      <c r="M27" s="254">
        <v>5</v>
      </c>
      <c r="N27" s="254">
        <v>280</v>
      </c>
      <c r="O27" s="243">
        <f t="shared" si="10"/>
        <v>285</v>
      </c>
      <c r="P27" s="255">
        <v>1</v>
      </c>
      <c r="Q27" s="254">
        <v>74</v>
      </c>
      <c r="R27" s="243">
        <f t="shared" si="11"/>
        <v>75</v>
      </c>
      <c r="S27" s="343">
        <f t="shared" si="2"/>
        <v>3.7973684210526311</v>
      </c>
      <c r="T27" s="354">
        <f t="shared" si="5"/>
        <v>3.2092779364202335</v>
      </c>
      <c r="U27" s="406">
        <v>0.53859999999999997</v>
      </c>
      <c r="V27" s="407"/>
      <c r="W27" s="230">
        <f>U27*R27</f>
        <v>40.394999999999996</v>
      </c>
      <c r="X27" s="245">
        <f>W27/R27</f>
        <v>0.53859999999999997</v>
      </c>
      <c r="Y27" s="355">
        <f t="shared" si="8"/>
        <v>0.16782591307774905</v>
      </c>
      <c r="Z27" t="s">
        <v>8266</v>
      </c>
    </row>
    <row r="28" spans="1:26" ht="12.75">
      <c r="A28" s="269" t="s">
        <v>8235</v>
      </c>
      <c r="B28" s="272">
        <v>41808</v>
      </c>
      <c r="C28" s="254">
        <v>6</v>
      </c>
      <c r="D28" s="270">
        <v>20</v>
      </c>
      <c r="E28" s="269" t="s">
        <v>8262</v>
      </c>
      <c r="F28" s="254" t="s">
        <v>7863</v>
      </c>
      <c r="G28" s="268"/>
      <c r="H28" s="231">
        <v>34</v>
      </c>
      <c r="I28" s="231">
        <v>17445</v>
      </c>
      <c r="J28" s="228">
        <f t="shared" si="3"/>
        <v>4603.541666666667</v>
      </c>
      <c r="K28" s="254">
        <v>8</v>
      </c>
      <c r="L28" s="228">
        <f t="shared" si="4"/>
        <v>0.2638888888888889</v>
      </c>
      <c r="M28" s="254">
        <v>0</v>
      </c>
      <c r="N28" s="254">
        <v>432</v>
      </c>
      <c r="O28" s="228">
        <f t="shared" si="10"/>
        <v>432</v>
      </c>
      <c r="P28" s="255">
        <v>0</v>
      </c>
      <c r="Q28" s="254">
        <v>114</v>
      </c>
      <c r="R28" s="228">
        <f t="shared" si="11"/>
        <v>114</v>
      </c>
      <c r="S28" s="271">
        <f t="shared" si="2"/>
        <v>47.175416666666671</v>
      </c>
      <c r="T28" s="267">
        <f t="shared" si="5"/>
        <v>1.7094211689693386</v>
      </c>
      <c r="U28" s="405">
        <v>0.51060000000000005</v>
      </c>
      <c r="V28" s="405"/>
      <c r="W28" s="230">
        <f t="shared" si="13"/>
        <v>58.208400000000005</v>
      </c>
      <c r="X28" s="230">
        <f t="shared" si="7"/>
        <v>0.51060000000000005</v>
      </c>
      <c r="Y28" s="356">
        <f t="shared" si="8"/>
        <v>0.29869759967220727</v>
      </c>
    </row>
    <row r="29" spans="1:26" ht="12.75">
      <c r="A29" s="269" t="s">
        <v>8235</v>
      </c>
      <c r="B29" s="272">
        <v>41808</v>
      </c>
      <c r="C29" s="254">
        <v>5</v>
      </c>
      <c r="D29" s="270">
        <v>28</v>
      </c>
      <c r="E29" s="269" t="s">
        <v>8262</v>
      </c>
      <c r="F29" s="254" t="s">
        <v>8130</v>
      </c>
      <c r="G29" s="268"/>
      <c r="H29" s="231">
        <v>22</v>
      </c>
      <c r="I29" s="231">
        <v>1492</v>
      </c>
      <c r="J29" s="228">
        <f t="shared" si="3"/>
        <v>376.32047477744806</v>
      </c>
      <c r="K29" s="254">
        <v>6</v>
      </c>
      <c r="L29" s="228">
        <f t="shared" si="4"/>
        <v>0.25222551928783382</v>
      </c>
      <c r="M29" s="254">
        <v>0</v>
      </c>
      <c r="N29" s="254">
        <v>337</v>
      </c>
      <c r="O29" s="228">
        <f t="shared" si="10"/>
        <v>337</v>
      </c>
      <c r="P29" s="255">
        <v>0</v>
      </c>
      <c r="Q29" s="254">
        <v>85</v>
      </c>
      <c r="R29" s="228">
        <f t="shared" si="11"/>
        <v>85</v>
      </c>
      <c r="S29" s="271">
        <f t="shared" si="2"/>
        <v>4.6132047477744802</v>
      </c>
      <c r="T29" s="267">
        <f t="shared" si="5"/>
        <v>3.0568725452699175</v>
      </c>
      <c r="U29" s="405">
        <v>0.45579999999999998</v>
      </c>
      <c r="V29" s="405"/>
      <c r="W29" s="230">
        <f t="shared" si="13"/>
        <v>38.742999999999995</v>
      </c>
      <c r="X29" s="230">
        <f t="shared" si="7"/>
        <v>0.45579999999999993</v>
      </c>
      <c r="Y29" s="356">
        <f t="shared" si="8"/>
        <v>0.14910664191913617</v>
      </c>
    </row>
    <row r="30" spans="1:26" ht="12.75">
      <c r="A30" s="269" t="s">
        <v>8235</v>
      </c>
      <c r="B30" s="272">
        <v>41808</v>
      </c>
      <c r="C30" s="254">
        <v>1</v>
      </c>
      <c r="D30" s="270">
        <v>16</v>
      </c>
      <c r="E30" s="269" t="s">
        <v>8263</v>
      </c>
      <c r="F30" s="254" t="s">
        <v>7862</v>
      </c>
      <c r="G30" s="268"/>
      <c r="H30" s="231">
        <v>24</v>
      </c>
      <c r="I30" s="231">
        <v>1353</v>
      </c>
      <c r="J30" s="228">
        <f t="shared" si="3"/>
        <v>318.07368421052632</v>
      </c>
      <c r="K30" s="254">
        <v>6</v>
      </c>
      <c r="L30" s="228">
        <f t="shared" si="4"/>
        <v>0.23508771929824562</v>
      </c>
      <c r="M30" s="254">
        <v>8</v>
      </c>
      <c r="N30" s="254">
        <v>277</v>
      </c>
      <c r="O30" s="228">
        <f t="shared" si="10"/>
        <v>285</v>
      </c>
      <c r="P30" s="255">
        <v>1</v>
      </c>
      <c r="Q30" s="254">
        <v>66</v>
      </c>
      <c r="R30" s="228">
        <f t="shared" si="11"/>
        <v>67</v>
      </c>
      <c r="S30" s="271">
        <f t="shared" si="2"/>
        <v>3.8507368421052632</v>
      </c>
      <c r="T30" s="267">
        <f t="shared" si="5"/>
        <v>3.1981001073721762</v>
      </c>
      <c r="U30" s="405">
        <v>0.77929999999999999</v>
      </c>
      <c r="V30" s="405"/>
      <c r="W30" s="230">
        <f t="shared" si="13"/>
        <v>52.213099999999997</v>
      </c>
      <c r="X30" s="230">
        <f t="shared" si="7"/>
        <v>0.77929999999999999</v>
      </c>
      <c r="Y30" s="356">
        <f t="shared" si="8"/>
        <v>0.24367592440386032</v>
      </c>
    </row>
    <row r="31" spans="1:26" ht="12.75">
      <c r="A31" s="269" t="s">
        <v>8235</v>
      </c>
      <c r="B31" s="272">
        <v>41808</v>
      </c>
      <c r="C31" s="254">
        <v>8</v>
      </c>
      <c r="D31" s="270">
        <v>26</v>
      </c>
      <c r="E31" s="269" t="s">
        <v>8263</v>
      </c>
      <c r="F31" s="254" t="s">
        <v>7863</v>
      </c>
      <c r="G31" s="268"/>
      <c r="H31" s="231">
        <v>45</v>
      </c>
      <c r="I31" s="231">
        <v>2999</v>
      </c>
      <c r="J31" s="228">
        <f t="shared" si="3"/>
        <v>671.06336633663364</v>
      </c>
      <c r="K31" s="254">
        <v>11</v>
      </c>
      <c r="L31" s="228">
        <f t="shared" si="4"/>
        <v>0.22376237623762377</v>
      </c>
      <c r="M31" s="254">
        <v>9</v>
      </c>
      <c r="N31" s="254">
        <v>496</v>
      </c>
      <c r="O31" s="228">
        <f t="shared" si="10"/>
        <v>505</v>
      </c>
      <c r="P31" s="255">
        <v>1</v>
      </c>
      <c r="Q31" s="254">
        <v>112</v>
      </c>
      <c r="R31" s="228">
        <f t="shared" si="11"/>
        <v>113</v>
      </c>
      <c r="S31" s="271">
        <f t="shared" si="2"/>
        <v>7.8406336633663365</v>
      </c>
      <c r="T31" s="267">
        <f t="shared" si="5"/>
        <v>2.6772579895999291</v>
      </c>
      <c r="U31" s="405">
        <v>0.66020000000000001</v>
      </c>
      <c r="V31" s="405"/>
      <c r="W31" s="230">
        <f t="shared" si="13"/>
        <v>74.602599999999995</v>
      </c>
      <c r="X31" s="230">
        <f t="shared" si="7"/>
        <v>0.66020000000000001</v>
      </c>
      <c r="Y31" s="356">
        <f t="shared" si="8"/>
        <v>0.24659558494721523</v>
      </c>
    </row>
    <row r="32" spans="1:26" ht="12.75">
      <c r="A32" s="269" t="s">
        <v>8235</v>
      </c>
      <c r="B32" s="272">
        <v>41808</v>
      </c>
      <c r="C32" s="254">
        <v>1</v>
      </c>
      <c r="D32" s="270">
        <v>11</v>
      </c>
      <c r="E32" s="269" t="s">
        <v>8263</v>
      </c>
      <c r="F32" s="254" t="s">
        <v>8130</v>
      </c>
      <c r="G32" s="268"/>
      <c r="H32" s="231">
        <v>21</v>
      </c>
      <c r="I32" s="231">
        <v>2948</v>
      </c>
      <c r="J32" s="228">
        <f t="shared" si="3"/>
        <v>672.91304347826087</v>
      </c>
      <c r="K32" s="254">
        <v>5</v>
      </c>
      <c r="L32" s="228">
        <f t="shared" si="4"/>
        <v>0.22826086956521738</v>
      </c>
      <c r="M32" s="254">
        <v>17</v>
      </c>
      <c r="N32" s="254">
        <v>443</v>
      </c>
      <c r="O32" s="228">
        <f t="shared" si="10"/>
        <v>460</v>
      </c>
      <c r="P32" s="255">
        <v>3</v>
      </c>
      <c r="Q32" s="254">
        <v>102</v>
      </c>
      <c r="R32" s="228">
        <f t="shared" si="11"/>
        <v>105</v>
      </c>
      <c r="S32" s="271">
        <f t="shared" si="2"/>
        <v>7.7791304347826085</v>
      </c>
      <c r="T32" s="267">
        <f t="shared" si="5"/>
        <v>2.6825340954497054</v>
      </c>
      <c r="U32" s="405">
        <v>0.82140000000000002</v>
      </c>
      <c r="V32" s="405"/>
      <c r="W32" s="230">
        <f t="shared" si="13"/>
        <v>86.247</v>
      </c>
      <c r="X32" s="230">
        <f t="shared" si="7"/>
        <v>0.82140000000000002</v>
      </c>
      <c r="Y32" s="356">
        <f t="shared" si="8"/>
        <v>0.30620300461168931</v>
      </c>
    </row>
    <row r="33" spans="1:25" ht="12.75">
      <c r="A33" s="269" t="s">
        <v>8235</v>
      </c>
      <c r="B33" s="272">
        <v>41808</v>
      </c>
      <c r="C33" s="254">
        <v>1</v>
      </c>
      <c r="D33" s="270">
        <v>84</v>
      </c>
      <c r="E33" s="269" t="s">
        <v>8264</v>
      </c>
      <c r="F33" s="254" t="s">
        <v>7862</v>
      </c>
      <c r="G33" s="268"/>
      <c r="H33" s="231">
        <v>30</v>
      </c>
      <c r="I33" s="231">
        <v>2464</v>
      </c>
      <c r="J33" s="228">
        <f t="shared" si="3"/>
        <v>520.17777777777781</v>
      </c>
      <c r="K33" s="254">
        <v>7</v>
      </c>
      <c r="L33" s="228">
        <f t="shared" si="4"/>
        <v>0.21111111111111111</v>
      </c>
      <c r="M33" s="254">
        <v>52</v>
      </c>
      <c r="N33" s="254">
        <v>308</v>
      </c>
      <c r="O33" s="228">
        <f t="shared" si="10"/>
        <v>360</v>
      </c>
      <c r="P33" s="255">
        <v>10</v>
      </c>
      <c r="Q33" s="254">
        <v>66</v>
      </c>
      <c r="R33" s="228">
        <f t="shared" si="11"/>
        <v>76</v>
      </c>
      <c r="S33" s="271">
        <f t="shared" si="2"/>
        <v>5.9617777777777778</v>
      </c>
      <c r="T33" s="267">
        <f t="shared" si="5"/>
        <v>2.8670420854616321</v>
      </c>
      <c r="U33" s="405">
        <v>0.97399999999999998</v>
      </c>
      <c r="V33" s="405"/>
      <c r="W33" s="230">
        <f t="shared" si="13"/>
        <v>74.024000000000001</v>
      </c>
      <c r="X33" s="230">
        <f t="shared" si="7"/>
        <v>0.97399999999999998</v>
      </c>
      <c r="Y33" s="356">
        <f t="shared" si="8"/>
        <v>0.33972295172750244</v>
      </c>
    </row>
    <row r="34" spans="1:25" ht="12.75">
      <c r="A34" s="269" t="s">
        <v>8235</v>
      </c>
      <c r="B34" s="272">
        <v>41808</v>
      </c>
      <c r="C34" s="254">
        <v>4</v>
      </c>
      <c r="D34" s="270">
        <v>71</v>
      </c>
      <c r="E34" s="269" t="s">
        <v>8264</v>
      </c>
      <c r="F34" s="254" t="s">
        <v>7863</v>
      </c>
      <c r="G34" s="268"/>
      <c r="H34" s="231">
        <v>30</v>
      </c>
      <c r="I34" s="231">
        <v>2297</v>
      </c>
      <c r="J34" s="228">
        <f t="shared" si="3"/>
        <v>495.64037122969836</v>
      </c>
      <c r="K34" s="254">
        <v>7</v>
      </c>
      <c r="L34" s="228">
        <f t="shared" si="4"/>
        <v>0.21577726218097448</v>
      </c>
      <c r="M34" s="254">
        <v>27</v>
      </c>
      <c r="N34" s="254">
        <v>404</v>
      </c>
      <c r="O34" s="228">
        <f t="shared" si="10"/>
        <v>431</v>
      </c>
      <c r="P34" s="255">
        <v>4</v>
      </c>
      <c r="Q34" s="254">
        <v>89</v>
      </c>
      <c r="R34" s="228">
        <f t="shared" si="11"/>
        <v>93</v>
      </c>
      <c r="S34" s="271">
        <f t="shared" si="2"/>
        <v>5.8864037122969828</v>
      </c>
      <c r="T34" s="267">
        <f t="shared" si="5"/>
        <v>2.8761762971912668</v>
      </c>
      <c r="U34" s="405">
        <v>0.93640000000000001</v>
      </c>
      <c r="V34" s="405"/>
      <c r="W34" s="230">
        <f t="shared" si="13"/>
        <v>87.0852</v>
      </c>
      <c r="X34" s="230">
        <f t="shared" si="7"/>
        <v>0.93640000000000001</v>
      </c>
      <c r="Y34" s="356">
        <f t="shared" si="8"/>
        <v>0.32557114141940552</v>
      </c>
    </row>
    <row r="35" spans="1:25" ht="12.75">
      <c r="A35" s="269" t="s">
        <v>8235</v>
      </c>
      <c r="B35" s="272">
        <v>41808</v>
      </c>
      <c r="C35" s="254">
        <v>3</v>
      </c>
      <c r="D35" s="270">
        <v>66</v>
      </c>
      <c r="E35" s="269" t="s">
        <v>8264</v>
      </c>
      <c r="F35" s="266" t="s">
        <v>8130</v>
      </c>
      <c r="G35" s="268"/>
      <c r="H35" s="231">
        <v>39</v>
      </c>
      <c r="I35" s="231">
        <v>2871</v>
      </c>
      <c r="J35" s="228">
        <f t="shared" si="3"/>
        <v>656.2285714285714</v>
      </c>
      <c r="K35" s="254">
        <v>8</v>
      </c>
      <c r="L35" s="228">
        <f t="shared" si="4"/>
        <v>0.22857142857142856</v>
      </c>
      <c r="M35" s="254">
        <v>16</v>
      </c>
      <c r="N35" s="266">
        <v>439</v>
      </c>
      <c r="O35" s="228">
        <f t="shared" si="10"/>
        <v>455</v>
      </c>
      <c r="P35" s="255">
        <v>2</v>
      </c>
      <c r="Q35" s="266">
        <v>102</v>
      </c>
      <c r="R35" s="228">
        <f t="shared" si="11"/>
        <v>104</v>
      </c>
      <c r="S35" s="271">
        <f t="shared" si="2"/>
        <v>7.6022857142857143</v>
      </c>
      <c r="T35" s="267">
        <f t="shared" si="5"/>
        <v>2.6980001353115264</v>
      </c>
      <c r="U35" s="405">
        <v>0.7863</v>
      </c>
      <c r="V35" s="405"/>
      <c r="W35" s="230">
        <f t="shared" si="13"/>
        <v>81.775199999999998</v>
      </c>
      <c r="X35" s="230">
        <f t="shared" si="7"/>
        <v>0.7863</v>
      </c>
      <c r="Y35" s="356">
        <f t="shared" si="8"/>
        <v>0.29143808768164103</v>
      </c>
    </row>
    <row r="36" spans="1:25" ht="12.75">
      <c r="A36" s="269" t="s">
        <v>8235</v>
      </c>
      <c r="B36" s="272">
        <v>41808</v>
      </c>
      <c r="C36" s="254">
        <v>7</v>
      </c>
      <c r="D36" s="270">
        <v>69</v>
      </c>
      <c r="E36" s="269" t="s">
        <v>8265</v>
      </c>
      <c r="F36" s="266" t="s">
        <v>7862</v>
      </c>
      <c r="G36" s="268"/>
      <c r="H36" s="231">
        <v>48</v>
      </c>
      <c r="I36" s="231">
        <v>1216</v>
      </c>
      <c r="J36" s="228">
        <f t="shared" si="3"/>
        <v>307.11262798634812</v>
      </c>
      <c r="K36" s="254">
        <v>12</v>
      </c>
      <c r="L36" s="228">
        <f t="shared" si="4"/>
        <v>0.25255972696245732</v>
      </c>
      <c r="M36" s="254">
        <v>0</v>
      </c>
      <c r="N36" s="266">
        <v>293</v>
      </c>
      <c r="O36" s="228">
        <f t="shared" si="10"/>
        <v>293</v>
      </c>
      <c r="P36" s="255">
        <v>0</v>
      </c>
      <c r="Q36" s="266">
        <v>74</v>
      </c>
      <c r="R36" s="228">
        <f t="shared" si="11"/>
        <v>74</v>
      </c>
      <c r="S36" s="271">
        <f t="shared" si="2"/>
        <v>3.8111262798634811</v>
      </c>
      <c r="T36" s="267">
        <f t="shared" si="5"/>
        <v>3.206377698657584</v>
      </c>
      <c r="U36" s="405">
        <v>0.47810000000000002</v>
      </c>
      <c r="V36" s="405"/>
      <c r="W36" s="230">
        <f t="shared" si="13"/>
        <v>35.379400000000004</v>
      </c>
      <c r="X36" s="230">
        <f t="shared" si="7"/>
        <v>0.47810000000000008</v>
      </c>
      <c r="Y36" s="356">
        <f t="shared" si="8"/>
        <v>0.14910907102434204</v>
      </c>
    </row>
    <row r="37" spans="1:25" ht="12.75">
      <c r="A37" s="269" t="s">
        <v>8235</v>
      </c>
      <c r="B37" s="272">
        <v>41808</v>
      </c>
      <c r="C37" s="254">
        <v>1</v>
      </c>
      <c r="D37" s="270">
        <v>60</v>
      </c>
      <c r="E37" s="269" t="s">
        <v>8265</v>
      </c>
      <c r="F37" s="266" t="s">
        <v>7863</v>
      </c>
      <c r="G37" s="268"/>
      <c r="H37" s="231">
        <v>42</v>
      </c>
      <c r="I37" s="231">
        <v>2276</v>
      </c>
      <c r="J37" s="228">
        <f t="shared" si="3"/>
        <v>514.80952380952385</v>
      </c>
      <c r="K37" s="254">
        <v>10</v>
      </c>
      <c r="L37" s="228">
        <f t="shared" si="4"/>
        <v>0.22619047619047619</v>
      </c>
      <c r="M37" s="254">
        <v>0</v>
      </c>
      <c r="N37" s="266">
        <v>336</v>
      </c>
      <c r="O37" s="228">
        <f t="shared" si="10"/>
        <v>336</v>
      </c>
      <c r="P37" s="255">
        <v>0</v>
      </c>
      <c r="Q37" s="266">
        <v>76</v>
      </c>
      <c r="R37" s="228">
        <f t="shared" si="11"/>
        <v>76</v>
      </c>
      <c r="S37" s="271">
        <f t="shared" si="2"/>
        <v>5.908095238095239</v>
      </c>
      <c r="T37" s="267">
        <f t="shared" si="5"/>
        <v>2.8735326899219134</v>
      </c>
      <c r="U37" s="405">
        <v>0.5444</v>
      </c>
      <c r="V37" s="405"/>
      <c r="W37" s="230">
        <f t="shared" si="13"/>
        <v>41.374400000000001</v>
      </c>
      <c r="X37" s="230">
        <f t="shared" si="7"/>
        <v>0.5444</v>
      </c>
      <c r="Y37" s="356">
        <f t="shared" si="8"/>
        <v>0.18945321273334592</v>
      </c>
    </row>
    <row r="38" spans="1:25" ht="12.75">
      <c r="A38" s="269" t="s">
        <v>8235</v>
      </c>
      <c r="B38" s="272">
        <v>41808</v>
      </c>
      <c r="C38" s="254">
        <v>8</v>
      </c>
      <c r="D38" s="270">
        <v>62</v>
      </c>
      <c r="E38" s="269" t="s">
        <v>8265</v>
      </c>
      <c r="F38" s="275" t="s">
        <v>8130</v>
      </c>
      <c r="G38" s="268"/>
      <c r="H38" s="231">
        <v>36</v>
      </c>
      <c r="I38" s="231">
        <v>1846</v>
      </c>
      <c r="J38" s="228">
        <f t="shared" si="3"/>
        <v>314.09552238805969</v>
      </c>
      <c r="K38" s="254">
        <v>8</v>
      </c>
      <c r="L38" s="228">
        <f t="shared" si="4"/>
        <v>0.17014925373134329</v>
      </c>
      <c r="M38" s="254">
        <v>0</v>
      </c>
      <c r="N38" s="266">
        <v>335</v>
      </c>
      <c r="O38" s="228">
        <f t="shared" si="10"/>
        <v>335</v>
      </c>
      <c r="P38" s="255">
        <v>0</v>
      </c>
      <c r="Q38" s="266">
        <v>57</v>
      </c>
      <c r="R38" s="228">
        <f t="shared" si="11"/>
        <v>57</v>
      </c>
      <c r="S38" s="271">
        <f t="shared" si="2"/>
        <v>3.710955223880597</v>
      </c>
      <c r="T38" s="267">
        <f t="shared" si="5"/>
        <v>3.2277997635686728</v>
      </c>
      <c r="U38" s="405">
        <v>0.52190000000000003</v>
      </c>
      <c r="V38" s="405"/>
      <c r="W38" s="230">
        <f t="shared" si="13"/>
        <v>29.7483</v>
      </c>
      <c r="X38" s="230">
        <f t="shared" si="7"/>
        <v>0.52190000000000003</v>
      </c>
      <c r="Y38" s="356">
        <f t="shared" si="8"/>
        <v>0.16168908799441281</v>
      </c>
    </row>
    <row r="39" spans="1:25" ht="12.75">
      <c r="A39" s="273"/>
      <c r="B39" s="274"/>
      <c r="C39" s="210"/>
      <c r="D39" s="210"/>
      <c r="E39" s="210"/>
      <c r="F39" s="210"/>
      <c r="G39" s="210"/>
      <c r="H39" s="210"/>
      <c r="I39" s="210"/>
      <c r="J39" s="210"/>
    </row>
    <row r="40" spans="1:25" ht="12.75">
      <c r="B40" s="210"/>
      <c r="C40" s="210"/>
      <c r="D40" s="210"/>
      <c r="E40" s="210"/>
      <c r="F40" s="210"/>
      <c r="G40" s="210"/>
      <c r="H40" s="210"/>
      <c r="I40" s="210"/>
      <c r="J40" s="210"/>
    </row>
    <row r="41" spans="1:25" ht="12.75">
      <c r="A41" s="232" t="s">
        <v>8236</v>
      </c>
      <c r="B41" s="210"/>
      <c r="C41" s="210"/>
      <c r="D41" s="210"/>
      <c r="E41" s="210"/>
      <c r="F41" s="210"/>
      <c r="G41" s="210"/>
      <c r="H41" s="210"/>
      <c r="I41" s="210"/>
      <c r="J41" s="210"/>
    </row>
    <row r="42" spans="1:25" ht="12.75">
      <c r="A42" s="233" t="s">
        <v>8237</v>
      </c>
      <c r="B42" s="210"/>
      <c r="C42" s="210"/>
      <c r="D42" s="210"/>
      <c r="E42" s="210"/>
      <c r="F42" s="210"/>
      <c r="G42" s="210"/>
      <c r="H42" s="210"/>
      <c r="I42" s="210"/>
      <c r="J42" s="210"/>
    </row>
    <row r="43" spans="1:25" ht="12.75">
      <c r="A43" s="233" t="s">
        <v>8238</v>
      </c>
      <c r="B43" s="210"/>
      <c r="C43" s="210"/>
      <c r="D43" s="210"/>
      <c r="E43" s="210"/>
      <c r="F43" s="210"/>
      <c r="G43" s="210"/>
      <c r="H43" s="210"/>
      <c r="I43" s="210"/>
      <c r="J43" s="210"/>
    </row>
    <row r="44" spans="1:25" ht="12.75">
      <c r="A44" s="233" t="s">
        <v>8239</v>
      </c>
      <c r="B44" s="210"/>
      <c r="C44" s="210"/>
      <c r="D44" s="210"/>
      <c r="E44" s="210"/>
      <c r="F44" s="210"/>
      <c r="G44" s="210"/>
      <c r="H44" s="210"/>
      <c r="I44" s="210"/>
      <c r="J44" s="210"/>
    </row>
    <row r="45" spans="1:25" ht="12.75">
      <c r="A45" s="232" t="s">
        <v>8240</v>
      </c>
      <c r="B45" s="210"/>
      <c r="C45" s="210"/>
      <c r="D45" s="210"/>
      <c r="E45" s="210"/>
      <c r="F45" s="210"/>
      <c r="G45" s="210"/>
      <c r="H45" s="210"/>
      <c r="I45" s="210"/>
      <c r="J45" s="210"/>
    </row>
    <row r="46" spans="1:25" ht="12.75">
      <c r="A46" s="232" t="s">
        <v>8241</v>
      </c>
      <c r="B46" s="210"/>
      <c r="C46" s="210"/>
      <c r="D46" s="210"/>
      <c r="E46" s="210"/>
      <c r="F46" s="210"/>
      <c r="G46" s="210"/>
      <c r="H46" s="210"/>
      <c r="I46" s="210"/>
      <c r="J46" s="210"/>
    </row>
    <row r="47" spans="1:25" ht="12.75">
      <c r="A47" s="232" t="s">
        <v>8242</v>
      </c>
      <c r="B47" s="210"/>
      <c r="C47" s="210"/>
      <c r="D47" s="210"/>
      <c r="E47" s="210"/>
      <c r="F47" s="210"/>
      <c r="G47" s="210"/>
      <c r="H47" s="210"/>
      <c r="I47" s="210"/>
      <c r="J47" s="210"/>
    </row>
    <row r="48" spans="1:25" ht="12.75">
      <c r="A48" s="233" t="s">
        <v>8243</v>
      </c>
      <c r="B48" s="210"/>
      <c r="C48" s="210"/>
      <c r="D48" s="210"/>
      <c r="E48" s="210"/>
      <c r="F48" s="210"/>
      <c r="G48" s="210"/>
      <c r="H48" s="210"/>
      <c r="I48" s="210"/>
      <c r="J48" s="210"/>
    </row>
    <row r="49" spans="1:10" ht="12.75">
      <c r="A49" s="233" t="s">
        <v>8244</v>
      </c>
      <c r="B49" s="210"/>
      <c r="C49" s="210"/>
      <c r="D49" s="210"/>
      <c r="E49" s="210"/>
      <c r="F49" s="210"/>
      <c r="G49" s="210"/>
      <c r="H49" s="210"/>
      <c r="I49" s="210"/>
      <c r="J49" s="210"/>
    </row>
    <row r="50" spans="1:10" ht="12.75">
      <c r="A50" s="233" t="s">
        <v>8245</v>
      </c>
    </row>
    <row r="51" spans="1:10" ht="12.75">
      <c r="A51" s="233" t="s">
        <v>8246</v>
      </c>
    </row>
    <row r="52" spans="1:10" ht="12.75">
      <c r="A52" s="210"/>
    </row>
    <row r="53" spans="1:10" ht="12.75">
      <c r="A53" s="210" t="s">
        <v>8247</v>
      </c>
    </row>
  </sheetData>
  <mergeCells count="64">
    <mergeCell ref="H1:J1"/>
    <mergeCell ref="K1:R1"/>
    <mergeCell ref="S1:T1"/>
    <mergeCell ref="U1:W1"/>
    <mergeCell ref="M3:N3"/>
    <mergeCell ref="P3:Q3"/>
    <mergeCell ref="U3:V3"/>
    <mergeCell ref="M4:N4"/>
    <mergeCell ref="P4:Q4"/>
    <mergeCell ref="U4:V4"/>
    <mergeCell ref="M5:N5"/>
    <mergeCell ref="P5:Q5"/>
    <mergeCell ref="U5:V5"/>
    <mergeCell ref="M6:N6"/>
    <mergeCell ref="P6:Q6"/>
    <mergeCell ref="U6:V6"/>
    <mergeCell ref="M7:N7"/>
    <mergeCell ref="P7:Q7"/>
    <mergeCell ref="U7:V7"/>
    <mergeCell ref="M8:N8"/>
    <mergeCell ref="P8:Q8"/>
    <mergeCell ref="U8:V8"/>
    <mergeCell ref="M9:N9"/>
    <mergeCell ref="P9:Q9"/>
    <mergeCell ref="U9:V9"/>
    <mergeCell ref="U11:V11"/>
    <mergeCell ref="U12:V12"/>
    <mergeCell ref="U13:V13"/>
    <mergeCell ref="U14:V14"/>
    <mergeCell ref="M10:N10"/>
    <mergeCell ref="P10:Q10"/>
    <mergeCell ref="U10:V10"/>
    <mergeCell ref="M11:N11"/>
    <mergeCell ref="M12:N12"/>
    <mergeCell ref="M13:N13"/>
    <mergeCell ref="M14:N14"/>
    <mergeCell ref="P11:Q11"/>
    <mergeCell ref="P12:Q12"/>
    <mergeCell ref="P13:Q13"/>
    <mergeCell ref="P14:Q14"/>
    <mergeCell ref="U26:V26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38:V38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0"/>
  <sheetViews>
    <sheetView zoomScale="80" zoomScaleNormal="80" workbookViewId="0">
      <selection activeCell="W34" sqref="W34"/>
    </sheetView>
  </sheetViews>
  <sheetFormatPr baseColWidth="10" defaultRowHeight="12"/>
  <cols>
    <col min="1" max="1" width="7.42578125" bestFit="1" customWidth="1"/>
    <col min="2" max="37" width="4.42578125" bestFit="1" customWidth="1"/>
    <col min="39" max="39" width="7.42578125" bestFit="1" customWidth="1"/>
    <col min="40" max="75" width="4.42578125" bestFit="1" customWidth="1"/>
  </cols>
  <sheetData>
    <row r="1" spans="1:79" s="203" customFormat="1" ht="15">
      <c r="A1" s="234" t="s">
        <v>8248</v>
      </c>
      <c r="B1" s="235"/>
      <c r="C1" s="235" t="s">
        <v>8140</v>
      </c>
      <c r="D1" s="235" t="s">
        <v>8140</v>
      </c>
      <c r="E1" s="235" t="s">
        <v>8140</v>
      </c>
      <c r="F1" s="235" t="s">
        <v>8140</v>
      </c>
      <c r="G1" s="235" t="s">
        <v>8140</v>
      </c>
      <c r="H1" s="235" t="s">
        <v>8140</v>
      </c>
      <c r="I1" s="235" t="s">
        <v>8140</v>
      </c>
      <c r="J1" s="235" t="s">
        <v>8140</v>
      </c>
      <c r="K1" s="235" t="s">
        <v>8140</v>
      </c>
      <c r="L1" s="235" t="s">
        <v>8140</v>
      </c>
      <c r="M1" s="235" t="s">
        <v>8140</v>
      </c>
      <c r="N1" s="235" t="s">
        <v>8140</v>
      </c>
      <c r="O1" s="235" t="s">
        <v>8140</v>
      </c>
      <c r="P1" s="235" t="s">
        <v>8140</v>
      </c>
      <c r="Q1" s="235" t="s">
        <v>8140</v>
      </c>
      <c r="R1" s="235" t="s">
        <v>8140</v>
      </c>
      <c r="S1" s="235" t="s">
        <v>8140</v>
      </c>
      <c r="T1" s="235" t="s">
        <v>8140</v>
      </c>
      <c r="U1" s="235" t="s">
        <v>8140</v>
      </c>
      <c r="V1" s="235" t="s">
        <v>8140</v>
      </c>
      <c r="W1" s="235" t="s">
        <v>8140</v>
      </c>
      <c r="X1" s="235" t="s">
        <v>8140</v>
      </c>
      <c r="Y1" s="235" t="s">
        <v>8140</v>
      </c>
      <c r="Z1" s="235" t="s">
        <v>8140</v>
      </c>
      <c r="AA1" s="235" t="s">
        <v>8140</v>
      </c>
      <c r="AB1" s="235" t="s">
        <v>8249</v>
      </c>
      <c r="AC1" s="235" t="s">
        <v>8250</v>
      </c>
      <c r="AD1" s="235" t="s">
        <v>8140</v>
      </c>
      <c r="AE1" s="235" t="s">
        <v>8140</v>
      </c>
      <c r="AF1" s="235" t="s">
        <v>8140</v>
      </c>
      <c r="AG1" s="235" t="s">
        <v>8140</v>
      </c>
      <c r="AH1" s="235" t="s">
        <v>8140</v>
      </c>
      <c r="AI1" s="235" t="s">
        <v>8140</v>
      </c>
      <c r="AJ1" s="235" t="s">
        <v>8140</v>
      </c>
      <c r="AK1" s="235" t="s">
        <v>8249</v>
      </c>
      <c r="AL1" s="235"/>
      <c r="AM1" s="234" t="s">
        <v>8251</v>
      </c>
      <c r="AN1" s="235" t="s">
        <v>8140</v>
      </c>
      <c r="AO1" s="235" t="s">
        <v>8140</v>
      </c>
      <c r="AP1" s="235" t="s">
        <v>8140</v>
      </c>
      <c r="AQ1" s="235" t="s">
        <v>8140</v>
      </c>
      <c r="AR1" s="235" t="s">
        <v>8140</v>
      </c>
      <c r="AS1" s="235" t="s">
        <v>8140</v>
      </c>
      <c r="AT1" s="235" t="s">
        <v>8140</v>
      </c>
      <c r="AU1" s="235" t="s">
        <v>8140</v>
      </c>
      <c r="AV1" s="235" t="s">
        <v>8140</v>
      </c>
      <c r="AW1" s="235" t="s">
        <v>8140</v>
      </c>
      <c r="AX1" s="235" t="s">
        <v>8140</v>
      </c>
      <c r="AY1" s="235" t="s">
        <v>8140</v>
      </c>
      <c r="AZ1" s="235" t="s">
        <v>8140</v>
      </c>
      <c r="BA1" s="235" t="s">
        <v>8140</v>
      </c>
      <c r="BB1" s="235" t="s">
        <v>8140</v>
      </c>
      <c r="BC1" s="235" t="s">
        <v>8140</v>
      </c>
      <c r="BD1" s="235" t="s">
        <v>8140</v>
      </c>
      <c r="BE1" s="235" t="s">
        <v>8140</v>
      </c>
      <c r="BF1" s="235" t="s">
        <v>8140</v>
      </c>
      <c r="BG1" s="235" t="s">
        <v>8140</v>
      </c>
      <c r="BH1" s="235" t="s">
        <v>8140</v>
      </c>
      <c r="BI1" s="235" t="s">
        <v>8140</v>
      </c>
      <c r="BJ1" s="235" t="s">
        <v>8140</v>
      </c>
      <c r="BK1" s="235" t="s">
        <v>8140</v>
      </c>
      <c r="BL1" s="235" t="s">
        <v>8140</v>
      </c>
      <c r="BM1" s="235" t="s">
        <v>8140</v>
      </c>
      <c r="BN1" s="235" t="s">
        <v>8249</v>
      </c>
      <c r="BO1" s="235" t="s">
        <v>8250</v>
      </c>
      <c r="BP1" s="235" t="s">
        <v>8140</v>
      </c>
      <c r="BQ1" s="235" t="s">
        <v>8140</v>
      </c>
      <c r="BR1" s="235" t="s">
        <v>8140</v>
      </c>
      <c r="BS1" s="235" t="s">
        <v>8140</v>
      </c>
      <c r="BT1" s="235" t="s">
        <v>8140</v>
      </c>
      <c r="BU1" s="235" t="s">
        <v>8140</v>
      </c>
      <c r="BV1" s="235" t="s">
        <v>8140</v>
      </c>
      <c r="BW1" s="235" t="s">
        <v>8249</v>
      </c>
    </row>
    <row r="2" spans="1:79" s="203" customFormat="1" ht="15">
      <c r="A2" s="234" t="s">
        <v>271</v>
      </c>
      <c r="B2" s="235">
        <v>1</v>
      </c>
      <c r="C2" s="235">
        <v>2</v>
      </c>
      <c r="D2" s="235">
        <v>3</v>
      </c>
      <c r="E2" s="235">
        <v>4</v>
      </c>
      <c r="F2" s="235">
        <v>5</v>
      </c>
      <c r="G2" s="235">
        <v>6</v>
      </c>
      <c r="H2" s="235">
        <v>7</v>
      </c>
      <c r="I2" s="235">
        <v>8</v>
      </c>
      <c r="J2" s="235">
        <v>9</v>
      </c>
      <c r="K2" s="235">
        <v>10</v>
      </c>
      <c r="L2" s="235">
        <v>11</v>
      </c>
      <c r="M2" s="235">
        <v>12</v>
      </c>
      <c r="N2" s="235">
        <v>13</v>
      </c>
      <c r="O2" s="235">
        <v>14</v>
      </c>
      <c r="P2" s="235">
        <v>15</v>
      </c>
      <c r="Q2" s="235">
        <v>16</v>
      </c>
      <c r="R2" s="235">
        <v>17</v>
      </c>
      <c r="S2" s="235">
        <v>18</v>
      </c>
      <c r="T2" s="235">
        <v>19</v>
      </c>
      <c r="U2" s="235">
        <v>20</v>
      </c>
      <c r="V2" s="235">
        <v>21</v>
      </c>
      <c r="W2" s="235">
        <v>22</v>
      </c>
      <c r="X2" s="235">
        <v>23</v>
      </c>
      <c r="Y2" s="235">
        <v>24</v>
      </c>
      <c r="Z2" s="235">
        <v>25</v>
      </c>
      <c r="AA2" s="235">
        <v>26</v>
      </c>
      <c r="AB2" s="235">
        <v>27</v>
      </c>
      <c r="AC2" s="235">
        <v>28</v>
      </c>
      <c r="AD2" s="235">
        <v>29</v>
      </c>
      <c r="AE2" s="235">
        <v>30</v>
      </c>
      <c r="AF2" s="235">
        <v>31</v>
      </c>
      <c r="AG2" s="235">
        <v>32</v>
      </c>
      <c r="AH2" s="235">
        <v>33</v>
      </c>
      <c r="AI2" s="235">
        <v>34</v>
      </c>
      <c r="AJ2" s="235">
        <v>35</v>
      </c>
      <c r="AK2" s="235">
        <v>36</v>
      </c>
      <c r="AL2" s="235"/>
      <c r="AM2" s="234" t="s">
        <v>269</v>
      </c>
      <c r="AN2" s="235">
        <v>1</v>
      </c>
      <c r="AO2" s="235">
        <v>2</v>
      </c>
      <c r="AP2" s="235">
        <v>3</v>
      </c>
      <c r="AQ2" s="235">
        <v>4</v>
      </c>
      <c r="AR2" s="235">
        <v>5</v>
      </c>
      <c r="AS2" s="235">
        <v>6</v>
      </c>
      <c r="AT2" s="235">
        <v>7</v>
      </c>
      <c r="AU2" s="235">
        <v>8</v>
      </c>
      <c r="AV2" s="235">
        <v>9</v>
      </c>
      <c r="AW2" s="235">
        <v>10</v>
      </c>
      <c r="AX2" s="235">
        <v>11</v>
      </c>
      <c r="AY2" s="235">
        <v>12</v>
      </c>
      <c r="AZ2" s="235">
        <v>13</v>
      </c>
      <c r="BA2" s="235">
        <v>14</v>
      </c>
      <c r="BB2" s="235">
        <v>15</v>
      </c>
      <c r="BC2" s="235">
        <v>16</v>
      </c>
      <c r="BD2" s="235">
        <v>17</v>
      </c>
      <c r="BE2" s="235">
        <v>18</v>
      </c>
      <c r="BF2" s="235">
        <v>19</v>
      </c>
      <c r="BG2" s="235">
        <v>20</v>
      </c>
      <c r="BH2" s="235">
        <v>21</v>
      </c>
      <c r="BI2" s="235">
        <v>22</v>
      </c>
      <c r="BJ2" s="235">
        <v>23</v>
      </c>
      <c r="BK2" s="235">
        <v>24</v>
      </c>
      <c r="BL2" s="235">
        <v>25</v>
      </c>
      <c r="BM2" s="235">
        <v>26</v>
      </c>
      <c r="BN2" s="235">
        <v>27</v>
      </c>
      <c r="BO2" s="235">
        <v>28</v>
      </c>
      <c r="BP2" s="235">
        <v>29</v>
      </c>
      <c r="BQ2" s="235">
        <v>30</v>
      </c>
      <c r="BR2" s="235">
        <v>31</v>
      </c>
      <c r="BS2" s="235">
        <v>32</v>
      </c>
      <c r="BT2" s="235">
        <v>33</v>
      </c>
      <c r="BU2" s="235">
        <v>34</v>
      </c>
      <c r="BV2" s="235">
        <v>35</v>
      </c>
      <c r="BW2" s="235">
        <v>36</v>
      </c>
      <c r="BX2" s="209"/>
      <c r="BY2" s="208"/>
    </row>
    <row r="3" spans="1:79" s="203" customFormat="1" ht="15">
      <c r="A3" s="234" t="s">
        <v>274</v>
      </c>
      <c r="B3" s="235" t="s">
        <v>8140</v>
      </c>
      <c r="C3" s="235" t="s">
        <v>8140</v>
      </c>
      <c r="D3" s="235" t="s">
        <v>8140</v>
      </c>
      <c r="E3" s="235" t="s">
        <v>8140</v>
      </c>
      <c r="F3" s="235" t="s">
        <v>8140</v>
      </c>
      <c r="G3" s="235" t="s">
        <v>8140</v>
      </c>
      <c r="H3" s="235" t="s">
        <v>8140</v>
      </c>
      <c r="I3" s="235" t="s">
        <v>8140</v>
      </c>
      <c r="J3" s="235" t="s">
        <v>8140</v>
      </c>
      <c r="K3" s="235" t="s">
        <v>8140</v>
      </c>
      <c r="L3" s="235" t="s">
        <v>8140</v>
      </c>
      <c r="M3" s="235" t="s">
        <v>8140</v>
      </c>
      <c r="N3" s="235" t="s">
        <v>8140</v>
      </c>
      <c r="O3" s="235" t="s">
        <v>8140</v>
      </c>
      <c r="P3" s="235" t="s">
        <v>8140</v>
      </c>
      <c r="Q3" s="235" t="s">
        <v>8140</v>
      </c>
      <c r="R3" s="235" t="s">
        <v>8140</v>
      </c>
      <c r="S3" s="235" t="s">
        <v>8140</v>
      </c>
      <c r="T3" s="235" t="s">
        <v>8140</v>
      </c>
      <c r="U3" s="235" t="s">
        <v>8140</v>
      </c>
      <c r="V3" s="235" t="s">
        <v>8140</v>
      </c>
      <c r="W3" s="235" t="s">
        <v>8140</v>
      </c>
      <c r="X3" s="235" t="s">
        <v>8140</v>
      </c>
      <c r="Y3" s="235" t="s">
        <v>8140</v>
      </c>
      <c r="Z3" s="235" t="s">
        <v>8140</v>
      </c>
      <c r="AA3" s="235" t="s">
        <v>8140</v>
      </c>
      <c r="AB3" s="235" t="s">
        <v>8249</v>
      </c>
      <c r="AC3" s="235" t="s">
        <v>8250</v>
      </c>
      <c r="AD3" s="235" t="s">
        <v>8140</v>
      </c>
      <c r="AE3" s="235" t="s">
        <v>8140</v>
      </c>
      <c r="AF3" s="235" t="s">
        <v>8140</v>
      </c>
      <c r="AG3" s="235" t="s">
        <v>8140</v>
      </c>
      <c r="AH3" s="235" t="s">
        <v>8140</v>
      </c>
      <c r="AI3" s="235" t="s">
        <v>8140</v>
      </c>
      <c r="AJ3" s="235" t="s">
        <v>8140</v>
      </c>
      <c r="AK3" s="235" t="s">
        <v>8249</v>
      </c>
      <c r="AL3" s="235"/>
      <c r="AM3" s="234" t="s">
        <v>274</v>
      </c>
      <c r="AN3" s="235" t="s">
        <v>8140</v>
      </c>
      <c r="AO3" s="235" t="s">
        <v>8140</v>
      </c>
      <c r="AP3" s="235" t="s">
        <v>8140</v>
      </c>
      <c r="AQ3" s="235" t="s">
        <v>8140</v>
      </c>
      <c r="AR3" s="235" t="s">
        <v>8140</v>
      </c>
      <c r="AS3" s="235" t="s">
        <v>8140</v>
      </c>
      <c r="AT3" s="235" t="s">
        <v>8140</v>
      </c>
      <c r="AU3" s="235" t="s">
        <v>8140</v>
      </c>
      <c r="AV3" s="235" t="s">
        <v>8140</v>
      </c>
      <c r="AW3" s="235" t="s">
        <v>8140</v>
      </c>
      <c r="AX3" s="235" t="s">
        <v>8140</v>
      </c>
      <c r="AY3" s="235" t="s">
        <v>8140</v>
      </c>
      <c r="AZ3" s="235" t="s">
        <v>8140</v>
      </c>
      <c r="BA3" s="235" t="s">
        <v>8140</v>
      </c>
      <c r="BB3" s="235" t="s">
        <v>8140</v>
      </c>
      <c r="BC3" s="235" t="s">
        <v>8140</v>
      </c>
      <c r="BD3" s="235" t="s">
        <v>8140</v>
      </c>
      <c r="BE3" s="235" t="s">
        <v>8140</v>
      </c>
      <c r="BF3" s="235" t="s">
        <v>8140</v>
      </c>
      <c r="BG3" s="235" t="s">
        <v>8140</v>
      </c>
      <c r="BH3" s="235" t="s">
        <v>8140</v>
      </c>
      <c r="BI3" s="235" t="s">
        <v>8140</v>
      </c>
      <c r="BJ3" s="235" t="s">
        <v>8140</v>
      </c>
      <c r="BK3" s="235" t="s">
        <v>8140</v>
      </c>
      <c r="BL3" s="235" t="s">
        <v>8140</v>
      </c>
      <c r="BM3" s="235" t="s">
        <v>8140</v>
      </c>
      <c r="BN3" s="235" t="s">
        <v>8249</v>
      </c>
      <c r="BO3" s="235" t="s">
        <v>8250</v>
      </c>
      <c r="BP3" s="235" t="s">
        <v>8140</v>
      </c>
      <c r="BQ3" s="235" t="s">
        <v>8140</v>
      </c>
      <c r="BR3" s="235" t="s">
        <v>8140</v>
      </c>
      <c r="BS3" s="235" t="s">
        <v>8140</v>
      </c>
      <c r="BT3" s="235" t="s">
        <v>8140</v>
      </c>
      <c r="BU3" s="235" t="s">
        <v>8140</v>
      </c>
      <c r="BV3" s="235" t="s">
        <v>8140</v>
      </c>
      <c r="BW3" s="235" t="s">
        <v>8249</v>
      </c>
      <c r="BX3"/>
      <c r="BY3"/>
      <c r="BZ3"/>
      <c r="CA3" s="208"/>
    </row>
    <row r="4" spans="1:79" s="203" customFormat="1" ht="15">
      <c r="A4" s="234">
        <v>12</v>
      </c>
      <c r="B4" s="236">
        <v>15</v>
      </c>
      <c r="C4" s="236">
        <v>168</v>
      </c>
      <c r="D4" s="236">
        <v>123</v>
      </c>
      <c r="E4" s="236">
        <v>216</v>
      </c>
      <c r="F4" s="236">
        <v>85</v>
      </c>
      <c r="G4" s="236">
        <v>192</v>
      </c>
      <c r="H4" s="236">
        <v>215</v>
      </c>
      <c r="I4" s="236">
        <v>103</v>
      </c>
      <c r="J4" s="236">
        <v>17</v>
      </c>
      <c r="K4" s="236">
        <v>177</v>
      </c>
      <c r="L4" s="236">
        <v>86</v>
      </c>
      <c r="M4" s="236">
        <v>200</v>
      </c>
      <c r="N4" s="236">
        <v>182</v>
      </c>
      <c r="O4" s="236">
        <v>9</v>
      </c>
      <c r="P4" s="236">
        <v>80</v>
      </c>
      <c r="Q4" s="236">
        <v>47</v>
      </c>
      <c r="R4" s="236">
        <v>119</v>
      </c>
      <c r="S4" s="236">
        <v>195</v>
      </c>
      <c r="T4" s="236">
        <v>45</v>
      </c>
      <c r="U4" s="236">
        <v>14</v>
      </c>
      <c r="V4" s="236">
        <v>59</v>
      </c>
      <c r="W4" s="236">
        <v>101</v>
      </c>
      <c r="X4" s="236">
        <v>131</v>
      </c>
      <c r="Y4" s="236">
        <v>7</v>
      </c>
      <c r="Z4" s="236">
        <v>55</v>
      </c>
      <c r="AA4" s="236">
        <v>209</v>
      </c>
      <c r="AB4" s="236">
        <v>24</v>
      </c>
      <c r="AC4" s="236">
        <v>91</v>
      </c>
      <c r="AD4" s="236">
        <v>149</v>
      </c>
      <c r="AE4" s="236">
        <v>190</v>
      </c>
      <c r="AF4" s="236">
        <v>146</v>
      </c>
      <c r="AG4" s="236">
        <v>133</v>
      </c>
      <c r="AH4" s="236">
        <v>151</v>
      </c>
      <c r="AI4" s="236">
        <v>112</v>
      </c>
      <c r="AJ4" s="236">
        <v>70</v>
      </c>
      <c r="AK4" s="236">
        <v>185</v>
      </c>
      <c r="AL4" s="235"/>
      <c r="AM4" s="234">
        <v>12</v>
      </c>
      <c r="AN4" s="236">
        <v>76</v>
      </c>
      <c r="AO4" s="236">
        <v>137</v>
      </c>
      <c r="AP4" s="236">
        <v>214</v>
      </c>
      <c r="AQ4" s="236">
        <v>165</v>
      </c>
      <c r="AR4" s="236">
        <v>36</v>
      </c>
      <c r="AS4" s="236">
        <v>204</v>
      </c>
      <c r="AT4" s="236">
        <v>117</v>
      </c>
      <c r="AU4" s="236">
        <v>147</v>
      </c>
      <c r="AV4" s="236">
        <v>189</v>
      </c>
      <c r="AW4" s="236">
        <v>67</v>
      </c>
      <c r="AX4" s="236">
        <v>182</v>
      </c>
      <c r="AY4" s="236">
        <v>94</v>
      </c>
      <c r="AZ4" s="236">
        <v>209</v>
      </c>
      <c r="BA4" s="236">
        <v>100</v>
      </c>
      <c r="BB4" s="236">
        <v>26</v>
      </c>
      <c r="BC4" s="236">
        <v>183</v>
      </c>
      <c r="BD4" s="236">
        <v>24</v>
      </c>
      <c r="BE4" s="236">
        <v>112</v>
      </c>
      <c r="BF4" s="236">
        <v>5</v>
      </c>
      <c r="BG4" s="236">
        <v>22</v>
      </c>
      <c r="BH4" s="236">
        <v>190</v>
      </c>
      <c r="BI4" s="236">
        <v>52</v>
      </c>
      <c r="BJ4" s="236">
        <v>196</v>
      </c>
      <c r="BK4" s="236">
        <v>12</v>
      </c>
      <c r="BL4" s="236">
        <v>138</v>
      </c>
      <c r="BM4" s="236">
        <v>115</v>
      </c>
      <c r="BN4" s="236">
        <v>33</v>
      </c>
      <c r="BO4" s="236">
        <v>65</v>
      </c>
      <c r="BP4" s="236">
        <v>79</v>
      </c>
      <c r="BQ4" s="236">
        <v>194</v>
      </c>
      <c r="BR4" s="236">
        <v>114</v>
      </c>
      <c r="BS4" s="236">
        <v>176</v>
      </c>
      <c r="BT4" s="236">
        <v>212</v>
      </c>
      <c r="BU4" s="236">
        <v>113</v>
      </c>
      <c r="BV4" s="236">
        <v>59</v>
      </c>
      <c r="BW4" s="236">
        <v>85</v>
      </c>
      <c r="BX4"/>
      <c r="BY4"/>
      <c r="BZ4"/>
      <c r="CA4" s="208"/>
    </row>
    <row r="5" spans="1:79" s="203" customFormat="1" ht="15">
      <c r="A5" s="234">
        <v>11</v>
      </c>
      <c r="B5" s="236">
        <v>167</v>
      </c>
      <c r="C5" s="236">
        <v>28</v>
      </c>
      <c r="D5" s="236">
        <v>150</v>
      </c>
      <c r="E5" s="236">
        <v>158</v>
      </c>
      <c r="F5" s="236">
        <v>90</v>
      </c>
      <c r="G5" s="236">
        <v>97</v>
      </c>
      <c r="H5" s="236">
        <v>37</v>
      </c>
      <c r="I5" s="236">
        <v>41</v>
      </c>
      <c r="J5" s="236">
        <v>36</v>
      </c>
      <c r="K5" s="236">
        <v>206</v>
      </c>
      <c r="L5" s="236">
        <v>180</v>
      </c>
      <c r="M5" s="236">
        <v>94</v>
      </c>
      <c r="N5" s="236">
        <v>174</v>
      </c>
      <c r="O5" s="236">
        <v>187</v>
      </c>
      <c r="P5" s="236">
        <v>186</v>
      </c>
      <c r="Q5" s="236">
        <v>39</v>
      </c>
      <c r="R5" s="236">
        <v>3</v>
      </c>
      <c r="S5" s="236">
        <v>172</v>
      </c>
      <c r="T5" s="236">
        <v>42</v>
      </c>
      <c r="U5" s="236">
        <v>52</v>
      </c>
      <c r="V5" s="236">
        <v>26</v>
      </c>
      <c r="W5" s="236">
        <v>152</v>
      </c>
      <c r="X5" s="236">
        <v>193</v>
      </c>
      <c r="Y5" s="236">
        <v>22</v>
      </c>
      <c r="Z5" s="236">
        <v>114</v>
      </c>
      <c r="AA5" s="236">
        <v>125</v>
      </c>
      <c r="AB5" s="236">
        <v>124</v>
      </c>
      <c r="AC5" s="236">
        <v>184</v>
      </c>
      <c r="AD5" s="236">
        <v>135</v>
      </c>
      <c r="AE5" s="236">
        <v>27</v>
      </c>
      <c r="AF5" s="236">
        <v>143</v>
      </c>
      <c r="AG5" s="236">
        <v>181</v>
      </c>
      <c r="AH5" s="236">
        <v>196</v>
      </c>
      <c r="AI5" s="236">
        <v>178</v>
      </c>
      <c r="AJ5" s="236">
        <v>23</v>
      </c>
      <c r="AK5" s="236">
        <v>145</v>
      </c>
      <c r="AL5" s="235"/>
      <c r="AM5" s="234">
        <v>11</v>
      </c>
      <c r="AN5" s="236">
        <v>123</v>
      </c>
      <c r="AO5" s="236">
        <v>97</v>
      </c>
      <c r="AP5" s="236">
        <v>7</v>
      </c>
      <c r="AQ5" s="236">
        <v>132</v>
      </c>
      <c r="AR5" s="236">
        <v>60</v>
      </c>
      <c r="AS5" s="236">
        <v>82</v>
      </c>
      <c r="AT5" s="236">
        <v>15</v>
      </c>
      <c r="AU5" s="236">
        <v>71</v>
      </c>
      <c r="AV5" s="236">
        <v>66</v>
      </c>
      <c r="AW5" s="236">
        <v>195</v>
      </c>
      <c r="AX5" s="236">
        <v>173</v>
      </c>
      <c r="AY5" s="236">
        <v>46</v>
      </c>
      <c r="AZ5" s="236">
        <v>3</v>
      </c>
      <c r="BA5" s="236">
        <v>163</v>
      </c>
      <c r="BB5" s="236">
        <v>140</v>
      </c>
      <c r="BC5" s="236">
        <v>155</v>
      </c>
      <c r="BD5" s="236">
        <v>64</v>
      </c>
      <c r="BE5" s="236">
        <v>49</v>
      </c>
      <c r="BF5" s="236">
        <v>145</v>
      </c>
      <c r="BG5" s="236">
        <v>200</v>
      </c>
      <c r="BH5" s="236">
        <v>205</v>
      </c>
      <c r="BI5" s="236">
        <v>151</v>
      </c>
      <c r="BJ5" s="236">
        <v>126</v>
      </c>
      <c r="BK5" s="236">
        <v>208</v>
      </c>
      <c r="BL5" s="236">
        <v>144</v>
      </c>
      <c r="BM5" s="236">
        <v>164</v>
      </c>
      <c r="BN5" s="236">
        <v>118</v>
      </c>
      <c r="BO5" s="236">
        <v>152</v>
      </c>
      <c r="BP5" s="236">
        <v>4</v>
      </c>
      <c r="BQ5" s="236">
        <v>81</v>
      </c>
      <c r="BR5" s="236">
        <v>91</v>
      </c>
      <c r="BS5" s="236">
        <v>42</v>
      </c>
      <c r="BT5" s="236">
        <v>188</v>
      </c>
      <c r="BU5" s="236">
        <v>105</v>
      </c>
      <c r="BV5" s="236">
        <v>45</v>
      </c>
      <c r="BW5" s="236">
        <v>133</v>
      </c>
      <c r="BX5"/>
      <c r="BY5"/>
      <c r="BZ5"/>
      <c r="CA5" s="208"/>
    </row>
    <row r="6" spans="1:79" s="203" customFormat="1" ht="15">
      <c r="A6" s="234">
        <v>10</v>
      </c>
      <c r="B6" s="236">
        <v>107</v>
      </c>
      <c r="C6" s="236">
        <v>130</v>
      </c>
      <c r="D6" s="236">
        <v>12</v>
      </c>
      <c r="E6" s="236">
        <v>11</v>
      </c>
      <c r="F6" s="236">
        <v>100</v>
      </c>
      <c r="G6" s="236">
        <v>5</v>
      </c>
      <c r="H6" s="236">
        <v>96</v>
      </c>
      <c r="I6" s="236">
        <v>82</v>
      </c>
      <c r="J6" s="236">
        <v>214</v>
      </c>
      <c r="K6" s="236">
        <v>40</v>
      </c>
      <c r="L6" s="236">
        <v>104</v>
      </c>
      <c r="M6" s="236">
        <v>207</v>
      </c>
      <c r="N6" s="236">
        <v>8</v>
      </c>
      <c r="O6" s="236">
        <v>210</v>
      </c>
      <c r="P6" s="236">
        <v>19</v>
      </c>
      <c r="Q6" s="236">
        <v>77</v>
      </c>
      <c r="R6" s="236">
        <v>87</v>
      </c>
      <c r="S6" s="236">
        <v>161</v>
      </c>
      <c r="T6" s="236">
        <v>60</v>
      </c>
      <c r="U6" s="236">
        <v>118</v>
      </c>
      <c r="V6" s="236">
        <v>92</v>
      </c>
      <c r="W6" s="236">
        <v>183</v>
      </c>
      <c r="X6" s="236">
        <v>84</v>
      </c>
      <c r="Y6" s="236">
        <v>175</v>
      </c>
      <c r="Z6" s="236">
        <v>33</v>
      </c>
      <c r="AA6" s="236">
        <v>79</v>
      </c>
      <c r="AB6" s="236">
        <v>88</v>
      </c>
      <c r="AC6" s="236">
        <v>126</v>
      </c>
      <c r="AD6" s="236">
        <v>141</v>
      </c>
      <c r="AE6" s="236">
        <v>163</v>
      </c>
      <c r="AF6" s="236">
        <v>10</v>
      </c>
      <c r="AG6" s="236">
        <v>18</v>
      </c>
      <c r="AH6" s="236">
        <v>75</v>
      </c>
      <c r="AI6" s="236">
        <v>144</v>
      </c>
      <c r="AJ6" s="236">
        <v>76</v>
      </c>
      <c r="AK6" s="236">
        <v>211</v>
      </c>
      <c r="AL6" s="235"/>
      <c r="AM6" s="234">
        <v>10</v>
      </c>
      <c r="AN6" s="236">
        <v>98</v>
      </c>
      <c r="AO6" s="236">
        <v>2</v>
      </c>
      <c r="AP6" s="236">
        <v>11</v>
      </c>
      <c r="AQ6" s="236">
        <v>193</v>
      </c>
      <c r="AR6" s="236">
        <v>213</v>
      </c>
      <c r="AS6" s="236">
        <v>170</v>
      </c>
      <c r="AT6" s="236">
        <v>27</v>
      </c>
      <c r="AU6" s="236">
        <v>199</v>
      </c>
      <c r="AV6" s="236">
        <v>175</v>
      </c>
      <c r="AW6" s="236">
        <v>127</v>
      </c>
      <c r="AX6" s="236">
        <v>104</v>
      </c>
      <c r="AY6" s="236">
        <v>9</v>
      </c>
      <c r="AZ6" s="236">
        <v>142</v>
      </c>
      <c r="BA6" s="236">
        <v>168</v>
      </c>
      <c r="BB6" s="236">
        <v>150</v>
      </c>
      <c r="BC6" s="236">
        <v>128</v>
      </c>
      <c r="BD6" s="236">
        <v>48</v>
      </c>
      <c r="BE6" s="236">
        <v>203</v>
      </c>
      <c r="BF6" s="236">
        <v>32</v>
      </c>
      <c r="BG6" s="236">
        <v>110</v>
      </c>
      <c r="BH6" s="236">
        <v>8</v>
      </c>
      <c r="BI6" s="236">
        <v>158</v>
      </c>
      <c r="BJ6" s="236">
        <v>78</v>
      </c>
      <c r="BK6" s="236">
        <v>111</v>
      </c>
      <c r="BL6" s="236">
        <v>68</v>
      </c>
      <c r="BM6" s="236">
        <v>43</v>
      </c>
      <c r="BN6" s="236">
        <v>99</v>
      </c>
      <c r="BO6" s="236">
        <v>90</v>
      </c>
      <c r="BP6" s="236">
        <v>187</v>
      </c>
      <c r="BQ6" s="236">
        <v>131</v>
      </c>
      <c r="BR6" s="236">
        <v>38</v>
      </c>
      <c r="BS6" s="236">
        <v>116</v>
      </c>
      <c r="BT6" s="236">
        <v>86</v>
      </c>
      <c r="BU6" s="236">
        <v>160</v>
      </c>
      <c r="BV6" s="236">
        <v>210</v>
      </c>
      <c r="BW6" s="236">
        <v>211</v>
      </c>
      <c r="BX6"/>
      <c r="BY6"/>
      <c r="BZ6"/>
      <c r="CA6" s="208"/>
    </row>
    <row r="7" spans="1:79" s="203" customFormat="1" ht="15">
      <c r="A7" s="234">
        <v>9</v>
      </c>
      <c r="B7" s="236">
        <v>21</v>
      </c>
      <c r="C7" s="236">
        <v>201</v>
      </c>
      <c r="D7" s="236">
        <v>95</v>
      </c>
      <c r="E7" s="236">
        <v>25</v>
      </c>
      <c r="F7" s="236">
        <v>122</v>
      </c>
      <c r="G7" s="236">
        <v>102</v>
      </c>
      <c r="H7" s="236">
        <v>43</v>
      </c>
      <c r="I7" s="237">
        <v>1</v>
      </c>
      <c r="J7" s="236">
        <v>194</v>
      </c>
      <c r="K7" s="236">
        <v>99</v>
      </c>
      <c r="L7" s="236">
        <v>156</v>
      </c>
      <c r="M7" s="236">
        <v>108</v>
      </c>
      <c r="N7" s="236">
        <v>164</v>
      </c>
      <c r="O7" s="236">
        <v>153</v>
      </c>
      <c r="P7" s="236">
        <v>29</v>
      </c>
      <c r="Q7" s="236">
        <v>93</v>
      </c>
      <c r="R7" s="236">
        <v>53</v>
      </c>
      <c r="S7" s="236">
        <v>166</v>
      </c>
      <c r="T7" s="236">
        <v>106</v>
      </c>
      <c r="U7" s="236">
        <v>68</v>
      </c>
      <c r="V7" s="236">
        <v>202</v>
      </c>
      <c r="W7" s="236">
        <v>6</v>
      </c>
      <c r="X7" s="236">
        <v>154</v>
      </c>
      <c r="Y7" s="236">
        <v>4</v>
      </c>
      <c r="Z7" s="236">
        <v>67</v>
      </c>
      <c r="AA7" s="236">
        <v>142</v>
      </c>
      <c r="AB7" s="236">
        <v>132</v>
      </c>
      <c r="AC7" s="236">
        <v>136</v>
      </c>
      <c r="AD7" s="236">
        <v>73</v>
      </c>
      <c r="AE7" s="236">
        <v>56</v>
      </c>
      <c r="AF7" s="236">
        <v>173</v>
      </c>
      <c r="AG7" s="236">
        <v>65</v>
      </c>
      <c r="AH7" s="236">
        <v>72</v>
      </c>
      <c r="AI7" s="236">
        <v>129</v>
      </c>
      <c r="AJ7" s="236">
        <v>157</v>
      </c>
      <c r="AK7" s="236">
        <v>191</v>
      </c>
      <c r="AL7" s="235"/>
      <c r="AM7" s="234">
        <v>9</v>
      </c>
      <c r="AN7" s="236">
        <v>122</v>
      </c>
      <c r="AO7" s="236">
        <v>80</v>
      </c>
      <c r="AP7" s="236">
        <v>77</v>
      </c>
      <c r="AQ7" s="236">
        <v>44</v>
      </c>
      <c r="AR7" s="236">
        <v>21</v>
      </c>
      <c r="AS7" s="236">
        <v>174</v>
      </c>
      <c r="AT7" s="236">
        <v>178</v>
      </c>
      <c r="AU7" s="236">
        <v>35</v>
      </c>
      <c r="AV7" s="236">
        <v>154</v>
      </c>
      <c r="AW7" s="236">
        <v>37</v>
      </c>
      <c r="AX7" s="236">
        <v>149</v>
      </c>
      <c r="AY7" s="236">
        <v>119</v>
      </c>
      <c r="AZ7" s="236">
        <v>108</v>
      </c>
      <c r="BA7" s="236">
        <v>17</v>
      </c>
      <c r="BB7" s="236">
        <v>19</v>
      </c>
      <c r="BC7" s="236">
        <v>166</v>
      </c>
      <c r="BD7" s="236">
        <v>156</v>
      </c>
      <c r="BE7" s="236">
        <v>153</v>
      </c>
      <c r="BF7" s="236">
        <v>197</v>
      </c>
      <c r="BG7" s="236">
        <v>88</v>
      </c>
      <c r="BH7" s="236">
        <v>51</v>
      </c>
      <c r="BI7" s="236">
        <v>41</v>
      </c>
      <c r="BJ7" s="236">
        <v>6</v>
      </c>
      <c r="BK7" s="236">
        <v>56</v>
      </c>
      <c r="BL7" s="236">
        <v>40</v>
      </c>
      <c r="BM7" s="236">
        <v>146</v>
      </c>
      <c r="BN7" s="236">
        <v>75</v>
      </c>
      <c r="BO7" s="236">
        <v>57</v>
      </c>
      <c r="BP7" s="236">
        <v>96</v>
      </c>
      <c r="BQ7" s="236">
        <v>61</v>
      </c>
      <c r="BR7" s="236">
        <v>192</v>
      </c>
      <c r="BS7" s="236">
        <v>202</v>
      </c>
      <c r="BT7" s="236">
        <v>185</v>
      </c>
      <c r="BU7" s="236">
        <v>83</v>
      </c>
      <c r="BV7" s="236">
        <v>84</v>
      </c>
      <c r="BW7" s="236">
        <v>121</v>
      </c>
      <c r="BX7"/>
      <c r="BY7"/>
      <c r="BZ7"/>
      <c r="CA7" s="208"/>
    </row>
    <row r="8" spans="1:79" s="203" customFormat="1" ht="15">
      <c r="A8" s="234">
        <v>8</v>
      </c>
      <c r="B8" s="236">
        <v>51</v>
      </c>
      <c r="C8" s="236">
        <v>2</v>
      </c>
      <c r="D8" s="236">
        <v>171</v>
      </c>
      <c r="E8" s="236">
        <v>16</v>
      </c>
      <c r="F8" s="236">
        <v>170</v>
      </c>
      <c r="G8" s="236">
        <v>44</v>
      </c>
      <c r="H8" s="236">
        <v>20</v>
      </c>
      <c r="I8" s="236">
        <v>35</v>
      </c>
      <c r="J8" s="236">
        <v>61</v>
      </c>
      <c r="K8" s="236">
        <v>13</v>
      </c>
      <c r="L8" s="236">
        <v>71</v>
      </c>
      <c r="M8" s="236">
        <v>176</v>
      </c>
      <c r="N8" s="236">
        <v>110</v>
      </c>
      <c r="O8" s="236">
        <v>78</v>
      </c>
      <c r="P8" s="236">
        <v>169</v>
      </c>
      <c r="Q8" s="236">
        <v>62</v>
      </c>
      <c r="R8" s="236">
        <v>89</v>
      </c>
      <c r="S8" s="236">
        <v>31</v>
      </c>
      <c r="T8" s="236">
        <v>69</v>
      </c>
      <c r="U8" s="236">
        <v>188</v>
      </c>
      <c r="V8" s="236">
        <v>117</v>
      </c>
      <c r="W8" s="236">
        <v>213</v>
      </c>
      <c r="X8" s="236">
        <v>48</v>
      </c>
      <c r="Y8" s="236">
        <v>205</v>
      </c>
      <c r="Z8" s="236">
        <v>111</v>
      </c>
      <c r="AA8" s="236">
        <v>189</v>
      </c>
      <c r="AB8" s="236">
        <v>34</v>
      </c>
      <c r="AC8" s="236">
        <v>120</v>
      </c>
      <c r="AD8" s="236">
        <v>66</v>
      </c>
      <c r="AE8" s="236">
        <v>121</v>
      </c>
      <c r="AF8" s="236">
        <v>162</v>
      </c>
      <c r="AG8" s="236">
        <v>140</v>
      </c>
      <c r="AH8" s="236">
        <v>197</v>
      </c>
      <c r="AI8" s="236">
        <v>134</v>
      </c>
      <c r="AJ8" s="236">
        <v>138</v>
      </c>
      <c r="AK8" s="236">
        <v>179</v>
      </c>
      <c r="AL8" s="235"/>
      <c r="AM8" s="234">
        <v>8</v>
      </c>
      <c r="AN8" s="236">
        <v>125</v>
      </c>
      <c r="AO8" s="236">
        <v>139</v>
      </c>
      <c r="AP8" s="236">
        <v>28</v>
      </c>
      <c r="AQ8" s="236">
        <v>23</v>
      </c>
      <c r="AR8" s="236">
        <v>14</v>
      </c>
      <c r="AS8" s="236">
        <v>54</v>
      </c>
      <c r="AT8" s="236">
        <v>215</v>
      </c>
      <c r="AU8" s="236">
        <v>58</v>
      </c>
      <c r="AV8" s="236">
        <v>109</v>
      </c>
      <c r="AW8" s="236">
        <v>103</v>
      </c>
      <c r="AX8" s="236">
        <v>106</v>
      </c>
      <c r="AY8" s="236">
        <v>73</v>
      </c>
      <c r="AZ8" s="236">
        <v>47</v>
      </c>
      <c r="BA8" s="236">
        <v>16</v>
      </c>
      <c r="BB8" s="236">
        <v>167</v>
      </c>
      <c r="BC8" s="236">
        <v>63</v>
      </c>
      <c r="BD8" s="236">
        <v>95</v>
      </c>
      <c r="BE8" s="236">
        <v>34</v>
      </c>
      <c r="BF8" s="236">
        <v>50</v>
      </c>
      <c r="BG8" s="236">
        <v>130</v>
      </c>
      <c r="BH8" s="236">
        <v>198</v>
      </c>
      <c r="BI8" s="236">
        <v>10</v>
      </c>
      <c r="BJ8" s="236">
        <v>157</v>
      </c>
      <c r="BK8" s="236">
        <v>25</v>
      </c>
      <c r="BL8" s="236">
        <v>29</v>
      </c>
      <c r="BM8" s="236">
        <v>134</v>
      </c>
      <c r="BN8" s="236">
        <v>13</v>
      </c>
      <c r="BO8" s="236">
        <v>162</v>
      </c>
      <c r="BP8" s="237">
        <v>1</v>
      </c>
      <c r="BQ8" s="236">
        <v>159</v>
      </c>
      <c r="BR8" s="236">
        <v>201</v>
      </c>
      <c r="BS8" s="236">
        <v>70</v>
      </c>
      <c r="BT8" s="236">
        <v>129</v>
      </c>
      <c r="BU8" s="236">
        <v>31</v>
      </c>
      <c r="BV8" s="236">
        <v>74</v>
      </c>
      <c r="BW8" s="236">
        <v>93</v>
      </c>
      <c r="BX8"/>
      <c r="BY8"/>
      <c r="BZ8"/>
      <c r="CA8" s="208"/>
    </row>
    <row r="9" spans="1:79" s="203" customFormat="1" ht="15">
      <c r="A9" s="234">
        <v>7</v>
      </c>
      <c r="B9" s="236">
        <v>98</v>
      </c>
      <c r="C9" s="236">
        <v>74</v>
      </c>
      <c r="D9" s="236">
        <v>116</v>
      </c>
      <c r="E9" s="236">
        <v>128</v>
      </c>
      <c r="F9" s="236">
        <v>212</v>
      </c>
      <c r="G9" s="236">
        <v>46</v>
      </c>
      <c r="H9" s="236">
        <v>160</v>
      </c>
      <c r="I9" s="236">
        <v>199</v>
      </c>
      <c r="J9" s="236">
        <v>54</v>
      </c>
      <c r="K9" s="236">
        <v>198</v>
      </c>
      <c r="L9" s="236">
        <v>127</v>
      </c>
      <c r="M9" s="236">
        <v>147</v>
      </c>
      <c r="N9" s="236">
        <v>63</v>
      </c>
      <c r="O9" s="236">
        <v>49</v>
      </c>
      <c r="P9" s="236">
        <v>30</v>
      </c>
      <c r="Q9" s="236">
        <v>155</v>
      </c>
      <c r="R9" s="236">
        <v>159</v>
      </c>
      <c r="S9" s="236">
        <v>137</v>
      </c>
      <c r="T9" s="236">
        <v>83</v>
      </c>
      <c r="U9" s="236">
        <v>208</v>
      </c>
      <c r="V9" s="236">
        <v>115</v>
      </c>
      <c r="W9" s="236">
        <v>139</v>
      </c>
      <c r="X9" s="236">
        <v>32</v>
      </c>
      <c r="Y9" s="236">
        <v>57</v>
      </c>
      <c r="Z9" s="236">
        <v>113</v>
      </c>
      <c r="AA9" s="236">
        <v>148</v>
      </c>
      <c r="AB9" s="236">
        <v>58</v>
      </c>
      <c r="AC9" s="236">
        <v>64</v>
      </c>
      <c r="AD9" s="236">
        <v>50</v>
      </c>
      <c r="AE9" s="236">
        <v>81</v>
      </c>
      <c r="AF9" s="236">
        <v>165</v>
      </c>
      <c r="AG9" s="236">
        <v>105</v>
      </c>
      <c r="AH9" s="236">
        <v>203</v>
      </c>
      <c r="AI9" s="236">
        <v>204</v>
      </c>
      <c r="AJ9" s="236">
        <v>38</v>
      </c>
      <c r="AK9" s="236">
        <v>109</v>
      </c>
      <c r="AL9" s="235"/>
      <c r="AM9" s="234">
        <v>7</v>
      </c>
      <c r="AN9" s="236">
        <v>191</v>
      </c>
      <c r="AO9" s="236">
        <v>143</v>
      </c>
      <c r="AP9" s="236">
        <v>177</v>
      </c>
      <c r="AQ9" s="236">
        <v>107</v>
      </c>
      <c r="AR9" s="236">
        <v>172</v>
      </c>
      <c r="AS9" s="236">
        <v>161</v>
      </c>
      <c r="AT9" s="236">
        <v>180</v>
      </c>
      <c r="AU9" s="236">
        <v>179</v>
      </c>
      <c r="AV9" s="236">
        <v>136</v>
      </c>
      <c r="AW9" s="236">
        <v>216</v>
      </c>
      <c r="AX9" s="236">
        <v>184</v>
      </c>
      <c r="AY9" s="236">
        <v>171</v>
      </c>
      <c r="AZ9" s="236">
        <v>181</v>
      </c>
      <c r="BA9" s="236">
        <v>207</v>
      </c>
      <c r="BB9" s="236">
        <v>101</v>
      </c>
      <c r="BC9" s="236">
        <v>72</v>
      </c>
      <c r="BD9" s="236">
        <v>18</v>
      </c>
      <c r="BE9" s="236">
        <v>62</v>
      </c>
      <c r="BF9" s="236">
        <v>102</v>
      </c>
      <c r="BG9" s="236">
        <v>55</v>
      </c>
      <c r="BH9" s="236">
        <v>141</v>
      </c>
      <c r="BI9" s="236">
        <v>20</v>
      </c>
      <c r="BJ9" s="236">
        <v>148</v>
      </c>
      <c r="BK9" s="236">
        <v>169</v>
      </c>
      <c r="BL9" s="236">
        <v>39</v>
      </c>
      <c r="BM9" s="236">
        <v>69</v>
      </c>
      <c r="BN9" s="236">
        <v>53</v>
      </c>
      <c r="BO9" s="236">
        <v>120</v>
      </c>
      <c r="BP9" s="236">
        <v>92</v>
      </c>
      <c r="BQ9" s="236">
        <v>30</v>
      </c>
      <c r="BR9" s="236">
        <v>135</v>
      </c>
      <c r="BS9" s="236">
        <v>89</v>
      </c>
      <c r="BT9" s="236">
        <v>186</v>
      </c>
      <c r="BU9" s="236">
        <v>87</v>
      </c>
      <c r="BV9" s="236">
        <v>124</v>
      </c>
      <c r="BW9" s="236">
        <v>206</v>
      </c>
      <c r="BX9"/>
      <c r="BY9"/>
      <c r="BZ9"/>
      <c r="CA9" s="208"/>
    </row>
    <row r="10" spans="1:79" s="203" customFormat="1" ht="15">
      <c r="A10" s="23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/>
      <c r="BY10"/>
      <c r="BZ10"/>
      <c r="CA10" s="208"/>
    </row>
    <row r="11" spans="1:79" s="203" customFormat="1" ht="15">
      <c r="A11" s="234" t="s">
        <v>8252</v>
      </c>
      <c r="B11" s="235" t="s">
        <v>8140</v>
      </c>
      <c r="C11" s="235" t="s">
        <v>8140</v>
      </c>
      <c r="D11" s="235" t="s">
        <v>8140</v>
      </c>
      <c r="E11" s="235" t="s">
        <v>8140</v>
      </c>
      <c r="F11" s="235" t="s">
        <v>8140</v>
      </c>
      <c r="G11" s="235" t="s">
        <v>8140</v>
      </c>
      <c r="H11" s="235" t="s">
        <v>8140</v>
      </c>
      <c r="I11" s="235" t="s">
        <v>8140</v>
      </c>
      <c r="J11" s="235" t="s">
        <v>8140</v>
      </c>
      <c r="K11" s="235" t="s">
        <v>8140</v>
      </c>
      <c r="L11" s="235" t="s">
        <v>8140</v>
      </c>
      <c r="M11" s="235" t="s">
        <v>8140</v>
      </c>
      <c r="N11" s="235" t="s">
        <v>8140</v>
      </c>
      <c r="O11" s="235" t="s">
        <v>8140</v>
      </c>
      <c r="P11" s="235" t="s">
        <v>8140</v>
      </c>
      <c r="Q11" s="235" t="s">
        <v>8140</v>
      </c>
      <c r="R11" s="235" t="s">
        <v>8140</v>
      </c>
      <c r="S11" s="235" t="s">
        <v>8140</v>
      </c>
      <c r="T11" s="235" t="s">
        <v>8140</v>
      </c>
      <c r="U11" s="235" t="s">
        <v>8140</v>
      </c>
      <c r="V11" s="235" t="s">
        <v>8140</v>
      </c>
      <c r="W11" s="235" t="s">
        <v>8140</v>
      </c>
      <c r="X11" s="235" t="s">
        <v>8140</v>
      </c>
      <c r="Y11" s="235" t="s">
        <v>8140</v>
      </c>
      <c r="Z11" s="235" t="s">
        <v>8140</v>
      </c>
      <c r="AA11" s="235" t="s">
        <v>8140</v>
      </c>
      <c r="AB11" s="235" t="s">
        <v>8249</v>
      </c>
      <c r="AC11" s="235" t="s">
        <v>8250</v>
      </c>
      <c r="AD11" s="235" t="s">
        <v>8140</v>
      </c>
      <c r="AE11" s="235" t="s">
        <v>8140</v>
      </c>
      <c r="AF11" s="235" t="s">
        <v>8140</v>
      </c>
      <c r="AG11" s="235" t="s">
        <v>8140</v>
      </c>
      <c r="AH11" s="235" t="s">
        <v>8140</v>
      </c>
      <c r="AI11" s="235" t="s">
        <v>8140</v>
      </c>
      <c r="AJ11" s="235" t="s">
        <v>8140</v>
      </c>
      <c r="AK11" s="235" t="s">
        <v>8249</v>
      </c>
      <c r="AL11" s="235"/>
      <c r="AM11" s="234" t="s">
        <v>8253</v>
      </c>
      <c r="AN11" s="235" t="s">
        <v>8140</v>
      </c>
      <c r="AO11" s="235" t="s">
        <v>8140</v>
      </c>
      <c r="AP11" s="235" t="s">
        <v>8140</v>
      </c>
      <c r="AQ11" s="235" t="s">
        <v>8140</v>
      </c>
      <c r="AR11" s="235" t="s">
        <v>8140</v>
      </c>
      <c r="AS11" s="235" t="s">
        <v>8140</v>
      </c>
      <c r="AT11" s="235" t="s">
        <v>8140</v>
      </c>
      <c r="AU11" s="235" t="s">
        <v>8140</v>
      </c>
      <c r="AV11" s="235" t="s">
        <v>8140</v>
      </c>
      <c r="AW11" s="235" t="s">
        <v>8140</v>
      </c>
      <c r="AX11" s="235" t="s">
        <v>8140</v>
      </c>
      <c r="AY11" s="235" t="s">
        <v>8140</v>
      </c>
      <c r="AZ11" s="235" t="s">
        <v>8140</v>
      </c>
      <c r="BA11" s="235" t="s">
        <v>8140</v>
      </c>
      <c r="BB11" s="235" t="s">
        <v>8140</v>
      </c>
      <c r="BC11" s="235" t="s">
        <v>8140</v>
      </c>
      <c r="BD11" s="235" t="s">
        <v>8140</v>
      </c>
      <c r="BE11" s="235" t="s">
        <v>8140</v>
      </c>
      <c r="BF11" s="235" t="s">
        <v>8140</v>
      </c>
      <c r="BG11" s="235" t="s">
        <v>8140</v>
      </c>
      <c r="BH11" s="235" t="s">
        <v>8140</v>
      </c>
      <c r="BI11" s="235" t="s">
        <v>8140</v>
      </c>
      <c r="BJ11" s="235" t="s">
        <v>8140</v>
      </c>
      <c r="BK11" s="235" t="s">
        <v>8140</v>
      </c>
      <c r="BL11" s="235" t="s">
        <v>8140</v>
      </c>
      <c r="BM11" s="235" t="s">
        <v>8140</v>
      </c>
      <c r="BN11" s="235" t="s">
        <v>8249</v>
      </c>
      <c r="BO11" s="235" t="s">
        <v>8250</v>
      </c>
      <c r="BP11" s="235" t="s">
        <v>8140</v>
      </c>
      <c r="BQ11" s="235" t="s">
        <v>8140</v>
      </c>
      <c r="BR11" s="235" t="s">
        <v>8140</v>
      </c>
      <c r="BS11" s="235" t="s">
        <v>8140</v>
      </c>
      <c r="BT11" s="235" t="s">
        <v>8140</v>
      </c>
      <c r="BU11" s="235" t="s">
        <v>8140</v>
      </c>
      <c r="BV11" s="235" t="s">
        <v>8140</v>
      </c>
      <c r="BW11" s="235" t="s">
        <v>8249</v>
      </c>
      <c r="BX11"/>
      <c r="BY11"/>
      <c r="BZ11"/>
      <c r="CA11" s="208"/>
    </row>
    <row r="12" spans="1:79" s="203" customFormat="1" ht="15">
      <c r="A12" s="234" t="s">
        <v>269</v>
      </c>
      <c r="B12" s="235">
        <v>1</v>
      </c>
      <c r="C12" s="235">
        <v>2</v>
      </c>
      <c r="D12" s="235">
        <v>3</v>
      </c>
      <c r="E12" s="235">
        <v>4</v>
      </c>
      <c r="F12" s="235">
        <v>5</v>
      </c>
      <c r="G12" s="235">
        <v>6</v>
      </c>
      <c r="H12" s="235">
        <v>7</v>
      </c>
      <c r="I12" s="235">
        <v>8</v>
      </c>
      <c r="J12" s="235">
        <v>9</v>
      </c>
      <c r="K12" s="235">
        <v>10</v>
      </c>
      <c r="L12" s="235">
        <v>11</v>
      </c>
      <c r="M12" s="235">
        <v>12</v>
      </c>
      <c r="N12" s="235">
        <v>13</v>
      </c>
      <c r="O12" s="235">
        <v>14</v>
      </c>
      <c r="P12" s="235">
        <v>15</v>
      </c>
      <c r="Q12" s="235">
        <v>16</v>
      </c>
      <c r="R12" s="235">
        <v>17</v>
      </c>
      <c r="S12" s="235">
        <v>18</v>
      </c>
      <c r="T12" s="235">
        <v>19</v>
      </c>
      <c r="U12" s="235">
        <v>20</v>
      </c>
      <c r="V12" s="235">
        <v>21</v>
      </c>
      <c r="W12" s="235">
        <v>22</v>
      </c>
      <c r="X12" s="235">
        <v>23</v>
      </c>
      <c r="Y12" s="235">
        <v>24</v>
      </c>
      <c r="Z12" s="235">
        <v>25</v>
      </c>
      <c r="AA12" s="235">
        <v>26</v>
      </c>
      <c r="AB12" s="235">
        <v>27</v>
      </c>
      <c r="AC12" s="235">
        <v>28</v>
      </c>
      <c r="AD12" s="235">
        <v>29</v>
      </c>
      <c r="AE12" s="235">
        <v>30</v>
      </c>
      <c r="AF12" s="235">
        <v>31</v>
      </c>
      <c r="AG12" s="235">
        <v>32</v>
      </c>
      <c r="AH12" s="235">
        <v>33</v>
      </c>
      <c r="AI12" s="235">
        <v>34</v>
      </c>
      <c r="AJ12" s="235">
        <v>35</v>
      </c>
      <c r="AK12" s="235">
        <v>36</v>
      </c>
      <c r="AL12" s="235"/>
      <c r="AM12" s="234" t="s">
        <v>271</v>
      </c>
      <c r="AN12" s="235">
        <v>1</v>
      </c>
      <c r="AO12" s="235">
        <v>2</v>
      </c>
      <c r="AP12" s="235">
        <v>3</v>
      </c>
      <c r="AQ12" s="235">
        <v>4</v>
      </c>
      <c r="AR12" s="235">
        <v>5</v>
      </c>
      <c r="AS12" s="235">
        <v>6</v>
      </c>
      <c r="AT12" s="235">
        <v>7</v>
      </c>
      <c r="AU12" s="235">
        <v>8</v>
      </c>
      <c r="AV12" s="235">
        <v>9</v>
      </c>
      <c r="AW12" s="235">
        <v>10</v>
      </c>
      <c r="AX12" s="235">
        <v>11</v>
      </c>
      <c r="AY12" s="235">
        <v>12</v>
      </c>
      <c r="AZ12" s="235">
        <v>13</v>
      </c>
      <c r="BA12" s="235">
        <v>14</v>
      </c>
      <c r="BB12" s="235">
        <v>15</v>
      </c>
      <c r="BC12" s="235">
        <v>16</v>
      </c>
      <c r="BD12" s="235">
        <v>17</v>
      </c>
      <c r="BE12" s="235">
        <v>18</v>
      </c>
      <c r="BF12" s="235">
        <v>19</v>
      </c>
      <c r="BG12" s="235">
        <v>20</v>
      </c>
      <c r="BH12" s="235">
        <v>21</v>
      </c>
      <c r="BI12" s="235">
        <v>22</v>
      </c>
      <c r="BJ12" s="235">
        <v>23</v>
      </c>
      <c r="BK12" s="235">
        <v>24</v>
      </c>
      <c r="BL12" s="235">
        <v>25</v>
      </c>
      <c r="BM12" s="235">
        <v>26</v>
      </c>
      <c r="BN12" s="235">
        <v>27</v>
      </c>
      <c r="BO12" s="235">
        <v>28</v>
      </c>
      <c r="BP12" s="235">
        <v>29</v>
      </c>
      <c r="BQ12" s="235">
        <v>30</v>
      </c>
      <c r="BR12" s="235">
        <v>31</v>
      </c>
      <c r="BS12" s="235">
        <v>32</v>
      </c>
      <c r="BT12" s="235">
        <v>33</v>
      </c>
      <c r="BU12" s="235">
        <v>34</v>
      </c>
      <c r="BV12" s="235">
        <v>35</v>
      </c>
      <c r="BW12" s="235">
        <v>36</v>
      </c>
      <c r="BX12"/>
      <c r="BY12"/>
      <c r="BZ12"/>
      <c r="CA12" s="208"/>
    </row>
    <row r="13" spans="1:79" s="203" customFormat="1" ht="15">
      <c r="A13" s="234" t="s">
        <v>274</v>
      </c>
      <c r="B13" s="235" t="s">
        <v>8140</v>
      </c>
      <c r="C13" s="235" t="s">
        <v>8140</v>
      </c>
      <c r="D13" s="235" t="s">
        <v>8140</v>
      </c>
      <c r="E13" s="235" t="s">
        <v>8140</v>
      </c>
      <c r="F13" s="235" t="s">
        <v>8140</v>
      </c>
      <c r="G13" s="235" t="s">
        <v>8140</v>
      </c>
      <c r="H13" s="235" t="s">
        <v>8140</v>
      </c>
      <c r="I13" s="235" t="s">
        <v>8140</v>
      </c>
      <c r="J13" s="235" t="s">
        <v>8140</v>
      </c>
      <c r="K13" s="235" t="s">
        <v>8140</v>
      </c>
      <c r="L13" s="235" t="s">
        <v>8140</v>
      </c>
      <c r="M13" s="235" t="s">
        <v>8140</v>
      </c>
      <c r="N13" s="235" t="s">
        <v>8140</v>
      </c>
      <c r="O13" s="235" t="s">
        <v>8140</v>
      </c>
      <c r="P13" s="235" t="s">
        <v>8140</v>
      </c>
      <c r="Q13" s="235" t="s">
        <v>8140</v>
      </c>
      <c r="R13" s="235" t="s">
        <v>8140</v>
      </c>
      <c r="S13" s="235" t="s">
        <v>8140</v>
      </c>
      <c r="T13" s="235" t="s">
        <v>8140</v>
      </c>
      <c r="U13" s="235" t="s">
        <v>8140</v>
      </c>
      <c r="V13" s="235" t="s">
        <v>8140</v>
      </c>
      <c r="W13" s="235" t="s">
        <v>8140</v>
      </c>
      <c r="X13" s="235" t="s">
        <v>8140</v>
      </c>
      <c r="Y13" s="235" t="s">
        <v>8140</v>
      </c>
      <c r="Z13" s="235" t="s">
        <v>8140</v>
      </c>
      <c r="AA13" s="235" t="s">
        <v>8140</v>
      </c>
      <c r="AB13" s="235" t="s">
        <v>8249</v>
      </c>
      <c r="AC13" s="235" t="s">
        <v>8250</v>
      </c>
      <c r="AD13" s="235" t="s">
        <v>8140</v>
      </c>
      <c r="AE13" s="235" t="s">
        <v>8140</v>
      </c>
      <c r="AF13" s="235" t="s">
        <v>8140</v>
      </c>
      <c r="AG13" s="235" t="s">
        <v>8140</v>
      </c>
      <c r="AH13" s="235" t="s">
        <v>8140</v>
      </c>
      <c r="AI13" s="235" t="s">
        <v>8140</v>
      </c>
      <c r="AJ13" s="235" t="s">
        <v>8140</v>
      </c>
      <c r="AK13" s="235" t="s">
        <v>8249</v>
      </c>
      <c r="AL13" s="235"/>
      <c r="AM13" s="234" t="s">
        <v>274</v>
      </c>
      <c r="AN13" s="235" t="s">
        <v>8140</v>
      </c>
      <c r="AO13" s="235" t="s">
        <v>8140</v>
      </c>
      <c r="AP13" s="235" t="s">
        <v>8140</v>
      </c>
      <c r="AQ13" s="235" t="s">
        <v>8140</v>
      </c>
      <c r="AR13" s="235" t="s">
        <v>8140</v>
      </c>
      <c r="AS13" s="235" t="s">
        <v>8140</v>
      </c>
      <c r="AT13" s="235" t="s">
        <v>8140</v>
      </c>
      <c r="AU13" s="235" t="s">
        <v>8140</v>
      </c>
      <c r="AV13" s="235" t="s">
        <v>8140</v>
      </c>
      <c r="AW13" s="235" t="s">
        <v>8140</v>
      </c>
      <c r="AX13" s="235" t="s">
        <v>8140</v>
      </c>
      <c r="AY13" s="235" t="s">
        <v>8140</v>
      </c>
      <c r="AZ13" s="235" t="s">
        <v>8140</v>
      </c>
      <c r="BA13" s="235" t="s">
        <v>8140</v>
      </c>
      <c r="BB13" s="235" t="s">
        <v>8140</v>
      </c>
      <c r="BC13" s="235" t="s">
        <v>8140</v>
      </c>
      <c r="BD13" s="235" t="s">
        <v>8140</v>
      </c>
      <c r="BE13" s="235" t="s">
        <v>8140</v>
      </c>
      <c r="BF13" s="235" t="s">
        <v>8140</v>
      </c>
      <c r="BG13" s="235" t="s">
        <v>8140</v>
      </c>
      <c r="BH13" s="235" t="s">
        <v>8140</v>
      </c>
      <c r="BI13" s="235" t="s">
        <v>8140</v>
      </c>
      <c r="BJ13" s="235" t="s">
        <v>8140</v>
      </c>
      <c r="BK13" s="235" t="s">
        <v>8140</v>
      </c>
      <c r="BL13" s="235" t="s">
        <v>8140</v>
      </c>
      <c r="BM13" s="235" t="s">
        <v>8140</v>
      </c>
      <c r="BN13" s="235" t="s">
        <v>8249</v>
      </c>
      <c r="BO13" s="235" t="s">
        <v>8250</v>
      </c>
      <c r="BP13" s="235" t="s">
        <v>8140</v>
      </c>
      <c r="BQ13" s="235" t="s">
        <v>8140</v>
      </c>
      <c r="BR13" s="235" t="s">
        <v>8140</v>
      </c>
      <c r="BS13" s="235" t="s">
        <v>8140</v>
      </c>
      <c r="BT13" s="235" t="s">
        <v>8140</v>
      </c>
      <c r="BU13" s="235" t="s">
        <v>8140</v>
      </c>
      <c r="BV13" s="235" t="s">
        <v>8140</v>
      </c>
      <c r="BW13" s="235" t="s">
        <v>8249</v>
      </c>
      <c r="BX13"/>
      <c r="BY13"/>
      <c r="BZ13"/>
      <c r="CA13" s="208"/>
    </row>
    <row r="14" spans="1:79" s="203" customFormat="1" ht="15">
      <c r="A14" s="234">
        <v>6</v>
      </c>
      <c r="B14" s="236">
        <v>165</v>
      </c>
      <c r="C14" s="236">
        <v>198</v>
      </c>
      <c r="D14" s="236">
        <v>76</v>
      </c>
      <c r="E14" s="236">
        <v>75</v>
      </c>
      <c r="F14" s="236">
        <v>162</v>
      </c>
      <c r="G14" s="236">
        <v>127</v>
      </c>
      <c r="H14" s="236">
        <v>87</v>
      </c>
      <c r="I14" s="236">
        <v>159</v>
      </c>
      <c r="J14" s="236">
        <v>112</v>
      </c>
      <c r="K14" s="236">
        <v>134</v>
      </c>
      <c r="L14" s="236">
        <v>173</v>
      </c>
      <c r="M14" s="236">
        <v>54</v>
      </c>
      <c r="N14" s="236">
        <v>34</v>
      </c>
      <c r="O14" s="236">
        <v>58</v>
      </c>
      <c r="P14" s="236">
        <v>42</v>
      </c>
      <c r="Q14" s="236">
        <v>213</v>
      </c>
      <c r="R14" s="236">
        <v>72</v>
      </c>
      <c r="S14" s="236">
        <v>181</v>
      </c>
      <c r="T14" s="236">
        <v>98</v>
      </c>
      <c r="U14" s="236">
        <v>80</v>
      </c>
      <c r="V14" s="236">
        <v>89</v>
      </c>
      <c r="W14" s="236">
        <v>78</v>
      </c>
      <c r="X14" s="236">
        <v>130</v>
      </c>
      <c r="Y14" s="236">
        <v>10</v>
      </c>
      <c r="Z14" s="236">
        <v>19</v>
      </c>
      <c r="AA14" s="236">
        <v>61</v>
      </c>
      <c r="AB14" s="236">
        <v>2</v>
      </c>
      <c r="AC14" s="236">
        <v>37</v>
      </c>
      <c r="AD14" s="236">
        <v>188</v>
      </c>
      <c r="AE14" s="236">
        <v>194</v>
      </c>
      <c r="AF14" s="236">
        <v>132</v>
      </c>
      <c r="AG14" s="236">
        <v>53</v>
      </c>
      <c r="AH14" s="236">
        <v>128</v>
      </c>
      <c r="AI14" s="236">
        <v>195</v>
      </c>
      <c r="AJ14" s="236">
        <v>125</v>
      </c>
      <c r="AK14" s="236">
        <v>22</v>
      </c>
      <c r="AL14" s="235"/>
      <c r="AM14" s="234">
        <v>6</v>
      </c>
      <c r="AN14" s="236">
        <v>166</v>
      </c>
      <c r="AO14" s="236">
        <v>108</v>
      </c>
      <c r="AP14" s="236">
        <v>195</v>
      </c>
      <c r="AQ14" s="236">
        <v>211</v>
      </c>
      <c r="AR14" s="237">
        <v>1</v>
      </c>
      <c r="AS14" s="236">
        <v>203</v>
      </c>
      <c r="AT14" s="236">
        <v>5</v>
      </c>
      <c r="AU14" s="236">
        <v>72</v>
      </c>
      <c r="AV14" s="236">
        <v>19</v>
      </c>
      <c r="AW14" s="236">
        <v>174</v>
      </c>
      <c r="AX14" s="236">
        <v>205</v>
      </c>
      <c r="AY14" s="236">
        <v>53</v>
      </c>
      <c r="AZ14" s="236">
        <v>148</v>
      </c>
      <c r="BA14" s="236">
        <v>32</v>
      </c>
      <c r="BB14" s="236">
        <v>162</v>
      </c>
      <c r="BC14" s="236">
        <v>196</v>
      </c>
      <c r="BD14" s="236">
        <v>111</v>
      </c>
      <c r="BE14" s="236">
        <v>20</v>
      </c>
      <c r="BF14" s="236">
        <v>84</v>
      </c>
      <c r="BG14" s="236">
        <v>186</v>
      </c>
      <c r="BH14" s="236">
        <v>153</v>
      </c>
      <c r="BI14" s="236">
        <v>109</v>
      </c>
      <c r="BJ14" s="236">
        <v>83</v>
      </c>
      <c r="BK14" s="236">
        <v>132</v>
      </c>
      <c r="BL14" s="236">
        <v>74</v>
      </c>
      <c r="BM14" s="236">
        <v>155</v>
      </c>
      <c r="BN14" s="236">
        <v>163</v>
      </c>
      <c r="BO14" s="236">
        <v>98</v>
      </c>
      <c r="BP14" s="236">
        <v>175</v>
      </c>
      <c r="BQ14" s="236">
        <v>97</v>
      </c>
      <c r="BR14" s="236">
        <v>33</v>
      </c>
      <c r="BS14" s="236">
        <v>170</v>
      </c>
      <c r="BT14" s="236">
        <v>35</v>
      </c>
      <c r="BU14" s="236">
        <v>9</v>
      </c>
      <c r="BV14" s="236">
        <v>134</v>
      </c>
      <c r="BW14" s="236">
        <v>214</v>
      </c>
      <c r="BX14"/>
      <c r="BY14"/>
      <c r="BZ14"/>
      <c r="CA14" s="208"/>
    </row>
    <row r="15" spans="1:79" s="203" customFormat="1" ht="15">
      <c r="A15" s="234">
        <v>5</v>
      </c>
      <c r="B15" s="236">
        <v>120</v>
      </c>
      <c r="C15" s="236">
        <v>77</v>
      </c>
      <c r="D15" s="236">
        <v>155</v>
      </c>
      <c r="E15" s="236">
        <v>9</v>
      </c>
      <c r="F15" s="236">
        <v>210</v>
      </c>
      <c r="G15" s="236">
        <v>50</v>
      </c>
      <c r="H15" s="236">
        <v>56</v>
      </c>
      <c r="I15" s="236">
        <v>211</v>
      </c>
      <c r="J15" s="236">
        <v>175</v>
      </c>
      <c r="K15" s="236">
        <v>91</v>
      </c>
      <c r="L15" s="236">
        <v>113</v>
      </c>
      <c r="M15" s="236">
        <v>149</v>
      </c>
      <c r="N15" s="236">
        <v>4</v>
      </c>
      <c r="O15" s="236">
        <v>185</v>
      </c>
      <c r="P15" s="236">
        <v>151</v>
      </c>
      <c r="Q15" s="236">
        <v>73</v>
      </c>
      <c r="R15" s="236">
        <v>59</v>
      </c>
      <c r="S15" s="236">
        <v>118</v>
      </c>
      <c r="T15" s="236">
        <v>5</v>
      </c>
      <c r="U15" s="236">
        <v>214</v>
      </c>
      <c r="V15" s="236">
        <v>47</v>
      </c>
      <c r="W15" s="236">
        <v>216</v>
      </c>
      <c r="X15" s="237">
        <v>1</v>
      </c>
      <c r="Y15" s="236">
        <v>215</v>
      </c>
      <c r="Z15" s="236">
        <v>176</v>
      </c>
      <c r="AA15" s="236">
        <v>102</v>
      </c>
      <c r="AB15" s="236">
        <v>105</v>
      </c>
      <c r="AC15" s="236">
        <v>48</v>
      </c>
      <c r="AD15" s="236">
        <v>131</v>
      </c>
      <c r="AE15" s="236">
        <v>68</v>
      </c>
      <c r="AF15" s="236">
        <v>21</v>
      </c>
      <c r="AG15" s="236">
        <v>183</v>
      </c>
      <c r="AH15" s="236">
        <v>57</v>
      </c>
      <c r="AI15" s="236">
        <v>67</v>
      </c>
      <c r="AJ15" s="236">
        <v>83</v>
      </c>
      <c r="AK15" s="236">
        <v>200</v>
      </c>
      <c r="AL15" s="235"/>
      <c r="AM15" s="234">
        <v>5</v>
      </c>
      <c r="AN15" s="236">
        <v>182</v>
      </c>
      <c r="AO15" s="236">
        <v>120</v>
      </c>
      <c r="AP15" s="236">
        <v>138</v>
      </c>
      <c r="AQ15" s="236">
        <v>67</v>
      </c>
      <c r="AR15" s="236">
        <v>13</v>
      </c>
      <c r="AS15" s="236">
        <v>75</v>
      </c>
      <c r="AT15" s="236">
        <v>181</v>
      </c>
      <c r="AU15" s="236">
        <v>210</v>
      </c>
      <c r="AV15" s="236">
        <v>41</v>
      </c>
      <c r="AW15" s="236">
        <v>192</v>
      </c>
      <c r="AX15" s="236">
        <v>202</v>
      </c>
      <c r="AY15" s="236">
        <v>143</v>
      </c>
      <c r="AZ15" s="236">
        <v>118</v>
      </c>
      <c r="BA15" s="236">
        <v>77</v>
      </c>
      <c r="BB15" s="236">
        <v>99</v>
      </c>
      <c r="BC15" s="236">
        <v>56</v>
      </c>
      <c r="BD15" s="236">
        <v>189</v>
      </c>
      <c r="BE15" s="236">
        <v>105</v>
      </c>
      <c r="BF15" s="236">
        <v>127</v>
      </c>
      <c r="BG15" s="236">
        <v>199</v>
      </c>
      <c r="BH15" s="236">
        <v>85</v>
      </c>
      <c r="BI15" s="236">
        <v>121</v>
      </c>
      <c r="BJ15" s="236">
        <v>156</v>
      </c>
      <c r="BK15" s="236">
        <v>15</v>
      </c>
      <c r="BL15" s="236">
        <v>92</v>
      </c>
      <c r="BM15" s="236">
        <v>27</v>
      </c>
      <c r="BN15" s="236">
        <v>204</v>
      </c>
      <c r="BO15" s="236">
        <v>34</v>
      </c>
      <c r="BP15" s="236">
        <v>88</v>
      </c>
      <c r="BQ15" s="236">
        <v>161</v>
      </c>
      <c r="BR15" s="236">
        <v>36</v>
      </c>
      <c r="BS15" s="236">
        <v>101</v>
      </c>
      <c r="BT15" s="236">
        <v>44</v>
      </c>
      <c r="BU15" s="236">
        <v>71</v>
      </c>
      <c r="BV15" s="236">
        <v>165</v>
      </c>
      <c r="BW15" s="236">
        <v>94</v>
      </c>
      <c r="BX15"/>
      <c r="BY15"/>
      <c r="BZ15"/>
      <c r="CA15" s="208"/>
    </row>
    <row r="16" spans="1:79" s="203" customFormat="1" ht="15">
      <c r="A16" s="234">
        <v>4</v>
      </c>
      <c r="B16" s="236">
        <v>94</v>
      </c>
      <c r="C16" s="236">
        <v>121</v>
      </c>
      <c r="D16" s="236">
        <v>65</v>
      </c>
      <c r="E16" s="236">
        <v>14</v>
      </c>
      <c r="F16" s="236">
        <v>202</v>
      </c>
      <c r="G16" s="236">
        <v>206</v>
      </c>
      <c r="H16" s="236">
        <v>124</v>
      </c>
      <c r="I16" s="236">
        <v>106</v>
      </c>
      <c r="J16" s="236">
        <v>196</v>
      </c>
      <c r="K16" s="236">
        <v>32</v>
      </c>
      <c r="L16" s="236">
        <v>38</v>
      </c>
      <c r="M16" s="236">
        <v>45</v>
      </c>
      <c r="N16" s="236">
        <v>135</v>
      </c>
      <c r="O16" s="236">
        <v>101</v>
      </c>
      <c r="P16" s="236">
        <v>140</v>
      </c>
      <c r="Q16" s="236">
        <v>129</v>
      </c>
      <c r="R16" s="236">
        <v>79</v>
      </c>
      <c r="S16" s="236">
        <v>7</v>
      </c>
      <c r="T16" s="236">
        <v>204</v>
      </c>
      <c r="U16" s="236">
        <v>71</v>
      </c>
      <c r="V16" s="236">
        <v>96</v>
      </c>
      <c r="W16" s="236">
        <v>174</v>
      </c>
      <c r="X16" s="236">
        <v>177</v>
      </c>
      <c r="Y16" s="236">
        <v>103</v>
      </c>
      <c r="Z16" s="236">
        <v>122</v>
      </c>
      <c r="AA16" s="236">
        <v>93</v>
      </c>
      <c r="AB16" s="236">
        <v>97</v>
      </c>
      <c r="AC16" s="236">
        <v>28</v>
      </c>
      <c r="AD16" s="236">
        <v>46</v>
      </c>
      <c r="AE16" s="236">
        <v>160</v>
      </c>
      <c r="AF16" s="236">
        <v>168</v>
      </c>
      <c r="AG16" s="236">
        <v>51</v>
      </c>
      <c r="AH16" s="236">
        <v>69</v>
      </c>
      <c r="AI16" s="236">
        <v>158</v>
      </c>
      <c r="AJ16" s="236">
        <v>85</v>
      </c>
      <c r="AK16" s="236">
        <v>33</v>
      </c>
      <c r="AL16" s="235"/>
      <c r="AM16" s="234">
        <v>4</v>
      </c>
      <c r="AN16" s="236">
        <v>145</v>
      </c>
      <c r="AO16" s="236">
        <v>167</v>
      </c>
      <c r="AP16" s="236">
        <v>176</v>
      </c>
      <c r="AQ16" s="236">
        <v>168</v>
      </c>
      <c r="AR16" s="236">
        <v>46</v>
      </c>
      <c r="AS16" s="236">
        <v>169</v>
      </c>
      <c r="AT16" s="236">
        <v>43</v>
      </c>
      <c r="AU16" s="236">
        <v>144</v>
      </c>
      <c r="AV16" s="236">
        <v>200</v>
      </c>
      <c r="AW16" s="236">
        <v>131</v>
      </c>
      <c r="AX16" s="236">
        <v>124</v>
      </c>
      <c r="AY16" s="236">
        <v>158</v>
      </c>
      <c r="AZ16" s="236">
        <v>193</v>
      </c>
      <c r="BA16" s="236">
        <v>133</v>
      </c>
      <c r="BB16" s="236">
        <v>146</v>
      </c>
      <c r="BC16" s="236">
        <v>213</v>
      </c>
      <c r="BD16" s="236">
        <v>68</v>
      </c>
      <c r="BE16" s="236">
        <v>164</v>
      </c>
      <c r="BF16" s="236">
        <v>129</v>
      </c>
      <c r="BG16" s="236">
        <v>90</v>
      </c>
      <c r="BH16" s="236">
        <v>82</v>
      </c>
      <c r="BI16" s="236">
        <v>209</v>
      </c>
      <c r="BJ16" s="236">
        <v>137</v>
      </c>
      <c r="BK16" s="236">
        <v>91</v>
      </c>
      <c r="BL16" s="236">
        <v>150</v>
      </c>
      <c r="BM16" s="236">
        <v>191</v>
      </c>
      <c r="BN16" s="236">
        <v>86</v>
      </c>
      <c r="BO16" s="236">
        <v>11</v>
      </c>
      <c r="BP16" s="236">
        <v>117</v>
      </c>
      <c r="BQ16" s="236">
        <v>47</v>
      </c>
      <c r="BR16" s="236">
        <v>103</v>
      </c>
      <c r="BS16" s="236">
        <v>179</v>
      </c>
      <c r="BT16" s="236">
        <v>80</v>
      </c>
      <c r="BU16" s="236">
        <v>76</v>
      </c>
      <c r="BV16" s="236">
        <v>66</v>
      </c>
      <c r="BW16" s="236">
        <v>63</v>
      </c>
      <c r="BX16"/>
      <c r="BY16"/>
      <c r="BZ16"/>
      <c r="CA16" s="208"/>
    </row>
    <row r="17" spans="1:79" s="203" customFormat="1" ht="15">
      <c r="A17" s="234">
        <v>3</v>
      </c>
      <c r="B17" s="236">
        <v>164</v>
      </c>
      <c r="C17" s="236">
        <v>136</v>
      </c>
      <c r="D17" s="236">
        <v>180</v>
      </c>
      <c r="E17" s="236">
        <v>66</v>
      </c>
      <c r="F17" s="236">
        <v>99</v>
      </c>
      <c r="G17" s="236">
        <v>179</v>
      </c>
      <c r="H17" s="236">
        <v>178</v>
      </c>
      <c r="I17" s="236">
        <v>186</v>
      </c>
      <c r="J17" s="236">
        <v>30</v>
      </c>
      <c r="K17" s="236">
        <v>145</v>
      </c>
      <c r="L17" s="236">
        <v>201</v>
      </c>
      <c r="M17" s="236">
        <v>163</v>
      </c>
      <c r="N17" s="236">
        <v>170</v>
      </c>
      <c r="O17" s="236">
        <v>197</v>
      </c>
      <c r="P17" s="236">
        <v>126</v>
      </c>
      <c r="Q17" s="236">
        <v>148</v>
      </c>
      <c r="R17" s="236">
        <v>81</v>
      </c>
      <c r="S17" s="236">
        <v>109</v>
      </c>
      <c r="T17" s="236">
        <v>20</v>
      </c>
      <c r="U17" s="236">
        <v>167</v>
      </c>
      <c r="V17" s="236">
        <v>141</v>
      </c>
      <c r="W17" s="236">
        <v>157</v>
      </c>
      <c r="X17" s="236">
        <v>17</v>
      </c>
      <c r="Y17" s="236">
        <v>166</v>
      </c>
      <c r="Z17" s="236">
        <v>190</v>
      </c>
      <c r="AA17" s="236">
        <v>212</v>
      </c>
      <c r="AB17" s="236">
        <v>116</v>
      </c>
      <c r="AC17" s="236">
        <v>205</v>
      </c>
      <c r="AD17" s="236">
        <v>199</v>
      </c>
      <c r="AE17" s="236">
        <v>92</v>
      </c>
      <c r="AF17" s="236">
        <v>117</v>
      </c>
      <c r="AG17" s="236">
        <v>114</v>
      </c>
      <c r="AH17" s="236">
        <v>192</v>
      </c>
      <c r="AI17" s="236">
        <v>209</v>
      </c>
      <c r="AJ17" s="236">
        <v>95</v>
      </c>
      <c r="AK17" s="236">
        <v>26</v>
      </c>
      <c r="AL17" s="235"/>
      <c r="AM17" s="234">
        <v>3</v>
      </c>
      <c r="AN17" s="236">
        <v>151</v>
      </c>
      <c r="AO17" s="236">
        <v>16</v>
      </c>
      <c r="AP17" s="236">
        <v>126</v>
      </c>
      <c r="AQ17" s="236">
        <v>12</v>
      </c>
      <c r="AR17" s="236">
        <v>173</v>
      </c>
      <c r="AS17" s="236">
        <v>183</v>
      </c>
      <c r="AT17" s="236">
        <v>112</v>
      </c>
      <c r="AU17" s="236">
        <v>48</v>
      </c>
      <c r="AV17" s="236">
        <v>171</v>
      </c>
      <c r="AW17" s="236">
        <v>69</v>
      </c>
      <c r="AX17" s="236">
        <v>215</v>
      </c>
      <c r="AY17" s="236">
        <v>206</v>
      </c>
      <c r="AZ17" s="236">
        <v>50</v>
      </c>
      <c r="BA17" s="236">
        <v>51</v>
      </c>
      <c r="BB17" s="236">
        <v>116</v>
      </c>
      <c r="BC17" s="236">
        <v>188</v>
      </c>
      <c r="BD17" s="236">
        <v>102</v>
      </c>
      <c r="BE17" s="236">
        <v>78</v>
      </c>
      <c r="BF17" s="236">
        <v>125</v>
      </c>
      <c r="BG17" s="236">
        <v>194</v>
      </c>
      <c r="BH17" s="236">
        <v>21</v>
      </c>
      <c r="BI17" s="236">
        <v>38</v>
      </c>
      <c r="BJ17" s="236">
        <v>14</v>
      </c>
      <c r="BK17" s="236">
        <v>31</v>
      </c>
      <c r="BL17" s="236">
        <v>177</v>
      </c>
      <c r="BM17" s="236">
        <v>93</v>
      </c>
      <c r="BN17" s="236">
        <v>107</v>
      </c>
      <c r="BO17" s="236">
        <v>10</v>
      </c>
      <c r="BP17" s="236">
        <v>2</v>
      </c>
      <c r="BQ17" s="236">
        <v>104</v>
      </c>
      <c r="BR17" s="236">
        <v>3</v>
      </c>
      <c r="BS17" s="236">
        <v>197</v>
      </c>
      <c r="BT17" s="236">
        <v>128</v>
      </c>
      <c r="BU17" s="236">
        <v>39</v>
      </c>
      <c r="BV17" s="236">
        <v>60</v>
      </c>
      <c r="BW17" s="236">
        <v>6</v>
      </c>
      <c r="BX17"/>
      <c r="BY17"/>
      <c r="BZ17"/>
      <c r="CA17" s="208"/>
    </row>
    <row r="18" spans="1:79" s="203" customFormat="1" ht="15">
      <c r="A18" s="234">
        <v>2</v>
      </c>
      <c r="B18" s="236">
        <v>3</v>
      </c>
      <c r="C18" s="236">
        <v>152</v>
      </c>
      <c r="D18" s="236">
        <v>193</v>
      </c>
      <c r="E18" s="236">
        <v>207</v>
      </c>
      <c r="F18" s="236">
        <v>18</v>
      </c>
      <c r="G18" s="236">
        <v>8</v>
      </c>
      <c r="H18" s="236">
        <v>156</v>
      </c>
      <c r="I18" s="236">
        <v>137</v>
      </c>
      <c r="J18" s="236">
        <v>39</v>
      </c>
      <c r="K18" s="236">
        <v>11</v>
      </c>
      <c r="L18" s="236">
        <v>208</v>
      </c>
      <c r="M18" s="236">
        <v>154</v>
      </c>
      <c r="N18" s="236">
        <v>184</v>
      </c>
      <c r="O18" s="236">
        <v>146</v>
      </c>
      <c r="P18" s="236">
        <v>111</v>
      </c>
      <c r="Q18" s="236">
        <v>133</v>
      </c>
      <c r="R18" s="236">
        <v>44</v>
      </c>
      <c r="S18" s="236">
        <v>107</v>
      </c>
      <c r="T18" s="236">
        <v>108</v>
      </c>
      <c r="U18" s="236">
        <v>64</v>
      </c>
      <c r="V18" s="236">
        <v>16</v>
      </c>
      <c r="W18" s="236">
        <v>15</v>
      </c>
      <c r="X18" s="236">
        <v>119</v>
      </c>
      <c r="Y18" s="236">
        <v>86</v>
      </c>
      <c r="Z18" s="236">
        <v>25</v>
      </c>
      <c r="AA18" s="236">
        <v>191</v>
      </c>
      <c r="AB18" s="236">
        <v>31</v>
      </c>
      <c r="AC18" s="236">
        <v>142</v>
      </c>
      <c r="AD18" s="236">
        <v>24</v>
      </c>
      <c r="AE18" s="236">
        <v>6</v>
      </c>
      <c r="AF18" s="236">
        <v>60</v>
      </c>
      <c r="AG18" s="236">
        <v>90</v>
      </c>
      <c r="AH18" s="236">
        <v>139</v>
      </c>
      <c r="AI18" s="236">
        <v>88</v>
      </c>
      <c r="AJ18" s="236">
        <v>52</v>
      </c>
      <c r="AK18" s="236">
        <v>35</v>
      </c>
      <c r="AL18" s="235"/>
      <c r="AM18" s="234">
        <v>2</v>
      </c>
      <c r="AN18" s="236">
        <v>114</v>
      </c>
      <c r="AO18" s="236">
        <v>157</v>
      </c>
      <c r="AP18" s="236">
        <v>49</v>
      </c>
      <c r="AQ18" s="236">
        <v>115</v>
      </c>
      <c r="AR18" s="236">
        <v>190</v>
      </c>
      <c r="AS18" s="236">
        <v>140</v>
      </c>
      <c r="AT18" s="236">
        <v>212</v>
      </c>
      <c r="AU18" s="236">
        <v>142</v>
      </c>
      <c r="AV18" s="236">
        <v>37</v>
      </c>
      <c r="AW18" s="236">
        <v>198</v>
      </c>
      <c r="AX18" s="236">
        <v>52</v>
      </c>
      <c r="AY18" s="236">
        <v>40</v>
      </c>
      <c r="AZ18" s="236">
        <v>30</v>
      </c>
      <c r="BA18" s="236">
        <v>22</v>
      </c>
      <c r="BB18" s="236">
        <v>122</v>
      </c>
      <c r="BC18" s="236">
        <v>110</v>
      </c>
      <c r="BD18" s="236">
        <v>96</v>
      </c>
      <c r="BE18" s="236">
        <v>187</v>
      </c>
      <c r="BF18" s="236">
        <v>154</v>
      </c>
      <c r="BG18" s="236">
        <v>149</v>
      </c>
      <c r="BH18" s="236">
        <v>65</v>
      </c>
      <c r="BI18" s="236">
        <v>147</v>
      </c>
      <c r="BJ18" s="236">
        <v>159</v>
      </c>
      <c r="BK18" s="236">
        <v>152</v>
      </c>
      <c r="BL18" s="236">
        <v>139</v>
      </c>
      <c r="BM18" s="236">
        <v>79</v>
      </c>
      <c r="BN18" s="236">
        <v>4</v>
      </c>
      <c r="BO18" s="236">
        <v>95</v>
      </c>
      <c r="BP18" s="236">
        <v>62</v>
      </c>
      <c r="BQ18" s="236">
        <v>208</v>
      </c>
      <c r="BR18" s="236">
        <v>180</v>
      </c>
      <c r="BS18" s="236">
        <v>178</v>
      </c>
      <c r="BT18" s="236">
        <v>216</v>
      </c>
      <c r="BU18" s="236">
        <v>17</v>
      </c>
      <c r="BV18" s="236">
        <v>184</v>
      </c>
      <c r="BW18" s="236">
        <v>136</v>
      </c>
      <c r="BX18"/>
      <c r="BY18"/>
      <c r="BZ18"/>
      <c r="CA18" s="208"/>
    </row>
    <row r="19" spans="1:79" s="203" customFormat="1" ht="15">
      <c r="A19" s="234">
        <v>1</v>
      </c>
      <c r="B19" s="236">
        <v>189</v>
      </c>
      <c r="C19" s="236">
        <v>161</v>
      </c>
      <c r="D19" s="236">
        <v>147</v>
      </c>
      <c r="E19" s="236">
        <v>172</v>
      </c>
      <c r="F19" s="236">
        <v>29</v>
      </c>
      <c r="G19" s="236">
        <v>55</v>
      </c>
      <c r="H19" s="236">
        <v>153</v>
      </c>
      <c r="I19" s="236">
        <v>23</v>
      </c>
      <c r="J19" s="236">
        <v>110</v>
      </c>
      <c r="K19" s="236">
        <v>115</v>
      </c>
      <c r="L19" s="236">
        <v>144</v>
      </c>
      <c r="M19" s="236">
        <v>143</v>
      </c>
      <c r="N19" s="236">
        <v>138</v>
      </c>
      <c r="O19" s="236">
        <v>150</v>
      </c>
      <c r="P19" s="236">
        <v>43</v>
      </c>
      <c r="Q19" s="236">
        <v>41</v>
      </c>
      <c r="R19" s="236">
        <v>70</v>
      </c>
      <c r="S19" s="236">
        <v>27</v>
      </c>
      <c r="T19" s="236">
        <v>13</v>
      </c>
      <c r="U19" s="236">
        <v>123</v>
      </c>
      <c r="V19" s="236">
        <v>12</v>
      </c>
      <c r="W19" s="236">
        <v>82</v>
      </c>
      <c r="X19" s="236">
        <v>203</v>
      </c>
      <c r="Y19" s="236">
        <v>100</v>
      </c>
      <c r="Z19" s="236">
        <v>74</v>
      </c>
      <c r="AA19" s="236">
        <v>49</v>
      </c>
      <c r="AB19" s="236">
        <v>63</v>
      </c>
      <c r="AC19" s="236">
        <v>187</v>
      </c>
      <c r="AD19" s="236">
        <v>169</v>
      </c>
      <c r="AE19" s="236">
        <v>182</v>
      </c>
      <c r="AF19" s="236">
        <v>62</v>
      </c>
      <c r="AG19" s="236">
        <v>84</v>
      </c>
      <c r="AH19" s="236">
        <v>104</v>
      </c>
      <c r="AI19" s="236">
        <v>36</v>
      </c>
      <c r="AJ19" s="236">
        <v>40</v>
      </c>
      <c r="AK19" s="236">
        <v>171</v>
      </c>
      <c r="AL19" s="235"/>
      <c r="AM19" s="234">
        <v>1</v>
      </c>
      <c r="AN19" s="236">
        <v>100</v>
      </c>
      <c r="AO19" s="236">
        <v>141</v>
      </c>
      <c r="AP19" s="236">
        <v>106</v>
      </c>
      <c r="AQ19" s="236">
        <v>64</v>
      </c>
      <c r="AR19" s="236">
        <v>24</v>
      </c>
      <c r="AS19" s="236">
        <v>160</v>
      </c>
      <c r="AT19" s="236">
        <v>73</v>
      </c>
      <c r="AU19" s="236">
        <v>130</v>
      </c>
      <c r="AV19" s="236">
        <v>61</v>
      </c>
      <c r="AW19" s="236">
        <v>29</v>
      </c>
      <c r="AX19" s="236">
        <v>25</v>
      </c>
      <c r="AY19" s="236">
        <v>185</v>
      </c>
      <c r="AZ19" s="236">
        <v>45</v>
      </c>
      <c r="BA19" s="236">
        <v>87</v>
      </c>
      <c r="BB19" s="236">
        <v>55</v>
      </c>
      <c r="BC19" s="236">
        <v>201</v>
      </c>
      <c r="BD19" s="236">
        <v>57</v>
      </c>
      <c r="BE19" s="236">
        <v>58</v>
      </c>
      <c r="BF19" s="236">
        <v>113</v>
      </c>
      <c r="BG19" s="236">
        <v>7</v>
      </c>
      <c r="BH19" s="236">
        <v>59</v>
      </c>
      <c r="BI19" s="236">
        <v>89</v>
      </c>
      <c r="BJ19" s="236">
        <v>42</v>
      </c>
      <c r="BK19" s="236">
        <v>119</v>
      </c>
      <c r="BL19" s="236">
        <v>135</v>
      </c>
      <c r="BM19" s="236">
        <v>81</v>
      </c>
      <c r="BN19" s="236">
        <v>70</v>
      </c>
      <c r="BO19" s="236">
        <v>23</v>
      </c>
      <c r="BP19" s="236">
        <v>207</v>
      </c>
      <c r="BQ19" s="236">
        <v>123</v>
      </c>
      <c r="BR19" s="236">
        <v>28</v>
      </c>
      <c r="BS19" s="236">
        <v>18</v>
      </c>
      <c r="BT19" s="236">
        <v>8</v>
      </c>
      <c r="BU19" s="236">
        <v>172</v>
      </c>
      <c r="BV19" s="236">
        <v>26</v>
      </c>
      <c r="BW19" s="236">
        <v>54</v>
      </c>
      <c r="BX19"/>
      <c r="BY19"/>
      <c r="BZ19"/>
      <c r="CA19" s="208"/>
    </row>
    <row r="20" spans="1:79" s="203" customFormat="1" ht="12.7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 s="20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80" zoomScaleNormal="80" workbookViewId="0">
      <selection activeCell="A32" sqref="A32"/>
    </sheetView>
  </sheetViews>
  <sheetFormatPr baseColWidth="10" defaultRowHeight="12"/>
  <cols>
    <col min="1" max="1" width="36.42578125" bestFit="1" customWidth="1"/>
    <col min="2" max="2" width="14.42578125" bestFit="1" customWidth="1"/>
    <col min="3" max="3" width="15.85546875" bestFit="1" customWidth="1"/>
    <col min="5" max="5" width="43.42578125" customWidth="1"/>
  </cols>
  <sheetData>
    <row r="1" spans="1:6" s="203" customFormat="1" ht="15.75">
      <c r="A1" s="359" t="s">
        <v>8203</v>
      </c>
      <c r="B1" s="359" t="s">
        <v>213</v>
      </c>
      <c r="C1" s="359" t="s">
        <v>8204</v>
      </c>
      <c r="D1" s="359" t="s">
        <v>8205</v>
      </c>
      <c r="E1" s="359" t="s">
        <v>8206</v>
      </c>
    </row>
    <row r="2" spans="1:6" s="203" customFormat="1" ht="45">
      <c r="A2" s="360" t="s">
        <v>8282</v>
      </c>
      <c r="B2" s="361">
        <v>41522</v>
      </c>
      <c r="C2" s="362"/>
      <c r="D2" s="362"/>
      <c r="E2" s="367" t="s">
        <v>8283</v>
      </c>
    </row>
    <row r="3" spans="1:6" s="203" customFormat="1" ht="15.75">
      <c r="A3" s="360" t="s">
        <v>8277</v>
      </c>
      <c r="B3" s="361">
        <v>41526</v>
      </c>
      <c r="C3" s="363" t="s">
        <v>8278</v>
      </c>
      <c r="D3" s="363"/>
      <c r="E3" s="363" t="s">
        <v>8279</v>
      </c>
    </row>
    <row r="4" spans="1:6" s="203" customFormat="1" ht="15.75">
      <c r="A4" s="360" t="s">
        <v>8284</v>
      </c>
      <c r="B4" s="361">
        <v>41526</v>
      </c>
      <c r="C4" s="363" t="s">
        <v>8273</v>
      </c>
      <c r="D4" s="362"/>
      <c r="E4" s="363" t="s">
        <v>8285</v>
      </c>
    </row>
    <row r="5" spans="1:6" s="203" customFormat="1" ht="15.75" customHeight="1">
      <c r="A5" s="439" t="s">
        <v>8277</v>
      </c>
      <c r="B5" s="441">
        <v>41533</v>
      </c>
      <c r="C5" s="364" t="s">
        <v>8278</v>
      </c>
      <c r="D5" s="368"/>
      <c r="E5" s="364" t="s">
        <v>8279</v>
      </c>
      <c r="F5" s="440"/>
    </row>
    <row r="6" spans="1:6" s="203" customFormat="1" ht="15.75" customHeight="1">
      <c r="A6" s="439"/>
      <c r="B6" s="441"/>
      <c r="C6" s="364" t="s">
        <v>8280</v>
      </c>
      <c r="D6" s="363"/>
      <c r="E6" s="364" t="s">
        <v>8281</v>
      </c>
      <c r="F6" s="440"/>
    </row>
    <row r="7" spans="1:6" s="203" customFormat="1" ht="12.75" customHeight="1">
      <c r="A7" s="439" t="s">
        <v>8286</v>
      </c>
      <c r="B7" s="361">
        <v>41704</v>
      </c>
      <c r="C7" s="364" t="s">
        <v>8287</v>
      </c>
      <c r="D7" s="365"/>
      <c r="E7" s="363" t="s">
        <v>8267</v>
      </c>
    </row>
    <row r="8" spans="1:6" s="203" customFormat="1" ht="12.75" customHeight="1">
      <c r="A8" s="439"/>
      <c r="B8" s="361">
        <v>41711</v>
      </c>
      <c r="C8" s="369"/>
      <c r="D8" s="366"/>
      <c r="E8" s="364" t="s">
        <v>8268</v>
      </c>
    </row>
    <row r="9" spans="1:6" s="203" customFormat="1" ht="15.75">
      <c r="A9" s="439"/>
      <c r="B9" s="361">
        <v>41711</v>
      </c>
      <c r="C9" s="369"/>
      <c r="D9" s="365"/>
      <c r="E9" s="365" t="s">
        <v>8269</v>
      </c>
    </row>
    <row r="10" spans="1:6" s="203" customFormat="1" ht="15.75" customHeight="1">
      <c r="A10" s="439"/>
      <c r="B10" s="441">
        <v>41729</v>
      </c>
      <c r="C10" s="369"/>
      <c r="D10" s="365"/>
      <c r="E10" s="365" t="s">
        <v>8270</v>
      </c>
    </row>
    <row r="11" spans="1:6" s="203" customFormat="1" ht="15.75" customHeight="1">
      <c r="A11" s="439"/>
      <c r="B11" s="441"/>
      <c r="C11" s="369"/>
      <c r="D11" s="365"/>
      <c r="E11" s="365" t="s">
        <v>8271</v>
      </c>
    </row>
    <row r="12" spans="1:6" s="203" customFormat="1" ht="15.75" customHeight="1">
      <c r="A12" s="439"/>
      <c r="B12" s="441"/>
      <c r="C12" s="369"/>
      <c r="D12" s="365"/>
      <c r="E12" s="365" t="s">
        <v>8272</v>
      </c>
    </row>
    <row r="13" spans="1:6" s="203" customFormat="1" ht="15.75" customHeight="1">
      <c r="A13" s="439" t="s">
        <v>8274</v>
      </c>
      <c r="B13" s="361">
        <v>41736</v>
      </c>
      <c r="C13" s="364" t="s">
        <v>8275</v>
      </c>
      <c r="D13" s="364"/>
      <c r="E13" s="364" t="s">
        <v>8288</v>
      </c>
    </row>
    <row r="14" spans="1:6" s="203" customFormat="1" ht="15.75" customHeight="1">
      <c r="A14" s="439"/>
      <c r="B14" s="361">
        <v>41750</v>
      </c>
      <c r="C14" s="364" t="s">
        <v>8275</v>
      </c>
      <c r="D14" s="369"/>
      <c r="E14" s="364" t="s">
        <v>8276</v>
      </c>
      <c r="F14" s="210"/>
    </row>
    <row r="15" spans="1:6" s="203" customFormat="1" ht="15.75">
      <c r="A15" s="360" t="s">
        <v>8289</v>
      </c>
      <c r="B15" s="361">
        <v>41705</v>
      </c>
      <c r="C15" s="362"/>
      <c r="D15" s="362"/>
      <c r="E15" s="362"/>
    </row>
  </sheetData>
  <mergeCells count="6">
    <mergeCell ref="A13:A14"/>
    <mergeCell ref="F5:F6"/>
    <mergeCell ref="B5:B6"/>
    <mergeCell ref="A5:A6"/>
    <mergeCell ref="B10:B12"/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2015-01-19T16:01:37Z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