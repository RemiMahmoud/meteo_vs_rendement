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60" windowWidth="19200" windowHeight="8130" tabRatio="903" firstSheet="11" activeTab="18"/>
  </bookViews>
  <sheets>
    <sheet name="README" sheetId="1" r:id="rId1"/>
    <sheet name="Trial" sheetId="2" r:id="rId2"/>
    <sheet name="Site" sheetId="3" r:id="rId3"/>
    <sheet name="Contact" sheetId="4" r:id="rId4"/>
    <sheet name="Variable" sheetId="5" r:id="rId5"/>
    <sheet name="PlantMaterial" sheetId="6" r:id="rId6"/>
    <sheet name="Treatment" sheetId="7" r:id="rId7"/>
    <sheet name="Level" sheetId="8" r:id="rId8"/>
    <sheet name="Data" sheetId="9" r:id="rId9"/>
    <sheet name="Files" sheetId="10" r:id="rId10"/>
    <sheet name="ForestComplementaryInfo" sheetId="11" r:id="rId11"/>
    <sheet name="StaticData" sheetId="12" r:id="rId12"/>
    <sheet name="Meteo_Data" sheetId="13" r:id="rId13"/>
    <sheet name="Soil_data" sheetId="14" r:id="rId14"/>
    <sheet name="INN_Data" sheetId="15" r:id="rId15"/>
    <sheet name="Parcellaire_data" sheetId="16" r:id="rId16"/>
    <sheet name="ITK_data" sheetId="17" r:id="rId17"/>
    <sheet name="Feuil2" sheetId="19" r:id="rId18"/>
    <sheet name="Feuil4" sheetId="21" r:id="rId19"/>
    <sheet name="Feuil1" sheetId="18" r:id="rId20"/>
  </sheets>
  <definedNames>
    <definedName name="_xlnm._FilterDatabase" localSheetId="8" hidden="1">Data!$A$1:$CM$881</definedName>
    <definedName name="_xlnm._FilterDatabase" localSheetId="19" hidden="1">Feuil1!$A$1:$C$751</definedName>
    <definedName name="_xlnm._FilterDatabase" localSheetId="5" hidden="1">PlantMaterial!$A$1:$E$209</definedName>
    <definedName name="HoldingInstitution">StaticData!$C$1:$C$21</definedName>
    <definedName name="InstitutionName">StaticData!$B$1:$B$1457</definedName>
    <definedName name="ProjectAcronym">StaticData!$D$1:$D$225</definedName>
    <definedName name="SiteName">StaticData!$E$1:$E$24</definedName>
    <definedName name="TaxonScientificName">StaticData!$A$1:$A$5470</definedName>
  </definedNames>
  <calcPr calcId="145621"/>
</workbook>
</file>

<file path=xl/calcChain.xml><?xml version="1.0" encoding="utf-8"?>
<calcChain xmlns="http://schemas.openxmlformats.org/spreadsheetml/2006/main">
  <c r="Y19" i="15" l="1"/>
  <c r="CK855" i="9" l="1"/>
  <c r="CK78" i="9"/>
  <c r="CK98" i="9"/>
  <c r="CK106" i="9"/>
  <c r="CK163" i="9"/>
  <c r="CK171" i="9"/>
  <c r="CK198" i="9"/>
  <c r="CK239" i="9"/>
  <c r="CK330" i="9"/>
  <c r="CK350" i="9"/>
  <c r="CK434" i="9"/>
  <c r="CK438" i="9"/>
  <c r="Y4" i="15" l="1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20" i="15"/>
  <c r="Y21" i="15"/>
  <c r="Y22" i="15"/>
  <c r="Y23" i="15"/>
  <c r="Y24" i="15"/>
  <c r="Y25" i="15"/>
  <c r="Y26" i="15"/>
  <c r="Y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3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11" i="15"/>
  <c r="W4" i="15"/>
  <c r="W5" i="15"/>
  <c r="W6" i="15"/>
  <c r="W7" i="15"/>
  <c r="W8" i="15"/>
  <c r="W9" i="15"/>
  <c r="W10" i="15"/>
  <c r="W3" i="15"/>
  <c r="S3" i="15"/>
  <c r="L8" i="15"/>
  <c r="J8" i="15" s="1"/>
  <c r="S8" i="15" s="1"/>
  <c r="T8" i="15" s="1"/>
  <c r="O3" i="15"/>
  <c r="O4" i="15"/>
  <c r="O5" i="15"/>
  <c r="O6" i="15"/>
  <c r="O7" i="15"/>
  <c r="O8" i="15"/>
  <c r="O9" i="15"/>
  <c r="O10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11" i="15"/>
  <c r="R3" i="15"/>
  <c r="L3" i="15" s="1"/>
  <c r="J3" i="15" s="1"/>
  <c r="R4" i="15"/>
  <c r="R5" i="15"/>
  <c r="R6" i="15"/>
  <c r="R7" i="15"/>
  <c r="R8" i="15"/>
  <c r="R9" i="15"/>
  <c r="L9" i="15" s="1"/>
  <c r="J9" i="15" s="1"/>
  <c r="S9" i="15" s="1"/>
  <c r="T9" i="15" s="1"/>
  <c r="R10" i="15"/>
  <c r="R12" i="15"/>
  <c r="R13" i="15"/>
  <c r="R14" i="15"/>
  <c r="L14" i="15" s="1"/>
  <c r="J14" i="15" s="1"/>
  <c r="R15" i="15"/>
  <c r="R16" i="15"/>
  <c r="R17" i="15"/>
  <c r="L17" i="15" s="1"/>
  <c r="J17" i="15" s="1"/>
  <c r="S17" i="15" s="1"/>
  <c r="T17" i="15" s="1"/>
  <c r="R18" i="15"/>
  <c r="R19" i="15"/>
  <c r="L19" i="15" s="1"/>
  <c r="J19" i="15" s="1"/>
  <c r="S19" i="15" s="1"/>
  <c r="T19" i="15" s="1"/>
  <c r="R20" i="15"/>
  <c r="R21" i="15"/>
  <c r="R22" i="15"/>
  <c r="R23" i="15"/>
  <c r="R24" i="15"/>
  <c r="L24" i="15" s="1"/>
  <c r="J24" i="15" s="1"/>
  <c r="R25" i="15"/>
  <c r="L25" i="15" s="1"/>
  <c r="J25" i="15" s="1"/>
  <c r="S25" i="15" s="1"/>
  <c r="T25" i="15" s="1"/>
  <c r="R26" i="15"/>
  <c r="R11" i="15"/>
  <c r="L11" i="15" s="1"/>
  <c r="J11" i="15" s="1"/>
  <c r="S11" i="15" s="1"/>
  <c r="T11" i="15" s="1"/>
  <c r="L10" i="15" l="1"/>
  <c r="J10" i="15" s="1"/>
  <c r="S10" i="15" s="1"/>
  <c r="T10" i="15" s="1"/>
  <c r="S26" i="15"/>
  <c r="T26" i="15" s="1"/>
  <c r="S16" i="15"/>
  <c r="T16" i="15" s="1"/>
  <c r="S22" i="15"/>
  <c r="T22" i="15" s="1"/>
  <c r="S13" i="15"/>
  <c r="T13" i="15" s="1"/>
  <c r="S18" i="15"/>
  <c r="T18" i="15" s="1"/>
  <c r="L15" i="15"/>
  <c r="J15" i="15" s="1"/>
  <c r="S15" i="15" s="1"/>
  <c r="T15" i="15" s="1"/>
  <c r="S24" i="15"/>
  <c r="T24" i="15" s="1"/>
  <c r="L22" i="15"/>
  <c r="J22" i="15" s="1"/>
  <c r="L26" i="15"/>
  <c r="J26" i="15" s="1"/>
  <c r="L18" i="15"/>
  <c r="J18" i="15" s="1"/>
  <c r="T3" i="15"/>
  <c r="L16" i="15"/>
  <c r="J16" i="15" s="1"/>
  <c r="L23" i="15"/>
  <c r="J23" i="15" s="1"/>
  <c r="S23" i="15" s="1"/>
  <c r="T23" i="15" s="1"/>
  <c r="L6" i="15"/>
  <c r="J6" i="15" s="1"/>
  <c r="S6" i="15" s="1"/>
  <c r="T6" i="15" s="1"/>
  <c r="L21" i="15"/>
  <c r="J21" i="15" s="1"/>
  <c r="S21" i="15" s="1"/>
  <c r="T21" i="15" s="1"/>
  <c r="L13" i="15"/>
  <c r="J13" i="15" s="1"/>
  <c r="L5" i="15"/>
  <c r="J5" i="15" s="1"/>
  <c r="S5" i="15" s="1"/>
  <c r="T5" i="15" s="1"/>
  <c r="S14" i="15"/>
  <c r="T14" i="15" s="1"/>
  <c r="L12" i="15"/>
  <c r="J12" i="15" s="1"/>
  <c r="S12" i="15" s="1"/>
  <c r="T12" i="15" s="1"/>
  <c r="L4" i="15"/>
  <c r="J4" i="15" s="1"/>
  <c r="S4" i="15" s="1"/>
  <c r="T4" i="15" s="1"/>
  <c r="L7" i="15"/>
  <c r="J7" i="15" s="1"/>
  <c r="S7" i="15" s="1"/>
  <c r="T7" i="15" s="1"/>
  <c r="L20" i="15"/>
  <c r="J20" i="15" s="1"/>
  <c r="S20" i="15" s="1"/>
  <c r="T20" i="15" s="1"/>
  <c r="M22" i="13" l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</calcChain>
</file>

<file path=xl/comments1.xml><?xml version="1.0" encoding="utf-8"?>
<comments xmlns="http://schemas.openxmlformats.org/spreadsheetml/2006/main">
  <authors>
    <author/>
  </authors>
  <commentList>
    <comment ref="E68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2.xml><?xml version="1.0" encoding="utf-8"?>
<comments xmlns="http://schemas.openxmlformats.org/spreadsheetml/2006/main">
  <authors>
    <author>Tyfanie Bourlet</author>
  </authors>
  <commentList>
    <comment ref="B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coordonnées GPS http://www.lexilogos.com/calcul_distances.htm)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Adonis : modalité</t>
        </r>
      </text>
    </comment>
  </commentList>
</comments>
</file>

<file path=xl/comments4.xml><?xml version="1.0" encoding="utf-8"?>
<comments xmlns="http://schemas.openxmlformats.org/spreadsheetml/2006/main">
  <authors>
    <author>Tyfanie Bourlet</author>
    <author/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  <comment ref="E1" authorId="1">
      <text>
        <r>
          <rPr>
            <b/>
            <sz val="9"/>
            <color indexed="8"/>
            <rFont val="Tahoma"/>
            <family val="2"/>
            <charset val="1"/>
          </rPr>
          <t xml:space="preserve">cpommier:
</t>
        </r>
        <r>
          <rPr>
            <sz val="9"/>
            <color indexed="8"/>
            <rFont val="Tahoma"/>
            <family val="2"/>
            <charset val="1"/>
          </rPr>
          <t>Mandatory column which could be empty.</t>
        </r>
      </text>
    </comment>
  </commentList>
</comments>
</file>

<file path=xl/comments5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Insérer les fichiers comme : 
ITK, INN, Dispositif expérimental, Météo, Tensiométrie</t>
        </r>
      </text>
    </comment>
  </commentList>
</comments>
</file>

<file path=xl/comments6.xml><?xml version="1.0" encoding="utf-8"?>
<comments xmlns="http://schemas.openxmlformats.org/spreadsheetml/2006/main">
  <authors>
    <author>Tyfanie Bourlet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Tyfanie Bourlet:</t>
        </r>
        <r>
          <rPr>
            <sz val="9"/>
            <color indexed="81"/>
            <rFont val="Tahoma"/>
            <family val="2"/>
          </rPr>
          <t xml:space="preserve">
Mettre les LotNames (RAPSO003,,,,)</t>
        </r>
      </text>
    </comment>
  </commentList>
</comments>
</file>

<file path=xl/sharedStrings.xml><?xml version="1.0" encoding="utf-8"?>
<sst xmlns="http://schemas.openxmlformats.org/spreadsheetml/2006/main" count="12742" uniqueCount="8383">
  <si>
    <t>GnpISVersionNumber</t>
  </si>
  <si>
    <t>14_1</t>
  </si>
  <si>
    <t>StaticDataExtraction</t>
  </si>
  <si>
    <t>SubmissionType</t>
  </si>
  <si>
    <t>Ephesis</t>
  </si>
  <si>
    <t>This worksheet is used for submit phenotyping data.</t>
  </si>
  <si>
    <t>SUBMIT NOTE</t>
  </si>
  <si>
    <r>
      <t>RED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required</t>
    </r>
    <r>
      <rPr>
        <sz val="10"/>
        <rFont val="Arial"/>
        <family val="2"/>
        <charset val="1"/>
      </rPr>
      <t xml:space="preserve"> for submission, must not be empty.</t>
    </r>
  </si>
  <si>
    <r>
      <t>BLACK</t>
    </r>
    <r>
      <rPr>
        <sz val="10"/>
        <rFont val="Arial"/>
        <family val="2"/>
        <charset val="1"/>
      </rPr>
      <t xml:space="preserve"> names indicate </t>
    </r>
    <r>
      <rPr>
        <b/>
        <sz val="10"/>
        <rFont val="Arial"/>
        <family val="2"/>
        <charset val="1"/>
      </rPr>
      <t>fields / sheets that are optional</t>
    </r>
    <r>
      <rPr>
        <sz val="10"/>
        <rFont val="Arial"/>
        <family val="2"/>
        <charset val="1"/>
      </rPr>
      <t xml:space="preserve"> for submission, may be empty.</t>
    </r>
  </si>
  <si>
    <r>
      <t>BLUE</t>
    </r>
    <r>
      <rPr>
        <sz val="10"/>
        <color indexed="4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names indicate</t>
    </r>
    <r>
      <rPr>
        <b/>
        <sz val="10"/>
        <rFont val="Arial"/>
        <family val="2"/>
        <charset val="1"/>
      </rPr>
      <t xml:space="preserve"> specific fields / sheets </t>
    </r>
    <r>
      <rPr>
        <sz val="10"/>
        <rFont val="Arial"/>
        <family val="2"/>
        <charset val="1"/>
      </rPr>
      <t>for submission. Column can be empty but must not be deleted.</t>
    </r>
  </si>
  <si>
    <t>DOCUMENTATION</t>
  </si>
  <si>
    <t>TRIAL</t>
  </si>
  <si>
    <t>General information on the trial</t>
  </si>
  <si>
    <t>TrialName</t>
  </si>
  <si>
    <t>TrialCode</t>
  </si>
  <si>
    <t>DateBegin</t>
  </si>
  <si>
    <t>DateEnd</t>
  </si>
  <si>
    <t>TrialGoal</t>
  </si>
  <si>
    <t>TrialComments</t>
  </si>
  <si>
    <t>PhenotypingCampain</t>
  </si>
  <si>
    <t>PMID</t>
  </si>
  <si>
    <t>X</t>
  </si>
  <si>
    <t>Y</t>
  </si>
  <si>
    <t>PreviousCrop</t>
  </si>
  <si>
    <t>TrialDesign</t>
  </si>
  <si>
    <t>TrialHistory</t>
  </si>
  <si>
    <t>ProjectAcronym</t>
  </si>
  <si>
    <t>TrialSet</t>
  </si>
  <si>
    <t>TrialSetType</t>
  </si>
  <si>
    <t>Description</t>
  </si>
  <si>
    <t>Free naming of the trial/assay</t>
  </si>
  <si>
    <t>Trial identification. Used for data integrity and update so must be unique</t>
  </si>
  <si>
    <t>Beginning date of this trial</t>
  </si>
  <si>
    <t>End date of this trial</t>
  </si>
  <si>
    <t>The main objectives of this experimentation</t>
  </si>
  <si>
    <t>Comments on this trial</t>
  </si>
  <si>
    <t>Name/Tag of a group of observations within the Trial. For instance all 2012 observations for a multiannual perenial plant trial.</t>
  </si>
  <si>
    <t>Comma separated list of publication's PMID.</t>
  </si>
  <si>
    <r>
      <t xml:space="preserve">Description of the </t>
    </r>
    <r>
      <rPr>
        <b/>
        <sz val="10"/>
        <rFont val="Arial"/>
        <family val="2"/>
        <charset val="1"/>
      </rPr>
      <t>X</t>
    </r>
    <r>
      <rPr>
        <sz val="10"/>
        <rFont val="Arial"/>
        <family val="2"/>
        <charset val="1"/>
      </rPr>
      <t xml:space="preserve"> of the</t>
    </r>
    <r>
      <rPr>
        <b/>
        <sz val="10"/>
        <rFont val="Arial"/>
        <family val="2"/>
        <charset val="1"/>
      </rPr>
      <t xml:space="preserve"> Data sheet</t>
    </r>
  </si>
  <si>
    <r>
      <t>Description of the</t>
    </r>
    <r>
      <rPr>
        <b/>
        <sz val="10"/>
        <rFont val="Arial"/>
        <family val="2"/>
        <charset val="1"/>
      </rPr>
      <t xml:space="preserve"> Y</t>
    </r>
    <r>
      <rPr>
        <sz val="10"/>
        <rFont val="Arial"/>
        <family val="2"/>
        <charset val="1"/>
      </rPr>
      <t xml:space="preserve"> of the </t>
    </r>
    <r>
      <rPr>
        <b/>
        <sz val="10"/>
        <rFont val="Arial"/>
        <family val="2"/>
        <charset val="1"/>
      </rPr>
      <t>Data sheet</t>
    </r>
  </si>
  <si>
    <t>Crop installed on this site before this trial</t>
  </si>
  <si>
    <t>Design of the trial</t>
  </si>
  <si>
    <t>Identification of previous contacts and/or owners</t>
  </si>
  <si>
    <t>Acronym of the project in which the experiment was made</t>
  </si>
  <si>
    <t>Name of the trial group</t>
  </si>
  <si>
    <t>Type of the trial group</t>
  </si>
  <si>
    <t>Example</t>
  </si>
  <si>
    <t>mon test</t>
  </si>
  <si>
    <t>MON_TEST</t>
  </si>
  <si>
    <t>22/03/2013</t>
  </si>
  <si>
    <t>2014</t>
  </si>
  <si>
    <t>Diversity analysis</t>
  </si>
  <si>
    <t>Essai test</t>
  </si>
  <si>
    <t>15608279,2052071</t>
  </si>
  <si>
    <t>row</t>
  </si>
  <si>
    <t>column</t>
  </si>
  <si>
    <t>Come from BORDEAUX (Louvet)</t>
  </si>
  <si>
    <t>myGroup</t>
  </si>
  <si>
    <t>Replication</t>
  </si>
  <si>
    <t>Data type</t>
  </si>
  <si>
    <t>String</t>
  </si>
  <si>
    <t>Date: dd/mm/yyyy
Date: mm/yyyy
Date: yyyy</t>
  </si>
  <si>
    <t>Number</t>
  </si>
  <si>
    <t>SITE</t>
  </si>
  <si>
    <t>General information on the experimental site</t>
  </si>
  <si>
    <t>SiteName</t>
  </si>
  <si>
    <t>Latitude</t>
  </si>
  <si>
    <t>Longitude</t>
  </si>
  <si>
    <t>Elevation</t>
  </si>
  <si>
    <t>Exposure</t>
  </si>
  <si>
    <t>Slope</t>
  </si>
  <si>
    <t>CityOrRegionOrCountry</t>
  </si>
  <si>
    <t>SiteStatus</t>
  </si>
  <si>
    <t>Landowner</t>
  </si>
  <si>
    <t>Comment</t>
  </si>
  <si>
    <t>MeteoStationCode</t>
  </si>
  <si>
    <t>MeteoStationNetwork</t>
  </si>
  <si>
    <t>Name of the experimental site (Plateform name, Field identification, etc…)</t>
  </si>
  <si>
    <t>Latitude of the experimental site (GPS).
Use decimal version of the coordinate (cf. http://www.lexilogos.com/calcul_distances.htm)</t>
  </si>
  <si>
    <t>Longitude of the experimental site (GPS).
Use decimal version of the coordinate (cf. http://www.lexilogos.com/calcul_distances.htm)</t>
  </si>
  <si>
    <t>Altitude of the experimental site</t>
  </si>
  <si>
    <t>Principal exposure of the experimental site</t>
  </si>
  <si>
    <t>Principal type of the slope of the experimental site</t>
  </si>
  <si>
    <t>Nearest city, region or country from the experimental site</t>
  </si>
  <si>
    <t>Property status of the experimental site</t>
  </si>
  <si>
    <t>Landowner of the experimental site</t>
  </si>
  <si>
    <t>Comment about the experimental site</t>
  </si>
  <si>
    <t>Code of the meteo station</t>
  </si>
  <si>
    <t>Name of the meteo station network</t>
  </si>
  <si>
    <t>Examples</t>
  </si>
  <si>
    <t>Bordeaux</t>
  </si>
  <si>
    <t>FRA</t>
  </si>
  <si>
    <t>S</t>
  </si>
  <si>
    <t>Forêt domaniale</t>
  </si>
  <si>
    <t>P (= Private property)
I (= INRA)
S (= Under a specific regime)</t>
  </si>
  <si>
    <t>CONTACT</t>
  </si>
  <si>
    <t>List of persons involved in this trial (scientific, submiter, landowner…)</t>
  </si>
  <si>
    <t>Type</t>
  </si>
  <si>
    <t>LastName</t>
  </si>
  <si>
    <t>FirstName</t>
  </si>
  <si>
    <t>Phone</t>
  </si>
  <si>
    <t>Fax</t>
  </si>
  <si>
    <t>Email</t>
  </si>
  <si>
    <t>Institution</t>
  </si>
  <si>
    <t>Laboratory</t>
  </si>
  <si>
    <t>Type of the contact.</t>
  </si>
  <si>
    <t>Contact name, in upper case.</t>
  </si>
  <si>
    <t>Contact first name, first letter in upper case.</t>
  </si>
  <si>
    <t>Following international phone number convention.</t>
  </si>
  <si>
    <t>Following international fax number convention</t>
  </si>
  <si>
    <t>Electronic mail.</t>
  </si>
  <si>
    <t>Institution name.</t>
  </si>
  <si>
    <t>Laboratory name.</t>
  </si>
  <si>
    <t>Submiter</t>
  </si>
  <si>
    <t>DUPOND</t>
  </si>
  <si>
    <t>Jacques</t>
  </si>
  <si>
    <t>+33 (0) 1 30 83 38 99</t>
  </si>
  <si>
    <t>+33 (0) 1 30 83 38 90</t>
  </si>
  <si>
    <t>jacques.dupond@email.com</t>
  </si>
  <si>
    <t>INRA</t>
  </si>
  <si>
    <t>URGI</t>
  </si>
  <si>
    <t>Phone number</t>
  </si>
  <si>
    <t>Fax number</t>
  </si>
  <si>
    <t>VARIABLE</t>
  </si>
  <si>
    <t>List of variables observed in this trial. Idealy they are part of a well identified ontology.</t>
  </si>
  <si>
    <t>Each variable is reused as a column in the Data sheet.</t>
  </si>
  <si>
    <t>OntologyName</t>
  </si>
  <si>
    <t>VariableCode</t>
  </si>
  <si>
    <t>VariableName</t>
  </si>
  <si>
    <t>MeasurmentUnit</t>
  </si>
  <si>
    <t>MeasurmentProtocol</t>
  </si>
  <si>
    <t>ParentVariable</t>
  </si>
  <si>
    <t>Full name of the ontology holding this variable</t>
  </si>
  <si>
    <r>
      <t>Identification of the variable. Unique within the ontology declared in O</t>
    </r>
    <r>
      <rPr>
        <b/>
        <sz val="10"/>
        <rFont val="Arial"/>
        <family val="2"/>
        <charset val="1"/>
      </rPr>
      <t>ntologyName</t>
    </r>
    <r>
      <rPr>
        <sz val="10"/>
        <rFont val="Arial"/>
        <family val="2"/>
        <charset val="1"/>
      </rPr>
      <t xml:space="preserve">. This code is used as header in the </t>
    </r>
    <r>
      <rPr>
        <b/>
        <sz val="10"/>
        <rFont val="Arial"/>
        <family val="2"/>
        <charset val="1"/>
      </rPr>
      <t>Data sheet</t>
    </r>
  </si>
  <si>
    <t>Name of the variable</t>
  </si>
  <si>
    <t>Full description of the variable</t>
  </si>
  <si>
    <t>Unit of the mesured variable</t>
  </si>
  <si>
    <t>Reference measurment protocol of the variable</t>
  </si>
  <si>
    <r>
      <t>VariableCode</t>
    </r>
    <r>
      <rPr>
        <sz val="10"/>
        <rFont val="Arial"/>
        <family val="2"/>
        <charset val="1"/>
      </rPr>
      <t xml:space="preserve"> of this variable's parent</t>
    </r>
  </si>
  <si>
    <t>Comments on the variable</t>
  </si>
  <si>
    <t>trait ontology</t>
  </si>
  <si>
    <t>haut</t>
  </si>
  <si>
    <t>hauteur</t>
  </si>
  <si>
    <t>cm</t>
  </si>
  <si>
    <t>PLANT MATERIAL</t>
  </si>
  <si>
    <t>List of genotypes. Should be preexisting in GnpIS. If not sure contact us.</t>
  </si>
  <si>
    <t>TaxonScientificName</t>
  </si>
  <si>
    <t>AccessionNumber</t>
  </si>
  <si>
    <t>AccessionName</t>
  </si>
  <si>
    <t>HoldingInstitution</t>
  </si>
  <si>
    <t>LotName</t>
  </si>
  <si>
    <t>Scientific name of the taxon</t>
  </si>
  <si>
    <t>Unique identification of the accession/genotype</t>
  </si>
  <si>
    <t>Full name of the accession</t>
  </si>
  <si>
    <t>Institution holding this accession</t>
  </si>
  <si>
    <r>
      <t xml:space="preserve">Identification of the physical plant(s) used in the trial : seeds, tree, ….
Used in the first column of the </t>
    </r>
    <r>
      <rPr>
        <b/>
        <sz val="10"/>
        <rFont val="Arial"/>
        <family val="2"/>
        <charset val="1"/>
      </rPr>
      <t>Data sheet</t>
    </r>
  </si>
  <si>
    <t>Triticum aestivum</t>
  </si>
  <si>
    <t>274Col49</t>
  </si>
  <si>
    <t>chargeur</t>
  </si>
  <si>
    <t>ch</t>
  </si>
  <si>
    <t>TREATMENT</t>
  </si>
  <si>
    <t>List of factor and modalities used in this trial. Treatments are  combination of modalities.</t>
  </si>
  <si>
    <t>Each factor is reused as a column in the Data sheet. The modalities of each factor are the authorised value for this factor/column.</t>
  </si>
  <si>
    <t>Factor</t>
  </si>
  <si>
    <t>ModeCode</t>
  </si>
  <si>
    <t>ModeName</t>
  </si>
  <si>
    <t>ModeDescription</t>
  </si>
  <si>
    <r>
      <t xml:space="preserve">Name of the factor.
This name is used as header in the </t>
    </r>
    <r>
      <rPr>
        <b/>
        <sz val="10"/>
        <rFont val="Arial"/>
        <family val="2"/>
        <charset val="1"/>
      </rPr>
      <t>Data sheet</t>
    </r>
  </si>
  <si>
    <r>
      <t xml:space="preserve">Unique identifier of the modality.
This code is used as value in the </t>
    </r>
    <r>
      <rPr>
        <b/>
        <sz val="10"/>
        <rFont val="Arial"/>
        <family val="2"/>
        <charset val="1"/>
      </rPr>
      <t>Data sheet</t>
    </r>
    <r>
      <rPr>
        <sz val="10"/>
        <rFont val="Arial"/>
        <family val="2"/>
        <charset val="1"/>
      </rPr>
      <t xml:space="preserve"> </t>
    </r>
    <r>
      <rPr>
        <b/>
        <sz val="10"/>
        <rFont val="Arial"/>
        <family val="2"/>
        <charset val="1"/>
      </rPr>
      <t>factor</t>
    </r>
    <r>
      <rPr>
        <sz val="10"/>
        <rFont val="Arial"/>
        <family val="2"/>
        <charset val="1"/>
      </rPr>
      <t>'s column</t>
    </r>
  </si>
  <si>
    <t>Full name of the modality</t>
  </si>
  <si>
    <t>Full description of the modality, possibly with a short description of its caracteristics like phenologic stade for a given treatment</t>
  </si>
  <si>
    <t>engrais</t>
  </si>
  <si>
    <t>N0</t>
  </si>
  <si>
    <t>azote 0</t>
  </si>
  <si>
    <t>ajout de 0 kilog/hectar de produitA a x concentration tous les mois.</t>
  </si>
  <si>
    <t>LEVEL</t>
  </si>
  <si>
    <t xml:space="preserve">Structure of the trial, for instance bloc &gt; plot &gt; plant. Can be empty if you want to store only genotype x factor data and no plot data. </t>
  </si>
  <si>
    <t>Each level is reused as a column in the Data sheet.</t>
  </si>
  <si>
    <t>Code</t>
  </si>
  <si>
    <t>Name</t>
  </si>
  <si>
    <t>ParentLevel</t>
  </si>
  <si>
    <r>
      <t xml:space="preserve">Unique identification of the level (plot, bloc, plant, …) within the trial.
This code is used as header in the </t>
    </r>
    <r>
      <rPr>
        <b/>
        <sz val="10"/>
        <rFont val="Arial"/>
        <family val="2"/>
        <charset val="1"/>
      </rPr>
      <t>Data sheet</t>
    </r>
  </si>
  <si>
    <t>Full name of the level</t>
  </si>
  <si>
    <t>Description of the level</t>
  </si>
  <si>
    <r>
      <t>Code</t>
    </r>
    <r>
      <rPr>
        <sz val="10"/>
        <rFont val="Arial"/>
        <family val="2"/>
        <charset val="1"/>
      </rPr>
      <t xml:space="preserve"> of this level parents. If you have X levels, this column must be filled for X-1 levels</t>
    </r>
  </si>
  <si>
    <t>Rep</t>
  </si>
  <si>
    <t>Repetition</t>
  </si>
  <si>
    <t>Bloc</t>
  </si>
  <si>
    <t>DATA</t>
  </si>
  <si>
    <t>Data matrix: hold any type of observation (phenotype, env, etc…)</t>
  </si>
  <si>
    <t>&lt;factors&gt;</t>
  </si>
  <si>
    <t>&lt;levels&gt;</t>
  </si>
  <si>
    <t>X(m)</t>
  </si>
  <si>
    <t>Y(m)</t>
  </si>
  <si>
    <t>&lt;variables&gt;_value</t>
  </si>
  <si>
    <t>&lt;variables&gt;_date</t>
  </si>
  <si>
    <r>
      <t xml:space="preserve">Identification of the genotype of the observed object.
Must be found in the </t>
    </r>
    <r>
      <rPr>
        <b/>
        <sz val="10"/>
        <rFont val="Arial"/>
        <family val="2"/>
        <charset val="1"/>
      </rPr>
      <t>VarietalList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</si>
  <si>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factors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Treatments sheet</t>
    </r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</si>
  <si>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levels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StudySubjectLevels sheet</t>
    </r>
  </si>
  <si>
    <t>X position of the observed object</t>
  </si>
  <si>
    <t>Y position of the observed object</t>
  </si>
  <si>
    <t>X position of the observed object in meters</t>
  </si>
  <si>
    <t>Y position of the observed object in meters</t>
  </si>
  <si>
    <r>
      <t>headers: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variables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Variables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</si>
  <si>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all </t>
    </r>
    <r>
      <rPr>
        <b/>
        <sz val="10"/>
        <rFont val="Arial"/>
        <family val="2"/>
        <charset val="1"/>
      </rPr>
      <t>mode_code</t>
    </r>
    <r>
      <rPr>
        <sz val="10"/>
        <rFont val="Arial"/>
        <family val="2"/>
        <charset val="1"/>
      </rPr>
      <t xml:space="preserve"> declared in the </t>
    </r>
    <r>
      <rPr>
        <b/>
        <sz val="10"/>
        <rFont val="Arial"/>
        <family val="2"/>
        <charset val="1"/>
      </rPr>
      <t>Treatment sheet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</si>
  <si>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levels identifiers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</si>
  <si>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value of the variable for the observed object</t>
    </r>
  </si>
  <si>
    <r>
      <t>values</t>
    </r>
    <r>
      <rPr>
        <i/>
        <sz val="10"/>
        <rFont val="Arial"/>
        <family val="2"/>
        <charset val="1"/>
      </rPr>
      <t>:</t>
    </r>
    <r>
      <rPr>
        <sz val="10"/>
        <rFont val="Arial"/>
        <family val="2"/>
        <charset val="1"/>
      </rPr>
      <t xml:space="preserve"> observation date of the variable</t>
    </r>
  </si>
  <si>
    <r>
      <t>header</t>
    </r>
    <r>
      <rPr>
        <sz val="10"/>
        <rFont val="Arial"/>
        <family val="2"/>
        <charset val="1"/>
      </rPr>
      <t xml:space="preserve">: engrais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N0</t>
    </r>
  </si>
  <si>
    <r>
      <t>header</t>
    </r>
    <r>
      <rPr>
        <sz val="10"/>
        <rFont val="Arial"/>
        <family val="2"/>
        <charset val="1"/>
      </rPr>
      <t xml:space="preserve">: bloc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bloc1</t>
    </r>
  </si>
  <si>
    <r>
      <t>header</t>
    </r>
    <r>
      <rPr>
        <sz val="10"/>
        <rFont val="Arial"/>
        <family val="2"/>
        <charset val="1"/>
      </rPr>
      <t xml:space="preserve">: haut_value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15</t>
    </r>
  </si>
  <si>
    <r>
      <t>header</t>
    </r>
    <r>
      <rPr>
        <sz val="10"/>
        <rFont val="Arial"/>
        <family val="2"/>
        <charset val="1"/>
      </rPr>
      <t xml:space="preserve">: haut_date
</t>
    </r>
    <r>
      <rPr>
        <i/>
        <sz val="10"/>
        <rFont val="Arial"/>
        <family val="2"/>
        <charset val="1"/>
      </rPr>
      <t>value:</t>
    </r>
    <r>
      <rPr>
        <sz val="10"/>
        <rFont val="Arial"/>
        <family val="2"/>
        <charset val="1"/>
      </rPr>
      <t xml:space="preserve"> </t>
    </r>
  </si>
  <si>
    <t>String or Number</t>
  </si>
  <si>
    <t>Date</t>
  </si>
  <si>
    <t>FILES</t>
  </si>
  <si>
    <t>FileName</t>
  </si>
  <si>
    <t>Link</t>
  </si>
  <si>
    <t>FileType</t>
  </si>
  <si>
    <t>FileSize</t>
  </si>
  <si>
    <t>CreationDate</t>
  </si>
  <si>
    <t>Name of the file</t>
  </si>
  <si>
    <t>URL where the file can be found (file repository)</t>
  </si>
  <si>
    <t>File type</t>
  </si>
  <si>
    <t>File size</t>
  </si>
  <si>
    <t>Creation date of the file</t>
  </si>
  <si>
    <t>Description of the file</t>
  </si>
  <si>
    <t>MeteoWholeTrial.txt
ITK.xls
Plan.xls</t>
  </si>
  <si>
    <t>http://urgi.versailles.inra.fr/Species/Wheat/Sequence-Repository</t>
  </si>
  <si>
    <t>xls</t>
  </si>
  <si>
    <t>xls
csv
txt</t>
  </si>
  <si>
    <t>Date: dd/mm/yyyy</t>
  </si>
  <si>
    <t>FOREST COMPLEMENTARY INFO</t>
  </si>
  <si>
    <r>
      <t xml:space="preserve">Additional fields. </t>
    </r>
    <r>
      <rPr>
        <b/>
        <sz val="10"/>
        <color indexed="10"/>
        <rFont val="Arial"/>
        <family val="2"/>
        <charset val="1"/>
      </rPr>
      <t>Mandatory</t>
    </r>
    <r>
      <rPr>
        <b/>
        <sz val="10"/>
        <rFont val="Arial"/>
        <family val="2"/>
        <charset val="1"/>
      </rPr>
      <t xml:space="preserve"> tab for forest submissions.</t>
    </r>
  </si>
  <si>
    <t>TrialType</t>
  </si>
  <si>
    <t>TrialStatus</t>
  </si>
  <si>
    <t>DataFormat</t>
  </si>
  <si>
    <t>Type of this trial</t>
  </si>
  <si>
    <t>State and monitoring level of this trial</t>
  </si>
  <si>
    <t>Which format is used to store the data ?</t>
  </si>
  <si>
    <t>Digital</t>
  </si>
  <si>
    <t>1 (= provenances comparison)
2 (= maternal descendants comparison)
3 (= two-parents descendants comparison)
4 (= species comparison)
5 (=clones seeds orchard)
6 (=clonal comparison)
7 (= clonal park)
8 (= juveniles comparison)
9 (= other)</t>
  </si>
  <si>
    <t>A (= abandoned/ruined)
1 (= weakly active)
2 (= moderately active)
3 (= active)
4 (= very active)
9 (= unknown)</t>
  </si>
  <si>
    <t>Paper
Scan
Digital
Unknown</t>
  </si>
  <si>
    <t>Rapsodyn</t>
  </si>
  <si>
    <t>INRA Brassica Experimental Ontology</t>
  </si>
  <si>
    <t>m2</t>
  </si>
  <si>
    <t>kg</t>
  </si>
  <si>
    <t>%</t>
  </si>
  <si>
    <t>SY</t>
  </si>
  <si>
    <t>TSW</t>
  </si>
  <si>
    <t>g</t>
  </si>
  <si>
    <t>SN</t>
  </si>
  <si>
    <t>O</t>
  </si>
  <si>
    <t>PrY</t>
  </si>
  <si>
    <t>OY</t>
  </si>
  <si>
    <t>Brassica napus L.</t>
  </si>
  <si>
    <t>Warzanwski</t>
  </si>
  <si>
    <t>Forto</t>
  </si>
  <si>
    <t>Colvert</t>
  </si>
  <si>
    <t>Pacific</t>
  </si>
  <si>
    <t>Mikado</t>
  </si>
  <si>
    <t>Contact</t>
  </si>
  <si>
    <t>Express</t>
  </si>
  <si>
    <t>Nain de Hambourg</t>
  </si>
  <si>
    <t>Azote</t>
  </si>
  <si>
    <t>N1</t>
  </si>
  <si>
    <t>azote limitant</t>
  </si>
  <si>
    <t>N2</t>
  </si>
  <si>
    <t>azote optimal</t>
  </si>
  <si>
    <t>bloc</t>
  </si>
  <si>
    <t>plot</t>
  </si>
  <si>
    <t>parcelle</t>
  </si>
  <si>
    <t>Parcelle</t>
  </si>
  <si>
    <t>SY_value</t>
  </si>
  <si>
    <t>TSW_value</t>
  </si>
  <si>
    <t>TSW_date</t>
  </si>
  <si>
    <t>SN_value</t>
  </si>
  <si>
    <t>SN_date</t>
  </si>
  <si>
    <t>O_value</t>
  </si>
  <si>
    <t>O_date</t>
  </si>
  <si>
    <t>PrY_value</t>
  </si>
  <si>
    <t>PrY_date</t>
  </si>
  <si>
    <t>OY_value</t>
  </si>
  <si>
    <t>OY_date</t>
  </si>
  <si>
    <t>InstitutionName</t>
  </si>
  <si>
    <t>Acareosperma Gagnep.</t>
  </si>
  <si>
    <t>A &amp; I University</t>
  </si>
  <si>
    <t>Conservatoire Botanique National Méditerranéen de Porquerolles</t>
  </si>
  <si>
    <t>AF 1999 018</t>
  </si>
  <si>
    <t>Arvalis-Chalons</t>
  </si>
  <si>
    <t>Acareosperma spireanum Gagnep.</t>
  </si>
  <si>
    <t>Abed Plant Breeding Station</t>
  </si>
  <si>
    <t>Gautier Semences</t>
  </si>
  <si>
    <t>AF 1999 046</t>
  </si>
  <si>
    <t>Arvalis-Greoux</t>
  </si>
  <si>
    <t>Acyrthosiphon magnoliae</t>
  </si>
  <si>
    <t>Abteilung Biochemie</t>
  </si>
  <si>
    <t>Institut Jean-Pierre Bourgin</t>
  </si>
  <si>
    <t>AF 1999 064</t>
  </si>
  <si>
    <t>Bergheim</t>
  </si>
  <si>
    <t>Acyrthosiphon pisum</t>
  </si>
  <si>
    <t>Abteilung Traub</t>
  </si>
  <si>
    <t>Pépinière du Mas d'Auge</t>
  </si>
  <si>
    <t>AF 2001 001</t>
  </si>
  <si>
    <t>BGAMDV</t>
  </si>
  <si>
    <t>Aegilops</t>
  </si>
  <si>
    <t>ADIS DNA core facility at MPIZ</t>
  </si>
  <si>
    <t>Pépinières Rey</t>
  </si>
  <si>
    <t>AF 2001 009</t>
  </si>
  <si>
    <t>Aegilops aucheri Boiss.</t>
  </si>
  <si>
    <t>ADT</t>
  </si>
  <si>
    <t>UE Ressources Génétiques végétales en Conditions Océaniques, INRA-Rennes, Site de Ploudaniel</t>
  </si>
  <si>
    <t>AF 2001 019-031</t>
  </si>
  <si>
    <t>Clermont-Ferrand</t>
  </si>
  <si>
    <t>Aegilops bicornis</t>
  </si>
  <si>
    <t>Agricultural and Agri-Food Canada</t>
  </si>
  <si>
    <t>UMR Amélioration Génétique et Adaptation des Plantes, INRA-Montpellier</t>
  </si>
  <si>
    <t>AF 2001 024</t>
  </si>
  <si>
    <t>Colmar</t>
  </si>
  <si>
    <t>Aegilops bicornis (Forsk.) Jaub. &amp; Spach.</t>
  </si>
  <si>
    <t>Agricultural and Technological Research Centre</t>
  </si>
  <si>
    <t>UMR Développement et Amélioration des Plantes, INRA-Montpellier</t>
  </si>
  <si>
    <t>AF 2001 030</t>
  </si>
  <si>
    <t>Dijon</t>
  </si>
  <si>
    <t>Aegilops comosa</t>
  </si>
  <si>
    <t>Agricultural Biotechnology R&amp;D,  Life Technologies,  Inc.</t>
  </si>
  <si>
    <t>UMR Écophysiologie et Génomique Fonctionnelle de la Vigne, INRA-Bordeaux</t>
  </si>
  <si>
    <t>AF 2001 032</t>
  </si>
  <si>
    <t>Estrees-Mons</t>
  </si>
  <si>
    <t>Aegilops comosa Sibth. &amp; Sm.</t>
  </si>
  <si>
    <t>Agricultural Experiment Station University of the District of Columbia</t>
  </si>
  <si>
    <t>UMR Génétique, Diversité et Ecophysiologie des Céréales, INRA-Clermont</t>
  </si>
  <si>
    <t>AF 2001 047</t>
  </si>
  <si>
    <t>Estrées-Mons</t>
  </si>
  <si>
    <t>Aegilops crassa Boiss.</t>
  </si>
  <si>
    <t>Agricultural Genomics</t>
  </si>
  <si>
    <t>UMR Génétique et Écophysiologie des Légumineuses à Graines, INRA-Dijon</t>
  </si>
  <si>
    <t>AF 2001 051</t>
  </si>
  <si>
    <t>Fertreve - Foret de Vincence</t>
  </si>
  <si>
    <t>Aegilops crassa Boiss. subsp. vavilovi Zhuk.</t>
  </si>
  <si>
    <t>Agricultural Institute Krizevci</t>
  </si>
  <si>
    <t>UMR Institut de Génétique, Environnement et Protection des Plantes, INRA-Rennes, Site de Ploudaniel</t>
  </si>
  <si>
    <t>AF 2001 073</t>
  </si>
  <si>
    <t>FLORIMOND DESPREZ</t>
  </si>
  <si>
    <t>Aegilops crassa var. palaestina</t>
  </si>
  <si>
    <t>Agricultural Institute Osijek</t>
  </si>
  <si>
    <t>UMR Santé de la Vigne et Qualité du Vin, INRA-Colmar</t>
  </si>
  <si>
    <t>Ag_EST</t>
  </si>
  <si>
    <t>IPGPAS</t>
  </si>
  <si>
    <t>Aegilops crassa var. vavilovi</t>
  </si>
  <si>
    <t>Agricultural Research &amp; Advisory Station, Dept. of Agriculture</t>
  </si>
  <si>
    <t>Unité Expérimentale du Domaine de Vassal, INRA-Montpellier</t>
  </si>
  <si>
    <t>AIP_P00272</t>
  </si>
  <si>
    <t>Le Moulon</t>
  </si>
  <si>
    <t>Aegilops cylindrica Host</t>
  </si>
  <si>
    <t>Agricultural Research Centre - Mtwapa</t>
  </si>
  <si>
    <t>Unité Expérimentale Vigne et Vin, INRA-Montreuil Bellay</t>
  </si>
  <si>
    <t>ANR-06- GPLA-016</t>
  </si>
  <si>
    <t>LLC</t>
  </si>
  <si>
    <t>Aegilops juvenalis (Thell.) Eig</t>
  </si>
  <si>
    <t>Agricultural Research Institute for East Brazil</t>
  </si>
  <si>
    <t>UR AgroSystèmes TROpicaux, INRA Antilles-Guyane</t>
  </si>
  <si>
    <t>Ap_EST_Riken</t>
  </si>
  <si>
    <t>Lusignan</t>
  </si>
  <si>
    <t>Aegilops longissima</t>
  </si>
  <si>
    <t>Agricultural Research Institute Hungarian Academy of Sciences</t>
  </si>
  <si>
    <t>UR Espèces Fruitières, INRA-Bordeaux</t>
  </si>
  <si>
    <t>AS-2005</t>
  </si>
  <si>
    <t>Maule</t>
  </si>
  <si>
    <t>Aegilops longissima Schweinf. &amp; Muschli in Muschli</t>
  </si>
  <si>
    <t>Agricultural Research Institute Kromeriz, Co. Ltd.</t>
  </si>
  <si>
    <t>UR Génétique et Amélioration des Fruits et Légumes, INRA-Avignon</t>
  </si>
  <si>
    <t>ATH_AfNO1999032</t>
  </si>
  <si>
    <t>MOMONT</t>
  </si>
  <si>
    <t>Aegilops lorentii</t>
  </si>
  <si>
    <t>Agricultural Research Institute of Taihu Prefecture</t>
  </si>
  <si>
    <t>UR Génétique et Écophysiologie de la Qualité des Agrumes, INRA-Corse</t>
  </si>
  <si>
    <t>ATH_RI_NASC</t>
  </si>
  <si>
    <t>Orgeval</t>
  </si>
  <si>
    <t>Aegilops mutica Boiss.</t>
  </si>
  <si>
    <t>Agricultural Research Institute, Uyole</t>
  </si>
  <si>
    <t>URP Prairies et Plantes Fourragères, INRA-Lusignan</t>
  </si>
  <si>
    <t>AtPhy</t>
  </si>
  <si>
    <t>Reclainville</t>
  </si>
  <si>
    <t>Aegilops ovata L.</t>
  </si>
  <si>
    <t>Agricultural Research Organization Volcani Centre</t>
  </si>
  <si>
    <t>BcLTF1</t>
  </si>
  <si>
    <t>Rennes</t>
  </si>
  <si>
    <t>Aegilops ovata var. anatolica Eig</t>
  </si>
  <si>
    <t>Agricultural Research Station - Ghana</t>
  </si>
  <si>
    <t>BCVEL1</t>
  </si>
  <si>
    <t>Saint-Laurent - Foret domaniale de Vierzon</t>
  </si>
  <si>
    <t>Aegilops peregrina</t>
  </si>
  <si>
    <t>Agricultural Research Station - Greece</t>
  </si>
  <si>
    <t>BcYOH1</t>
  </si>
  <si>
    <t>Saint-Symphorien - Foret domaniale de la Petite Charnie</t>
  </si>
  <si>
    <t>Aegilops recta</t>
  </si>
  <si>
    <t>Agricultural Research Station Lovrin-Timis</t>
  </si>
  <si>
    <t>BerrySize</t>
  </si>
  <si>
    <t>Aegilops searsii Feldman &amp; Kislev</t>
  </si>
  <si>
    <t>Agriculture &amp; Animal Production State Research Farm</t>
  </si>
  <si>
    <t>BGI_EST_OS</t>
  </si>
  <si>
    <t>Aegilops sharonensis</t>
  </si>
  <si>
    <t>Agri-obtentions Clermont-Ferrand</t>
  </si>
  <si>
    <t>BIEP</t>
  </si>
  <si>
    <t>Aegilops speltoides</t>
  </si>
  <si>
    <t>Agri-Obtentions, Guyancourt</t>
  </si>
  <si>
    <t>BotPathoINRA</t>
  </si>
  <si>
    <t>Aegilops squarrosa auct., p. p., non. L.</t>
  </si>
  <si>
    <t>Agripro Seeds Inc.</t>
  </si>
  <si>
    <t>Botrytis_on_Sunflower_2008</t>
  </si>
  <si>
    <t>Aegilops squarrosa L.</t>
  </si>
  <si>
    <t>Agrogene</t>
  </si>
  <si>
    <t>B1</t>
  </si>
  <si>
    <t>Aegilops subulata Pomel</t>
  </si>
  <si>
    <t>Agrolit S.A.</t>
  </si>
  <si>
    <t>Cabomba_EST</t>
  </si>
  <si>
    <t>Aegilops tauschii</t>
  </si>
  <si>
    <t>Agronomy</t>
  </si>
  <si>
    <t>CANDIDATE_GENES_BIOGECO</t>
  </si>
  <si>
    <t>Aegilops tauschii subsp. tauschii x Triticum turgidum subsp.</t>
  </si>
  <si>
    <t>A.H. Whitmore Foundation Farm</t>
  </si>
  <si>
    <t>Chlorose</t>
  </si>
  <si>
    <t>Aegilops triuncialis L.</t>
  </si>
  <si>
    <t>Alata Horticultural Research Institute</t>
  </si>
  <si>
    <t>CI1999 076</t>
  </si>
  <si>
    <t>Aegilops turcomanica</t>
  </si>
  <si>
    <t>Alibert</t>
  </si>
  <si>
    <t>CI1999 088</t>
  </si>
  <si>
    <t>Aegilops variabilis Eig</t>
  </si>
  <si>
    <t>All-Union Institute for Vegetable Breeding and Seed Production</t>
  </si>
  <si>
    <t>CI2000 005</t>
  </si>
  <si>
    <t>Aegilops vavilovi</t>
  </si>
  <si>
    <t>Alternate Crops and  Systems Laboratory</t>
  </si>
  <si>
    <t>CI2001 002</t>
  </si>
  <si>
    <t>Aegilops ventricosa Tausch</t>
  </si>
  <si>
    <t>Amélioration des plantes et biotechnologies végétales</t>
  </si>
  <si>
    <t>CM2006-var4</t>
  </si>
  <si>
    <t>Allium cepa L.</t>
  </si>
  <si>
    <t>Amélioration des Semences Légumières</t>
  </si>
  <si>
    <t>CNVmaize</t>
  </si>
  <si>
    <t>Allium cepa L. groupe aggregatum</t>
  </si>
  <si>
    <t>Amelioration et Sante des Plantes</t>
  </si>
  <si>
    <t>CP1</t>
  </si>
  <si>
    <t>Allium L.</t>
  </si>
  <si>
    <t>AMIS/BIOTROP</t>
  </si>
  <si>
    <t>CP1P1</t>
  </si>
  <si>
    <t>Allium sativum L.</t>
  </si>
  <si>
    <t>André Pichot</t>
  </si>
  <si>
    <t>CP1p2</t>
  </si>
  <si>
    <t>Allium sativum longicuspis</t>
  </si>
  <si>
    <t>Applied Biotechnology Center,  CIMMYT</t>
  </si>
  <si>
    <t>CP1p3</t>
  </si>
  <si>
    <t>Allium sativum sativum</t>
  </si>
  <si>
    <t>ARC Interfruitec - Nietvoorbij, Stellenbosch - South Africa</t>
  </si>
  <si>
    <t>CP1p4</t>
  </si>
  <si>
    <t>Ampelopsis aconitifolia Bunge</t>
  </si>
  <si>
    <t>ARCHIVE</t>
  </si>
  <si>
    <t>CP1p5</t>
  </si>
  <si>
    <t>Ampelopsis aegirophylla Planch.</t>
  </si>
  <si>
    <t>Arizona Genomics Institute</t>
  </si>
  <si>
    <t>CP1p7</t>
  </si>
  <si>
    <t>Ampelopsis bipinnata Michx.</t>
  </si>
  <si>
    <t>Arkansas Agricultural Experiment Station, University of Arkansas</t>
  </si>
  <si>
    <t>CP2p1</t>
  </si>
  <si>
    <t>Ampelopsis bodinieri (H.Lév. &amp; Vaniot) Rehder</t>
  </si>
  <si>
    <t>Armenian Institute of Agriculture Armanskaja SSR</t>
  </si>
  <si>
    <t>CP3</t>
  </si>
  <si>
    <t>Ampelopsis brevipedunculata (Maxim.) Trautv.</t>
  </si>
  <si>
    <t>Arvalis-Institut du végétal</t>
  </si>
  <si>
    <t>CP4</t>
  </si>
  <si>
    <t>Ampelopsis chaffanjonii (H.Lév.) Rehder</t>
  </si>
  <si>
    <t>ASGROW</t>
  </si>
  <si>
    <t>CP4P2</t>
  </si>
  <si>
    <t>Ampelopsis citrulloïdes Lebas</t>
  </si>
  <si>
    <t>Asociacion de Nuevos Alquimistas</t>
  </si>
  <si>
    <t>CSIRO</t>
  </si>
  <si>
    <t>Ampelopsis cordata Michx.</t>
  </si>
  <si>
    <t>Association Cap Vert</t>
  </si>
  <si>
    <t>CSIRO-INRA_1</t>
  </si>
  <si>
    <t>Ampelopsis delavayana Planch.</t>
  </si>
  <si>
    <t>Association des Créateurs de Variétés Fourragères</t>
  </si>
  <si>
    <t>C2008-14-RGA</t>
  </si>
  <si>
    <t>Ampelopsis heterophylla Blume</t>
  </si>
  <si>
    <t>Association française interprofessionnelle de l'olive</t>
  </si>
  <si>
    <t>DayLength</t>
  </si>
  <si>
    <t>Ampelopsis megalophylla Diels &amp; Gilg</t>
  </si>
  <si>
    <t>Association Fruits Oubliés</t>
  </si>
  <si>
    <t>DBESTARABI</t>
  </si>
  <si>
    <t>Ampelopsis Michx.</t>
  </si>
  <si>
    <t>Association Les Croqueurs de Pommes du territoire du Jarez</t>
  </si>
  <si>
    <t>DBESTMAIZE</t>
  </si>
  <si>
    <t>Ampelopsis orientalis Planch.</t>
  </si>
  <si>
    <t>Association Les Croqueurs de Pommes du territoire du Jarez, Domaine de la Cantonnière</t>
  </si>
  <si>
    <t>DBESTPEA</t>
  </si>
  <si>
    <t>Ampelopsis serjaniifolia Bunge</t>
  </si>
  <si>
    <t>Association Les Croqueurs de Pommes du territoire du Jarez, Verger de Pleyne</t>
  </si>
  <si>
    <t>DBESTPOPLAR</t>
  </si>
  <si>
    <t>Ampelopsis vitifolia Planch.</t>
  </si>
  <si>
    <t>Association Technique Viticole de Bourgogne</t>
  </si>
  <si>
    <t>DBESTRAPE</t>
  </si>
  <si>
    <t>Aphis fabae</t>
  </si>
  <si>
    <t>ATAV Hérault</t>
  </si>
  <si>
    <t>DBESTRICE</t>
  </si>
  <si>
    <t>Aphis gossypii</t>
  </si>
  <si>
    <t>ATAV Val de Loire</t>
  </si>
  <si>
    <t>DBESTSUNFLOWER</t>
  </si>
  <si>
    <t>Aphis nerii</t>
  </si>
  <si>
    <t>Australian Medicago Genetic Resource Center</t>
  </si>
  <si>
    <t>DBESTWHEAT</t>
  </si>
  <si>
    <t>Apium graveolens</t>
  </si>
  <si>
    <t>Australian Winter Cereals Collection Agricultural Research Centre</t>
  </si>
  <si>
    <t>DBESTZINNIA</t>
  </si>
  <si>
    <t>Arabidopsis Heynh.</t>
  </si>
  <si>
    <t>Aventis CropScience</t>
  </si>
  <si>
    <t>D_noxia_KU</t>
  </si>
  <si>
    <t>Arabidopsis thaliana</t>
  </si>
  <si>
    <t>Ballard's Nurseries</t>
  </si>
  <si>
    <t>EGRAM</t>
  </si>
  <si>
    <t>Asteraceae</t>
  </si>
  <si>
    <t>Banco de Germoplasm de Trigo, Centro Internacional de Mejoramiento de Maíz y Trigo</t>
  </si>
  <si>
    <t>eIF4E</t>
  </si>
  <si>
    <t>Atalantia ceylanica (Arn.) Oliv.</t>
  </si>
  <si>
    <t>Banco de Germoplasma de El Encín</t>
  </si>
  <si>
    <t>ERECTA</t>
  </si>
  <si>
    <t>Atalantia Corrêa</t>
  </si>
  <si>
    <t>Banglasdesh Agricultural Research Institute</t>
  </si>
  <si>
    <t>EXEGESE-BLE</t>
  </si>
  <si>
    <t>Aurantioideae</t>
  </si>
  <si>
    <t>Barajev Kazakhstan Sciences Research Institute</t>
  </si>
  <si>
    <t>Fleshless</t>
  </si>
  <si>
    <t>Avena sativa</t>
  </si>
  <si>
    <t>Barani Agricultural Research Institute</t>
  </si>
  <si>
    <t>GABI-PLANT</t>
  </si>
  <si>
    <t>Botryotinia fuckeliana</t>
  </si>
  <si>
    <t>Bavaria Saat Muenchen BGB GmbH</t>
  </si>
  <si>
    <t>GCP 2006-02</t>
  </si>
  <si>
    <t>Brachypodium distachyon</t>
  </si>
  <si>
    <t>BAYER CROP SCIENCE</t>
  </si>
  <si>
    <t>Genoble</t>
  </si>
  <si>
    <t>Brassica carinata A. Braun</t>
  </si>
  <si>
    <t>Bayer CropScience</t>
  </si>
  <si>
    <t>GEN107_PTGS</t>
  </si>
  <si>
    <t>Brassica juncea (L.) Czern.</t>
  </si>
  <si>
    <t>Bayerische Pflanzenzuchtgesellschaft eG &amp; Co. KG</t>
  </si>
  <si>
    <t>GnpSeq</t>
  </si>
  <si>
    <t>Brassica L.</t>
  </si>
  <si>
    <t>Beatson RA, Nelson - New Zealand</t>
  </si>
  <si>
    <t>GNP05013C</t>
  </si>
  <si>
    <t>Beijing Academy of Agriculture and Forestry Sciences</t>
  </si>
  <si>
    <t>GNP3-B4</t>
  </si>
  <si>
    <t>Brassica napus var. napobrassica (L.) Rchb</t>
  </si>
  <si>
    <t>Beijing Agricultural University - Departement of Agriculture</t>
  </si>
  <si>
    <t>GOP A1</t>
  </si>
  <si>
    <t>Brassica napus var. napus L.</t>
  </si>
  <si>
    <t>Bejo</t>
  </si>
  <si>
    <t>GOP PEA-A</t>
  </si>
  <si>
    <t>Brassica nigra (L.) W. D. J. Koch</t>
  </si>
  <si>
    <t>Belloy et Compagnie</t>
  </si>
  <si>
    <t>GOP PEA-B</t>
  </si>
  <si>
    <t>Brassica oleracea L.</t>
  </si>
  <si>
    <t>Benito Poggiali, Faenza - Italy</t>
  </si>
  <si>
    <t>GOP PEA-C</t>
  </si>
  <si>
    <t>Brassica oleracea var. acephala DC.</t>
  </si>
  <si>
    <t>Bergeron Gabrielle, St-Cyr-au-Mont-d'Or Lyon - France</t>
  </si>
  <si>
    <t>GOP PEA-G</t>
  </si>
  <si>
    <t>Brassica oleracea var. botrytis L.</t>
  </si>
  <si>
    <t>BGI</t>
  </si>
  <si>
    <t>GOP Q5</t>
  </si>
  <si>
    <t>Brassica oleracea var. capitata f. capitata</t>
  </si>
  <si>
    <t>Biochemistry</t>
  </si>
  <si>
    <t>GOP T6</t>
  </si>
  <si>
    <t>Brassica oleracea var. capitata f. pyramidalis</t>
  </si>
  <si>
    <t>Biochemistry,  Department of Natural Sciences</t>
  </si>
  <si>
    <t>GPiDB</t>
  </si>
  <si>
    <t>Brassica oleracea var. capitata f. rubra</t>
  </si>
  <si>
    <t>Biochemistry and  Biophysics,  Department of Chemistry, Lundberg Laboratory</t>
  </si>
  <si>
    <t>GPLA06027C</t>
  </si>
  <si>
    <t>Brassica oleracea var. capitata L.</t>
  </si>
  <si>
    <t>Biochemistry Department</t>
  </si>
  <si>
    <t>GrainGenes</t>
  </si>
  <si>
    <t>Brassica oleracea var. costata DC.</t>
  </si>
  <si>
    <t>Biochimie et Physiologie Moleculaire des plantes</t>
  </si>
  <si>
    <t>GRAPEGEN06</t>
  </si>
  <si>
    <t>Brassica oleracea var. gemmifera (DC.) Zenker</t>
  </si>
  <si>
    <t>BIOGECO</t>
  </si>
  <si>
    <t>GrapeReSeq</t>
  </si>
  <si>
    <t>Brassica oleracea var. gongylodes L.</t>
  </si>
  <si>
    <t>BIOGEMMA</t>
  </si>
  <si>
    <t>GRAPESEQ</t>
  </si>
  <si>
    <t>Brassica oleracea var. italica Plenck</t>
  </si>
  <si>
    <t>Biogemma</t>
  </si>
  <si>
    <t>GRMap</t>
  </si>
  <si>
    <t>Brassica oleracea var. medullosa Thell.</t>
  </si>
  <si>
    <t>BIOGEMMA Mondonville</t>
  </si>
  <si>
    <t>GTPases</t>
  </si>
  <si>
    <t>Brassica oleracea var. oleracea L.</t>
  </si>
  <si>
    <t>BIOGEMMA SAS</t>
  </si>
  <si>
    <t>HA_HG1_EST</t>
  </si>
  <si>
    <t>Brassica oleracea var. ramosa DC.</t>
  </si>
  <si>
    <t>BIOGER</t>
  </si>
  <si>
    <t>Hcyl</t>
  </si>
  <si>
    <t>Brassica oleracea var. sabauda L.</t>
  </si>
  <si>
    <t>BIOGER - Equipe Analyse Fonctionnelle du genome de Botrytis cinerea</t>
  </si>
  <si>
    <t>HG1</t>
  </si>
  <si>
    <t>Brassica rapa L.</t>
  </si>
  <si>
    <t>BioInformatics</t>
  </si>
  <si>
    <t>Brassica rapa subsp. chinensis (L.) Hanelt</t>
  </si>
  <si>
    <t>Bioinformatics</t>
  </si>
  <si>
    <t>INRA_AFGBC</t>
  </si>
  <si>
    <t>Brassica rapa subsp. dichotoma (Roxb.) Hanelt</t>
  </si>
  <si>
    <t>Bioinformatics Department</t>
  </si>
  <si>
    <t>INRA_BBSRC_NUEtraits</t>
  </si>
  <si>
    <t>Brassica rapa subsp. oleifera (DC.) Metzg</t>
  </si>
  <si>
    <t>Bioinformatics Team</t>
  </si>
  <si>
    <t>INRA_CIS</t>
  </si>
  <si>
    <t>Brassica rapa subsp. pekinensis (Lour.) Hanelt</t>
  </si>
  <si>
    <t>Biological Resources Division</t>
  </si>
  <si>
    <t>INRA_EVOL</t>
  </si>
  <si>
    <t>Brassica rapa subsp. rapa L.</t>
  </si>
  <si>
    <t>Biological Sciences</t>
  </si>
  <si>
    <t>INRA_mapping</t>
  </si>
  <si>
    <t>Brassica rapa subsp. ruvo L. H. Bailey</t>
  </si>
  <si>
    <t>Biologie Cellulaire</t>
  </si>
  <si>
    <t>INRA_nitrate</t>
  </si>
  <si>
    <t>Brassica rapa subsp. trilocularis (Roxb.) Hanelt</t>
  </si>
  <si>
    <t>Biologie cellulaire</t>
  </si>
  <si>
    <t>INRA_PEA_GAP</t>
  </si>
  <si>
    <t>Bromus secalinus</t>
  </si>
  <si>
    <t>Biologie Vegetale</t>
  </si>
  <si>
    <t>INRA_POPYOMICS1</t>
  </si>
  <si>
    <t>Cabomba aquatica</t>
  </si>
  <si>
    <t>Biology</t>
  </si>
  <si>
    <t>INRA_split</t>
  </si>
  <si>
    <t>Canis lupus familiaris</t>
  </si>
  <si>
    <t>Biology Department and  Biotechnology Institute</t>
  </si>
  <si>
    <t>INRA_URLEG_IPK</t>
  </si>
  <si>
    <t>Capsicum annuum L.</t>
  </si>
  <si>
    <t>Biometrics and  Bioinformatics Unit</t>
  </si>
  <si>
    <t>INRA_Wheat_Breeding_Network</t>
  </si>
  <si>
    <t>Capsicum baccatum L.</t>
  </si>
  <si>
    <t>BioPia</t>
  </si>
  <si>
    <t>INRA_Zm</t>
  </si>
  <si>
    <t>Capsicum cardenasii L.</t>
  </si>
  <si>
    <t>Bioplante</t>
  </si>
  <si>
    <t>INRA01</t>
  </si>
  <si>
    <t>Capsicum chacoense Heiser &amp; Sm.</t>
  </si>
  <si>
    <t>Biotech Research Center</t>
  </si>
  <si>
    <t>INRA02</t>
  </si>
  <si>
    <t>Capsicum chinense</t>
  </si>
  <si>
    <t>Biotechnology</t>
  </si>
  <si>
    <t>INRA03</t>
  </si>
  <si>
    <t>Capsicum eximium Jacq.</t>
  </si>
  <si>
    <t>Biotechnology Division</t>
  </si>
  <si>
    <t>INRA04</t>
  </si>
  <si>
    <t>Capsicum frutescens Hunziker</t>
  </si>
  <si>
    <t>Biotechnology Institute</t>
  </si>
  <si>
    <t>INRA05</t>
  </si>
  <si>
    <t>Capsicum galapagoense L.</t>
  </si>
  <si>
    <t>Biotechnology Section,  Agricultural Experiment Station</t>
  </si>
  <si>
    <t>INRA06</t>
  </si>
  <si>
    <t>Capsicum L.</t>
  </si>
  <si>
    <t>Biotechnology Team</t>
  </si>
  <si>
    <t>INRA07</t>
  </si>
  <si>
    <t>Capsicum microcarpum</t>
  </si>
  <si>
    <t>Biotrop</t>
  </si>
  <si>
    <t>IN_SILICO_INFINIUM_OAK</t>
  </si>
  <si>
    <t>Capsicum praetermissum Cav.</t>
  </si>
  <si>
    <t>BiO3P</t>
  </si>
  <si>
    <t>Interop</t>
  </si>
  <si>
    <t>Capsicum pubescens</t>
  </si>
  <si>
    <t>Blanc Marie Thérèse et Jean-Claude Beaumont, Monteux - France</t>
  </si>
  <si>
    <t>IN_VITRO_INFINIUM_OAK</t>
  </si>
  <si>
    <t>Carica papaya</t>
  </si>
  <si>
    <t>BLONDEAU (ETS A)</t>
  </si>
  <si>
    <t>IN_VITRO_PETRAEA_SNP</t>
  </si>
  <si>
    <t>Castanea crenata</t>
  </si>
  <si>
    <t>BMAS</t>
  </si>
  <si>
    <t>ITEC</t>
  </si>
  <si>
    <t>Castanea crenata x dentata</t>
  </si>
  <si>
    <t>Bois Marie France, St Gilles - France</t>
  </si>
  <si>
    <t>IWGSC Wheat Survey</t>
  </si>
  <si>
    <t>Castanea crenata x henryi</t>
  </si>
  <si>
    <t>Bolivian Institute for Agricultural Technology - Chinoli Experiment Station</t>
  </si>
  <si>
    <t>Map4</t>
  </si>
  <si>
    <t>Castanea crenata x mollissima</t>
  </si>
  <si>
    <t>Bonté H. et Cie, S.A.</t>
  </si>
  <si>
    <t>Melon-GAFL</t>
  </si>
  <si>
    <t>Castanea crenata x pumila</t>
  </si>
  <si>
    <t>Boreal Plant Breeding Ltd</t>
  </si>
  <si>
    <t>Muscares</t>
  </si>
  <si>
    <t>Castanea crenata x sativa</t>
  </si>
  <si>
    <t>Boret-Godineau (bought by Vilmorin)</t>
  </si>
  <si>
    <t>NO 2001 027</t>
  </si>
  <si>
    <t>Castanea crenata x seguinii</t>
  </si>
  <si>
    <t>Botany</t>
  </si>
  <si>
    <t>NoBi2001029</t>
  </si>
  <si>
    <t>Castanea dentata</t>
  </si>
  <si>
    <t>Botany and  Plant Genetics</t>
  </si>
  <si>
    <t>NovelTree</t>
  </si>
  <si>
    <t>Castanea dentata pumila</t>
  </si>
  <si>
    <t>Boulet Luc-Pierre,  Meynes - France</t>
  </si>
  <si>
    <t>NSF</t>
  </si>
  <si>
    <t>Castanea dentata seguinii</t>
  </si>
  <si>
    <t>Boyce Thompson Institute for Plant Research</t>
  </si>
  <si>
    <t>NSF DBI Grant</t>
  </si>
  <si>
    <t>Castanea dentata x henryi</t>
  </si>
  <si>
    <t>Bretagne Plants</t>
  </si>
  <si>
    <t>Okayama University Project</t>
  </si>
  <si>
    <t>Castanea dentata x mollissima</t>
  </si>
  <si>
    <t>Bretagne Plants &amp; Syndicat des Producteur de Plants de Pontivy</t>
  </si>
  <si>
    <t>OsChip</t>
  </si>
  <si>
    <t>Castanea dentata x sativa</t>
  </si>
  <si>
    <t>Bundesversuchswirtschaft Wieselburg</t>
  </si>
  <si>
    <t>OSCRGF</t>
  </si>
  <si>
    <t>Castanea henryi</t>
  </si>
  <si>
    <t>Bureau National Interprofessionnel du Cognac</t>
  </si>
  <si>
    <t>OSCRR1</t>
  </si>
  <si>
    <t>Castanea henryi  x seguinii</t>
  </si>
  <si>
    <t>Buryat Republican State Agricultural Experiment Station</t>
  </si>
  <si>
    <t>OSEST</t>
  </si>
  <si>
    <t>Castanea henryi x mollissima</t>
  </si>
  <si>
    <t>Bvumbwe Agricultural Research Station</t>
  </si>
  <si>
    <t>OsIRD</t>
  </si>
  <si>
    <t>Castanea henryi x pumila</t>
  </si>
  <si>
    <t>Cabel Hall Citrus Ltd.</t>
  </si>
  <si>
    <t>OsMU1</t>
  </si>
  <si>
    <t>Castanea henryi x sativa</t>
  </si>
  <si>
    <t>CACBA Avenue Gaston Phoebus</t>
  </si>
  <si>
    <t>Pea Consensus</t>
  </si>
  <si>
    <t>Castanea mollissima</t>
  </si>
  <si>
    <t>Cadoux (F)</t>
  </si>
  <si>
    <t>Pea_Aphid_EST</t>
  </si>
  <si>
    <t>Castanea mollissima x pumila</t>
  </si>
  <si>
    <t>CAES Genome Facility</t>
  </si>
  <si>
    <t>PeaPql</t>
  </si>
  <si>
    <t>Castanea mollissima x sativa</t>
  </si>
  <si>
    <t>CAILLARD</t>
  </si>
  <si>
    <t>Phyto_EST_INRA</t>
  </si>
  <si>
    <t>Castanea mollissima x seguinii</t>
  </si>
  <si>
    <t>Caillard</t>
  </si>
  <si>
    <t>PlantaComp</t>
  </si>
  <si>
    <t>Castanea P. Mill.</t>
  </si>
  <si>
    <t>California Agricultural Experiment Station, University of California</t>
  </si>
  <si>
    <t>PN40024</t>
  </si>
  <si>
    <t>Castanea pumila</t>
  </si>
  <si>
    <t>California Citrus Exp. Sta.</t>
  </si>
  <si>
    <t>PoplarMap</t>
  </si>
  <si>
    <t>Castanea pumila x sativa</t>
  </si>
  <si>
    <t>California nursery</t>
  </si>
  <si>
    <t>POPSEC</t>
  </si>
  <si>
    <t>Castanea pumila x seguinii</t>
  </si>
  <si>
    <t>California State University</t>
  </si>
  <si>
    <t>private_mRNA</t>
  </si>
  <si>
    <t>Castanea sativa</t>
  </si>
  <si>
    <t>CAMBIER FRERES</t>
  </si>
  <si>
    <t>private_mRNA_WH</t>
  </si>
  <si>
    <t>Castanea sativa x seguinii</t>
  </si>
  <si>
    <t>Cambridge Science Park</t>
  </si>
  <si>
    <t>private_mRNA_ZE</t>
  </si>
  <si>
    <t>Castanea seguinii</t>
  </si>
  <si>
    <t>Canadian Clonal Genebank, Greenhouse and Processing Crops Research Centre, Agriculture and Agri-Food Canada</t>
  </si>
  <si>
    <t>priv_ATH_mRNA</t>
  </si>
  <si>
    <t>Cissus aralioides Planch.</t>
  </si>
  <si>
    <t>Canterbury Agriculture and Science Centre - DSIR - Crop Research Division</t>
  </si>
  <si>
    <t>Priv01</t>
  </si>
  <si>
    <t>Cissus cactiformis Gilg</t>
  </si>
  <si>
    <t>Caussade Semences</t>
  </si>
  <si>
    <t>pub_ATH_mRNA</t>
  </si>
  <si>
    <t>Cissus L.</t>
  </si>
  <si>
    <t>Caussade semences</t>
  </si>
  <si>
    <t>Pub_Frag_EST</t>
  </si>
  <si>
    <t>Cissus quadrangularis L.</t>
  </si>
  <si>
    <t>C.C. Benoist</t>
  </si>
  <si>
    <t>Pub_Frag_mRNA</t>
  </si>
  <si>
    <t>Cissus rotundifolia Blume</t>
  </si>
  <si>
    <t>Cebeco Hande lsraad (Commercial Section)</t>
  </si>
  <si>
    <t>Pub_Hargo_EST</t>
  </si>
  <si>
    <t>Cissus sicyoides L.</t>
  </si>
  <si>
    <t>Cebeco Seed Innovations Ltd</t>
  </si>
  <si>
    <t>Pub_Hpara_EST</t>
  </si>
  <si>
    <t>(Citrange x Citrus paradisi Macf.)</t>
  </si>
  <si>
    <t>CeBiTec</t>
  </si>
  <si>
    <t>Public</t>
  </si>
  <si>
    <t>(Citrange x (Citrus reticulata var. austera ? x Fortunella sp))</t>
  </si>
  <si>
    <t>CEFEL</t>
  </si>
  <si>
    <t>Public EST Hcy1</t>
  </si>
  <si>
    <t>(Citrange x Citrus sinensis (L.) Osb.)</t>
  </si>
  <si>
    <t>Celera AgGen</t>
  </si>
  <si>
    <t>Public mRNA Hcy</t>
  </si>
  <si>
    <t>(Citrange x Eremocitrus glauca (Lindl.) Swing.)</t>
  </si>
  <si>
    <t>Celera Aggen</t>
  </si>
  <si>
    <t>public_Est_Ap</t>
  </si>
  <si>
    <t>(Citrange x Fortunella sp.)</t>
  </si>
  <si>
    <t>Cell Biology</t>
  </si>
  <si>
    <t>public_Est_Vn</t>
  </si>
  <si>
    <t>(Citrange x Poncirus trifoliata (L.) Raf.)</t>
  </si>
  <si>
    <t>Cell Physiology</t>
  </si>
  <si>
    <t>public_mRNA</t>
  </si>
  <si>
    <t>Citreae</t>
  </si>
  <si>
    <t>Cell Technologies</t>
  </si>
  <si>
    <t>public_mRNA_Ap</t>
  </si>
  <si>
    <t>Citrinae</t>
  </si>
  <si>
    <t>Center for Biotechnology</t>
  </si>
  <si>
    <t>public_mRNA_BN</t>
  </si>
  <si>
    <t>Citropsis daweana Swingle &amp; M. Kellerm.</t>
  </si>
  <si>
    <t>Center For Genetic Resource Information</t>
  </si>
  <si>
    <t>public_mRNA_Bot</t>
  </si>
  <si>
    <t>Citropsis Swingle &amp; Kellerm.</t>
  </si>
  <si>
    <t>Center of Forest Research</t>
  </si>
  <si>
    <t>public_mRNA_OS</t>
  </si>
  <si>
    <t>Citrus alata Tan.</t>
  </si>
  <si>
    <t>Central Agricultural Research Institute</t>
  </si>
  <si>
    <t>public_mRNA_Vn</t>
  </si>
  <si>
    <t>Citrus amblycarpa (Hassk.) Ochse</t>
  </si>
  <si>
    <t>Central Res. Lab.,  Life Sci. Res. Cent.</t>
  </si>
  <si>
    <t>public_mRNA_WH</t>
  </si>
  <si>
    <t>Citrus ampullacea Hort. ex Tan.</t>
  </si>
  <si>
    <t>Centre de coopération Internationale en Recherche Agronomique pour le Développement</t>
  </si>
  <si>
    <t>public_mRNA_ZE</t>
  </si>
  <si>
    <t>Citrus anonyma Hort. ex Y. Tan.</t>
  </si>
  <si>
    <t>Centre de Genetique Moleculaire</t>
  </si>
  <si>
    <t>public_PS_mRNA</t>
  </si>
  <si>
    <t>Citrus asahikan Hort. ex Tan.</t>
  </si>
  <si>
    <t>Centre de Montpellier</t>
  </si>
  <si>
    <t>Public_Rose_EST</t>
  </si>
  <si>
    <t>Citrus assamensis Dutta &amp; Bhatt.</t>
  </si>
  <si>
    <t>centre de montpellier</t>
  </si>
  <si>
    <t>public_SB_mRNA</t>
  </si>
  <si>
    <t>Citrus aurantiaca Hort. ex Tan.</t>
  </si>
  <si>
    <t>Centre de Recherche Agronomique de l'Etat, Station d'Amelioration des Plantes</t>
  </si>
  <si>
    <t>pub_MT_EST</t>
  </si>
  <si>
    <t>Citrus aurantifolia (Christm.) Swing</t>
  </si>
  <si>
    <t>Centre de Recherches Agronomiques,  Departement deBiotechnologie</t>
  </si>
  <si>
    <t>pub_MT_mRNA</t>
  </si>
  <si>
    <t>(Citrus aurantifolia (Christm.) Swing. x Fortunella sp.)</t>
  </si>
  <si>
    <t>Centre de Recherches Agronomiques d'Alsace</t>
  </si>
  <si>
    <t>Pub_Rose_mRNA</t>
  </si>
  <si>
    <t>Citrus aurantium L.</t>
  </si>
  <si>
    <t>Centre de recherches sur les cultures abritées et industrielles</t>
  </si>
  <si>
    <t>pub_SB_EST</t>
  </si>
  <si>
    <t>(Citrus aurantium L. x Poncirus trifoliata (L.) Raf.)</t>
  </si>
  <si>
    <t>Centre d'Etudes Techniques Agricoles (CETA), Domaine de M. Genier</t>
  </si>
  <si>
    <t>pub_SUNF_mRNA</t>
  </si>
  <si>
    <t>Citrus aurata Risso</t>
  </si>
  <si>
    <t>Centre for Forest Biology and Department of Biology</t>
  </si>
  <si>
    <t>QTL_LR4_QLS</t>
  </si>
  <si>
    <t>Citrus aurea Hort. ex Tan.</t>
  </si>
  <si>
    <t>Centre for Genetic Resources, the Netherlands</t>
  </si>
  <si>
    <t>QualityLegSeed</t>
  </si>
  <si>
    <t>Citrus balincolong Tan.</t>
  </si>
  <si>
    <t>Centre for Plant Conservation Genetics</t>
  </si>
  <si>
    <t>Resequencing of  S15 mutant</t>
  </si>
  <si>
    <t>Citrus balotina Poit. &amp; Turpin</t>
  </si>
  <si>
    <t>Centre for Plant Conservation Genetics,  Southern CrossUniversity</t>
  </si>
  <si>
    <t>RIL2</t>
  </si>
  <si>
    <t>Citrus benikoji Hort. ex Tan.</t>
  </si>
  <si>
    <t>Centre for Plant Molecular Biology</t>
  </si>
  <si>
    <t>RIL345</t>
  </si>
  <si>
    <t>Citrus bergamia Risso &amp; Poit.</t>
  </si>
  <si>
    <t>Centre National de Contôle et de Certification des Semences et Plants</t>
  </si>
  <si>
    <t>RIL9</t>
  </si>
  <si>
    <t>Citrus boholensis Tan.</t>
  </si>
  <si>
    <t>Centre National de la Recherche Scientifique</t>
  </si>
  <si>
    <t>ROOTEST-SSR</t>
  </si>
  <si>
    <t>Citrus canaliculata Hort. ex Y. Tan</t>
  </si>
  <si>
    <t>Centre Régional de Ressources Génétiques du Nord-Pas-de-Calais</t>
  </si>
  <si>
    <t>Rosa_EST_INRA</t>
  </si>
  <si>
    <t>Citrus celebica Koord.</t>
  </si>
  <si>
    <t>Centre Technique de l'Olivier</t>
  </si>
  <si>
    <t>Rose_Flowering_Genes</t>
  </si>
  <si>
    <t>Citrus chuana Hort. ex Tseng</t>
  </si>
  <si>
    <t>Centro Agronomico Tropical de Investigación y Enseñanza</t>
  </si>
  <si>
    <t>Rp_EST</t>
  </si>
  <si>
    <t>Citrus clementina Hort. ex Tan.</t>
  </si>
  <si>
    <t>Centro de Edafologia y Biologia Aplicada del Segura</t>
  </si>
  <si>
    <t>Sclerotinia_on_Sunflower_2008</t>
  </si>
  <si>
    <t>(Citrus clementina Hort. ex Tan. x Poncirus trifoliata (L.) Raf.)</t>
  </si>
  <si>
    <t>Centro de Edafologia y Biologia Aplicada del Segura - Caballero Jose Egea</t>
  </si>
  <si>
    <t>SCU</t>
  </si>
  <si>
    <t>Citrus combara Raf.</t>
  </si>
  <si>
    <t>Centro de Edafologia y Biologia Aplicada del Segura - Martinez Gomez Pedro</t>
  </si>
  <si>
    <t>Seedlessness</t>
  </si>
  <si>
    <t>Citrus crenatifolia Lush.</t>
  </si>
  <si>
    <t>Centro de Investigacion Palmira Corp. Colombiana Invest. Agropec</t>
  </si>
  <si>
    <t>SNPGrapeMap</t>
  </si>
  <si>
    <t>Citrus daoxianensis S.W. He &amp; G.F. Liu</t>
  </si>
  <si>
    <t>Centro de Investigaciones Agricolas 'Alberto Boerger'</t>
  </si>
  <si>
    <t>SSRGrapeIntMap</t>
  </si>
  <si>
    <t>Citrus davaoensis Tan.</t>
  </si>
  <si>
    <t>Centro de Investigaciones Agrícolas del Pacifico-Norte, INIA</t>
  </si>
  <si>
    <t>TACP1P3</t>
  </si>
  <si>
    <t>Citrus deliciosa Ten.</t>
  </si>
  <si>
    <t>Centro di Studio per il Miglioramento Genetico degli Agrumi</t>
  </si>
  <si>
    <t>TG</t>
  </si>
  <si>
    <t>Citrus depressa Hay.</t>
  </si>
  <si>
    <t>Centro Internacional de Mejoram de Maiz y Trigo - Turkey</t>
  </si>
  <si>
    <t>TomatoDive</t>
  </si>
  <si>
    <t>Citrus duttae Tan.</t>
  </si>
  <si>
    <t>Centro Internacional de Mejoramiento de Maiz y Trigo</t>
  </si>
  <si>
    <t>TRILAT-027</t>
  </si>
  <si>
    <t>Citrus erythrosa Hort. ex Tan.</t>
  </si>
  <si>
    <t>Centro Nacional de Investigaciones Agropecuarias, FONAIAP</t>
  </si>
  <si>
    <t>Triticarte</t>
  </si>
  <si>
    <t>Citrus excelsa Wester</t>
  </si>
  <si>
    <t>Centro Nacional de Pesquisa de Mandioca e Fruticultura</t>
  </si>
  <si>
    <t>Tritipol</t>
  </si>
  <si>
    <t>Citrus flavicarpa Hort. ex Tan.</t>
  </si>
  <si>
    <t>Centro Nacional de Recursos Geneticos e Biotecnologia</t>
  </si>
  <si>
    <t>TRI017</t>
  </si>
  <si>
    <t>Citrus funadoko Hort. ex Y. Tan.</t>
  </si>
  <si>
    <t>Centro regional andino Mendoza Argentina (Centro Regional de Investigaciones Científicas y Tecnológicas)</t>
  </si>
  <si>
    <t>Udine_SSR</t>
  </si>
  <si>
    <t>Citrus genshokan Hort. ex Tan.</t>
  </si>
  <si>
    <t>Centro Regional de Investigacion INIA La Platina</t>
  </si>
  <si>
    <t>UMR5667-PREST03</t>
  </si>
  <si>
    <t>Citrus glaberrima Hort. ex Tan.</t>
  </si>
  <si>
    <t>Cereal Crops Unit</t>
  </si>
  <si>
    <t>unknown</t>
  </si>
  <si>
    <t>Citrus hainanensis Tan.</t>
  </si>
  <si>
    <t>Cereal Institute, National Agricultural Research Foundation</t>
  </si>
  <si>
    <t>USDA CSREES-NRI Grant</t>
  </si>
  <si>
    <t>Citrus halimii Stone</t>
  </si>
  <si>
    <t>Cereal Research Centre,  Agriculture &amp; Agri-Foods Canada</t>
  </si>
  <si>
    <t>VAST</t>
  </si>
  <si>
    <t>Citrus hanaju Siebold ex Shirai</t>
  </si>
  <si>
    <t>Cereal Research Centre,  Agriculture and  Agri-food Canada</t>
  </si>
  <si>
    <t>VITAROMA</t>
  </si>
  <si>
    <t>Citrus haniana Hort. ex Tseng</t>
  </si>
  <si>
    <t>Cereal Research Centre, Agriculture and Agri-Food Canada</t>
  </si>
  <si>
    <t>VMC</t>
  </si>
  <si>
    <t>Citrus hassaku Hort. ex Tan.</t>
  </si>
  <si>
    <t>Cereal Research Institute</t>
  </si>
  <si>
    <t>VO0271V</t>
  </si>
  <si>
    <t>Citrus himekitsu Hort. ex Y. Tan.</t>
  </si>
  <si>
    <t>Cereals Group,  John Innes Centre</t>
  </si>
  <si>
    <t>VTP</t>
  </si>
  <si>
    <t>Citrus hiroshimana Hort. ex Y. Tan.</t>
  </si>
  <si>
    <t>Chair of Genome Research</t>
  </si>
  <si>
    <t>VVBACLib</t>
  </si>
  <si>
    <t>Citrus honghoensis Y. M. Ye et al.</t>
  </si>
  <si>
    <t>Chambre d'Agriculture de Dordogne</t>
  </si>
  <si>
    <t>VVMD</t>
  </si>
  <si>
    <t>Citrus hyalopulpa Tan.</t>
  </si>
  <si>
    <t>Chambre d'Agriculture de la Drôme</t>
  </si>
  <si>
    <t>VVPM</t>
  </si>
  <si>
    <t>Citrus hystrix DC.</t>
  </si>
  <si>
    <t>Chambre d'Agriculture de la Gironde</t>
  </si>
  <si>
    <t>VVS</t>
  </si>
  <si>
    <t>Citrus ichangensis Swing.</t>
  </si>
  <si>
    <t>Chambre d'Agriculture de la Haute-Garonne</t>
  </si>
  <si>
    <t>Wheat_ISBP_Markers</t>
  </si>
  <si>
    <t>(Citrus ichangensis Swing. x Citrus unshiu (Mak.) Marc.)</t>
  </si>
  <si>
    <t>Chambre d'Agriculture de l'Ardèche</t>
  </si>
  <si>
    <t>Wheat_SSR_Markers</t>
  </si>
  <si>
    <t>Citrus indica Tan.</t>
  </si>
  <si>
    <t>Chambre d'Agriculture de l'Aude</t>
  </si>
  <si>
    <t>WH_EST_resist</t>
  </si>
  <si>
    <t>Citrus inflata Hort. ex Tan.</t>
  </si>
  <si>
    <t>Chambre d'Agriculture de l'Hérault</t>
  </si>
  <si>
    <t>WMC</t>
  </si>
  <si>
    <t>Citrus inflato-rugosa Hort. ex Tan.</t>
  </si>
  <si>
    <t>Chambre d'Agriculture de Loire-Atlantique</t>
  </si>
  <si>
    <t>ZM_cornsensus</t>
  </si>
  <si>
    <t>Citrus intermedia Hort. ex Tan.</t>
  </si>
  <si>
    <t>Chambre d'Agriculture de l'Yonne</t>
  </si>
  <si>
    <t>ZMS1P1_DGT</t>
  </si>
  <si>
    <t>Citrus iriomotensis Hort. ex Tan.</t>
  </si>
  <si>
    <t>Chambre d'Agriculture de Saône-et-Loire</t>
  </si>
  <si>
    <t>ZmS1P2</t>
  </si>
  <si>
    <t>Citrus iwaikan Hort. ex Y. Tan.</t>
  </si>
  <si>
    <t>Chambre d'Agriculture de Savoie</t>
  </si>
  <si>
    <t>ZMS1P8</t>
  </si>
  <si>
    <t>Citrus iyo Hort. ex Tan.</t>
  </si>
  <si>
    <t>Chambre d'Agriculture des Bouches-du-Rhône</t>
  </si>
  <si>
    <t>ZmS1P9</t>
  </si>
  <si>
    <t>Citrus jambhiri Lush.</t>
  </si>
  <si>
    <t>Chambre d'Agriculture des Landes</t>
  </si>
  <si>
    <t>ZmS2P1</t>
  </si>
  <si>
    <t>Citrus javanica Blume</t>
  </si>
  <si>
    <t>Chambre d'Agriculture des Pyrénées-Atlantiques</t>
  </si>
  <si>
    <t>ZmS2P2</t>
  </si>
  <si>
    <t>Citrus junos Siebold ex Tan.</t>
  </si>
  <si>
    <t>Chambre d'Agriculture des Pyrénées-Orientales</t>
  </si>
  <si>
    <t>ZmS2P3</t>
  </si>
  <si>
    <t>Citrus karna Raf.</t>
  </si>
  <si>
    <t>Chambre d'Agriculture d'Indre-et-Loire</t>
  </si>
  <si>
    <t>ZMS3P1</t>
  </si>
  <si>
    <t>Citrus keraji Hort. ex Tan.</t>
  </si>
  <si>
    <t>Chambre d'Agriculture du Gard</t>
  </si>
  <si>
    <t>ZMS3P2</t>
  </si>
  <si>
    <t>Citrus kerrii Tan.</t>
  </si>
  <si>
    <t>Chambre d'Agriculture du Gers</t>
  </si>
  <si>
    <t>ZMS3P2-ZmDIGEST</t>
  </si>
  <si>
    <t>Citrus kinokuni Hort. ex Tan.</t>
  </si>
  <si>
    <t>Chambre d'Agriculture du Jura</t>
  </si>
  <si>
    <t>Citrus kotokan Hayata</t>
  </si>
  <si>
    <t>Chambre d'Agriculture du Loir-et-Cher</t>
  </si>
  <si>
    <t>Citrus L.</t>
  </si>
  <si>
    <t>Chambre d'Agriculture du Lot</t>
  </si>
  <si>
    <t>Citrus latifolia Tan.</t>
  </si>
  <si>
    <t>Chambre d'Agriculture du Lot-et-Garonne</t>
  </si>
  <si>
    <t>Citrus latipes (Swing.) Tan.</t>
  </si>
  <si>
    <t>Chambre d'Agriculture du Maine-et-Loire</t>
  </si>
  <si>
    <t>Citrus leiocarpa Hort. ex Tan.</t>
  </si>
  <si>
    <t>Chambre d'Agriculture du Puy-de-Dôme</t>
  </si>
  <si>
    <t>Citrus limetta Risso</t>
  </si>
  <si>
    <t>Chambre d'Agriculture du Tarn</t>
  </si>
  <si>
    <t>Citrus limettioides Tan.</t>
  </si>
  <si>
    <t>Chambre d'Agriculture du Tarn-et-Garonne</t>
  </si>
  <si>
    <t>Citrus limon (L.) Burm.</t>
  </si>
  <si>
    <t>Chambre d'Agriculture du Var</t>
  </si>
  <si>
    <t>(Citrus limon (L.) Burm. x Citrus aurantifolia (Christm.) Swing.)</t>
  </si>
  <si>
    <t>Chambre d'Agriculture du Vaucluse</t>
  </si>
  <si>
    <t>(Citrus limon (L.) Burm. x Citrus reticulata Blanco)</t>
  </si>
  <si>
    <t>Chambre Régionale d'Agriculture d'Auvergne</t>
  </si>
  <si>
    <t>(Citrus limon (L.) Burm. x Citrus sinensis (L.) Osb.)</t>
  </si>
  <si>
    <t>Chaozhou Fruit Research Institute</t>
  </si>
  <si>
    <t>(Citrus limon (L.) Burm. x Fortunella sp.)</t>
  </si>
  <si>
    <t>Charlottetown Research Centre, Agriculture and Agri-Food Canada</t>
  </si>
  <si>
    <t>(Citrus limon (L.) Burm. x Poncirus trifoliata (L.) Raf.)</t>
  </si>
  <si>
    <t>Chiayi Agricultural Experiment Station</t>
  </si>
  <si>
    <t>Citrus limonia Osb.</t>
  </si>
  <si>
    <t>Chinese Academy of Agriculture Sciences</t>
  </si>
  <si>
    <t>Citrus limonimedica Lush.</t>
  </si>
  <si>
    <t>CIAT</t>
  </si>
  <si>
    <t>Citrus longilimon Tan.</t>
  </si>
  <si>
    <t>CIP</t>
  </si>
  <si>
    <t>Citrus longispina Wester</t>
  </si>
  <si>
    <t>CIRAD-FLHOR</t>
  </si>
  <si>
    <t>Citrus lumia Risso &amp; Poit.</t>
  </si>
  <si>
    <t>CIRAD-FLHOR - Guadeloupe</t>
  </si>
  <si>
    <t>Citrus luteo-turgida Hort. ex Tan.</t>
  </si>
  <si>
    <t>CIRAD-FLHOR - Réunion</t>
  </si>
  <si>
    <t>Citrus lycopersicaeformis (Lush.) Hort. ex Tan.</t>
  </si>
  <si>
    <t>CIRAD-FLHOR Martinique</t>
  </si>
  <si>
    <t>Citrus macrolimon Tan.</t>
  </si>
  <si>
    <t>Citrus &amp; Subtropical Fruit Research Institute</t>
  </si>
  <si>
    <t>Citrus macrophylla Wester</t>
  </si>
  <si>
    <t>Citrus &amp; Subtropical Hort. Research Station</t>
  </si>
  <si>
    <t>Citrus macroptera Montr.</t>
  </si>
  <si>
    <t>Citrus Budwood Registration Bureau</t>
  </si>
  <si>
    <t>Citrus maderaspatana Hort. ex Tan.</t>
  </si>
  <si>
    <t>Citrus Clonal Protection Program</t>
  </si>
  <si>
    <t>Citrus madurensis Lour.</t>
  </si>
  <si>
    <t>Citrus Experimental Station</t>
  </si>
  <si>
    <t>Citrus mangshanensis</t>
  </si>
  <si>
    <t>Citrus Research Center</t>
  </si>
  <si>
    <t>Citrus maxima (Burm.) Merr.</t>
  </si>
  <si>
    <t>Citrus Research Institute</t>
  </si>
  <si>
    <t>(Citrus maxima (Burm.) Merr. x Citrus ichangensis Swing.)</t>
  </si>
  <si>
    <t>Citrus Research Institute - Turquie</t>
  </si>
  <si>
    <t>Citrus medica L.</t>
  </si>
  <si>
    <t>CIVAM Région Corse</t>
  </si>
  <si>
    <t>Citrus medioglobosa Hort. ex Tan.</t>
  </si>
  <si>
    <t>Claeys-Luck</t>
  </si>
  <si>
    <t>Citrus megaloxycarpa Lush.</t>
  </si>
  <si>
    <t>Clause</t>
  </si>
  <si>
    <t>Citrus mellarosa Risso</t>
  </si>
  <si>
    <t>Clause semences</t>
  </si>
  <si>
    <t>Citrus meyeri Y. Tan.</t>
  </si>
  <si>
    <t>Clause Vegetable Seeds St Rémy</t>
  </si>
  <si>
    <t>Citrus miaray Wester</t>
  </si>
  <si>
    <t>Clause Vegetable Seeds Valence</t>
  </si>
  <si>
    <t>Citrus micrantha Wester</t>
  </si>
  <si>
    <t>Clemson University Genomics Institute</t>
  </si>
  <si>
    <t>Citrus mitsuharu Hort. ex Y. Tan.</t>
  </si>
  <si>
    <t>CNB</t>
  </si>
  <si>
    <t>Citrus montana Tan.</t>
  </si>
  <si>
    <t>CNB-CSIC</t>
  </si>
  <si>
    <t>Citrus myrtifolia Raf.</t>
  </si>
  <si>
    <t>CNRGV</t>
  </si>
  <si>
    <t>Citrus nana Tan.</t>
  </si>
  <si>
    <t>C.N.R.S.,  Institut des Sciences du Vegetal</t>
  </si>
  <si>
    <t>Citrus natsudaidai Hay.</t>
  </si>
  <si>
    <t>CNRS ALIMENTEC</t>
  </si>
  <si>
    <t>Citrus neo-aurantium Tan.</t>
  </si>
  <si>
    <t>CNRS ERS</t>
  </si>
  <si>
    <t>Citrus nippokoreana Tan.</t>
  </si>
  <si>
    <t>CNRS UMR 5096</t>
  </si>
  <si>
    <t>Citrus nobilis Lour.</t>
  </si>
  <si>
    <t>Coker's Pedigree Seed Co.</t>
  </si>
  <si>
    <t>Citrus oblonga Hort. ex Y. Tan.</t>
  </si>
  <si>
    <t>College of life science</t>
  </si>
  <si>
    <t>Citrus obovoidea Hort. ex Tak.</t>
  </si>
  <si>
    <t>Colorado Agricultural Experiment Station, Colorado State University</t>
  </si>
  <si>
    <t>Citrus obversa Hassk.</t>
  </si>
  <si>
    <t>Comité Interprofessionnel de Sélection de la Vigne de Savoie</t>
  </si>
  <si>
    <t>Citrus odorata Wester ex. Tan.</t>
  </si>
  <si>
    <t>Comité Interprofessionnel des Vins d'Alsace</t>
  </si>
  <si>
    <t>Citrus oleocarpa Hort. ex Tan.</t>
  </si>
  <si>
    <t>Comité Interprofessionnel des Vins de Champagne</t>
  </si>
  <si>
    <t>Citrus omikanto Hort. ex Y. Tan.</t>
  </si>
  <si>
    <t>Commonwealth Scientific and  Industrial Research OrganisationDivision of Plant Industry</t>
  </si>
  <si>
    <t>Citrus otachibana Hort. ex Y. Tan.</t>
  </si>
  <si>
    <t>Commonwealth Scientific and Industrial Research Organisation</t>
  </si>
  <si>
    <t>Citrus oto Hort. ex Y. Tan.</t>
  </si>
  <si>
    <t>Comparative Genetics Unit</t>
  </si>
  <si>
    <t>Citrus ovata Hassk.</t>
  </si>
  <si>
    <t>Complex Carbohydrate Research Center</t>
  </si>
  <si>
    <t>Citrus panuban (Wester) Tan.</t>
  </si>
  <si>
    <t>Consejo Superior de Investigaciones Científicas</t>
  </si>
  <si>
    <t>Citrus papaya Hassk.</t>
  </si>
  <si>
    <t>Conservatoire Botanique National de Bailleul</t>
  </si>
  <si>
    <t>Citrus papillaris Blanco</t>
  </si>
  <si>
    <t>Citrus paradisi Macf.</t>
  </si>
  <si>
    <t>Conservatoire Botanique National Méditerranéen de Porquerolles + INRA Montpellier</t>
  </si>
  <si>
    <t>(Citrus paradisi Macf. x Citrus sinensis (L.) Osb.)</t>
  </si>
  <si>
    <t>Conservatoire du Vignoble Charentais - IREO</t>
  </si>
  <si>
    <t>(Citrus paradisi Macf. x Poncirus trifoliata (L.) Raf.)</t>
  </si>
  <si>
    <t>Conservatoire Régional des Cépages de Midi-Pyrénées</t>
  </si>
  <si>
    <t>Citrus paratangerina Hort. ex Tan.</t>
  </si>
  <si>
    <t>Conservatoire Régional d'Espèces Fruitières Anciennes et de Vignes de Midi-Pyrénées</t>
  </si>
  <si>
    <t>Citrus pennivesiculata (Lush.) Tan.</t>
  </si>
  <si>
    <t>Conservatoire Végétal Régional d'Aquitaine</t>
  </si>
  <si>
    <t>Citrus peretta Risso</t>
  </si>
  <si>
    <t>Coopérative Agricole AGORA</t>
  </si>
  <si>
    <t>Citrus platymamma Hort. ex Tan.</t>
  </si>
  <si>
    <t>Coopérative Agricole Provence Languedoc</t>
  </si>
  <si>
    <t>Citrus ponki (Hayata) Hort. ex Tan.</t>
  </si>
  <si>
    <t>Coopérative de Lennon</t>
  </si>
  <si>
    <t>Citrus pseudo-aurantium Hort. ex Y. Tan.</t>
  </si>
  <si>
    <t>Coopérative Fleuron d'Anjou</t>
  </si>
  <si>
    <t>Citrus pseudograndis Hort. ex Shirai</t>
  </si>
  <si>
    <t>Cornell Agricultural Experiment Station, University of Cornell</t>
  </si>
  <si>
    <t>Citrus pseudogulgul Hort. ex Shirai</t>
  </si>
  <si>
    <t>Corporacion Colombiana de Investigacion Agropecuaria Tibaitata, CORPOICA</t>
  </si>
  <si>
    <t>Citrus pseudolimon Tan.</t>
  </si>
  <si>
    <t>Cowra Experiment Farm</t>
  </si>
  <si>
    <t>Citrus pseudolimonum Wester</t>
  </si>
  <si>
    <t>CRA-Unitá di Ricerca per la Maiscoltura</t>
  </si>
  <si>
    <t>Citrus pseudopapillaris Tan.</t>
  </si>
  <si>
    <t>CRA-Unitá di Ricerca per la Valorizzazione Qualitativa dei Cereali</t>
  </si>
  <si>
    <t>Citrus pseudoparadisi Hort. ex Y. Tan.</t>
  </si>
  <si>
    <t>Criadero Klein S.A.</t>
  </si>
  <si>
    <t>Citrus pseudosunki Hort. ex Tan.</t>
  </si>
  <si>
    <t>C.R.I.D.A.</t>
  </si>
  <si>
    <t>Citrus pyriformis Hassk.</t>
  </si>
  <si>
    <t>Crop &amp; Food Research</t>
  </si>
  <si>
    <t>Citrus reshni Hort. ex Tan.</t>
  </si>
  <si>
    <t>Crop Breeding Institute</t>
  </si>
  <si>
    <t>Citrus reticulata Blanco</t>
  </si>
  <si>
    <t>Crop Development Centre, University of Saskatchewan</t>
  </si>
  <si>
    <t>(Citrus reticulata Blanco x Citrus aurantium L.)</t>
  </si>
  <si>
    <t>Crop Experimental Station Rural Development Administration</t>
  </si>
  <si>
    <t>(Citrus reticulata Blanco x Citrus paradisi Macf.)</t>
  </si>
  <si>
    <t>Crop Genetics</t>
  </si>
  <si>
    <t>(Citrus reticulata Blanco x Citrus sinensis (L.) Osb.)</t>
  </si>
  <si>
    <t>Crop Performance and  Improvement Department</t>
  </si>
  <si>
    <t>(Citrus reticulata Blanco x Fortunella sp.)</t>
  </si>
  <si>
    <t>Crop Production &amp; Pest Control Research Unit</t>
  </si>
  <si>
    <t>(Citrus reticulata Blanco x Poncirus trifoliata (L.) Raf.)</t>
  </si>
  <si>
    <t>Crop Research Institute, Olomouc</t>
  </si>
  <si>
    <t>Citrus rissoi Risso</t>
  </si>
  <si>
    <t>Crop Research Institute Plant Genetic Resources Unit</t>
  </si>
  <si>
    <t>Citrus rokugatsu Hort. ex Y. Tan.</t>
  </si>
  <si>
    <t>Crop Science</t>
  </si>
  <si>
    <t>Citrus rugulosa Hort. ex Tan.</t>
  </si>
  <si>
    <t>Citrus sarbati Tan.</t>
  </si>
  <si>
    <t>CSIRO Plant Industry</t>
  </si>
  <si>
    <t>Citrus semperflorens Lush.</t>
  </si>
  <si>
    <t>CSIRO Production and Processing</t>
  </si>
  <si>
    <t>Citrus shunkokan Hort. ex Tan.</t>
  </si>
  <si>
    <t>CTIFL Centre Technique Interprofessionnel des Fruits et Légumes, Centre de Lanxade</t>
  </si>
  <si>
    <t>Citrus sinensis (L.) Osb.</t>
  </si>
  <si>
    <t>Danko Hodowla Ro'slin sp. z o.o.</t>
  </si>
  <si>
    <t>(Citrus sinensis (L.) Osb. x Poncirus trifoliata (L.) Raf.)</t>
  </si>
  <si>
    <t>Davao Experimental Station</t>
  </si>
  <si>
    <t>Citrus sinograndis Hort. ex Y. Tan.</t>
  </si>
  <si>
    <t>De Groot en Slot BV</t>
  </si>
  <si>
    <t>Citrus southwickii Wester</t>
  </si>
  <si>
    <t>De Regibus Christian,  Saxon - Suisse</t>
  </si>
  <si>
    <t>Citrus sp.</t>
  </si>
  <si>
    <t>De Voetakker BV</t>
  </si>
  <si>
    <t>Citrus sphaerocarpa Tan.</t>
  </si>
  <si>
    <t>DeKalb AgResearch Inc.</t>
  </si>
  <si>
    <t>Citrus suavissima Hort. ex Tan.</t>
  </si>
  <si>
    <t>Delaware Biotechnology Institute</t>
  </si>
  <si>
    <t>Citrus succosa Hort. ex Tan.</t>
  </si>
  <si>
    <t>Delley Samen und Pflanzen AG</t>
  </si>
  <si>
    <t>Citrus sudachi Hort. ex Shirai</t>
  </si>
  <si>
    <t>Denaiffe et Fils</t>
  </si>
  <si>
    <t>Citrus suhuiensis Hort. ex Tan.</t>
  </si>
  <si>
    <t>Dep. of Biological Science</t>
  </si>
  <si>
    <t>Citrus suizabon Tan.</t>
  </si>
  <si>
    <t>Departamento de Citricultura, Estação N. Fruticultura 'Vieira Natividade'</t>
  </si>
  <si>
    <t>Citrus sulcata Hort. ex Tak.</t>
  </si>
  <si>
    <t>Departamento Genetica Evolutiva</t>
  </si>
  <si>
    <t>Citrus sunki Hort. ex Tan.</t>
  </si>
  <si>
    <t>Departement de phytologie, Universite Laval</t>
  </si>
  <si>
    <t>Citrus tachibana (Mak.) Tan.</t>
  </si>
  <si>
    <t>Departement des Sciences biologiques</t>
  </si>
  <si>
    <t>Citrus taiwanica Tan. &amp; Shim.</t>
  </si>
  <si>
    <t>Department of Agricultural Botany</t>
  </si>
  <si>
    <t>Citrus takuma-sudachi Hort. ex Tan.</t>
  </si>
  <si>
    <t>Department of Agriculture</t>
  </si>
  <si>
    <t>Citrus tamurana Hort. ex Tan.</t>
  </si>
  <si>
    <t>Department of Agronomy</t>
  </si>
  <si>
    <t>Citrus tangerina Hort. ex Tan.</t>
  </si>
  <si>
    <t>Department of Agronomy and  Plant Genetics</t>
  </si>
  <si>
    <t>Citrus tankan Hay.</t>
  </si>
  <si>
    <t>Department of Agronomy and  Plant Genetics,  University ofMinnesota</t>
  </si>
  <si>
    <t>Citrus tardiferax Hort. ex Tan.</t>
  </si>
  <si>
    <t>Department of Agronomy and Range Science</t>
  </si>
  <si>
    <t>Citrus tardiva Hort. ex Shirai</t>
  </si>
  <si>
    <t>Department of Biochemistry</t>
  </si>
  <si>
    <t>Citrus tarogayo Hort. ex Y. Tan.</t>
  </si>
  <si>
    <t>Department of Biochemistry and  Biophysics</t>
  </si>
  <si>
    <t>Citrus temple Hort. ex Y. Tan.</t>
  </si>
  <si>
    <t>Department of Biological Sciences</t>
  </si>
  <si>
    <t>(Citrus temple Hort. ex Y. Tan. x Citrus paradisi Macf.)</t>
  </si>
  <si>
    <t>Department of Biological Sciences and  Howard Hughes MedicalInstitute</t>
  </si>
  <si>
    <t>Citrus tengu Hort. ex Tan.</t>
  </si>
  <si>
    <t>Department of Biology</t>
  </si>
  <si>
    <t>Citrus tosa-asahi Hort. ex Y. Tan.</t>
  </si>
  <si>
    <t>Department of Biology,  Faculty of Science</t>
  </si>
  <si>
    <t>Citrus truncata Hort. ex Tan.</t>
  </si>
  <si>
    <t>Department of Biology and Biocenter Oulu</t>
  </si>
  <si>
    <t>Citrus tumida Hort. ex Tan.</t>
  </si>
  <si>
    <t>Department of Biology/Plant Genetics Group</t>
  </si>
  <si>
    <t>Citrus ujukitsu Tan.</t>
  </si>
  <si>
    <t>Department of Biosciences, Plant Physiology</t>
  </si>
  <si>
    <t>Citrus unshiu (Mak.) Mar.</t>
  </si>
  <si>
    <t>Department of Biotechnology</t>
  </si>
  <si>
    <t>(Citrus unshiu (Mak.) Marc. x (F. japonica x F. margarita 'Meiwa'))</t>
  </si>
  <si>
    <t>Department of Biotechnology Graduate School of Engineering</t>
  </si>
  <si>
    <t>Citrus vitiensis Tan.</t>
  </si>
  <si>
    <t>Department of Botany and  Plant Pathology</t>
  </si>
  <si>
    <t>Citrus webberii Wester</t>
  </si>
  <si>
    <t>Department of Botany, Faculty of Science, Chulalongkorn University</t>
  </si>
  <si>
    <t>Citrus westeri Tan.</t>
  </si>
  <si>
    <t>Department of Cell biology</t>
  </si>
  <si>
    <t>Citrus wilsonii Tan.</t>
  </si>
  <si>
    <t>Department of Crop Science,  division of Biotechnology and Genetic Engineering</t>
  </si>
  <si>
    <t>Citrus yamabuki Hort. ex Y. Tan.</t>
  </si>
  <si>
    <t>Department of Crop Science Agricultural University of Norway</t>
  </si>
  <si>
    <t>Citrus yanbaruensis Hort. ex Tan.</t>
  </si>
  <si>
    <t>Department of Cytogenetics</t>
  </si>
  <si>
    <t>Citrus yatsushiro Hort. ex Tan.</t>
  </si>
  <si>
    <t>Department of Ecology &amp; Evolutionary Biology</t>
  </si>
  <si>
    <t>Citrus yuge-hyokan Hort. ex Y. Tan.</t>
  </si>
  <si>
    <t>Department of Ecology and  Evolutionary Biology</t>
  </si>
  <si>
    <t>Citrus yuko Hort. ex Tan.</t>
  </si>
  <si>
    <t>Department of Enthomology,  plant protection Institute</t>
  </si>
  <si>
    <t>Clausena Burm. f.</t>
  </si>
  <si>
    <t>Department of Entomology</t>
  </si>
  <si>
    <t>Clausena excavata Burm. f.</t>
  </si>
  <si>
    <t>Department of Forest Genetics and Plant Physiology</t>
  </si>
  <si>
    <t>Clausena lansium (Lour.) Skeels</t>
  </si>
  <si>
    <t>Department of Forestry</t>
  </si>
  <si>
    <t>Clauseneae</t>
  </si>
  <si>
    <t>Department of Genetics</t>
  </si>
  <si>
    <t>Clauseninae</t>
  </si>
  <si>
    <t>Department of Genetics and  Forestry and  AgriculturalBiotechnology Institute</t>
  </si>
  <si>
    <t>Clematicissus angustissima (F.Muell.) Planch.</t>
  </si>
  <si>
    <t>Department of Genetics and  Genomics - Trisaia ResearchCentre</t>
  </si>
  <si>
    <t>Clematicissus Planch.</t>
  </si>
  <si>
    <t>Department of Genetics and Plant Breeding, University of Agricultural Sciences</t>
  </si>
  <si>
    <t>Cucumis L.</t>
  </si>
  <si>
    <t>Department of Genomics,  evolution and  development</t>
  </si>
  <si>
    <t>Cucumis melo L.</t>
  </si>
  <si>
    <t>Department of Horticultural Sciences, Saga University</t>
  </si>
  <si>
    <t>Cucumis melo ssp. agrestis</t>
  </si>
  <si>
    <t>Department of Horticulture</t>
  </si>
  <si>
    <t>Cucumis melo ssp. agrestis f. Acidulus</t>
  </si>
  <si>
    <t>Department of Plant Biology</t>
  </si>
  <si>
    <t>Cucumis melo ssp. agrestis f. Chinensis</t>
  </si>
  <si>
    <t>Department of Plant Biotechnology</t>
  </si>
  <si>
    <t>Cucumis melo ssp. agrestis f. Conomon</t>
  </si>
  <si>
    <t>Department of Plant Genetics</t>
  </si>
  <si>
    <t>Cucumis melo ssp. agrestis f. Makuwa</t>
  </si>
  <si>
    <t>Department of Plant Molecular Biology</t>
  </si>
  <si>
    <t>Cucumis melo ssp. agrestis f. Momordica</t>
  </si>
  <si>
    <t>Department of Plant Pathology</t>
  </si>
  <si>
    <t>Cucumis melo ssp. agrestis f. Tibish</t>
  </si>
  <si>
    <t>Department of Plant Science</t>
  </si>
  <si>
    <t>Cucumis melo ssp. melo</t>
  </si>
  <si>
    <t>Department of Plant Sciences</t>
  </si>
  <si>
    <t>Cucumis melo ssp. melo f. Ameri</t>
  </si>
  <si>
    <t>Department of Plant Sciences,  School of Life Sciences</t>
  </si>
  <si>
    <t>Cucumis melo ssp. melo f. Cantalupensis</t>
  </si>
  <si>
    <t>Department of Primary Industries</t>
  </si>
  <si>
    <t>Cucumis melo ssp. melo f. Cantalupensis gr. Charentais</t>
  </si>
  <si>
    <t>Department of Scientific and Industrial Research</t>
  </si>
  <si>
    <t>Cucumis melo ssp. melo f. Chandalak</t>
  </si>
  <si>
    <t>Department of Soil&amp;Crops</t>
  </si>
  <si>
    <t>Cucumis melo ssp. melo f. Chate</t>
  </si>
  <si>
    <t>Department of Vegetable Crops,  R.W.Michelmore Lab</t>
  </si>
  <si>
    <t>Cucumis melo ssp. melo f. Dudaim</t>
  </si>
  <si>
    <t>Department of Viticulture and Enology</t>
  </si>
  <si>
    <t>Cucumis melo ssp. melo f. Flexuosus</t>
  </si>
  <si>
    <t>Dept. of Biochemistry &amp; Molecular Biology</t>
  </si>
  <si>
    <t>Cucumis melo ssp. melo f. Inodorus</t>
  </si>
  <si>
    <t>Dept. of Horticulture</t>
  </si>
  <si>
    <t>Cucumis melo ssp. melo f. Inodorus gr. Canari</t>
  </si>
  <si>
    <t>Dept of Molecular Biosciences</t>
  </si>
  <si>
    <t>Cucumis melo ssp. melo f. Inodorus gr. Honeydew</t>
  </si>
  <si>
    <t>Dept. of Plant and  Soil Science,  Montana State University</t>
  </si>
  <si>
    <t>Cucumis melo ssp. melo f. Inodorus gr. Piel de sapo</t>
  </si>
  <si>
    <t>Dept. of Plant Pathology</t>
  </si>
  <si>
    <t>Cucumis melo ssp. melo f. Inodorus gr. Rochet</t>
  </si>
  <si>
    <t>Dept Plant Breeding</t>
  </si>
  <si>
    <t>Cucumis melo ssp. melo f. Inodorus gr. Tendral</t>
  </si>
  <si>
    <t>Desprez</t>
  </si>
  <si>
    <t>Cucumis melo ssp. melo f. Reticulatus</t>
  </si>
  <si>
    <t>Deutsche Saatveredelung Lippstadt - France</t>
  </si>
  <si>
    <t>Cynara L.</t>
  </si>
  <si>
    <t>Deutsche Saatveredelung Lippstadt-Bremen GmbH</t>
  </si>
  <si>
    <t>Dactylis glomerata L.</t>
  </si>
  <si>
    <t>Deutsche Saatzucht-Gesellschaft Salzmuende (G. Riebesel)</t>
  </si>
  <si>
    <t>Dactylis glomerata subsp. castellata Stebbins &amp; Zohary</t>
  </si>
  <si>
    <t>DEVM</t>
  </si>
  <si>
    <t>Dactylis glomerata subsp. glomerata L.</t>
  </si>
  <si>
    <t>Devon Botanic Garden and Field Laboratory, Department of Botany, University of Alberta</t>
  </si>
  <si>
    <t>Dactylis glomerata subsp. hispanica (Roth) Nyman</t>
  </si>
  <si>
    <t>DiaPC</t>
  </si>
  <si>
    <t>Dactylis glomerata subsp. izcoi S.Ortiz &amp; J.Rodríguez_Oubina</t>
  </si>
  <si>
    <t>Dipartimento di Colture Arboree - C.M.V.F.- Università di Bologna (ITA)</t>
  </si>
  <si>
    <t>Dactylis glomerata subsp. lusitanica Stebbins &amp; Zohary</t>
  </si>
  <si>
    <t>Dipartimento di Colture Arboree - C.M.V.F.- Università di Bologna (ITA) - Bassi Daniele</t>
  </si>
  <si>
    <t>Dactylis glomerata subsp. mairei Zohary &amp; Stebbins</t>
  </si>
  <si>
    <t>Dipartimento di Scienze Agrarie e Ambientali</t>
  </si>
  <si>
    <t>Dactylis L.</t>
  </si>
  <si>
    <t>Dipartimento di Scienze Agrarie e Ambientali - Genetica</t>
  </si>
  <si>
    <t>Dioscorea</t>
  </si>
  <si>
    <t>Dipartimento Innovazione, Divisione Biotecnologie e Agricoltura, ENEA</t>
  </si>
  <si>
    <t>Dioscorea alata</t>
  </si>
  <si>
    <t>Direction Départementale de l'Agriculture, Service du Génie Rural des Eaux et des Forêts</t>
  </si>
  <si>
    <t>Dioscorea altissima</t>
  </si>
  <si>
    <t>Direction Scientifique des Productions Végétales, INRA</t>
  </si>
  <si>
    <t>Dioscorea bulbifera</t>
  </si>
  <si>
    <t>Div. of Plant Industry,  CSIRO</t>
  </si>
  <si>
    <t>Dioscorea burkiliana</t>
  </si>
  <si>
    <t>Diversity Arrays Technology P/L - Triticarte P/L</t>
  </si>
  <si>
    <t>Dioscorea cayenensis rotundata</t>
  </si>
  <si>
    <t>Division Agronomique-Génétique et Amélioration des Plantes</t>
  </si>
  <si>
    <t>Dioscorea cordata</t>
  </si>
  <si>
    <t>Division of Applied Bioscience,  Graduate School ofAgriculture</t>
  </si>
  <si>
    <t>Dioscorea esculenta</t>
  </si>
  <si>
    <t>Division of Biological Sciences</t>
  </si>
  <si>
    <t>Dioscorea hurtiflora</t>
  </si>
  <si>
    <t>Division of Biology</t>
  </si>
  <si>
    <t>Dioscorea minutiflora</t>
  </si>
  <si>
    <t>Division of Plant Industry</t>
  </si>
  <si>
    <t>Dioscorea numularia</t>
  </si>
  <si>
    <t>Domaine de Sainte-Marguerite</t>
  </si>
  <si>
    <t>Dioscorea pilosiuscula</t>
  </si>
  <si>
    <t>Domaines Agricoles</t>
  </si>
  <si>
    <t>Dioscorea polygonoïdes</t>
  </si>
  <si>
    <t>Domaines Royaux</t>
  </si>
  <si>
    <t>Dioscorea transversa</t>
  </si>
  <si>
    <t>Domaines Sunset</t>
  </si>
  <si>
    <t>Dioscorea trifida</t>
  </si>
  <si>
    <t>Doneczkij institut agropromyshlennogo proizvodstva NAAN, GP</t>
  </si>
  <si>
    <t>Diuraphis noxia</t>
  </si>
  <si>
    <t>Donneur inconnu à Escolives-Sainte-Camille</t>
  </si>
  <si>
    <t>Equus caballus</t>
  </si>
  <si>
    <t>Donneur inconnu à Remoulins</t>
  </si>
  <si>
    <t>Eremocitrus glauca (Lindl.) Swing.</t>
  </si>
  <si>
    <t>Dr. J. Ackermann &amp; Co Saatzucht Irlbach</t>
  </si>
  <si>
    <t>(Eremocitrus glauca (Lindl.) Swing. x Citrus aurantium L.)</t>
  </si>
  <si>
    <t>Dr. Joachim Messing s lab</t>
  </si>
  <si>
    <t>(Eremocitrus glauca (Lindl.) Swing. x Citrus limon (L.) Burm. ?)</t>
  </si>
  <si>
    <t>D.S.A. Vaucluse (84) - France</t>
  </si>
  <si>
    <t>(Eremocitrus glauca (Lindl.) Swing. x Citrus sinensis(L.) Osb.)</t>
  </si>
  <si>
    <t>DuPont Hybrinova</t>
  </si>
  <si>
    <t>Eremocitrus Swingle</t>
  </si>
  <si>
    <t>East Malling Research</t>
  </si>
  <si>
    <t>Fabaceae</t>
  </si>
  <si>
    <t>Eastern Cereal and  Oilseed Research Centre</t>
  </si>
  <si>
    <t>Festuca arundinacea  subsp. arundinacea var. letourneuxiana St.-Yves. (10x)</t>
  </si>
  <si>
    <t>École Nationale d'Ingénieurs de l'Horticulture et du Paysage de l'Institut National d'Horticulture</t>
  </si>
  <si>
    <t>Festuca arundinacea Schreb.</t>
  </si>
  <si>
    <t>Ecole Nationale Supérieure Agronomique de Montpellier</t>
  </si>
  <si>
    <t>Festuca arundinacea subsp. arundinacea Schreb.</t>
  </si>
  <si>
    <t>Ecole Nationale Supérieure Agronomique de Toulouse</t>
  </si>
  <si>
    <t>Festuca arundinacea subsp. arundinacea var. atlantigena sensu Markgr.Dann. (8x)</t>
  </si>
  <si>
    <t>Ecomusée de la Grande Lande (Marquèze)</t>
  </si>
  <si>
    <t>Festuca arundinacea subsp. arundinacea var. genuina Schreb. (6x)</t>
  </si>
  <si>
    <t>Ecophysiologie des Plantes sous Stress Environnementaux (LEPSE)</t>
  </si>
  <si>
    <t>Festuca arundinacea subsp. arundinacea var. glaucescens Boiss. (4x)</t>
  </si>
  <si>
    <t>Einsenhut Vivaio</t>
  </si>
  <si>
    <t>Festuca filiformis Pourret</t>
  </si>
  <si>
    <t>EMBRAPA Brazil</t>
  </si>
  <si>
    <t>Festuca L.</t>
  </si>
  <si>
    <t>Empresa Brasileira de Pesquisa Agropecuaria</t>
  </si>
  <si>
    <t>Festuca nigrescens Lam.</t>
  </si>
  <si>
    <t>Empresa Citricola Victoria</t>
  </si>
  <si>
    <t>Festuca nigrescens subsp. nigrescens Lam.</t>
  </si>
  <si>
    <t>ENSA - INRA Unité de Formation en Botanique et Pathologie Végétale, INRA-Montpellier</t>
  </si>
  <si>
    <t>Festuca ovina L. (2x)</t>
  </si>
  <si>
    <t>Environmental Biology Group/ Research School of Biological Sciences</t>
  </si>
  <si>
    <t>Festuca ovina L. (4x)</t>
  </si>
  <si>
    <t>Environmental Molecular Biology Laboratory</t>
  </si>
  <si>
    <t>Festuca ovina L. (6x)</t>
  </si>
  <si>
    <t>Environmental Sciences Division</t>
  </si>
  <si>
    <t>Festuca ovina L. (8x)</t>
  </si>
  <si>
    <t>Enza Zaden France</t>
  </si>
  <si>
    <t>Festuca ovina subsp. guestfalica (Reichenb.) K. Richter</t>
  </si>
  <si>
    <t>EPGV</t>
  </si>
  <si>
    <t>Festuca rubra L.</t>
  </si>
  <si>
    <t>EPLEFPA Poitiers-Venours, Etablissement d'enseignement général et technologique agricole</t>
  </si>
  <si>
    <t>Festuca rubra subsp. arenaria (Osbeck) Aresh</t>
  </si>
  <si>
    <t>Equipe Genetique Vigne UMR DiaPC</t>
  </si>
  <si>
    <t>Festuca rubra subsp. fallax (Thuill.) Nyman</t>
  </si>
  <si>
    <t>Equipe Genomique Ble et Mais</t>
  </si>
  <si>
    <t>Festuca rubra subsp. litoralis (G. Meyer) Auquier</t>
  </si>
  <si>
    <t>Equipe Ginomique de la vigne (URGV)</t>
  </si>
  <si>
    <t>Festuca rubra subsp. pruinosa (Hackel) Piper</t>
  </si>
  <si>
    <t>Escola Superior de Agricultura 'Luiz de Quiroz'</t>
  </si>
  <si>
    <t>Festuca rubra subsp. rubra L.</t>
  </si>
  <si>
    <t>Estaçao Experimental de Itajaí</t>
  </si>
  <si>
    <t>Festuca stricta Host.</t>
  </si>
  <si>
    <t>Estaçao Experimental Fitotécnica de Taquari</t>
  </si>
  <si>
    <t>Festuca stricta subsp. trachyphylla (hackel) Patzke</t>
  </si>
  <si>
    <t>Estacao Nacional Melhoramento</t>
  </si>
  <si>
    <t>Festuca trichophylla (Gaudin) K.Richter</t>
  </si>
  <si>
    <t>Estacion Exp. Fabio Baudrit Moreno</t>
  </si>
  <si>
    <t>Festuca trichophylla subsp. trichophylla Hackel</t>
  </si>
  <si>
    <t>Estacion Experimental</t>
  </si>
  <si>
    <t>Fortunella crassifolia Swing.</t>
  </si>
  <si>
    <t>Estacion Experimental Agroindustrial 'Obispo Colombres'</t>
  </si>
  <si>
    <t>Fortunella hindsii (Champ.) Swing.</t>
  </si>
  <si>
    <t>Estacion Experimental Agropecuaria Rafaela</t>
  </si>
  <si>
    <t>Fortunella japonica (Thunb.) Swing.</t>
  </si>
  <si>
    <t>Estacion Experimental 'Aula Dei' - Consejo Superior de Investigaciones Científicas</t>
  </si>
  <si>
    <t>Fortunella margarita (Lour.) Swing.</t>
  </si>
  <si>
    <t>Estación Experimental de la Facultad de Agronomia en Salto</t>
  </si>
  <si>
    <t>Fortunella obovata Hort. ex Tan.</t>
  </si>
  <si>
    <t>Estacion Experimental 'La Estanzuela'</t>
  </si>
  <si>
    <t>Fortunella polyandra (Ridl.) Tan.</t>
  </si>
  <si>
    <t>Estacion Experimental La Platina</t>
  </si>
  <si>
    <t>(Fortunella sp. x Poncirus trifoliata (L.) Raf.)</t>
  </si>
  <si>
    <t>Estacion Experimental Los Diamantes</t>
  </si>
  <si>
    <t>Fortunella Swingle</t>
  </si>
  <si>
    <t>Estacion Experimental Santa Catalina DENAREF, INIAP</t>
  </si>
  <si>
    <t>Fortunella swinglei Tan.</t>
  </si>
  <si>
    <t>Etablissements Leblond</t>
  </si>
  <si>
    <t>Fragaria grandiflora</t>
  </si>
  <si>
    <t>Etablissements Lemaire-Deffontaines</t>
  </si>
  <si>
    <t>Fragaria vesca</t>
  </si>
  <si>
    <t>Eteve Lambertin Marie-Laure, Bouillargues - France</t>
  </si>
  <si>
    <t>Fragaria vesca subsp. vesca</t>
  </si>
  <si>
    <t>Ets A Bataille</t>
  </si>
  <si>
    <t>Fragaria x ananassa</t>
  </si>
  <si>
    <t>Ets George Laurent</t>
  </si>
  <si>
    <t>Gallus gallus</t>
  </si>
  <si>
    <t>Ets Tharreau</t>
  </si>
  <si>
    <t>Glycine</t>
  </si>
  <si>
    <t>Etude du polymorphisme des genomes vegetaux</t>
  </si>
  <si>
    <t>Glycine max</t>
  </si>
  <si>
    <t>Euralis génétique</t>
  </si>
  <si>
    <t>Glycosmis Corrêa</t>
  </si>
  <si>
    <t>EURALIS SEMENCES</t>
  </si>
  <si>
    <t>Glycosmis pentaphylla (Retz.) Corrêa</t>
  </si>
  <si>
    <t>Eversole Associates</t>
  </si>
  <si>
    <t>Gossypium spp.</t>
  </si>
  <si>
    <t>Evolutionary Biology Centre</t>
  </si>
  <si>
    <t>Hebeloma cylindrosporum</t>
  </si>
  <si>
    <t>Experimental Breeding Station Choryn</t>
  </si>
  <si>
    <t>Helianthus annuus</t>
  </si>
  <si>
    <t>Experimental Institute of Cereal Research</t>
  </si>
  <si>
    <t>Helianthus argophyllus</t>
  </si>
  <si>
    <t>F. Levieil</t>
  </si>
  <si>
    <t>Helianthus L.</t>
  </si>
  <si>
    <t>F. Von Lochow-Petkus GmbH</t>
  </si>
  <si>
    <t>Helianthus paradoxus</t>
  </si>
  <si>
    <t>Fabre</t>
  </si>
  <si>
    <t>Hordeum</t>
  </si>
  <si>
    <t>Fac.of Agri.</t>
  </si>
  <si>
    <t>Hordeum agriocrithon Aberg</t>
  </si>
  <si>
    <t>Facoltà di Agraria</t>
  </si>
  <si>
    <t>Hordeum andicola Griseb.</t>
  </si>
  <si>
    <t>Faculdad de Agronomia</t>
  </si>
  <si>
    <t>Hordeum andinum Trin.</t>
  </si>
  <si>
    <t>Facultad de Ciencias Agropecuarias, Universidad de Panamá</t>
  </si>
  <si>
    <t>Hordeum bogdani</t>
  </si>
  <si>
    <t>Faculté d'Agronomie</t>
  </si>
  <si>
    <t>Hordeum bogdanii</t>
  </si>
  <si>
    <t>Faculty of Agriculture - Institute of Field Crops</t>
  </si>
  <si>
    <t>Hordeum brachyantherum Nevski s.l.</t>
  </si>
  <si>
    <t>Faculty of Agriculture,  Laboratory of Plant Breeding</t>
  </si>
  <si>
    <t>Hordeum brachyantherum ssp. brachyantherum Nevski</t>
  </si>
  <si>
    <t>Faculty of Agriculture, University of Manitoba</t>
  </si>
  <si>
    <t>Hordeum brevisubulatum ssp. brevisubulatum</t>
  </si>
  <si>
    <t>Faculty of Bioresources</t>
  </si>
  <si>
    <t>Hordeum brevisubulatum ssp. iranicum</t>
  </si>
  <si>
    <t>Fear CD, Cain DW, Mowrey BD, CA - USA</t>
  </si>
  <si>
    <t>Hordeum brevisubulatum ssp. nevskianum</t>
  </si>
  <si>
    <t>Fédération des Syndicats Bretons</t>
  </si>
  <si>
    <t>Hordeum brevisubulatum ssp. turkestani</t>
  </si>
  <si>
    <t>Fédération des Syndicats Bretons &amp; A. Person</t>
  </si>
  <si>
    <t>Hordeum brevisubulatum ssp. turkestanicum</t>
  </si>
  <si>
    <t>Fédération des Syndicats Bretons &amp; Bretagne Plants</t>
  </si>
  <si>
    <t>Hordeum brevisubulatum ssp. violaceum</t>
  </si>
  <si>
    <t>Fédération des Syndicats Bretons &amp; Coopérative de Pleyber-Christ</t>
  </si>
  <si>
    <t>Hordeum brevisubulatum (Trin.) Link ssp. brevisubulatum s.l.</t>
  </si>
  <si>
    <t>Fédération des Syndicats Bretons &amp; Coopérative des Agriculteurs de Bretagne</t>
  </si>
  <si>
    <t>Hordeum brevisubulatum (Trin.) Link ssp. iranicum Bothmer</t>
  </si>
  <si>
    <t>Fédération des Vins de Savoie</t>
  </si>
  <si>
    <t>Hordeum brevisubulatum (Trin.) Link ssp. nevskianum (Bowden) Tzvel.</t>
  </si>
  <si>
    <t>Fédération des Vins du Puy de Dôme</t>
  </si>
  <si>
    <t>Hordeum brevisubulatum (Trin.) Link ssp. turkestanicum (Nevski) Tzvel.</t>
  </si>
  <si>
    <t>Ferme de moulon</t>
  </si>
  <si>
    <t>Hordeum brevisubulatum (Trin.) Link ssp. violaceum (Boiss. &amp; Hohen.) Tzvel.</t>
  </si>
  <si>
    <t>Ferme d'Etat de Pucheng</t>
  </si>
  <si>
    <t>Hordeum bulbosum L.</t>
  </si>
  <si>
    <t>FERME ECOLE DE BESPLAS</t>
  </si>
  <si>
    <t>Hordeum caespitosum Scribn.</t>
  </si>
  <si>
    <t>Ferme Expérimentale de Grignon</t>
  </si>
  <si>
    <t>Hordeum californicum Covas &amp; Stebbins</t>
  </si>
  <si>
    <t>Firma H. O. Luebeck, Magdeburg</t>
  </si>
  <si>
    <t>Hordeum chilense Roem. &amp; Schult.</t>
  </si>
  <si>
    <t>Fleck Jacqueline / L626</t>
  </si>
  <si>
    <t>Hordeum comosum J. Presl</t>
  </si>
  <si>
    <t>Fleischmann Rudolph Agricultural Research Institute, University of Agricultural Sciences</t>
  </si>
  <si>
    <t>Hordeum compressum</t>
  </si>
  <si>
    <t>Florimond Desprez</t>
  </si>
  <si>
    <t>Hordeum compressum Griseb.</t>
  </si>
  <si>
    <t>Fontaine (bought by Jouffray-Drillaud)</t>
  </si>
  <si>
    <t>Hordeum cordobense Bothmer, N. Jacobsen &amp; Nicora</t>
  </si>
  <si>
    <t>Food Science Institute</t>
  </si>
  <si>
    <t>Hordeum deficiens</t>
  </si>
  <si>
    <t>Forschungsanstalt Agroscope Reckenholz-Tänikon</t>
  </si>
  <si>
    <t>Hordeum deficiens Steud.</t>
  </si>
  <si>
    <t>Fr. Strube Saatzucht KG Soellingen</t>
  </si>
  <si>
    <t>Hordeum depressum (Scribn. &amp; J.G. Sm.) Rydb.</t>
  </si>
  <si>
    <t>Fruit Tree Laboratory</t>
  </si>
  <si>
    <t>Hordeum europaeum</t>
  </si>
  <si>
    <t>Fruit Tree Research Station</t>
  </si>
  <si>
    <t>Hordeum flexuosum Steud.</t>
  </si>
  <si>
    <t>Fruit Trees Research Station, Kuchinotsu Branch</t>
  </si>
  <si>
    <t>Hordeum geniculatum</t>
  </si>
  <si>
    <t>FR2424, Station Biologique</t>
  </si>
  <si>
    <t>Hordeum gussoneanum</t>
  </si>
  <si>
    <t>Fudan University</t>
  </si>
  <si>
    <t>Hordeum gussoneanum Parl.</t>
  </si>
  <si>
    <t>Fungal Genomics Lab</t>
  </si>
  <si>
    <t>Hordeum hexaploidum</t>
  </si>
  <si>
    <t>G. Geertsema-Groningen B.V.</t>
  </si>
  <si>
    <t>Hordeum hexaploidum Covas</t>
  </si>
  <si>
    <t>GA</t>
  </si>
  <si>
    <t>Hordeum hexastichon L.</t>
  </si>
  <si>
    <t>Gautier</t>
  </si>
  <si>
    <t>Hordeum hrasdanicum Gandilyan</t>
  </si>
  <si>
    <t>Hordeum irregulare</t>
  </si>
  <si>
    <t>Genavenir</t>
  </si>
  <si>
    <t>Hordeum ithaburense Boiss.</t>
  </si>
  <si>
    <t>Gene Function and Maize Traits Group</t>
  </si>
  <si>
    <t>Hordeum jubatum</t>
  </si>
  <si>
    <t>Genebank, Leibniz Institute of Plant Genetics and Crop Plant Research</t>
  </si>
  <si>
    <t>Hordeum jubatum breviaristatum</t>
  </si>
  <si>
    <t>Genetic Resources and Mediterranean Medicago Plant Breeding Laboratory, INRA-Montpellier</t>
  </si>
  <si>
    <t>Hordeum jubatum jubatum</t>
  </si>
  <si>
    <t>Genetic Resources Department - Research Institute for Cereals and Industrial Crops</t>
  </si>
  <si>
    <t>Hordeum jubatum ssp. breviaristatum Bowden</t>
  </si>
  <si>
    <t>Genetics</t>
  </si>
  <si>
    <t>Hordeum jubatum ssp. intermedium Bowden</t>
  </si>
  <si>
    <t>Genetics of Environmental Stress Tolerance</t>
  </si>
  <si>
    <t>Hordeum kaufmannii Regel</t>
  </si>
  <si>
    <t>Genetique et Amelioration des Plantes</t>
  </si>
  <si>
    <t>Hordeum L.</t>
  </si>
  <si>
    <t>Genetique et amelioration des plantes</t>
  </si>
  <si>
    <t>Hordeum lechleri (Steud.) Schenck</t>
  </si>
  <si>
    <t>Genetique et ecophysiologie des legumineuses</t>
  </si>
  <si>
    <t>Hordeum leporinum var. simulans Bowden</t>
  </si>
  <si>
    <t>Genetique fonctionnelle des maladies des Epitheliums, U563, CPIP, CHU Purpan</t>
  </si>
  <si>
    <t>Hordeum macilentum Steud.</t>
  </si>
  <si>
    <t>Genetique Moleculaire d'Arabidopsis</t>
  </si>
  <si>
    <t>Hordeum marinum Huds. ssp. gussoneanum (Parl.) Thell.</t>
  </si>
  <si>
    <t>Genome BC Conifer Forest Health</t>
  </si>
  <si>
    <t>Hordeum marinum Huds. ssp. marinum</t>
  </si>
  <si>
    <t>Genome et developpement des plantes</t>
  </si>
  <si>
    <t>Hordeum marinum ssp. gussoneanum</t>
  </si>
  <si>
    <t>GENOME express</t>
  </si>
  <si>
    <t>Hordeum marinum ssp. gussoneanum (Parl.) Thell.</t>
  </si>
  <si>
    <t>Genome Express</t>
  </si>
  <si>
    <t>Hordeum marinum ssp. marinum</t>
  </si>
  <si>
    <t>Genome Science Laboratory</t>
  </si>
  <si>
    <t>Hordeum maritimum</t>
  </si>
  <si>
    <t>Genome Systems,  Inc.,  a wholly owned subsidiary of IncytePharmaceuticals,  Inc.</t>
  </si>
  <si>
    <t>Hordeum maritimum gussonianum</t>
  </si>
  <si>
    <t>Genomics and  Genetics Institute,  GreenGene Biotech Inc.;Division of Bioscience and  Bioinformatics,  MyongJiUniversity</t>
  </si>
  <si>
    <t>Hordeum murinum</t>
  </si>
  <si>
    <t>Genomique</t>
  </si>
  <si>
    <t>Hordeum murinum L. ssp. glaucum (Steud.) Tzvelev</t>
  </si>
  <si>
    <t>Genomique Ble et Mais</t>
  </si>
  <si>
    <t>Hordeum murinum L. ssp. leporinum (Link) Arcang.</t>
  </si>
  <si>
    <t>Genoplante-Info</t>
  </si>
  <si>
    <t>Hordeum murinum L. ssp. murinum</t>
  </si>
  <si>
    <t>GENOSCOPE</t>
  </si>
  <si>
    <t>Hordeum murinum murinum</t>
  </si>
  <si>
    <t>Genoscope</t>
  </si>
  <si>
    <t>Hordeum murinum ssp. glaucum</t>
  </si>
  <si>
    <t>Genoscope - Centre National de Sequencage</t>
  </si>
  <si>
    <t>Hordeum murinum ssp. glaucum (Steud.) Tzvelev</t>
  </si>
  <si>
    <t>Georgia State Agricultural Experiment Station</t>
  </si>
  <si>
    <t>Hordeum murinum ssp. leporinum</t>
  </si>
  <si>
    <t>Germicopa SA</t>
  </si>
  <si>
    <t>Hordeum murinum ssp. murinum</t>
  </si>
  <si>
    <t>Germicopa SAS</t>
  </si>
  <si>
    <t>Hordeum muticum J. Presl</t>
  </si>
  <si>
    <t>GGO</t>
  </si>
  <si>
    <t>Hordeum nevskianum Bowden</t>
  </si>
  <si>
    <t>GIE Ail Dromois</t>
  </si>
  <si>
    <t>Hordeum nodosum</t>
  </si>
  <si>
    <t>GIE Epi de France</t>
  </si>
  <si>
    <t>Hordeum nodosum L.</t>
  </si>
  <si>
    <t>GIE Legland</t>
  </si>
  <si>
    <t>Hordeum parodii Covas</t>
  </si>
  <si>
    <t>Gigot Claude / L512</t>
  </si>
  <si>
    <t>Hordeum patagonicum (Haum.) Covas s.l.</t>
  </si>
  <si>
    <t>Gilbert-Fayol</t>
  </si>
  <si>
    <t>Hordeum persicum</t>
  </si>
  <si>
    <t>Ginitique Diversiti Ecophysiologie des Ciriales</t>
  </si>
  <si>
    <t>Hordeum pratense Huds.</t>
  </si>
  <si>
    <t>Giza Agricultural Research Station</t>
  </si>
  <si>
    <t>Hordeum pubescens Guss.</t>
  </si>
  <si>
    <t>Glen Saint Mary Nursery Co.</t>
  </si>
  <si>
    <t>Hordeum pusillum Nutt.</t>
  </si>
  <si>
    <t>Glenellen Pty Ltd.</t>
  </si>
  <si>
    <t>Hordeum pussilum</t>
  </si>
  <si>
    <t>Gnts VNII Rastenievodstva Im.N.I.Vavilova</t>
  </si>
  <si>
    <t>Hordeum sativum</t>
  </si>
  <si>
    <t>Goggi</t>
  </si>
  <si>
    <t>Hordeum sibiricum Rosh.</t>
  </si>
  <si>
    <t>Grad. Sch. Agric. Life Sci.</t>
  </si>
  <si>
    <t>Hordeum spp</t>
  </si>
  <si>
    <t>Graduate School of Biological Sciences</t>
  </si>
  <si>
    <t>Hordeum strictum Desf.</t>
  </si>
  <si>
    <t>Grand Anse Experimental Centre, Ministry of Agriculture and Marine Resources</t>
  </si>
  <si>
    <t>Hordeum tetraploidum Covas</t>
  </si>
  <si>
    <t>Grand Island Nurseries, Inc.</t>
  </si>
  <si>
    <t>Hordeum tetrastichum</t>
  </si>
  <si>
    <t>Greenhouse for Trop. Crops, Inst. Prod/Nutr. Wordls Crops, Un. Kassel</t>
  </si>
  <si>
    <t>Hordeum vulgare</t>
  </si>
  <si>
    <t>Grocep</t>
  </si>
  <si>
    <t>Hordeum vulgare convar. distichon (L.) Alefeld</t>
  </si>
  <si>
    <t>Group 305</t>
  </si>
  <si>
    <t>Hordeum vulgare L.</t>
  </si>
  <si>
    <t>Groupe d'Etude et de Contrôle des Variétés et des Semences, Cavaillon</t>
  </si>
  <si>
    <t>Hordeum vulgare L. ssp. distichon (L.) Koernicke</t>
  </si>
  <si>
    <t>Groupement Agricole Essonnois</t>
  </si>
  <si>
    <t>Hordeum vulgare L. ssp. spontaneum (K. Koch) A. &amp; Gr.</t>
  </si>
  <si>
    <t>Groupement Interprofessionnel des Fleurs et Plantes A Parfun</t>
  </si>
  <si>
    <t>Hordeum vulgare L. ssp. vulgare</t>
  </si>
  <si>
    <t>Gruntzig Maria, Fuchs Egon Halle/Saale - Allemagne</t>
  </si>
  <si>
    <t>Hordeum vulgare spontaneum</t>
  </si>
  <si>
    <t>GTZ, German Fruit Tree Project</t>
  </si>
  <si>
    <t>Hordeum vulgare ssp. distichon var. spontaneum Kornicke</t>
  </si>
  <si>
    <t>Guangxi Citrus Research Institute</t>
  </si>
  <si>
    <t>Hordeum vulgare var. distichon</t>
  </si>
  <si>
    <t>Gyumri Breeding Station</t>
  </si>
  <si>
    <t>Hordeum vulgare vulgare</t>
  </si>
  <si>
    <t>H Blas JM Malmonté</t>
  </si>
  <si>
    <t>Juglans L.</t>
  </si>
  <si>
    <t>H. Demesmay</t>
  </si>
  <si>
    <t>Lactuca L.</t>
  </si>
  <si>
    <t>H. L. Hall &amp; Sons, Ltd.</t>
  </si>
  <si>
    <t>Lactuca sativa f. Laitue à couper</t>
  </si>
  <si>
    <t>Hankkija Plant Breeding Institute</t>
  </si>
  <si>
    <t>Lactuca sativa f. Laitue à couper gr. Feuille de chêne</t>
  </si>
  <si>
    <t>Harpool Seed Inc.</t>
  </si>
  <si>
    <t>Lactuca sativa f. Laitue à couper gr. Laitue multi-feuilles</t>
  </si>
  <si>
    <t>Head of Genomic Information</t>
  </si>
  <si>
    <t>Lactuca sativa f. Laitue à couper gr. Lollo</t>
  </si>
  <si>
    <t>Hebei Germplasm Resources Genebank Cereal &amp; Oil Crops Research Institute</t>
  </si>
  <si>
    <t>Lactuca sativa f. Laitue pommée</t>
  </si>
  <si>
    <t>Heine Peragis Getreidezucht GmbH</t>
  </si>
  <si>
    <t>Lactuca sativa f. Laitue pommée gr. Batavia</t>
  </si>
  <si>
    <t>Hirla Henri, Toulouges - France</t>
  </si>
  <si>
    <t>Lactuca sativa f. Laitue pommée gr. Batavia sgr. Batavia européenne</t>
  </si>
  <si>
    <t>Hodowla Roslin Polniczych 'Nasiona Kobierzyc'</t>
  </si>
  <si>
    <t>Lactuca sativa f. Laitue pommée gr. Batavia sgr. Iceberg</t>
  </si>
  <si>
    <t>Hodowla Roslin Pustkow</t>
  </si>
  <si>
    <t>Lactuca sativa f. Laitue pommée gr. Laitue beurre</t>
  </si>
  <si>
    <t>Hodowla Roslin Strzelce Sp. z o.o. Grupa IHAR</t>
  </si>
  <si>
    <t>Lactuca sativa f. Laitue pommée gr. Romaine/grasse</t>
  </si>
  <si>
    <t>Hort Research</t>
  </si>
  <si>
    <t>Lactuca sativa f. Laitue pommée gr. Romaine/grasse sgr. Grasse</t>
  </si>
  <si>
    <t>Horticultural Research &amp; Advisory Station, Dept. of Agriculture</t>
  </si>
  <si>
    <t>Lactuca sativa f. Laitue pommée gr. Romaine/grasse sgr. Romaine</t>
  </si>
  <si>
    <t>Horticultural Research Section Agricultural Research Corporation</t>
  </si>
  <si>
    <t>Lactuca sativa f. Laitue tige</t>
  </si>
  <si>
    <t>Horticultural Research Station</t>
  </si>
  <si>
    <t>Lactuca sativa L.</t>
  </si>
  <si>
    <t>Horticultural Sciences Department,  Plant Molecular and Cellular Biology Program</t>
  </si>
  <si>
    <t>Lepidium L.</t>
  </si>
  <si>
    <t>Horticulture Department</t>
  </si>
  <si>
    <t>Lepidium sativum L.</t>
  </si>
  <si>
    <t>HortResearch, Havelock North Research Centre - Malone M. Havelock North and  Davidson J. Tuamarina Blenheim - New Zealand</t>
  </si>
  <si>
    <t>(Limequat x Fortunella hindsii(Champ.) Swing.)</t>
  </si>
  <si>
    <t>HortResearch, Mt. Albert Research Centre</t>
  </si>
  <si>
    <t>Linum usitatissinum</t>
  </si>
  <si>
    <t>HybriTech Seed</t>
  </si>
  <si>
    <t>Lolium L.</t>
  </si>
  <si>
    <t>HYBRO Saatzucht GmbH &amp; Co. KG c/o Saaten-Union GmbH</t>
  </si>
  <si>
    <t>Lolium multiflorum Lam.</t>
  </si>
  <si>
    <t>IBP</t>
  </si>
  <si>
    <t>Lolium perenne</t>
  </si>
  <si>
    <t>IBVB</t>
  </si>
  <si>
    <t>Lolium perenne L.</t>
  </si>
  <si>
    <t>ICARDA</t>
  </si>
  <si>
    <t>Lolium xhybridum Hausskn.</t>
  </si>
  <si>
    <t>ICRISAT</t>
  </si>
  <si>
    <t>Lotus alpinus</t>
  </si>
  <si>
    <t>Idaho Agricultural Experiment Station, University of Idaho</t>
  </si>
  <si>
    <t>Lupinus L.</t>
  </si>
  <si>
    <t>Illinois Agricultural Experiment Station, University of Illinois</t>
  </si>
  <si>
    <t>Malus domestica</t>
  </si>
  <si>
    <t>Indian Agricultural Research Institute</t>
  </si>
  <si>
    <t>Malus P. Mill.</t>
  </si>
  <si>
    <t>Indian Institute of Horticultural Research</t>
  </si>
  <si>
    <t>Manihot esculenta</t>
  </si>
  <si>
    <t>Indiana Agricultural Experiment Station, Purdue University</t>
  </si>
  <si>
    <t>Medicago aculeata</t>
  </si>
  <si>
    <t>Indo-American Hybrid Seeds</t>
  </si>
  <si>
    <t>Medicago aculeata aculeata</t>
  </si>
  <si>
    <t>Medicago aculeata inermis</t>
  </si>
  <si>
    <t>INRA - Mauguio</t>
  </si>
  <si>
    <t>Medicago arabica (L.) Huds.</t>
  </si>
  <si>
    <t>INRA - Tours</t>
  </si>
  <si>
    <t>Medicago arborea L.</t>
  </si>
  <si>
    <t>INRA - UMR BIOGECO</t>
  </si>
  <si>
    <t>Medicago asiatica</t>
  </si>
  <si>
    <t>INRA, Cirad/Amis</t>
  </si>
  <si>
    <t>Medicago blancheana Boiss.</t>
  </si>
  <si>
    <t>INRA de Crouel</t>
  </si>
  <si>
    <t>Medicago bonarotiana</t>
  </si>
  <si>
    <t>INRA, Domaine de Vassal (T. Lacombe) + IFV Institut Français de la Vigne et du Vin (L. Audeguin)</t>
  </si>
  <si>
    <t>Medicago cancellata Bieb.</t>
  </si>
  <si>
    <t>INRA GAFL Avignon + SICA Centrex</t>
  </si>
  <si>
    <t>Medicago carstiensis Jacq.</t>
  </si>
  <si>
    <t>INRA Guadeloupe</t>
  </si>
  <si>
    <t>Medicago constricta</t>
  </si>
  <si>
    <t>INRA Montpellier</t>
  </si>
  <si>
    <t>Medicago coronata</t>
  </si>
  <si>
    <t>INRA Rennes</t>
  </si>
  <si>
    <t>Medicago cretacea</t>
  </si>
  <si>
    <t>INRA Versailles</t>
  </si>
  <si>
    <t>Medicago daghestanica</t>
  </si>
  <si>
    <t>INRA-MycSA, UPR-1264</t>
  </si>
  <si>
    <t>Medicago disciformis</t>
  </si>
  <si>
    <t>INRAT, Tunisie + UR Génétique et Amélioration des Fruits et Légumes, INRA-Avignon</t>
  </si>
  <si>
    <t>Medicago dzhawakhetica</t>
  </si>
  <si>
    <t>Insect Biocontrol Lab</t>
  </si>
  <si>
    <t>Medicago eusativa</t>
  </si>
  <si>
    <t>INSIBIO</t>
  </si>
  <si>
    <t>Medicago glutinosa Bieb.</t>
  </si>
  <si>
    <t>Inst. Biologia Molecular y Celular de Plantas</t>
  </si>
  <si>
    <t>Medicago granadensis Willd.</t>
  </si>
  <si>
    <t>Institut Amélioration Plantes Cultivées Berlin</t>
  </si>
  <si>
    <t>Medicago heyniana</t>
  </si>
  <si>
    <t>Institut de Biologie Moleculair des Plantes du CNRS (IBMP)</t>
  </si>
  <si>
    <t>Medicago hybrida (Pourr.) Trautv.</t>
  </si>
  <si>
    <t>Institut de Biologie Moleculaire des Plantes</t>
  </si>
  <si>
    <t>Medicago intertexta ciliaris</t>
  </si>
  <si>
    <t>Institut de biologie moleculaire des plantes</t>
  </si>
  <si>
    <t>Medicago intertexta intertexta</t>
  </si>
  <si>
    <t>Institut de biotechnologie des plantes</t>
  </si>
  <si>
    <t>Medicago intertexta (L.) Mill.</t>
  </si>
  <si>
    <t>Institut de Recherche pour le Développement</t>
  </si>
  <si>
    <t>Medicago L.</t>
  </si>
  <si>
    <t>Institut de Recherches Agronomique</t>
  </si>
  <si>
    <t>Medicago laciniata (L.) Mill.</t>
  </si>
  <si>
    <t>Institut de Recherches Agronomiques et Forestières</t>
  </si>
  <si>
    <t>Medicago lanigera</t>
  </si>
  <si>
    <t>Institut de Recherches Agronomiques Tropicales et des cultures vivrières</t>
  </si>
  <si>
    <t>Medicago littoralis</t>
  </si>
  <si>
    <t>Institut de Recherches de Beibei</t>
  </si>
  <si>
    <t>Medicago lupulina L.</t>
  </si>
  <si>
    <t>Institut des forêts-Département Fruits et Agrumes</t>
  </si>
  <si>
    <t>Medicago marina L.</t>
  </si>
  <si>
    <t>Institut des Sciences du Vegetal (ISV)</t>
  </si>
  <si>
    <t>Medicago minima brevispina</t>
  </si>
  <si>
    <t>Institut des Sciences Vegetales</t>
  </si>
  <si>
    <t>Medicago minima (L.) L. ex Bartal.</t>
  </si>
  <si>
    <t>Institut for bioteknologi</t>
  </si>
  <si>
    <t>Medicago minima minima</t>
  </si>
  <si>
    <t>Institut Français de la Vigne et du Vin</t>
  </si>
  <si>
    <t>Medicago monantha (C.A. Mey.) Trautv.</t>
  </si>
  <si>
    <t>Institut Francais de Recherches Fruitières</t>
  </si>
  <si>
    <t>Medicago monspeliaca (L.) Trautv.</t>
  </si>
  <si>
    <t>Institut Francais de Recherches Fruitières - Martinique</t>
  </si>
  <si>
    <t>Medicago murex lesinsii</t>
  </si>
  <si>
    <t>Institut Francais de Recherches Fruitières - Réunion</t>
  </si>
  <si>
    <t>Medicago murex sphaerocarpos</t>
  </si>
  <si>
    <t>Institut fuer Entwicklungsbiologie und Molekularbiologie derPflanzen</t>
  </si>
  <si>
    <t>Medicago murex Willd.</t>
  </si>
  <si>
    <t>Institut für Biologie und Biotechnologie der Pflanzen (IBBP)</t>
  </si>
  <si>
    <t>Medicago muricoleptis</t>
  </si>
  <si>
    <t>Institut fur Pflanzengenetik und Kulturpflanzenforschung</t>
  </si>
  <si>
    <t>Medicago noeana Boiss.</t>
  </si>
  <si>
    <t>Institut für Pflanzengenetik und Kulturpflanzenforschung</t>
  </si>
  <si>
    <t>Medicago orbicularis biancae</t>
  </si>
  <si>
    <t>Medicago orbicularis (L.) Bartal.</t>
  </si>
  <si>
    <t>Institut National Agronomique Paris-Grignon</t>
  </si>
  <si>
    <t>Medicago orbicularis marginata</t>
  </si>
  <si>
    <t>Institut National de la Recherche Agronomique</t>
  </si>
  <si>
    <t>Medicago orthoceras</t>
  </si>
  <si>
    <t>Institut National de la Recherche Agronomique - Centre de Clermont-Ferrand</t>
  </si>
  <si>
    <t>Medicago papillosa Boiss.</t>
  </si>
  <si>
    <t>Institut National de la Recherche Agronomique - Centre de Montpellier</t>
  </si>
  <si>
    <t>Medicago pironae</t>
  </si>
  <si>
    <t>Institut National de la Recherche Agronomique d'Algerie</t>
  </si>
  <si>
    <t>Medicago platycarpa</t>
  </si>
  <si>
    <t>Institut National de la Recherche Agronomique de Tunisie</t>
  </si>
  <si>
    <t>Medicago polychroa Grossh.</t>
  </si>
  <si>
    <t>Institut National de la Recherche Agronomique du Maroc</t>
  </si>
  <si>
    <t>Medicago polymorpha brevispina</t>
  </si>
  <si>
    <t>Institut of Corn</t>
  </si>
  <si>
    <t>Medicago polymorpha L.</t>
  </si>
  <si>
    <t>Institut of Crop Germplasm Resources, Chinese Academy of Agricultural Sciences</t>
  </si>
  <si>
    <t>Medicago polymorpha polymorpha</t>
  </si>
  <si>
    <t>Institut of Subtropical Plants</t>
  </si>
  <si>
    <t>Medicago polymorpha vulgaris</t>
  </si>
  <si>
    <t>Institut ZA Povrtarstvo</t>
  </si>
  <si>
    <t>Medicago praecox DC.</t>
  </si>
  <si>
    <t>Institute Crop and Food Research Ltd. East Coast Technology Centre</t>
  </si>
  <si>
    <t>Medicago prostrata Jacq.</t>
  </si>
  <si>
    <t>Institute for Agrobotany</t>
  </si>
  <si>
    <t>Medicago quasifalcata</t>
  </si>
  <si>
    <t>Institute for Breeding and Production of Field Crops</t>
  </si>
  <si>
    <t>Medicago radiata</t>
  </si>
  <si>
    <t>Institute for Field and Vegetable Crops Novi Sad</t>
  </si>
  <si>
    <t>Medicago rhodopea Velen.</t>
  </si>
  <si>
    <t>Institute for Genome Research and Systems Biology / CeBiTec</t>
  </si>
  <si>
    <t>Medicago rigidula agrestis</t>
  </si>
  <si>
    <t>Institute for Grapevine Breeding</t>
  </si>
  <si>
    <t>Medicago rigidula cinerascens</t>
  </si>
  <si>
    <t>Institute for Plant Genetic Resources 'K. Malkov'</t>
  </si>
  <si>
    <t>Medicago rigidula (L.) All.</t>
  </si>
  <si>
    <t>Institute for Tropical ans Subtropical Crops</t>
  </si>
  <si>
    <t>Medicago rigidula rigidula</t>
  </si>
  <si>
    <t>Institute of Agriculture of the NAAS</t>
  </si>
  <si>
    <t>Medicago rigidula submitis</t>
  </si>
  <si>
    <t>Institute of Arable Crop Research</t>
  </si>
  <si>
    <t>Medicago rigiduloides</t>
  </si>
  <si>
    <t>Institute of Botany</t>
  </si>
  <si>
    <t>Medicago rotata Boiss.</t>
  </si>
  <si>
    <t>Institute of Citrus Research Chinese Academy of Agric. Sciences</t>
  </si>
  <si>
    <t>Medicago rugosa Desr.</t>
  </si>
  <si>
    <t>Institute of Crop Breeding and Cultivation, Chinese Academy of Agricultural Sciences</t>
  </si>
  <si>
    <t>Medicago rupestris</t>
  </si>
  <si>
    <t>Institute of Crop Research, Jilin Academy of Agricultural Sciences</t>
  </si>
  <si>
    <t>Medicago ruthenica (L.) Trautv.</t>
  </si>
  <si>
    <t>Institute of Crop Science, Federal Research Center for Agricult.(FAL)</t>
  </si>
  <si>
    <t>Medicago sativa caelurea</t>
  </si>
  <si>
    <t>Institute of Experimental Botany</t>
  </si>
  <si>
    <t>Medicago sativa falcata (L.) Arcang.</t>
  </si>
  <si>
    <t>Institute of Field Crops and Viticulture</t>
  </si>
  <si>
    <t>Medicago sativa gaetula</t>
  </si>
  <si>
    <t>Institute of forest genetics</t>
  </si>
  <si>
    <t>Medicago sativa glomerata (Balb.) Rouy</t>
  </si>
  <si>
    <t>Institute of Genetics,  Fudan University</t>
  </si>
  <si>
    <t>Medicago sativa L.</t>
  </si>
  <si>
    <t>Institute of Husbandry and Breeding of the National Academy of Sciences of Belarus</t>
  </si>
  <si>
    <t>Medicago sativa type mielga L.</t>
  </si>
  <si>
    <t>Institute of Mol. &amp; Cell. Bioscience,  Department of CellularFunction</t>
  </si>
  <si>
    <t>Medicago sauvagei</t>
  </si>
  <si>
    <t>Institute of Plant Breeding and Agricultural Research 'Nazareno Strampelli'</t>
  </si>
  <si>
    <t>Medicago saxatilis</t>
  </si>
  <si>
    <t>Institute of Plant Breeding, College of Agriculture, University of the Philippines, Los Baños College</t>
  </si>
  <si>
    <t>Medicago scutellata (L.) Mill.</t>
  </si>
  <si>
    <t>Institute of Plant Production n.a. V.Y. Yurjev of UAAS</t>
  </si>
  <si>
    <t>Medicago secundiflora</t>
  </si>
  <si>
    <t>Institute of Pomology, Jiangxi Academy of Agricultural Sciences</t>
  </si>
  <si>
    <t>Medicago shepardii Post ex Boiss.</t>
  </si>
  <si>
    <t>Institute of Wheat and Sunflower Dobroudja</t>
  </si>
  <si>
    <t>Medicago soleirolii Duby</t>
  </si>
  <si>
    <t>Institute Plant Biotechnology</t>
  </si>
  <si>
    <t>Medicago suffruticosa leiocarpa (Benth.) Urb</t>
  </si>
  <si>
    <t>InstitutionX</t>
  </si>
  <si>
    <t>Medicago suffruticosa Ramond ex DC.</t>
  </si>
  <si>
    <t>Instituto Agronomico de Campinas</t>
  </si>
  <si>
    <t>Medicago suffruticosa suffruticosa</t>
  </si>
  <si>
    <t>Instituto Agronomico de Parana</t>
  </si>
  <si>
    <t>Medicago tenoreana</t>
  </si>
  <si>
    <t>Instituto Canario de Investigaciones Agrarias</t>
  </si>
  <si>
    <t>Medicago tornata</t>
  </si>
  <si>
    <t>Instituto Colombiano Agropecuario</t>
  </si>
  <si>
    <t>Medicago tornata rugolosa</t>
  </si>
  <si>
    <t>Instituto de Biologia y Biotecnologia Vegetal</t>
  </si>
  <si>
    <t>Medicago tornata spinulosa</t>
  </si>
  <si>
    <t>Instituto de Biotecnologia,  CICVyA-CNIA</t>
  </si>
  <si>
    <t>Medicago tornata tornata</t>
  </si>
  <si>
    <t>Instituto de Investigacao Agronomica</t>
  </si>
  <si>
    <t>Medicago truncatula</t>
  </si>
  <si>
    <t>Instituto de Investigaciones de Citricos y otros Frutales</t>
  </si>
  <si>
    <t>Medicago truncatula longispina</t>
  </si>
  <si>
    <t>Instituto de Investigaciones Fundamentales en Agr. Tropical</t>
  </si>
  <si>
    <t>Medicago truncatula tricycla</t>
  </si>
  <si>
    <t>Instituto de Protecçao da Produçao Agro-Alimentar</t>
  </si>
  <si>
    <t>Medicago truncatula truncatula</t>
  </si>
  <si>
    <t>Instituto Fitogenetico 'Santa Catalina'</t>
  </si>
  <si>
    <t>Medicago turbinata (L.) All.</t>
  </si>
  <si>
    <t>Instituto Nacional de Ciencas Agr.</t>
  </si>
  <si>
    <t>Medicago varia Martyn</t>
  </si>
  <si>
    <t>Instituto Nacional de Investigação Agronomica</t>
  </si>
  <si>
    <t>Microcitrus australasica (F. Muell.) Swingle</t>
  </si>
  <si>
    <t>Instituto Nacional de Investigacion Agropecuaria</t>
  </si>
  <si>
    <t>(Microcitrus australasica (F. Muell.) Swingle x (Fortunella sp. x Citrus mitis))</t>
  </si>
  <si>
    <t>Instituto nacional de Investigaciones Agricolas Celaya Mexique</t>
  </si>
  <si>
    <t>(Microcitrus australasica (F. Muell.) Swingle x Microcitrus australis (Planch.) Swing.)</t>
  </si>
  <si>
    <t>Instituto Nacional de Investigaciones Forestales, Agrícolas y Pecuarias</t>
  </si>
  <si>
    <t>Microcitrus australis (A. Cunn. ex Mudie) Swingle</t>
  </si>
  <si>
    <t>Instituto Nacional de Tecnología Agropecuaria</t>
  </si>
  <si>
    <t>Microcitrus Swingle</t>
  </si>
  <si>
    <t>Instituto Nacional de Tecnología Agropecuaria Estacion Experimental Marcos Juárez</t>
  </si>
  <si>
    <t>Monodelphis domestica</t>
  </si>
  <si>
    <t>Instituto Nacional de Tecnología Agropecuaria Estacion Experimental Pergamino</t>
  </si>
  <si>
    <t>Murraya J. Koenig ex L.</t>
  </si>
  <si>
    <t>Instituto Valenciano de Investigaciones Agrarias</t>
  </si>
  <si>
    <t>Murraya paniculata (L.) Jack</t>
  </si>
  <si>
    <t>INTA</t>
  </si>
  <si>
    <t>Mus musculus</t>
  </si>
  <si>
    <t>INTA Estacion Experimental</t>
  </si>
  <si>
    <t>Muscadinia munsoniana Small</t>
  </si>
  <si>
    <t>Interactions Arbres/Microorganismes</t>
  </si>
  <si>
    <t>Muscadinia popenoei Fennell</t>
  </si>
  <si>
    <t>International Centre for Agricultural Research in Dry Areas</t>
  </si>
  <si>
    <t>Muscadinia rotundifolia cv. Carlos</t>
  </si>
  <si>
    <t>International Institute of Tropical Agriculture</t>
  </si>
  <si>
    <t>Muscadinia rotundifolia cv. Dulcet</t>
  </si>
  <si>
    <t>IPK</t>
  </si>
  <si>
    <t>Muscadinia rotundifolia cv. Fry</t>
  </si>
  <si>
    <t>IPMSV</t>
  </si>
  <si>
    <t>Muscadinia rotundifolia cv. Regale</t>
  </si>
  <si>
    <t>IRD</t>
  </si>
  <si>
    <t>Muscadinia rotundifolia cv. Trayshed</t>
  </si>
  <si>
    <t>IRISA</t>
  </si>
  <si>
    <t>Muscadinia rotundifolia cv. Yuga x Carlos</t>
  </si>
  <si>
    <t>IRRI</t>
  </si>
  <si>
    <t>Muscadinia rotundifolia Mchx.</t>
  </si>
  <si>
    <t>Istituto di Agronomia e Coltivazioni - Universita di Bologna</t>
  </si>
  <si>
    <t>Muscadinia Small</t>
  </si>
  <si>
    <t>Istituto di Genetica Vegetale, Consiglio Nazionale delle Richerche</t>
  </si>
  <si>
    <t>Myzus persicae</t>
  </si>
  <si>
    <t>Istituto di Scienze Biochimiche</t>
  </si>
  <si>
    <t>Olea europaea L.</t>
  </si>
  <si>
    <t>Istituto Sperimentale per lAgrumicoltura</t>
  </si>
  <si>
    <t>Onobrychis Hill.</t>
  </si>
  <si>
    <t>ISV-CNRS</t>
  </si>
  <si>
    <t>Onobrychis viciifolia Scop.</t>
  </si>
  <si>
    <t>J. Berthélémé</t>
  </si>
  <si>
    <t>Oryza barthii</t>
  </si>
  <si>
    <t>Jardin Botanico, Wilson Popenoe de Lancetilla</t>
  </si>
  <si>
    <t>Oryza glaberrima</t>
  </si>
  <si>
    <t>Jardin botanique de Bordeaux</t>
  </si>
  <si>
    <t>Oryza longistaminata</t>
  </si>
  <si>
    <t>Jiangsu Academy of Agricultural Sciences</t>
  </si>
  <si>
    <t>Oryza nivara</t>
  </si>
  <si>
    <t>JKI Julius Kühn-Institut</t>
  </si>
  <si>
    <t>Oryza rufipogon</t>
  </si>
  <si>
    <t>John Innes CentreNorwich Research Park</t>
  </si>
  <si>
    <t>Oryza sativa</t>
  </si>
  <si>
    <t>Jorion</t>
  </si>
  <si>
    <t>Oryzias latipes</t>
  </si>
  <si>
    <t>Jose Buck S.A.</t>
  </si>
  <si>
    <t>Pan troglodytes</t>
  </si>
  <si>
    <t>Joseph Nickerson Research Centre</t>
  </si>
  <si>
    <t>Parthenocissus henryana Graebn. ex Diels</t>
  </si>
  <si>
    <t>Jourdan Pierre,  Tain - France</t>
  </si>
  <si>
    <t>Parthenocissus Planch.</t>
  </si>
  <si>
    <t>Julius Kühn-Institut</t>
  </si>
  <si>
    <t>Parthenocissus quinquefolia (L.) Planch.</t>
  </si>
  <si>
    <t>Kaerntner Saatbaugenossenschaft/Carinthian Agricultural Company</t>
  </si>
  <si>
    <t>Parthenocissus tricuspidata Planch.</t>
  </si>
  <si>
    <t>Kagoshima University, Faculty of Agriculture, Laboratory of Horticultural Science</t>
  </si>
  <si>
    <t>Parthenocissus voineriana</t>
  </si>
  <si>
    <t>Kansas Agricultural Experiment Station, Kansas State University</t>
  </si>
  <si>
    <t>Phaseolus vulgaris</t>
  </si>
  <si>
    <t>Kansas State University</t>
  </si>
  <si>
    <t>Phleum L.</t>
  </si>
  <si>
    <t>Karaganda State Agricultural Experiment Station</t>
  </si>
  <si>
    <t>Phleum pratense L.</t>
  </si>
  <si>
    <t>Kazakh Research Institute of Agriculture</t>
  </si>
  <si>
    <t>Phytophthora parasitica</t>
  </si>
  <si>
    <t>Key Lab. of Crop Germplasm &amp; Biotechnology</t>
  </si>
  <si>
    <t>Picea abies</t>
  </si>
  <si>
    <t>Key Laboratory of Crop Germplasm &amp; Biotechnology</t>
  </si>
  <si>
    <t>Pinus pinaster</t>
  </si>
  <si>
    <t>Key Laboratory of Ministry of Education for PlantDevelopmental Biology</t>
  </si>
  <si>
    <t>Pinus sylvestris</t>
  </si>
  <si>
    <t>Key Laboratory Tree Genetic Engineering of Nanjing Forestry</t>
  </si>
  <si>
    <t>Pisum fulvum</t>
  </si>
  <si>
    <t>Kihara Institute for Biological Research,  Yokohama CityUniversity</t>
  </si>
  <si>
    <t>Pisum L.</t>
  </si>
  <si>
    <t>Kihara Institute for Biological Research, Yokohama City University</t>
  </si>
  <si>
    <t>Pisum sativum L.</t>
  </si>
  <si>
    <t>Kleinwanzlebener Saatzucht AG</t>
  </si>
  <si>
    <t>Pisum sativum subsp. abyssinicum</t>
  </si>
  <si>
    <t>Krasnyy Kut breeding station</t>
  </si>
  <si>
    <t>Pisum sativum subsp. elatius</t>
  </si>
  <si>
    <t>Kumho Life &amp; Environmental Science Laboratory (KLESL)</t>
  </si>
  <si>
    <t>Pisum sativum subsp. sativum</t>
  </si>
  <si>
    <t>KWS France</t>
  </si>
  <si>
    <t>Pisum sativum var. arvense</t>
  </si>
  <si>
    <t>KWS UK Ltd</t>
  </si>
  <si>
    <t>Pisum sativum var. choresmicum</t>
  </si>
  <si>
    <t>La. Agr. Exp. Sta.</t>
  </si>
  <si>
    <t>Pisum sativum var. pumilio</t>
  </si>
  <si>
    <t>Lab. Biol. Developpement des Plantes</t>
  </si>
  <si>
    <t>Pisum sativum var. tibetanicum</t>
  </si>
  <si>
    <t>Lab. Biotech. et Amelior. Plantes - Pole de Biotechnologie Vegetale</t>
  </si>
  <si>
    <t>Poncirus polyandra S. Q. Ding et al.</t>
  </si>
  <si>
    <t>Lab de Biochimie</t>
  </si>
  <si>
    <t>Poncirus Raf.</t>
  </si>
  <si>
    <t>Lab of Biotechnology</t>
  </si>
  <si>
    <t>Poncirus trifoliata (L.) Raf.</t>
  </si>
  <si>
    <t>Lab of Molecular Biology</t>
  </si>
  <si>
    <t>Populus alba</t>
  </si>
  <si>
    <t>Lab. of Plant Development Physiology and  Molecular Biology</t>
  </si>
  <si>
    <t>Populus alba x populus tremula var. glandulosa</t>
  </si>
  <si>
    <t>Lab of Plant Molecular Physiology</t>
  </si>
  <si>
    <t>Populus deltoides</t>
  </si>
  <si>
    <t>Laboratoire BAP</t>
  </si>
  <si>
    <t>Populus deltoides x Populus nigra</t>
  </si>
  <si>
    <t>Laboratoire de Biologie du Developpement des Plantes</t>
  </si>
  <si>
    <t>Populus deltoides x populus trichocarpa</t>
  </si>
  <si>
    <t>Laboratoire de Biologie du developpement des plantes</t>
  </si>
  <si>
    <t>Populus euphratica</t>
  </si>
  <si>
    <t>Laboratoire de Biologie Moleculaire</t>
  </si>
  <si>
    <t>Populus fremontii</t>
  </si>
  <si>
    <t>Laboratoire de Biotechnologie et Amelioration des Plantes</t>
  </si>
  <si>
    <t>Populus fremontii x populus angustifolia</t>
  </si>
  <si>
    <t>Laboratoire de Biotechnologie et d'amélioration des plantes</t>
  </si>
  <si>
    <t>Populus nigra</t>
  </si>
  <si>
    <t>Laboratoire de Génétique et Amélioration des Plantes, INRA-Lille</t>
  </si>
  <si>
    <t>Populus tomentiglandulosa</t>
  </si>
  <si>
    <t>Laboratoire de Genetique Moleculaire</t>
  </si>
  <si>
    <t>Populus tremula</t>
  </si>
  <si>
    <t>Laboratoire de Genomique et Bioinformatique</t>
  </si>
  <si>
    <t>Populus tremula x populus alba</t>
  </si>
  <si>
    <t>Laboratoire de Génomique et Bioinformatique</t>
  </si>
  <si>
    <t>Populus tremula x populus tremuloides</t>
  </si>
  <si>
    <t>Laboratoire de Mondonville</t>
  </si>
  <si>
    <t>Populus tremuloides</t>
  </si>
  <si>
    <t>Laboratoire de Nutrition Azotee des Plantes</t>
  </si>
  <si>
    <t>Populus trichocarpa</t>
  </si>
  <si>
    <t>Laboratoire de Pathologie Vegetale</t>
  </si>
  <si>
    <t>Populus trichocarpa x populus deltoides</t>
  </si>
  <si>
    <t>Laboratoire de Physiologie et Biologie MoleculairesVegetales,  URA CNRS 565</t>
  </si>
  <si>
    <t>Populus trichocarpa x Populus nigra</t>
  </si>
  <si>
    <t>Laboratoire de Phytoparasitologie</t>
  </si>
  <si>
    <t>Populus x canadensis</t>
  </si>
  <si>
    <t>Laboratoire de Phytopathologie Moleculaire ; SainsburyLaboratory</t>
  </si>
  <si>
    <t>Prunus armeniaca L.</t>
  </si>
  <si>
    <t>Laboratoire de Phytopathologie Moleculaire (LPPM)</t>
  </si>
  <si>
    <t>Prunus avium L.</t>
  </si>
  <si>
    <t>Laboratoire d'Organogenese Moleculaire Vegetale</t>
  </si>
  <si>
    <t>Prunus cerasus L.</t>
  </si>
  <si>
    <t>Laboratoire genome et developpement des plantes LGDP</t>
  </si>
  <si>
    <t>Prunus domestica L.</t>
  </si>
  <si>
    <t>Laboratoire Ginome et Diveloppement des Plantes</t>
  </si>
  <si>
    <t>Prunus dulcis (P. Mill.) D.A. Webber</t>
  </si>
  <si>
    <t>Laboratorio di Genetica Molecolare</t>
  </si>
  <si>
    <t>Prunus insititia L.</t>
  </si>
  <si>
    <t>Laboratory for Genomics and  Bioinformatics</t>
  </si>
  <si>
    <t>Prunus L.</t>
  </si>
  <si>
    <t>Laboratory of Biochemistry,  Department of Molecular Geneticsand</t>
  </si>
  <si>
    <t>Prunus semperflorens Ehrh.</t>
  </si>
  <si>
    <t>Laboratory of Functional Genetics</t>
  </si>
  <si>
    <t>Prunus x gondouinii (Poit. &amp; Turpin.) Schneid.</t>
  </si>
  <si>
    <t>Laboratory of Molecular Biology</t>
  </si>
  <si>
    <t>Pterocissus mirabilis Urb. &amp; Ekman</t>
  </si>
  <si>
    <t>Laboratory of Plant Biotechnology</t>
  </si>
  <si>
    <t>Pterocissus Urb. &amp; Ekman</t>
  </si>
  <si>
    <t>Laboratory of Plant Molecular Biology</t>
  </si>
  <si>
    <t>Pyrus L.</t>
  </si>
  <si>
    <t>Laboratory of Plant Molecular Breeding</t>
  </si>
  <si>
    <t>Quercus petraea</t>
  </si>
  <si>
    <t>Laboratory of Tropical Crop Improvement, Katholieke Universiteit Leuven</t>
  </si>
  <si>
    <t>Quercus robur</t>
  </si>
  <si>
    <t>Lacombe Research Centre Agriculture and Agri-Food Canada</t>
  </si>
  <si>
    <t>Rhopalosiphum padi</t>
  </si>
  <si>
    <t>Lafite, Ferme des Anglais</t>
  </si>
  <si>
    <t>Rosa chinensis</t>
  </si>
  <si>
    <t>Landbrugets Kornforaedling Sejet</t>
  </si>
  <si>
    <t>Rosa hybrida</t>
  </si>
  <si>
    <t>Landwirtschaftliche Lehranstalten Triesdorf</t>
  </si>
  <si>
    <t>Rosa wichuraiana</t>
  </si>
  <si>
    <t>Landwirtschaftsbetrieb Neuhof Rohrau, Pflanzenzucht</t>
  </si>
  <si>
    <t>Rutaceae</t>
  </si>
  <si>
    <t>Layne David - Summerland BC - Canada</t>
  </si>
  <si>
    <t>Saccharum officinarum</t>
  </si>
  <si>
    <t>LCB</t>
  </si>
  <si>
    <t>Saccharum spontaneum</t>
  </si>
  <si>
    <t>Lehrstuhl fuer Genetik</t>
  </si>
  <si>
    <t>Sclerotinia sclerotorium</t>
  </si>
  <si>
    <t>Leshan Citrus Association</t>
  </si>
  <si>
    <t>Secale cereale</t>
  </si>
  <si>
    <t>Lethbridge Research Station, Agriculture Canada</t>
  </si>
  <si>
    <t>Severinia buxifolia (Poir.) Ten.</t>
  </si>
  <si>
    <t>Letianxi Special Produce Station</t>
  </si>
  <si>
    <t>Severinia Ten. ex Endl.</t>
  </si>
  <si>
    <t>LG Molekulargenetik</t>
  </si>
  <si>
    <t>Solanum alandiae Cardenas</t>
  </si>
  <si>
    <t>Limagrain</t>
  </si>
  <si>
    <t>Solanum albicans Ochoa</t>
  </si>
  <si>
    <t>Limagrain Europe Riom</t>
  </si>
  <si>
    <t>Solanum andreanum Baker</t>
  </si>
  <si>
    <t>Limagrain Genetics</t>
  </si>
  <si>
    <t>Solanum avilesii Hawkes &amp; Hjert.</t>
  </si>
  <si>
    <t>Limagrain Iberica</t>
  </si>
  <si>
    <t>Solanum berthaultii Hawkes</t>
  </si>
  <si>
    <t>Limagrain UK Ltd</t>
  </si>
  <si>
    <t>Solanum brachistotrichum Rydb.</t>
  </si>
  <si>
    <t>Limagrain Verneuil Holding</t>
  </si>
  <si>
    <t>Solanum brevidens Phil.</t>
  </si>
  <si>
    <t>Limagrain-Nickerson GmbH</t>
  </si>
  <si>
    <t>Solanum bulbocastanum Dunal</t>
  </si>
  <si>
    <t>Lincoln University</t>
  </si>
  <si>
    <t>Solanum cardiophyllum Lindl.</t>
  </si>
  <si>
    <t>LIPM,  CNRS/INRA</t>
  </si>
  <si>
    <t>Solanum chacoense Bitter</t>
  </si>
  <si>
    <t>Lita Annenberg Hazen Genome Sequencing Center</t>
  </si>
  <si>
    <t>Solanum cheesmaniae</t>
  </si>
  <si>
    <t>Lithuanian Institute of Agriculture</t>
  </si>
  <si>
    <t>Solanum chmielewskii</t>
  </si>
  <si>
    <t>London Horticultural Society</t>
  </si>
  <si>
    <t>Solanum comersonii Poir.</t>
  </si>
  <si>
    <t>Louisiana State University USA</t>
  </si>
  <si>
    <t>Solanum demissum Lindl.</t>
  </si>
  <si>
    <t>Luigi Samoggia</t>
  </si>
  <si>
    <t>Solanum etuberosum Lindl.</t>
  </si>
  <si>
    <t>Luk'janenko Krasnodar Agricultural Research Institute</t>
  </si>
  <si>
    <t>Solanum fendleri A. Gray</t>
  </si>
  <si>
    <t>M. Alain Marcel</t>
  </si>
  <si>
    <t>Solanum gourlayi Hawkes</t>
  </si>
  <si>
    <t>M. Anderson Fred, CA - USA</t>
  </si>
  <si>
    <t>Solanum habrochaites</t>
  </si>
  <si>
    <t>M. Ballot</t>
  </si>
  <si>
    <t>Solanum hougasii Correll</t>
  </si>
  <si>
    <t>M. Bordes, Rivesaltes Pyrénées Orientales - France</t>
  </si>
  <si>
    <t>Solanum kurtzianum Bitter &amp; Wittm.</t>
  </si>
  <si>
    <t>M. Bouchot</t>
  </si>
  <si>
    <t>Solanum L.</t>
  </si>
  <si>
    <t>M. Boyat</t>
  </si>
  <si>
    <t>Solanum lycopersicum</t>
  </si>
  <si>
    <t>M. Briot</t>
  </si>
  <si>
    <t>Solanum lycopersicum var. cerasiforme</t>
  </si>
  <si>
    <t>M. Brun</t>
  </si>
  <si>
    <t>Solanum oplocense Hawkes</t>
  </si>
  <si>
    <t>M. Canino, Spain</t>
  </si>
  <si>
    <t>Solanum pennellii</t>
  </si>
  <si>
    <t>M. Carraut</t>
  </si>
  <si>
    <t>Solanum phureja Juz. &amp; Bukasov</t>
  </si>
  <si>
    <t>M. Chazotier</t>
  </si>
  <si>
    <t>Solanum pimpinellifolium</t>
  </si>
  <si>
    <t>M. Chorozé, pépiniériste</t>
  </si>
  <si>
    <t>Solanum polyadenium Greenm.</t>
  </si>
  <si>
    <t>M. Clanet</t>
  </si>
  <si>
    <t>Solanum polytrichon Rydb.</t>
  </si>
  <si>
    <t>M. Coste, Pyrénées Orientales - France</t>
  </si>
  <si>
    <t>Solanum schenckii Bitter</t>
  </si>
  <si>
    <t>M. Cunty</t>
  </si>
  <si>
    <t>Solanum sparsipilum Juz. &amp; Bukasov</t>
  </si>
  <si>
    <t>M. Duquesne</t>
  </si>
  <si>
    <t>Solanum spegazzinii Bitter</t>
  </si>
  <si>
    <t>M. Escudier, Aramon, Gard - France</t>
  </si>
  <si>
    <t>Solanum stenotonum Juz. &amp; Bukasov</t>
  </si>
  <si>
    <t>M. Flandin, pépiniériste</t>
  </si>
  <si>
    <t>Solanum stoloniferum Schltdl. &amp; Bouché</t>
  </si>
  <si>
    <t>M. Gidouin</t>
  </si>
  <si>
    <t>Solanum sucrense Hawkes</t>
  </si>
  <si>
    <t>M. Goepfert</t>
  </si>
  <si>
    <t>Solanum tarijense Hawkes</t>
  </si>
  <si>
    <t>M. Grassely</t>
  </si>
  <si>
    <t>Solanum trifidum Correll</t>
  </si>
  <si>
    <t>M. Guillaume</t>
  </si>
  <si>
    <t>Solanum tuberosum andigenum Juz. &amp; Bukasov</t>
  </si>
  <si>
    <t>M. Jaboulay</t>
  </si>
  <si>
    <t>Solanum tuberosum L.</t>
  </si>
  <si>
    <t>M. Kupper, arboriculteur</t>
  </si>
  <si>
    <t>Solanum tuberosum tuberosum L.</t>
  </si>
  <si>
    <t>M. Laboulfié</t>
  </si>
  <si>
    <t>Solanum vernei Bitter &amp; Wittm.</t>
  </si>
  <si>
    <t>M. Lerouzic</t>
  </si>
  <si>
    <t>Sorghum bicolor</t>
  </si>
  <si>
    <t>M. Luizet, Ecully, Rhone - France</t>
  </si>
  <si>
    <t>(Tangelo x Citrus paradisi Macf.)</t>
  </si>
  <si>
    <t>M. Malauzat, rue Château Trompette</t>
  </si>
  <si>
    <t>(Tangor x Citrus temple Hort. ex Y. Tan.)</t>
  </si>
  <si>
    <t>M. Maray-Meuilley</t>
  </si>
  <si>
    <t>Tetrastigma K.Schum.</t>
  </si>
  <si>
    <t>M. Merrand, St Etienne de Valoux, Ardeche - France</t>
  </si>
  <si>
    <t>Tetrastigma lanceolarium Planch.</t>
  </si>
  <si>
    <t>M. Moll</t>
  </si>
  <si>
    <t>Tetrastigma voinearium Pierre ex Gagnep.</t>
  </si>
  <si>
    <t>M. Murat</t>
  </si>
  <si>
    <t>Theobroma cacao</t>
  </si>
  <si>
    <t>M. Pejouan, Toulouges, Pyrénées Orientales  - France</t>
  </si>
  <si>
    <t>Thinopyrum ponticum (Podp.) Barkworth &amp; D.R. Dewey</t>
  </si>
  <si>
    <t>M. Pérès</t>
  </si>
  <si>
    <t>Toxoptera citricida</t>
  </si>
  <si>
    <t>M. Pierre Renoux</t>
  </si>
  <si>
    <t>Trifolium L.</t>
  </si>
  <si>
    <t>M. Poncet</t>
  </si>
  <si>
    <t>Trifolium pratense L.</t>
  </si>
  <si>
    <t>M. Popon</t>
  </si>
  <si>
    <t>Trifolium repens L.</t>
  </si>
  <si>
    <t>M. Ribelaygue, Pyrénées Orientales - France</t>
  </si>
  <si>
    <t>Trifolium resupinatum L.</t>
  </si>
  <si>
    <t>M. Riou Pierre, Francia</t>
  </si>
  <si>
    <t>Trifolium subterraneum</t>
  </si>
  <si>
    <t>M. Rohn</t>
  </si>
  <si>
    <t>Trifolium subterraneum brachicalycinum</t>
  </si>
  <si>
    <t>M. Roth</t>
  </si>
  <si>
    <t>Trifolium subterraneum subterraneum</t>
  </si>
  <si>
    <t>M. Roudier, Larnage - France</t>
  </si>
  <si>
    <t>Trifolium subterraneum yanninicum</t>
  </si>
  <si>
    <t>M. Rouget, Sernhac - France</t>
  </si>
  <si>
    <t>Triticeae</t>
  </si>
  <si>
    <t>M. Royère à 'Le Bicout'</t>
  </si>
  <si>
    <t>Triticum</t>
  </si>
  <si>
    <t>M. Saint-Germain</t>
  </si>
  <si>
    <t>Triticum aaronshii</t>
  </si>
  <si>
    <t>M. Schmidt</t>
  </si>
  <si>
    <t>Triticum aaronshii aaronshii</t>
  </si>
  <si>
    <t>M. Sigalas Antoine, Bordes-Hautes</t>
  </si>
  <si>
    <t>Triticum abyssinicum</t>
  </si>
  <si>
    <t>M. Soupa</t>
  </si>
  <si>
    <t>Triticum aegilopoides (Link) Bal.</t>
  </si>
  <si>
    <t>M. Stentzel</t>
  </si>
  <si>
    <t>M. Thomas</t>
  </si>
  <si>
    <t>Triticum aestivum aestivum</t>
  </si>
  <si>
    <t>M. Tisseyre, St Hyppolite Pyrénées Orientales - France</t>
  </si>
  <si>
    <t>Triticum aestivum compactum</t>
  </si>
  <si>
    <t>M. Wouters - Argentine</t>
  </si>
  <si>
    <t>Triticum aestivum fongicidum</t>
  </si>
  <si>
    <t>M. Zimandl</t>
  </si>
  <si>
    <t>Triticum aestivum group aestivum Bowden</t>
  </si>
  <si>
    <t>Maillard Arsène et Laurence, Elne - France</t>
  </si>
  <si>
    <t>Triticum aestivum group macha</t>
  </si>
  <si>
    <t>Maïsadour semences</t>
  </si>
  <si>
    <t>Triticum aestivum hisbis</t>
  </si>
  <si>
    <t>Maison Fernand Le Peuple</t>
  </si>
  <si>
    <t>Triticum aestivum L.</t>
  </si>
  <si>
    <t>Maize Group of National Key Labortory of Crop GeneticImprovement</t>
  </si>
  <si>
    <t>Triticum aestivum L. em. Thell.</t>
  </si>
  <si>
    <t>Maize Research Institute 'Zemin Polje'</t>
  </si>
  <si>
    <t>Triticum aestivum L. em. Thell. group aestivum</t>
  </si>
  <si>
    <t>Malang Research Institute for Food Crops, BALITAN</t>
  </si>
  <si>
    <t>Triticum aestivum L. em. Thell. group compactum (Host) Thell.</t>
  </si>
  <si>
    <t>Maliani Genetica di Maliani Cesare</t>
  </si>
  <si>
    <t>Triticum aestivum L. em. Thell. group spelta (L.) Thell.</t>
  </si>
  <si>
    <t>MAP</t>
  </si>
  <si>
    <t>Triticum aestivum L. em. Thell. group sphaerococcum (Perc.) Mac Key</t>
  </si>
  <si>
    <t>Marc CREPIN</t>
  </si>
  <si>
    <t>Triticum aestivum L. em. Thell. group vavilovii (Jakubz.) A. Love, stat. &amp; comb. nov</t>
  </si>
  <si>
    <t>Maryland Agricultural Experiment Station, University of Maryland</t>
  </si>
  <si>
    <t>Triticum aestivum L. em. Thell. subsp. compactum (Host.) MK.</t>
  </si>
  <si>
    <t>McNair Seed Company</t>
  </si>
  <si>
    <t>Triticum aestivum L. em. Thell. subsp. spelta (L.) Thell.</t>
  </si>
  <si>
    <t>Merckling</t>
  </si>
  <si>
    <t>Triticum aestivum L. em. Thell. subsp. sphaerococcum (Perc.) MK.</t>
  </si>
  <si>
    <t>Michigan Agricultural Experiment Station, Michigan State University</t>
  </si>
  <si>
    <t>Triticum aestivum L. em. Thell. subsp. vavilovi (Tuman.) Sears</t>
  </si>
  <si>
    <t>Microbiology and  Cell Biology</t>
  </si>
  <si>
    <t>Triticum aestivum L. group macha Bowden</t>
  </si>
  <si>
    <t>Microbiology and  Plant Phisiology</t>
  </si>
  <si>
    <t>Triticum aestivum L. ssp. hadropyrum (Flaksb.) Tzvelev</t>
  </si>
  <si>
    <t>Miln Masters Group Ltd</t>
  </si>
  <si>
    <t>Triticum aestivum L. ssp. macha (Dekapr. &amp; Menabde) Mac Key</t>
  </si>
  <si>
    <t>Minnesota Agricultural Experiment Station, University of Minnesota</t>
  </si>
  <si>
    <t>Triticum aestivum macha</t>
  </si>
  <si>
    <t>Minstry of Agriculture</t>
  </si>
  <si>
    <t>Triticum aestivum oasiculum</t>
  </si>
  <si>
    <t>Missouri Agricultural Experiment Station, University of Missouri</t>
  </si>
  <si>
    <t>Triticum aestivum petropavlovskyi</t>
  </si>
  <si>
    <t>Molecular and  Developmental Genetics</t>
  </si>
  <si>
    <t>Triticum aestivum spelta</t>
  </si>
  <si>
    <t>Molecular and Cell Biology</t>
  </si>
  <si>
    <t>Triticum aestivum sphaerococcum</t>
  </si>
  <si>
    <t>Molecular Biology</t>
  </si>
  <si>
    <t>Triticum aestivum ssp. aestivum</t>
  </si>
  <si>
    <t>Molecular Genetics</t>
  </si>
  <si>
    <t>Triticum aestivum ssp. hadropyrum</t>
  </si>
  <si>
    <t>Molecular Host plant resistance lab-Dr. C. Mike Smith</t>
  </si>
  <si>
    <t>Triticum aestivum var. compactum</t>
  </si>
  <si>
    <t>Molecular Plant Genetics</t>
  </si>
  <si>
    <t>Triticum aestivum var. compactum Bowden</t>
  </si>
  <si>
    <t>Triticum aestivum var. spelta</t>
  </si>
  <si>
    <t>Mons</t>
  </si>
  <si>
    <t>Triticum aestivum var. spelta Bowden</t>
  </si>
  <si>
    <t>Monsanto Company</t>
  </si>
  <si>
    <t>Triticum aestivum var. sphaerococcum</t>
  </si>
  <si>
    <t>Monsanto (Nîmes)</t>
  </si>
  <si>
    <t>Triticum aestivum var. sphaerococcum Bowden</t>
  </si>
  <si>
    <t>Monsanto semences</t>
  </si>
  <si>
    <t>Triticum aestivum var. vavilovii Bowden</t>
  </si>
  <si>
    <t>Monsanto (St Andiol)</t>
  </si>
  <si>
    <t>Triticum aestivum vavilovi</t>
  </si>
  <si>
    <t>Montana Agricultural Experiment Station, Montana State University</t>
  </si>
  <si>
    <t>Triticum amyleum</t>
  </si>
  <si>
    <t>Montanari Domenico, Faenza - Italy</t>
  </si>
  <si>
    <t>Triticum araraticum</t>
  </si>
  <si>
    <t>Monteux Caillet René, Mouries - France</t>
  </si>
  <si>
    <t>Triticum araraticum Jakubz.</t>
  </si>
  <si>
    <t>Montpellier SupAgro</t>
  </si>
  <si>
    <t>Triticum armeniacum (Jakubz.) A. Loeve &amp; D. Loeve</t>
  </si>
  <si>
    <t>Morphogenesis Research Group</t>
  </si>
  <si>
    <t>Triticum asiaticum Kudr.</t>
  </si>
  <si>
    <t>Morstar a.s., Breeding Station</t>
  </si>
  <si>
    <t>Triticum baeoticum</t>
  </si>
  <si>
    <t>Mr. Mazéas</t>
  </si>
  <si>
    <t>Triticum boeoticum ssp. boeoticum</t>
  </si>
  <si>
    <t>MSU-DOE Plant Research Laboratory</t>
  </si>
  <si>
    <t>Triticum boeoticum ssp. thaoudar</t>
  </si>
  <si>
    <t>MUCL Culture Collection</t>
  </si>
  <si>
    <t>Triticum cereale Schrank</t>
  </si>
  <si>
    <t>Murdoch University</t>
  </si>
  <si>
    <t>Triticum columnare</t>
  </si>
  <si>
    <t>Muséum d'histoire naturelle de Grenoble</t>
  </si>
  <si>
    <t>Triticum comosum</t>
  </si>
  <si>
    <t>Museum National d'Histoire Naturelle de Paris</t>
  </si>
  <si>
    <t>Triticum compositum</t>
  </si>
  <si>
    <t>Mutation breeding</t>
  </si>
  <si>
    <t>Triticum compositum L.</t>
  </si>
  <si>
    <t>NARO Hokkaido Agricultural Research Center</t>
  </si>
  <si>
    <t>Triticum crassum</t>
  </si>
  <si>
    <t>NARO Tohoku Agricultural Research Center</t>
  </si>
  <si>
    <t>Triticum cylindricum</t>
  </si>
  <si>
    <t>NASC</t>
  </si>
  <si>
    <t>Triticum dichasians</t>
  </si>
  <si>
    <t>National Biological Institute</t>
  </si>
  <si>
    <t>Triticum dicoccoides (Korn. ex Aschers. &amp; Graebn.) Aarons</t>
  </si>
  <si>
    <t>National Bureau of Plant Genetic Resources</t>
  </si>
  <si>
    <t>Triticum dicoccoides (Korn. ex Aschers. et Graebn.) Schweinf.</t>
  </si>
  <si>
    <t>National Center for Agricultural research and Technology Transfer</t>
  </si>
  <si>
    <t>Triticum dicoccoides Korn. ex Schweinf.</t>
  </si>
  <si>
    <t>National Center for Gene Research</t>
  </si>
  <si>
    <t>Triticum dicoccoides Korn. in litt. in Schweinf.</t>
  </si>
  <si>
    <t>National Citrus Research Programme</t>
  </si>
  <si>
    <t>Triticum dicoccoides race orientale Percival</t>
  </si>
  <si>
    <t>National Clonal Germplasm Repository - Orlando, USDA-ARS</t>
  </si>
  <si>
    <t>Triticum dicoccoides var. nudiglumis</t>
  </si>
  <si>
    <t>National Crop Experiment Station Seodundong</t>
  </si>
  <si>
    <t>Triticum dicoccoides var. nudiglumis Nabalek</t>
  </si>
  <si>
    <t>National Genebank of Kenya, Crop Plant Genetic Resources Centre - Muguga</t>
  </si>
  <si>
    <t>Triticum dicoccoides var. pyramidale Percival</t>
  </si>
  <si>
    <t>National Horticultural Research Institute</t>
  </si>
  <si>
    <t>Triticum dicoccoides var. timopheevii Zhuk.</t>
  </si>
  <si>
    <t>National Institute of Agrobiological Resources</t>
  </si>
  <si>
    <t>Triticum dicoccon</t>
  </si>
  <si>
    <t>National Institute of Agrobiological Sciences</t>
  </si>
  <si>
    <t>Triticum dicoccon Schrank</t>
  </si>
  <si>
    <t>National Institute of Agro-Environmental Sciences</t>
  </si>
  <si>
    <t>Triticum dicoccon (Schrank) A. Love, comb. nov.</t>
  </si>
  <si>
    <t>National Institute of Fruit Tree Science</t>
  </si>
  <si>
    <t>Triticum dicoccum Schrank</t>
  </si>
  <si>
    <t>National Key Laboratory of Crop Genetic Improvement</t>
  </si>
  <si>
    <t>Triticum dimococcum</t>
  </si>
  <si>
    <t>National Plant Breeding Research Station</t>
  </si>
  <si>
    <t>Triticum durum (Desf.) A. Love, comb. nov.</t>
  </si>
  <si>
    <t>National Plant Genetic Resources Centre</t>
  </si>
  <si>
    <t>Triticum farrum Bayle-Bar.</t>
  </si>
  <si>
    <t>National Plant Germplasm Quarantine Laboratory, USDA-ARS</t>
  </si>
  <si>
    <t>Triticum fungicidum</t>
  </si>
  <si>
    <t>National Research Centre for Citrus</t>
  </si>
  <si>
    <t>Triticum fungicidum subsp. nigrum</t>
  </si>
  <si>
    <t>National Research Centre on Plant Biotechnology</t>
  </si>
  <si>
    <t>Triticum georgicum</t>
  </si>
  <si>
    <t>National White Clover Impr. Prog. Agricultural Research &amp; Adv. Stat.</t>
  </si>
  <si>
    <t>Triticum hybernum L.</t>
  </si>
  <si>
    <t>Natural Resource Sciences and Landscape Architecture</t>
  </si>
  <si>
    <t>Triticum ibericum Menabde</t>
  </si>
  <si>
    <t>Nebraska Agricultural Experiment Station, University of Nebraska</t>
  </si>
  <si>
    <t>Triticum jakubzineri</t>
  </si>
  <si>
    <t>NEIKER-Tecnalia</t>
  </si>
  <si>
    <t>Triticum junceum L.</t>
  </si>
  <si>
    <t>New Mexico State University USA</t>
  </si>
  <si>
    <t>Triticum juvenale</t>
  </si>
  <si>
    <t>New South Wales Agriculture</t>
  </si>
  <si>
    <t>Triticum juvenale Thell.</t>
  </si>
  <si>
    <t>New York State Agricultural Experiment Station, Cornell University</t>
  </si>
  <si>
    <t>Triticum karamyschevii Nevski</t>
  </si>
  <si>
    <t>New Zealand Institute for Crop and Food Research, Ltd.</t>
  </si>
  <si>
    <t>Triticum kiharae</t>
  </si>
  <si>
    <t>Newhall Land and Water Compagny</t>
  </si>
  <si>
    <t>Triticum kotschyi</t>
  </si>
  <si>
    <t>N.I. Vavilov All-Russian Scientific Research Institute of Plant Industry</t>
  </si>
  <si>
    <t>Triticum L.</t>
  </si>
  <si>
    <t>N.I. Vavilov Research Instituteof Plant Industry</t>
  </si>
  <si>
    <t>Triticum macrochaetum</t>
  </si>
  <si>
    <t>Nickerson</t>
  </si>
  <si>
    <t>Triticum monococcum</t>
  </si>
  <si>
    <t>Nimblegen Systems Inc</t>
  </si>
  <si>
    <t>Triticum monococcum boeoticum</t>
  </si>
  <si>
    <t>nite de Genetique et d'Amelioration des Fruits et Legumes</t>
  </si>
  <si>
    <t>Triticum monococcum L. subsp. boeoticum (Boiss.) MK.</t>
  </si>
  <si>
    <t>Njala University College</t>
  </si>
  <si>
    <t>Triticum monococcum monococcum</t>
  </si>
  <si>
    <t>Noiton Dominique, Hamilton - New Zealand</t>
  </si>
  <si>
    <t>Triticum monococcum ssp. boeoticum</t>
  </si>
  <si>
    <t>Nordic Genetic Resource Center</t>
  </si>
  <si>
    <t>Triticum monococcum urartu</t>
  </si>
  <si>
    <t>Nordostbayerischer Saatbauverband</t>
  </si>
  <si>
    <t>Triticum muticum</t>
  </si>
  <si>
    <t>North American Plant Breeders, Inc.</t>
  </si>
  <si>
    <t>Triticum neglectum</t>
  </si>
  <si>
    <t>North Carolina Agricultural Experiment Station, North Carolina State University</t>
  </si>
  <si>
    <t>Triticum orientale</t>
  </si>
  <si>
    <t>North Dakota Agricultural Experiment Station, North Dakota State University</t>
  </si>
  <si>
    <t>Triticum orientale Percival</t>
  </si>
  <si>
    <t>Northrup King &amp; Co.</t>
  </si>
  <si>
    <t>Triticum ovatum</t>
  </si>
  <si>
    <t>Northwest A&amp;F University</t>
  </si>
  <si>
    <t>Triticum palaeocolchicum Menabde</t>
  </si>
  <si>
    <t>Norwegian University for Life Sciences</t>
  </si>
  <si>
    <t>Triticum peregrinum</t>
  </si>
  <si>
    <t>Novodonskaya - Donetsk State Agricultural Experiment Station</t>
  </si>
  <si>
    <t>Triticum peregrinum Hackel</t>
  </si>
  <si>
    <t>Nunhems Spain (El Ejido)</t>
  </si>
  <si>
    <t>Triticum persicum</t>
  </si>
  <si>
    <t>Nunhems Spain (La Palma)</t>
  </si>
  <si>
    <t>Triticum persicum (Percival) Vavilov ex Zhukovsky</t>
  </si>
  <si>
    <t>Nutrition azote des plantes</t>
  </si>
  <si>
    <t>Triticum persicum Vav.</t>
  </si>
  <si>
    <t>N.V. Clovis Matton Plant Breeding Station, Kerkhove</t>
  </si>
  <si>
    <t>Triticum pyramidale Perc.</t>
  </si>
  <si>
    <t>N.V. Clovis Matton Plant Breeding Station, Tiegem</t>
  </si>
  <si>
    <t>Triticum rectum</t>
  </si>
  <si>
    <t>Occitane des Semences</t>
  </si>
  <si>
    <t>Triticum repens L.</t>
  </si>
  <si>
    <t>Odesa State Regional Agricultural Experimental Station</t>
  </si>
  <si>
    <t>Triticum sativum Lam.</t>
  </si>
  <si>
    <t>Ohio Agricultural Reasearch and Development Center, Ohio State University</t>
  </si>
  <si>
    <t>Triticum searsii</t>
  </si>
  <si>
    <t>Oklahoma Agricultural Experiment Station, Division of Agricultural Sciences &amp; Natural Resources</t>
  </si>
  <si>
    <t>Triticum secale Link</t>
  </si>
  <si>
    <t>Ontario Agricultural College, University of Guelph</t>
  </si>
  <si>
    <t>Triticum spelta</t>
  </si>
  <si>
    <t>Oregon Agricultural Experimental Sation, Oregon State University</t>
  </si>
  <si>
    <t>Triticum speltiforme</t>
  </si>
  <si>
    <t>Organisation Bretonne de Sélection</t>
  </si>
  <si>
    <t>Triticum speltoides</t>
  </si>
  <si>
    <t>Orsem S.A.</t>
  </si>
  <si>
    <t>Triticum speltoides (Tausch) Gre. ex Richter var. aucheri</t>
  </si>
  <si>
    <t>Osmab Tosum Gene Bank - Ankara University</t>
  </si>
  <si>
    <t>Triticum speltoides (Tausch) Gre. ex Richter var. ligustica</t>
  </si>
  <si>
    <t>Pajbjergfonden</t>
  </si>
  <si>
    <t>Triticum speltoides (Tausch) Gren. ex Richter var. aucheri</t>
  </si>
  <si>
    <t>Palais Carnolés</t>
  </si>
  <si>
    <t>Triticum speltoides (Tausch) Gren. ex Richter var. ligustica</t>
  </si>
  <si>
    <t>Parc Naturel Régional du Haut-Languedoc</t>
  </si>
  <si>
    <t>Triticum sphaerococcum Perc.</t>
  </si>
  <si>
    <t>Parc Naturel Régional du Luberon</t>
  </si>
  <si>
    <t>Triticum syriacum</t>
  </si>
  <si>
    <t>Parc Naturel Régional du Queyras</t>
  </si>
  <si>
    <t>Triticum syriacum Bowden</t>
  </si>
  <si>
    <t>PARTNERCHIP</t>
  </si>
  <si>
    <t>Triticum tauschii</t>
  </si>
  <si>
    <t>Peltier Graines (don't exist anymore)</t>
  </si>
  <si>
    <t>Triticum thaoudar</t>
  </si>
  <si>
    <t>Pennsylvania Agricultural Experiment Station, Pennsylvania State University</t>
  </si>
  <si>
    <t>Triticum timococcum</t>
  </si>
  <si>
    <t>Pépinière A. Pays</t>
  </si>
  <si>
    <t>Triticum timonovum</t>
  </si>
  <si>
    <t>Pépinière Burlat</t>
  </si>
  <si>
    <t>Triticum timopheevii</t>
  </si>
  <si>
    <t>Pépinière Cadoux</t>
  </si>
  <si>
    <t>Triticum timopheevii araraticum</t>
  </si>
  <si>
    <t>Pépinière Delbard</t>
  </si>
  <si>
    <t>Triticum timopheevii armeniacum</t>
  </si>
  <si>
    <t>Pépinière Dieudonné</t>
  </si>
  <si>
    <t>Triticum timopheevii L. var. zhukovskyi</t>
  </si>
  <si>
    <t>Pépinière Domingo Orero</t>
  </si>
  <si>
    <t>Triticum timopheevii ssp. araraticum</t>
  </si>
  <si>
    <t>Triticum timopheevii ssp. armeniacum</t>
  </si>
  <si>
    <t>Pépinière ESAT LEnvol</t>
  </si>
  <si>
    <t>Triticum timopheevii ssp. armeniacum (Jakubz.) van Slageren</t>
  </si>
  <si>
    <t>Pépinière Escande Benoit, Saint Vite - France</t>
  </si>
  <si>
    <t>Triticum timopheevii ssp. timopheevii</t>
  </si>
  <si>
    <t>Pépinière Fabre, Villeneuve s/Lot - France</t>
  </si>
  <si>
    <t>Triticum timopheevii timopheevii</t>
  </si>
  <si>
    <t>Pépinière Jouve-Racamond</t>
  </si>
  <si>
    <t>Triticum timopheevii var. zhukovskyi</t>
  </si>
  <si>
    <t>Pépinière Lambertin</t>
  </si>
  <si>
    <t>Triticum timopheevii Zhuk.</t>
  </si>
  <si>
    <t>Pépinière Lambertin - Nîmes - France</t>
  </si>
  <si>
    <t>Triticum timopheevii (Zhuk.) Zhuk.</t>
  </si>
  <si>
    <t>Pépinière Leroy</t>
  </si>
  <si>
    <t>Triticum timopheevii (Zhuk.) Zhuk. var. timopheevii</t>
  </si>
  <si>
    <t>Pépinière Martre</t>
  </si>
  <si>
    <t>Triticum timopheevii (Zhuk.) Zhuk. var. zhukovskii (Men. &amp; Er.) Morris &amp; Sears</t>
  </si>
  <si>
    <t>Pépinière Moreau</t>
  </si>
  <si>
    <t>Triticum timopheevii (Zhuk.) Zhuk. var. zhukovskii (Men. &amp; Er.) Morris &amp; Sears comb. nov.</t>
  </si>
  <si>
    <t>Pépinière Pinguet-Guindon</t>
  </si>
  <si>
    <t>Triticum timopheevii zhukovskyi</t>
  </si>
  <si>
    <t>Pépinière Taliani,  Garons - France</t>
  </si>
  <si>
    <t>Triticum triaristatum</t>
  </si>
  <si>
    <t>Pépinière Thuilleaux</t>
  </si>
  <si>
    <t>Triticum tripsacoides</t>
  </si>
  <si>
    <t>Pépinière Valla Georges SCEA, Valence - France</t>
  </si>
  <si>
    <t>Triticum turgidum</t>
  </si>
  <si>
    <t>Pépinière Veauvy</t>
  </si>
  <si>
    <t>Triticum turgidum aethiopicum</t>
  </si>
  <si>
    <t>Pépinières Bachelet-Charvot</t>
  </si>
  <si>
    <t>Triticum turgidum carthlicum</t>
  </si>
  <si>
    <t>Pépinières Baltet</t>
  </si>
  <si>
    <t>Triticum turgidum dicoccoïdes</t>
  </si>
  <si>
    <t>Pépinières Croux</t>
  </si>
  <si>
    <t>Triticum turgidum dicoccum</t>
  </si>
  <si>
    <t>Pépinières de La Tronche</t>
  </si>
  <si>
    <t>Triticum turgidum durum</t>
  </si>
  <si>
    <t>Pépinières Fabre</t>
  </si>
  <si>
    <t>Triticum turgidum group aethiopicum</t>
  </si>
  <si>
    <t>Pépinières Garbaye et Gravier</t>
  </si>
  <si>
    <t>Triticum turgidum group palaeocolchicum</t>
  </si>
  <si>
    <t>Pépinières L. Pin</t>
  </si>
  <si>
    <t>Triticum turgidum group turgidum</t>
  </si>
  <si>
    <t>Pépinières Lafitte</t>
  </si>
  <si>
    <t>Triticum turgidum ispahanicum</t>
  </si>
  <si>
    <t>Pépinières Levavasseur</t>
  </si>
  <si>
    <t>Triticum turgidum L. em. Bowden var. timopheevii (Zhuk.) Bowden f. timopheevii Bowden</t>
  </si>
  <si>
    <t>Pépinières Nomblot</t>
  </si>
  <si>
    <t>Triticum turgidum L. em. Bowden var. timopheevii (Zhuk.) Bowden f. zhukovskyi (Mem. &amp; Er.) Bowden</t>
  </si>
  <si>
    <t>Triticum turgidum L. em. Bowden var. tumanianii (Jakubz.) Bowden</t>
  </si>
  <si>
    <t>Pépinières Rolland Crosse</t>
  </si>
  <si>
    <t>Triticum turgidum L. em. Thell.</t>
  </si>
  <si>
    <t>Pépinières Simon</t>
  </si>
  <si>
    <t>Triticum turgidum L. group aethiopicum Bowden</t>
  </si>
  <si>
    <t>Petal Genomics</t>
  </si>
  <si>
    <t>Triticum turgidum L. group dicoccon (Schrank) Thell.</t>
  </si>
  <si>
    <t>Peter Henderson &amp; Co</t>
  </si>
  <si>
    <t>Triticum turgidum L. group durum (Desf.) Husnot</t>
  </si>
  <si>
    <t>Petoseed</t>
  </si>
  <si>
    <t>Triticum turgidum L. group palaeocolchicum Bowden</t>
  </si>
  <si>
    <t>Pflanzenzucht Dr. h.c. Carsten Inh. Erhardt Eger KG</t>
  </si>
  <si>
    <t>Triticum turgidum L. group polonicum Bowden</t>
  </si>
  <si>
    <t>Phu Guy Fruit Research Centre</t>
  </si>
  <si>
    <t>Triticum turgidum L. group turgidum Bowden</t>
  </si>
  <si>
    <t>Phu Ho Fruit Crops Research Centre</t>
  </si>
  <si>
    <t>Triticum turgidum L. (Nevski) group carthlicum Bowden</t>
  </si>
  <si>
    <t>Phytopathologie und Pflanzenschutz</t>
  </si>
  <si>
    <t>Triticum turgidum L. ssp. dicoccoides (Korn. ex Schweinf.) A. Love, comb. nov.</t>
  </si>
  <si>
    <t>Piast Hodowla Roslin Lagiewniki Sp. z o.o.</t>
  </si>
  <si>
    <t>Triticum turgidum L. ssp. dicoccoides (Korn.) Thell.</t>
  </si>
  <si>
    <t>Pioneer génétique</t>
  </si>
  <si>
    <t>Triticum turgidum L. ssp. palaeocolchicum (A. Love &amp; D. Love) A. Love, comb. nov.</t>
  </si>
  <si>
    <t>Pioneer Seed Co. Ltd.</t>
  </si>
  <si>
    <t>Triticum turgidum L. ssp. timopheevii (Zhuk.) A. Love &amp; D. Love</t>
  </si>
  <si>
    <t>Plant Biochemistry and  Molecular Biology Group,  Division ofBiochemical Sciences</t>
  </si>
  <si>
    <t>Triticum turgidum L. ssp. turanicum (Jakubz.) A. Love &amp; D. Love</t>
  </si>
  <si>
    <t>Plant Biology Division</t>
  </si>
  <si>
    <t>Triticum turgidum L. ssp. turanicum (Jakubz.) A. Love, comb. nov.</t>
  </si>
  <si>
    <t>Plant Biotech Research Center</t>
  </si>
  <si>
    <t>Triticum turgidum L. ssp. turgidum (L.) A. Love, comb. nov.</t>
  </si>
  <si>
    <t>Plant Biotechnology Institute,  National Research Council ofCanada</t>
  </si>
  <si>
    <t>Triticum turgidum (L.) Thell.</t>
  </si>
  <si>
    <t>Plant Biotechnology Institute,  National Research CouncilCanada</t>
  </si>
  <si>
    <t>Triticum turgidum (L.) Thell. subsp. carthlicum (Nevski) MK.</t>
  </si>
  <si>
    <t>Plant Biotechnology Key Laboratory</t>
  </si>
  <si>
    <t>Triticum turgidum (L.) Thell. subsp. dicoccoides (Korn.) Thell.</t>
  </si>
  <si>
    <t>Plant Breeding and Acclimatization Institute at Radzikow</t>
  </si>
  <si>
    <t>Triticum turgidum L. Thell. subsp. dicoccon (Schrank) Thell.</t>
  </si>
  <si>
    <t>Plant Breeding and Genetics Institute</t>
  </si>
  <si>
    <t>Triticum turgidum (L.) Thell. subsp. paleocolchicum Men.</t>
  </si>
  <si>
    <t>Plant Breeding Institute,  University of Sydney</t>
  </si>
  <si>
    <t>Triticum turgidum (L.) Thell. subsp. turgidum convar aethiopicum Jakubz.</t>
  </si>
  <si>
    <t>Plant Breeding International</t>
  </si>
  <si>
    <t>Triticum turgidum L. Thell. subsp. turgidum convar durum (Desf.) MK.</t>
  </si>
  <si>
    <t>Plant Breeding Station Laski</t>
  </si>
  <si>
    <t>Triticum turgidum L. Thell. subsp. turgidum convar polonicum (L.) MK.</t>
  </si>
  <si>
    <t>plant cellular biology laboratory/ Dr. STEINMETZ</t>
  </si>
  <si>
    <t>Triticum turgidum (L.) Thell. subsp. turgidum convar turanicum (Jakubz.) MK.</t>
  </si>
  <si>
    <t>Plant culture institute - Tammisto</t>
  </si>
  <si>
    <t>Triticum turgidum L. var. carthlicum (Nevski) A. Love &amp; D. Love</t>
  </si>
  <si>
    <t>Plant Development Biology</t>
  </si>
  <si>
    <t>Triticum turgidum L. var. dicoccoides (Korn. in litt. in Schweinf.) Bowden</t>
  </si>
  <si>
    <t>Plant Development Molecular Biology Lab</t>
  </si>
  <si>
    <t>Triticum turgidum L. var. polonicum (L.) A. Love &amp; D. Love</t>
  </si>
  <si>
    <t>Plant development molecular biology lab</t>
  </si>
  <si>
    <t>Triticum turgidum L. var. timopheevii</t>
  </si>
  <si>
    <t>Plant Developmental Genetics</t>
  </si>
  <si>
    <t>Triticum turgidum L. var. tumanianii</t>
  </si>
  <si>
    <t>Plant Functional Genomics Research Group</t>
  </si>
  <si>
    <t>Triticum turgidum paleocolchicum</t>
  </si>
  <si>
    <t>Plant Gene Expression Center</t>
  </si>
  <si>
    <t>Triticum turgidum polonicum</t>
  </si>
  <si>
    <t>Plant Gene Resources of Canada Central Exper. Farm, Agri. Canada</t>
  </si>
  <si>
    <t>Triticum turgidum ssp. carthlicum</t>
  </si>
  <si>
    <t>Plant Gene Resources of Canada, Saskatoon Research Centre, Agriculture and Agri-Food Canada</t>
  </si>
  <si>
    <t>Triticum turgidum ssp. dicoccoides</t>
  </si>
  <si>
    <t>Plant Genetic Resources Department</t>
  </si>
  <si>
    <t>Triticum turgidum ssp. dicoccon</t>
  </si>
  <si>
    <t>Plant Genetic Resources Unit</t>
  </si>
  <si>
    <t>Triticum turgidum ssp. durum</t>
  </si>
  <si>
    <t>Plant Genetics</t>
  </si>
  <si>
    <t>Triticum turgidum ssp. palaeocolchicum A. Love &amp; D. Love</t>
  </si>
  <si>
    <t>Plant Genetics and  Breeding</t>
  </si>
  <si>
    <t>Triticum turgidum ssp. paleocolchicum</t>
  </si>
  <si>
    <t>Plant Genome Center Co.,  Ltd</t>
  </si>
  <si>
    <t>Triticum turgidum ssp. polonicum</t>
  </si>
  <si>
    <t>Plant Genome Mapping Laboratory</t>
  </si>
  <si>
    <t>Triticum turgidum ssp. turanicum</t>
  </si>
  <si>
    <t>Plant Genomics Lab.,  Department of Crop,  Soil and Environmental Sciences</t>
  </si>
  <si>
    <t>Triticum turgidum ssp. turgidum</t>
  </si>
  <si>
    <t>Plant Molecular and Cellular Biology Program</t>
  </si>
  <si>
    <t>Triticum turgidum subsp. carthlicum x Secale strictum subsp.</t>
  </si>
  <si>
    <t>Plant Molecular Biology</t>
  </si>
  <si>
    <t>Triticum turgidum turanicum</t>
  </si>
  <si>
    <t>Plant Molecular Genetic Laboratory</t>
  </si>
  <si>
    <t>Triticum turgidum turgidum</t>
  </si>
  <si>
    <t>Plant Molecular Genetics</t>
  </si>
  <si>
    <t>Triticum turgidum var. carthlicum</t>
  </si>
  <si>
    <t>Plant Molecular Genetics Laboratory</t>
  </si>
  <si>
    <t>Triticum turgidum var. dicoccon</t>
  </si>
  <si>
    <t>Plant Molecular Physiology and  Functional Genomics</t>
  </si>
  <si>
    <t>Triticum turgidum var. dicoccon Bowden</t>
  </si>
  <si>
    <t>Plant Natural Products</t>
  </si>
  <si>
    <t>Triticum turgidum var. durum</t>
  </si>
  <si>
    <t>Plant Nematode Genetics Group</t>
  </si>
  <si>
    <t>Triticum turgidum var. durum Bowden</t>
  </si>
  <si>
    <t>Plant Pathology</t>
  </si>
  <si>
    <t>Triticum turgidum var. polonicum</t>
  </si>
  <si>
    <t>Plant Pathology Department</t>
  </si>
  <si>
    <t>Triticum umbellulatum</t>
  </si>
  <si>
    <t>Plant Protection Division I.C.I.</t>
  </si>
  <si>
    <t>Triticum uniaristatum</t>
  </si>
  <si>
    <t>Plant Research Institute</t>
  </si>
  <si>
    <t>Triticum urartu</t>
  </si>
  <si>
    <t>Plant Research International</t>
  </si>
  <si>
    <t>Triticum urartu Thumanian ex Gandilyan</t>
  </si>
  <si>
    <t>Plant Sciences</t>
  </si>
  <si>
    <t>Triticum vaillantianum</t>
  </si>
  <si>
    <t>PLANT SELECT, Ltd.</t>
  </si>
  <si>
    <t>Triticum vavilovii Jakubz.</t>
  </si>
  <si>
    <t>Plant Systems Biology</t>
  </si>
  <si>
    <t>Triticum vulgare ssp. hadropyrum Flaksb.</t>
  </si>
  <si>
    <t>plantechno srl</t>
  </si>
  <si>
    <t>Triticum vulgare ssp. irano-asiaticum Flaksb.</t>
  </si>
  <si>
    <t>Plantes legumineuses, DGAP</t>
  </si>
  <si>
    <t>Triticum vulgare var. dicoccon (Schrank) Korn</t>
  </si>
  <si>
    <t>PlantTec Biotechnologie</t>
  </si>
  <si>
    <t>Triticum vulgare Villars</t>
  </si>
  <si>
    <t>Plate-Forme de cytogÃ©nÃ©tique MolÃ©culaire</t>
  </si>
  <si>
    <t>Triticum zhukovskyi Menabde &amp; Ericzjan</t>
  </si>
  <si>
    <t>Plew Horticultural Experimental Station</t>
  </si>
  <si>
    <t>Vicia faba L.</t>
  </si>
  <si>
    <t>PMDV - Equipe Analyse fonctionnelle du genome de Botrytis cinerea</t>
  </si>
  <si>
    <t>Vicia faba subsp. equina</t>
  </si>
  <si>
    <t>Pole de biotechnologie vegetales UMR5546</t>
  </si>
  <si>
    <t>Vicia faba subsp. major</t>
  </si>
  <si>
    <t>Povolzhskii NII Selektsii i Semenovodstva Im. P.N. Konstantinova Ran</t>
  </si>
  <si>
    <t>Vicia faba subsp. minor</t>
  </si>
  <si>
    <t>Practical Scientific Institute of Plant Growing 'SELECTIA'</t>
  </si>
  <si>
    <t>Vicia faba subsp. paucijuga</t>
  </si>
  <si>
    <t>Probsdorfer Plant Breeding</t>
  </si>
  <si>
    <t>Vicia L.</t>
  </si>
  <si>
    <t>Programa de Recursos Genéticos Nicaragüenses  (REGEN)</t>
  </si>
  <si>
    <t>Vicia sativa L.</t>
  </si>
  <si>
    <t>Projet Arborea, Centre d'Etude de la Foret</t>
  </si>
  <si>
    <t>Vitaceae</t>
  </si>
  <si>
    <t>Propriété Saint Jean</t>
  </si>
  <si>
    <t>Vitis</t>
  </si>
  <si>
    <t>PROSEA Headquarters, Wageningen Agricultural University</t>
  </si>
  <si>
    <t>Vitis aestivalis Mchx.</t>
  </si>
  <si>
    <t>proteomique</t>
  </si>
  <si>
    <t>Vitis affinis Gagnep. ex Osmaston</t>
  </si>
  <si>
    <t>PSB Produccion Vegetal, Murcia - Spain</t>
  </si>
  <si>
    <t>Vitis amurensis Ruprecht</t>
  </si>
  <si>
    <t>Punjab Agricultural University</t>
  </si>
  <si>
    <t>Vitis apliniana Collett &amp; Hemsl.</t>
  </si>
  <si>
    <t>Queensland Wheat Research Institut Department of Primary Industries</t>
  </si>
  <si>
    <t>Vitis arizonica Engelm.</t>
  </si>
  <si>
    <t>RAGT</t>
  </si>
  <si>
    <t>Vitis armata Diels &amp; Gilg</t>
  </si>
  <si>
    <t>R.A.G.T. 2N</t>
  </si>
  <si>
    <t>Vitis aubertiana Gage</t>
  </si>
  <si>
    <t>Rapillard Charly, Conthey - Suisse</t>
  </si>
  <si>
    <t>Vitis austrokoreana Hatus.</t>
  </si>
  <si>
    <t>RDP (UMR5667 INRA/CNRS/ENSL/UCBL)</t>
  </si>
  <si>
    <t>Vitis baileyana Munson</t>
  </si>
  <si>
    <t>Redblush Nursery</t>
  </si>
  <si>
    <t>Vitis balansaeana Planch.</t>
  </si>
  <si>
    <t>Regional Fruit Research Station, PAU</t>
  </si>
  <si>
    <t>Vitis berlandieri Planch.</t>
  </si>
  <si>
    <t>Regional Station Shillong, NBPGR</t>
  </si>
  <si>
    <t>Vitis betulifolia Diels &amp; Gilg</t>
  </si>
  <si>
    <t>Reproduction et Developpement des Plantes</t>
  </si>
  <si>
    <t>Vitis bicolor Le Conte</t>
  </si>
  <si>
    <t>Research and Development Division</t>
  </si>
  <si>
    <t>Vitis blancoii Munson</t>
  </si>
  <si>
    <t>Research Branch Agriculture Canada</t>
  </si>
  <si>
    <t>Vitis bourgeana Planch.</t>
  </si>
  <si>
    <t>Research Institute for Bioresources</t>
  </si>
  <si>
    <t>Vitis bourquina Munson</t>
  </si>
  <si>
    <t>Research Institute for Cereals and Technical Plants Fundulea</t>
  </si>
  <si>
    <t>Vitis bryoniifolia Bunge</t>
  </si>
  <si>
    <t>Research Institute for Olive and Citrus Trees</t>
  </si>
  <si>
    <t>Vitis burmanica Collett &amp; Hemsl.</t>
  </si>
  <si>
    <t>Research Institute of Agricultural for South-East Region</t>
  </si>
  <si>
    <t>Vitis californica Bentham</t>
  </si>
  <si>
    <t>Research Institute of Crop Production</t>
  </si>
  <si>
    <t>Vitis candicans Engelm.</t>
  </si>
  <si>
    <t>Research Institute of Village Services</t>
  </si>
  <si>
    <t>Vitis caribaea D.C.</t>
  </si>
  <si>
    <t>Resistance des Plantes aux Bioagresseurs (RPB)</t>
  </si>
  <si>
    <t>Vitis champinii Planch.</t>
  </si>
  <si>
    <t>Resources Botany Research Center</t>
  </si>
  <si>
    <t>Vitis choii Hatus.</t>
  </si>
  <si>
    <t>Revol Jean-Pierre, Larnage - France</t>
  </si>
  <si>
    <t>Vitis chrysobotrys H.Lév. &amp; Vaniot</t>
  </si>
  <si>
    <t>RhoBio</t>
  </si>
  <si>
    <t>Vitis chunganensis Hu</t>
  </si>
  <si>
    <t>Rice Research Institute</t>
  </si>
  <si>
    <t>Vitis chungii F.P.Metcalf</t>
  </si>
  <si>
    <t>RICP Praha-Ruzyne Agricultural Research Station</t>
  </si>
  <si>
    <t>Vitis cinerea Engelm.</t>
  </si>
  <si>
    <t>Rijk Zwaan</t>
  </si>
  <si>
    <t>Vitis coignetiae cv. Ishikari</t>
  </si>
  <si>
    <t>Ringot</t>
  </si>
  <si>
    <t>Vitis coignetiae Pulliat</t>
  </si>
  <si>
    <t>Roberts WL, Grandview Washington - USA</t>
  </si>
  <si>
    <t>Vitis cordifolia cv. n°9 Couderc</t>
  </si>
  <si>
    <t>Roseworthy Agricultural College</t>
  </si>
  <si>
    <t>Vitis cordifolia Mchx.</t>
  </si>
  <si>
    <t>Royal Palm Nurseries</t>
  </si>
  <si>
    <t>Vitis coriacea Shuttl.</t>
  </si>
  <si>
    <t>Rubidoux laboratory</t>
  </si>
  <si>
    <t>Vitis davidii Romanet du Caillaud</t>
  </si>
  <si>
    <t>Rustica Prograin Genetique</t>
  </si>
  <si>
    <t>Vitis del rioi Galet</t>
  </si>
  <si>
    <t>Rutgers University - NJ - USA</t>
  </si>
  <si>
    <t>Vitis doaniana Munson</t>
  </si>
  <si>
    <t>Rutgers University - NJ - USA - M. Vinson P</t>
  </si>
  <si>
    <t>Vitis embergeri Galet</t>
  </si>
  <si>
    <t>Saatbau Linz / Oberoesterreichische Landessaatbaugenossenschaft</t>
  </si>
  <si>
    <t>Vitis ficifolioides Wang</t>
  </si>
  <si>
    <t>Saaten-Union France s.a.r.l - Saaten-Union Recherche s.a.s</t>
  </si>
  <si>
    <t>Vitis flexuosa Thunb.</t>
  </si>
  <si>
    <t>Saatzucht Bauer GmbH &amp; Co KG</t>
  </si>
  <si>
    <t>Vitis gigas Fennell</t>
  </si>
  <si>
    <t>Saatzucht Donau GesmbH. &amp; CoKG</t>
  </si>
  <si>
    <t>Vitis girdiana Munson</t>
  </si>
  <si>
    <t>Saatzucht Engelen Büchling Ohg</t>
  </si>
  <si>
    <t>Vitis glabrescens Fritsch</t>
  </si>
  <si>
    <t>Saatzucht Hans Schweiger &amp; Co. Ohg</t>
  </si>
  <si>
    <t>Vitis hancockii Hance</t>
  </si>
  <si>
    <t>Saatzucht Josef Breun GdbR</t>
  </si>
  <si>
    <t>Vitis helleri Small</t>
  </si>
  <si>
    <t>Saatzucht Piatti</t>
  </si>
  <si>
    <t>Vitis hexamera Gagnep.</t>
  </si>
  <si>
    <t>Saatzucht Streng GmbH &amp; Co. KG</t>
  </si>
  <si>
    <t>Vitis hissarica Vassilcz.</t>
  </si>
  <si>
    <t>Saatzuchtgesellschaft Nordsaat GmbH</t>
  </si>
  <si>
    <t>Vitis illex Bailey</t>
  </si>
  <si>
    <t>Saatzuchtwirtschaft Johann Firlbeck KG</t>
  </si>
  <si>
    <t>Vitis kelemgensis Momiyama</t>
  </si>
  <si>
    <t>Saatzuchtwirtschaft Lang-Doerfler</t>
  </si>
  <si>
    <t>Vitis kiusiama Momiyama</t>
  </si>
  <si>
    <t>Saatzuchtwirtschaft Otto Breustedt GmbH</t>
  </si>
  <si>
    <t>Vitis L.</t>
  </si>
  <si>
    <t>Sakata Seed France</t>
  </si>
  <si>
    <t>Vitis labrusca cv. Cambridge</t>
  </si>
  <si>
    <t>Samarskij Niish Im.N.M. Tulajkova</t>
  </si>
  <si>
    <t>Vitis labrusca cv. Caroline</t>
  </si>
  <si>
    <t>SantÃ© de la Vigne et QualitÃ© du Vin</t>
  </si>
  <si>
    <t>Vitis labrusca cv. Caywood</t>
  </si>
  <si>
    <t>Santé de la Vigne et Qualité du Vin</t>
  </si>
  <si>
    <t>Vitis labrusca cv. Concord</t>
  </si>
  <si>
    <t>S.A.S. Florimond Desprez</t>
  </si>
  <si>
    <t>Vitis labrusca cv. Creveling</t>
  </si>
  <si>
    <t>Satten-Ring Pfeuffer - Von Ruemker oHG</t>
  </si>
  <si>
    <t>Vitis labrusca cv. Early Victor</t>
  </si>
  <si>
    <t>SBAT El Ariana, Tunisie</t>
  </si>
  <si>
    <t>Vitis labrusca cv. Isabelle</t>
  </si>
  <si>
    <t>SCA - Agricultural Research Station Turda-Cluj</t>
  </si>
  <si>
    <t>Vitis labrusca cv. Israella</t>
  </si>
  <si>
    <t>SCA Adrien Momont et fils, S.A.</t>
  </si>
  <si>
    <t>Vitis labrusca cv. Ive's seedling</t>
  </si>
  <si>
    <t>Schnable Laboratory</t>
  </si>
  <si>
    <t>Vitis labrusca cv. Miles</t>
  </si>
  <si>
    <t>Schnable laboratory</t>
  </si>
  <si>
    <t>Vitis labrusca cv. Muncy</t>
  </si>
  <si>
    <t>School of Biological Sciences</t>
  </si>
  <si>
    <t>Vitis labrusca cv. North America</t>
  </si>
  <si>
    <t>Science de l'Horticulture, Rabat, Maroc</t>
  </si>
  <si>
    <t>Vitis labrusca cv. North Carolina</t>
  </si>
  <si>
    <t>Scott Research Farm</t>
  </si>
  <si>
    <t>Vitis labrusca cv. Pierce = California Concord</t>
  </si>
  <si>
    <t>SDR Fruit LLC, Boulder- CO - USA</t>
  </si>
  <si>
    <t>Vitis labrusca cv. Rentz</t>
  </si>
  <si>
    <t>Seagaga Research Station</t>
  </si>
  <si>
    <t>Vitis labrusca cv. Scarlett</t>
  </si>
  <si>
    <t>Seager Wheeler</t>
  </si>
  <si>
    <t>Vitis labrusca L.</t>
  </si>
  <si>
    <t>Secobra Saatzucht GmbH</t>
  </si>
  <si>
    <t>Vitis lanata Roxburgh</t>
  </si>
  <si>
    <t>Seed and Plant Improvement Institute</t>
  </si>
  <si>
    <t>Vitis lanceolata Roxb.</t>
  </si>
  <si>
    <t>Selekt Research and Breeding Institute</t>
  </si>
  <si>
    <t>Vitis leucocarpa Hayata</t>
  </si>
  <si>
    <t>SELGEN, Breeding Station Chlumec</t>
  </si>
  <si>
    <t>Vitis lincecumii Buckley</t>
  </si>
  <si>
    <t>SELGEN, Breeding Station Stupice</t>
  </si>
  <si>
    <t>Vitis longii Prince</t>
  </si>
  <si>
    <t>SELGEN, Breeding Station Uhretice</t>
  </si>
  <si>
    <t>Vitis monticola Buckley</t>
  </si>
  <si>
    <t>Semences Cargill, Centre de Recherches Céréales à Pailles et Colza</t>
  </si>
  <si>
    <t>Vitis novisinensis Vassilcz.</t>
  </si>
  <si>
    <t>Semences de Provence</t>
  </si>
  <si>
    <t>Vitis pedicellata M.A.Lawson</t>
  </si>
  <si>
    <t>Semiarid Prairie Agricultural Research Centre, Agriculture and Agri-Food Canada</t>
  </si>
  <si>
    <t>Vitis pentagona Diels &amp; Gilg</t>
  </si>
  <si>
    <t>Semillas Falco</t>
  </si>
  <si>
    <t>Vitis piasezkii cv. pagnuccii</t>
  </si>
  <si>
    <t>Seminis</t>
  </si>
  <si>
    <t>Vitis piasezkii Maximowicz</t>
  </si>
  <si>
    <t>Seoul National University</t>
  </si>
  <si>
    <t>Vitis piloso-nerva F.P.Metcalf</t>
  </si>
  <si>
    <t>SERASEM</t>
  </si>
  <si>
    <t>Vitis potanini Maxim.</t>
  </si>
  <si>
    <t>Servien Norbert et Pierre-Gilles - Granges lès Beaumont - France</t>
  </si>
  <si>
    <t>Vitis pseudoreticulata W.T.Wang</t>
  </si>
  <si>
    <t>Settore Biotecnologie e Agricoltura, Dipartimento Innovazione, ENEA</t>
  </si>
  <si>
    <t>Vitis punctata Raf.</t>
  </si>
  <si>
    <t>Seva Flora SRO, Valtice - République Tchèque</t>
  </si>
  <si>
    <t>Vitis reticulata Pamp.</t>
  </si>
  <si>
    <t>Shanghai Institute of Plant Physiology and  Ecology</t>
  </si>
  <si>
    <t>Vitis retordii Romanet du Caill. ex Planch.</t>
  </si>
  <si>
    <t>Shanxi Academy of Agricultural Sciences</t>
  </si>
  <si>
    <t>Vitis riparia cv. Riparia Gloire de Montpellier</t>
  </si>
  <si>
    <t>Shulaev's Lab</t>
  </si>
  <si>
    <t>Vitis riparia cv. Riparia grand glabre</t>
  </si>
  <si>
    <t>Siberian Research Institute of Agriculture</t>
  </si>
  <si>
    <t>Vitis riparia Mchx.</t>
  </si>
  <si>
    <t>SICA Centrex, Torreilles, France</t>
  </si>
  <si>
    <t>Vitis romanetii Romanet du Caillaud</t>
  </si>
  <si>
    <t>Sica La Tapy</t>
  </si>
  <si>
    <t>Vitis rubra cv. palmata</t>
  </si>
  <si>
    <t>Sica SE.CO.CE. Semences Dromigny et Hamel</t>
  </si>
  <si>
    <t>Vitis rubra Mchx.</t>
  </si>
  <si>
    <t>Sicarex Beaujolais</t>
  </si>
  <si>
    <t>Vitis rufotomentosa Small</t>
  </si>
  <si>
    <t>Sicarex du Sud-Ouest</t>
  </si>
  <si>
    <t>Vitis rupestris cv. Rupestris du Lot</t>
  </si>
  <si>
    <t>Signaling and  Plant Metabolism</t>
  </si>
  <si>
    <t>Vitis rupestris Sheele</t>
  </si>
  <si>
    <t>Signaux et messages cellulaires chez les vegetaux</t>
  </si>
  <si>
    <t>Vitis schumanniana Kuntze</t>
  </si>
  <si>
    <t>SIS - Societa Italiana Sementi</t>
  </si>
  <si>
    <t>Vitis seguinii H.Lév.</t>
  </si>
  <si>
    <t>Sladkovicovo Plant Breeding Station</t>
  </si>
  <si>
    <t>Vitis serroniana Glaz.</t>
  </si>
  <si>
    <t>Small Grains Research Centre, Agricultural Research Institute 'Serbia'</t>
  </si>
  <si>
    <t>Vitis shiragai Makino</t>
  </si>
  <si>
    <t>Societa Produttori Sementi</t>
  </si>
  <si>
    <t>Vitis silvestrii Pamp.</t>
  </si>
  <si>
    <t>Société de Viticulture du Jura</t>
  </si>
  <si>
    <t>Vitis simpsonii Munson</t>
  </si>
  <si>
    <t>Société Pomologique du Berry</t>
  </si>
  <si>
    <t>Vitis thunbergii Siebold &amp; Zucc.</t>
  </si>
  <si>
    <t>Société pour l'Encouragement de l'Orge de Brasserie</t>
  </si>
  <si>
    <t>Vitis treleasei Munson</t>
  </si>
  <si>
    <t>SOGROUP</t>
  </si>
  <si>
    <t>Vitis tsoii Merr.</t>
  </si>
  <si>
    <t>Solanum</t>
  </si>
  <si>
    <t>Vitis vicaryana Kurz</t>
  </si>
  <si>
    <t>Solanum Tourneur</t>
  </si>
  <si>
    <t>Vitis vinifera L.</t>
  </si>
  <si>
    <t>Solary Plant Breeding Station</t>
  </si>
  <si>
    <t>Vitis vinifera subsp sylvestris cv. Lambrusque métisse</t>
  </si>
  <si>
    <t>Sorghum genetics and  molecular biology lab</t>
  </si>
  <si>
    <t>Vitis vinifera subsp sylvestris cv. Lambrusque vraie</t>
  </si>
  <si>
    <t>South Dakota Agricultural Experiment Station, South Dakota State University</t>
  </si>
  <si>
    <t>Vitis vinifera subsp sylvestris L.</t>
  </si>
  <si>
    <t>Southwick Steve, El Macero, CA - USA</t>
  </si>
  <si>
    <t>Vitis vinifera subsp vinifera cv. A Kalatchel</t>
  </si>
  <si>
    <t>Special Research Centre,  Basic and  Applied Plant MolecularBiology</t>
  </si>
  <si>
    <t>Vitis vinifera subsp vinifera cv. A 406 SRLH</t>
  </si>
  <si>
    <t>SRA  INRA-CIRAD</t>
  </si>
  <si>
    <t>Vitis vinifera subsp vinifera cv. Abbuoto</t>
  </si>
  <si>
    <t>Star Fruit</t>
  </si>
  <si>
    <t>Vitis vinifera subsp vinifera cv. Abdjouch</t>
  </si>
  <si>
    <t>State Key Lab of Genetics</t>
  </si>
  <si>
    <t>Vitis vinifera subsp vinifera cv. Abondance</t>
  </si>
  <si>
    <t>State Lab of Plant Physiology and  Biochemistry</t>
  </si>
  <si>
    <t>Vitis vinifera subsp vinifera cv. Abondant</t>
  </si>
  <si>
    <t>State Lab of plant physiology and  biochemistry</t>
  </si>
  <si>
    <t>Vitis vinifera subsp vinifera cv. Abouhou</t>
  </si>
  <si>
    <t>Station Agrumicole de Lipa</t>
  </si>
  <si>
    <t>Vitis vinifera subsp vinifera cv. Abouriou</t>
  </si>
  <si>
    <t>Station Agrumicole de Nan</t>
  </si>
  <si>
    <t>Vitis vinifera subsp vinifera cv. Achlamiche</t>
  </si>
  <si>
    <t>Station Centrale de la Recherche sur les Agrumes, Institut National de la Recherche Agronomique du Maroc</t>
  </si>
  <si>
    <t>Vitis vinifera subsp vinifera cv. Adissi</t>
  </si>
  <si>
    <t>Station d'amelioration des arbres forestiers</t>
  </si>
  <si>
    <t>Vitis vinifera subsp vinifera cv. Admirable de Courtiller</t>
  </si>
  <si>
    <t>Station d'amelioration des plantes</t>
  </si>
  <si>
    <t>Vitis vinifera subsp vinifera cv. Aetoniki</t>
  </si>
  <si>
    <t>Station d'arboriculture de Poros - Trizinias (Grèce)</t>
  </si>
  <si>
    <t>Vitis vinifera subsp vinifera cv. Aetonychi kokkino</t>
  </si>
  <si>
    <t>Station de Betanimena</t>
  </si>
  <si>
    <t>Vitis vinifera subsp vinifera cv. Aetonychi mavro</t>
  </si>
  <si>
    <t>Station de cultures fruitières de Foulaya</t>
  </si>
  <si>
    <t>Vitis vinifera subsp vinifera cv. Aetonyki</t>
  </si>
  <si>
    <t>Station de Génétique et Amélioration des Plantes, INRA-Versailles</t>
  </si>
  <si>
    <t>Vitis vinifera subsp vinifera cv. Afarta pobres</t>
  </si>
  <si>
    <t>Station de Genetique et d'Amelioration des Plantes</t>
  </si>
  <si>
    <t>Vitis vinifera subsp vinifera cv. Affenthaler</t>
  </si>
  <si>
    <t>Station de Genetique et d'Amelioration des plantes</t>
  </si>
  <si>
    <t>Vitis vinifera subsp vinifera cv. Ag isioum</t>
  </si>
  <si>
    <t>Station de Génétique et d'Amélioration des Plantes, INRA-Dijon</t>
  </si>
  <si>
    <t>Vitis vinifera subsp vinifera cv. Ag Kiourdach</t>
  </si>
  <si>
    <t>Station de Genetique et dÕAmelioration des Plantes</t>
  </si>
  <si>
    <t>Vitis vinifera subsp vinifera cv. Agadaï</t>
  </si>
  <si>
    <t>Station de Genetique et dUAmelioration des Plantes</t>
  </si>
  <si>
    <t>Vitis vinifera subsp vinifera cv. Agapanthe</t>
  </si>
  <si>
    <t>Station de Genetique Vegetale</t>
  </si>
  <si>
    <t>Vitis vinifera subsp vinifera cv. Aghianniotico</t>
  </si>
  <si>
    <t>Station de Genetique Vegetale du Moulon</t>
  </si>
  <si>
    <t>Vitis vinifera subsp vinifera cv. Aghiorgitiko</t>
  </si>
  <si>
    <t>Station de Pathologie Vegetale</t>
  </si>
  <si>
    <t>Vitis vinifera subsp vinifera cv. Aglianico</t>
  </si>
  <si>
    <t>Station de Pathologie Végétale, INRA-Avignon</t>
  </si>
  <si>
    <t>Vitis vinifera subsp vinifera cv. Agostenga noir</t>
  </si>
  <si>
    <t>Station de recherche Agroscope Changins-Wädenswil</t>
  </si>
  <si>
    <t>Vitis vinifera subsp vinifera cv. Agourane</t>
  </si>
  <si>
    <t>Station de recherche Agroscope Changins-WÃ¤denswil</t>
  </si>
  <si>
    <t>Vitis vinifera subsp vinifera cv. Agrio mavro</t>
  </si>
  <si>
    <t>Station de Recherche du Comité Nord</t>
  </si>
  <si>
    <t>Vitis vinifera subsp vinifera cv. Aguyar</t>
  </si>
  <si>
    <t>Station de Recherche du Comité Nord &amp; GIPT</t>
  </si>
  <si>
    <t>Vitis vinifera subsp vinifera cv. Ahmar</t>
  </si>
  <si>
    <t>Station de Recherchedu Comité Nord &amp; GNIPTIT</t>
  </si>
  <si>
    <t>Vitis vinifera subsp vinifera cv. Ahmed</t>
  </si>
  <si>
    <t>Station Expérimentale Agronomique de Boufarik</t>
  </si>
  <si>
    <t>Vitis vinifera subsp vinifera cv. Ahmeh sal apyrène</t>
  </si>
  <si>
    <t>Station expérimentale de Oeiras Portugal</t>
  </si>
  <si>
    <t>Vitis vinifera subsp vinifera cv. Ahmeh Sal 9</t>
  </si>
  <si>
    <t>Station Régionale Horticole de Sefrou</t>
  </si>
  <si>
    <t>Vitis vinifera subsp vinifera cv. Ahmeur bou Ahmeur</t>
  </si>
  <si>
    <t>Statistique &amp; Genome</t>
  </si>
  <si>
    <t>Vitis vinifera subsp vinifera cv. Ahumat</t>
  </si>
  <si>
    <t>Statistique &amp; Génome</t>
  </si>
  <si>
    <t>Vitis vinifera subsp vinifera cv. Aïbatly</t>
  </si>
  <si>
    <t>Statiunea de Cercetare Dezvoltare Agricola Albota</t>
  </si>
  <si>
    <t>Vitis vinifera subsp vinifera cv. Aïda = Pirovano 233</t>
  </si>
  <si>
    <t>Ste Coopérative Agricole du Nord-Est de la Brie</t>
  </si>
  <si>
    <t>Vitis vinifera subsp vinifera cv. Aïdani mavro</t>
  </si>
  <si>
    <t>Stellenbosch University</t>
  </si>
  <si>
    <t>Vitis vinifera subsp vinifera cv. Aïn Begra</t>
  </si>
  <si>
    <t>Structure et Metabolisme des Plantes</t>
  </si>
  <si>
    <t>Vitis vinifera subsp vinifera cv. Aïn el Bouma</t>
  </si>
  <si>
    <t>Subtropical Horticultural Research Unit, National Germplasm Repository - Miami, USDA</t>
  </si>
  <si>
    <t>Vitis vinifera subsp vinifera cv. Aïn Kelba</t>
  </si>
  <si>
    <t>Suceava Genebank</t>
  </si>
  <si>
    <t>Vitis vinifera subsp vinifera cv. Airen</t>
  </si>
  <si>
    <t>Summerfield Nursery Co.</t>
  </si>
  <si>
    <t>Vitis vinifera subsp vinifera cv. Ak chekerek</t>
  </si>
  <si>
    <t>Sun World International - Bakersfield, CA - USA</t>
  </si>
  <si>
    <t>Vitis vinifera subsp vinifera cv. Ak ouzioum tagapskii</t>
  </si>
  <si>
    <t>Sunshine Nurseries</t>
  </si>
  <si>
    <t>Vitis vinifera subsp vinifera cv. Akiki</t>
  </si>
  <si>
    <t>Svalof Weibull AB Cereal Breeding Department</t>
  </si>
  <si>
    <t>Vitis vinifera subsp vinifera cv. Aklyk jaune</t>
  </si>
  <si>
    <t>SW Seed Hadmersleben GmbH</t>
  </si>
  <si>
    <t>Vitis vinifera subsp vinifera cv. Akominato</t>
  </si>
  <si>
    <t>Swedish University of Agricultural Sciences - Department of Plant Breeding Research</t>
  </si>
  <si>
    <t>Vitis vinifera subsp vinifera cv. Alabar noir</t>
  </si>
  <si>
    <t>Swiss Institute of Bioinformatics</t>
  </si>
  <si>
    <t>Vitis vinifera subsp vinifera cv. Alanttermö</t>
  </si>
  <si>
    <t>Syndicat de Producteurs de Marron de Charentes</t>
  </si>
  <si>
    <t>Vitis vinifera subsp vinifera cv. Alb rominesc</t>
  </si>
  <si>
    <t>Syndicat Général des Vignerons Réunis des Côtes-du-Rhône</t>
  </si>
  <si>
    <t>Vitis vinifera subsp vinifera cv. Alba aganin isioum</t>
  </si>
  <si>
    <t>Syngenta</t>
  </si>
  <si>
    <t>Vitis vinifera subsp vinifera cv. Alba imputotato</t>
  </si>
  <si>
    <t>Syngenta Seeds Ltd</t>
  </si>
  <si>
    <t>Vitis vinifera subsp vinifera cv. Alba magna = Pirovano 283</t>
  </si>
  <si>
    <t>Syngenta Seeds S.A.</t>
  </si>
  <si>
    <t>Vitis vinifera subsp vinifera cv. Albalonga = Würzburg B 51-2-1</t>
  </si>
  <si>
    <t>Syngenta Seeds S.A.S.</t>
  </si>
  <si>
    <t>Vitis vinifera subsp vinifera cv. Albana</t>
  </si>
  <si>
    <t>Takii recherche France</t>
  </si>
  <si>
    <t>Vitis vinifera subsp vinifera cv. Albanello</t>
  </si>
  <si>
    <t>Technisem</t>
  </si>
  <si>
    <t>Vitis vinifera subsp vinifera cv. Albaranzeuli bianco</t>
  </si>
  <si>
    <t>Technology Department</t>
  </si>
  <si>
    <t>Vitis vinifera subsp vinifera cv. Albarola</t>
  </si>
  <si>
    <t>Terr'Loire</t>
  </si>
  <si>
    <t>Vitis vinifera subsp vinifera cv. Albert Dientz</t>
  </si>
  <si>
    <t>Texas Agricultural Experiment Station, Texas A &amp; M University</t>
  </si>
  <si>
    <t>Vitis vinifera subsp vinifera cv. Albillo</t>
  </si>
  <si>
    <t>TEZIER S.A.</t>
  </si>
  <si>
    <t>Vitis vinifera subsp vinifera cv. Albino de Sousa</t>
  </si>
  <si>
    <t>The Agricultural Research Council - Grain Crops Institute</t>
  </si>
  <si>
    <t>Vitis vinifera subsp vinifera cv. Albourlah</t>
  </si>
  <si>
    <t>The Arabidopsis Information Resource</t>
  </si>
  <si>
    <t>Vitis vinifera subsp vinifera cv. Aléatico</t>
  </si>
  <si>
    <t>The Biotechnology Center</t>
  </si>
  <si>
    <t>Vitis vinifera subsp vinifera cv. Aledo</t>
  </si>
  <si>
    <t>The Citrus Nursery</t>
  </si>
  <si>
    <t>Vitis vinifera subsp vinifera cv. Alenky</t>
  </si>
  <si>
    <t>The First Laboratory for Plant Gene Research</t>
  </si>
  <si>
    <t>Vitis vinifera subsp vinifera cv. Alepou</t>
  </si>
  <si>
    <t>The Genome Analysis Centre</t>
  </si>
  <si>
    <t>Vitis vinifera subsp vinifera cv. Alexandroouli</t>
  </si>
  <si>
    <t>The Key Laboratory of Gene Engineering of Ministry ofEducation</t>
  </si>
  <si>
    <t>Vitis vinifera subsp vinifera cv. Alfrocheiro preto</t>
  </si>
  <si>
    <t>The Molecular Breeding Lab of Wheat Research Center - Henan Academy of Agricultural Sciences</t>
  </si>
  <si>
    <t>Vitis vinifera subsp vinifera cv. Algara</t>
  </si>
  <si>
    <t>The Rockefeller Foundation</t>
  </si>
  <si>
    <t>Vitis vinifera subsp vinifera cv. Alia boka</t>
  </si>
  <si>
    <t>The V.M. Remeslo Myronivka Institute for Wheat</t>
  </si>
  <si>
    <t>Vitis vinifera subsp vinifera cv. Alicante anglais blanc</t>
  </si>
  <si>
    <t>Tintori Nursery</t>
  </si>
  <si>
    <t>Vitis vinifera subsp vinifera cv. Alicante Bouschet érigé</t>
  </si>
  <si>
    <t>Top Semence</t>
  </si>
  <si>
    <t>Vitis vinifera subsp vinifera cv. Alicante Bouschet extra fertile</t>
  </si>
  <si>
    <t>Torbert Rocheford</t>
  </si>
  <si>
    <t>Vitis vinifera subsp vinifera cv. Alicante Bouschet n°1</t>
  </si>
  <si>
    <t>Toumelin (don't exist anymore)</t>
  </si>
  <si>
    <t>Vitis vinifera subsp vinifera cv. Alicante Bouschet n°2</t>
  </si>
  <si>
    <t>Tourneur Grandes Cultures Obtentions</t>
  </si>
  <si>
    <t>Vitis vinifera subsp vinifera cv. Alicante Bouschet n°7</t>
  </si>
  <si>
    <t>Trait and  Technology Development,  Agronomic Traits</t>
  </si>
  <si>
    <t>Vitis vinifera subsp vinifera cv. Alicante Bouschet n°8</t>
  </si>
  <si>
    <t>Trait and  Technology Development,  Food and  Feed Research</t>
  </si>
  <si>
    <t>Vitis vinifera subsp vinifera cv. Alicante Bouschet précoce (ou n°5)</t>
  </si>
  <si>
    <t>Transition Zone Agricultural Research Institute</t>
  </si>
  <si>
    <t>Vitis vinifera subsp vinifera cv. Alicante Bouschet tardif (ou n°6)</t>
  </si>
  <si>
    <t>TRANSPORT DES ASSIMILATS</t>
  </si>
  <si>
    <t>Vitis vinifera subsp vinifera cv. Alicante Bouschet x Piquepoul gris</t>
  </si>
  <si>
    <t>Trégor Sélection</t>
  </si>
  <si>
    <t>Vitis vinifera subsp vinifera cv. Alicante Bouschet x Piquepoul n°12</t>
  </si>
  <si>
    <t>Tribhuvan University</t>
  </si>
  <si>
    <t>Vitis vinifera subsp vinifera cv. Alicante Henri Bouschet</t>
  </si>
  <si>
    <t>Tropical Agricultural Research Station, Clonal Repository USDA/ARS</t>
  </si>
  <si>
    <t>Vitis vinifera subsp vinifera cv. Alicante rosa</t>
  </si>
  <si>
    <t>Tropical Crops Experimental Station</t>
  </si>
  <si>
    <t>Vitis vinifera subsp vinifera cv. Aligoté</t>
  </si>
  <si>
    <t>Truffaut</t>
  </si>
  <si>
    <t>Vitis vinifera subsp vinifera cv. Alii tierskii</t>
  </si>
  <si>
    <t>Tsukuba Life Science Center</t>
  </si>
  <si>
    <t>Vitis vinifera subsp vinifera cv. Alimchak</t>
  </si>
  <si>
    <t>T&amp;TD,  Agronomic Traits,  Yield Stability</t>
  </si>
  <si>
    <t>Vitis vinifera subsp vinifera cv. Almafre</t>
  </si>
  <si>
    <t>Tulun State Plant Breeding Station</t>
  </si>
  <si>
    <t>Vitis vinifera subsp vinifera cv. Alnwick seedling</t>
  </si>
  <si>
    <t>Turkmen Academy of Agricultural Sciences</t>
  </si>
  <si>
    <t>Vitis vinifera subsp vinifera cv. Alphonse Lavallée</t>
  </si>
  <si>
    <t>Twyford Plant Laborences (NPBGR), North Carolina State University</t>
  </si>
  <si>
    <t>Vitis vinifera subsp vinifera cv. Altesse</t>
  </si>
  <si>
    <t>Tystofte-Forsoggstation</t>
  </si>
  <si>
    <t>Vitis vinifera subsp vinifera cv. Alva</t>
  </si>
  <si>
    <t>UAGPF</t>
  </si>
  <si>
    <t>Vitis vinifera subsp vinifera cv. Alval = INRA 1552-24</t>
  </si>
  <si>
    <t>UCOPAC - Verneuil - Recherches</t>
  </si>
  <si>
    <t>Vitis vinifera subsp vinifera cv. Alvarelhao</t>
  </si>
  <si>
    <t>UE arboricole, INRA-Toulenne et INRA-Bourran</t>
  </si>
  <si>
    <t>Vitis vinifera subsp vinifera cv. Alvarinho</t>
  </si>
  <si>
    <t>UE Diascope, INRA-Montpellier</t>
  </si>
  <si>
    <t>Vitis vinifera subsp vinifera cv. Alvina = INRA 2121-61</t>
  </si>
  <si>
    <t>UE Maïs, INRA-Saint-Martin-de-Hinx</t>
  </si>
  <si>
    <t>Vitis vinifera subsp vinifera cv. Alwan</t>
  </si>
  <si>
    <t>Vitis vinifera subsp vinifera cv. Amaral</t>
  </si>
  <si>
    <t>UIPMSV</t>
  </si>
  <si>
    <t>Vitis vinifera subsp vinifera cv. Amaral branco</t>
  </si>
  <si>
    <t>ULICE</t>
  </si>
  <si>
    <t>Vitis vinifera subsp vinifera cv. Ambary</t>
  </si>
  <si>
    <t>Umea Plant Science Center</t>
  </si>
  <si>
    <t>Vitis vinifera subsp vinifera cv. Amellal</t>
  </si>
  <si>
    <t>Umea Plant Science Center, Department of Plant Physiology</t>
  </si>
  <si>
    <t>Vitis vinifera subsp vinifera cv. Amessasse</t>
  </si>
  <si>
    <t>UMR AGAP Amélioration Génétique et Adaptation des Plantes méditerranéennes et Tropicales</t>
  </si>
  <si>
    <t>Vitis vinifera subsp vinifera cv. Amfioni</t>
  </si>
  <si>
    <t>UMR Amélioration des Plantes et Biotechnologies Végétales, INRA-Rennes</t>
  </si>
  <si>
    <t>Vitis vinifera subsp vinifera cv. Amigne</t>
  </si>
  <si>
    <t>Vitis vinifera subsp vinifera cv. Amokrane</t>
  </si>
  <si>
    <t>UMR APBV</t>
  </si>
  <si>
    <t>Vitis vinifera subsp vinifera cv. Ampelakiotico galano</t>
  </si>
  <si>
    <t>UMR ASP 1095</t>
  </si>
  <si>
    <t>Vitis vinifera subsp vinifera cv. Ancellota</t>
  </si>
  <si>
    <t>UMR ASP 1095 (Amelioration et Sante des Plantes)</t>
  </si>
  <si>
    <t>Vitis vinifera subsp vinifera cv. Ancorat</t>
  </si>
  <si>
    <t>UMR BiO3P</t>
  </si>
  <si>
    <t>Vitis vinifera subsp vinifera cv. Aneb ben Koreli</t>
  </si>
  <si>
    <t>UMR CNRS/INRA 215</t>
  </si>
  <si>
    <t>Vitis vinifera subsp vinifera cv. Aneb bou Bezzoul</t>
  </si>
  <si>
    <t>UMR DAP 1098</t>
  </si>
  <si>
    <t>Vitis vinifera subsp vinifera cv. Aneb el Amar</t>
  </si>
  <si>
    <t>UMR de Genetique vegetale</t>
  </si>
  <si>
    <t>Vitis vinifera subsp vinifera cv. Angelo Longo = Pirovano 101</t>
  </si>
  <si>
    <t>UMR de Genetique Vegetale du Moulon</t>
  </si>
  <si>
    <t>Vitis vinifera subsp vinifera cv. Angelo Pirovano = Pirovano 2</t>
  </si>
  <si>
    <t>UMR de Ginitique Vigitale</t>
  </si>
  <si>
    <t>Vitis vinifera subsp vinifera cv. Angiola</t>
  </si>
  <si>
    <t>Vitis vinifera subsp vinifera cv. Angulato</t>
  </si>
  <si>
    <t>UMR DiaPC</t>
  </si>
  <si>
    <t>Vitis vinifera subsp vinifera cv. Annamaria</t>
  </si>
  <si>
    <t>UMR Diversité et Adaptation des Plantes Cultivées, INRA-Montpellier</t>
  </si>
  <si>
    <t>Vitis vinifera subsp vinifera cv. Antão vaz</t>
  </si>
  <si>
    <t>UMR Diversite et Genomes des Plantes Cultivees</t>
  </si>
  <si>
    <t>Vitis vinifera subsp vinifera cv. Aouillat</t>
  </si>
  <si>
    <t>Vitis vinifera subsp vinifera cv. Appley Towers</t>
  </si>
  <si>
    <t>Vitis vinifera subsp vinifera cv. Aprofeher</t>
  </si>
  <si>
    <t>Vitis vinifera subsp vinifera cv. Aptiche aga</t>
  </si>
  <si>
    <t>UMR Génétique et Horticulture GenHort, INRA-Angers</t>
  </si>
  <si>
    <t>Vitis vinifera subsp vinifera cv. Apyrène de Roussé</t>
  </si>
  <si>
    <t>UMR Génétique Végétale, INRA-Moulon</t>
  </si>
  <si>
    <t>Vitis vinifera subsp vinifera cv. Aragatzi</t>
  </si>
  <si>
    <t>UMR Génomique Végétale, INRA-Evry</t>
  </si>
  <si>
    <t>Vitis vinifera subsp vinifera cv. Araklinos</t>
  </si>
  <si>
    <t>UMR IaM - 1136</t>
  </si>
  <si>
    <t>Vitis vinifera subsp vinifera cv. Aramon</t>
  </si>
  <si>
    <t>UMR INRA 1088 Plante-Microbe-Environment</t>
  </si>
  <si>
    <t>Vitis vinifera subsp vinifera cv. Aramon blanc</t>
  </si>
  <si>
    <t>UMR INRA 1088/CNRS 5184/U. Bourgogne PME,  Inra</t>
  </si>
  <si>
    <t>Vitis vinifera subsp vinifera cv. Aramon blanc de la Calmette</t>
  </si>
  <si>
    <t>UMR INRA 1165 - CNRS 8114 - UEVE</t>
  </si>
  <si>
    <t>Vitis vinifera subsp vinifera cv. Aramon Bouschet n°1</t>
  </si>
  <si>
    <t>UMR INRA 1165 CNRS 8114 - UEVE</t>
  </si>
  <si>
    <t>Vitis vinifera subsp vinifera cv. Aramon Bouschet n°3</t>
  </si>
  <si>
    <t>UMR INRA-Agrocampus</t>
  </si>
  <si>
    <t>Vitis vinifera subsp vinifera cv. Aramon Bouschet n°5</t>
  </si>
  <si>
    <t>UMR INRA-ENSAR</t>
  </si>
  <si>
    <t>Vitis vinifera subsp vinifera cv. Aramon gris</t>
  </si>
  <si>
    <t>UMR INRA-INSA BF2I</t>
  </si>
  <si>
    <t>Vitis vinifera subsp vinifera cv. Aramon teinturier Bouschet</t>
  </si>
  <si>
    <t>UMR INRA-UBP Amilioration &amp; Santi des Plantes</t>
  </si>
  <si>
    <t>Vitis vinifera subsp vinifera cv. Aranel = INRA 1816-106</t>
  </si>
  <si>
    <t>UMR INRA-UHP 1137</t>
  </si>
  <si>
    <t>Vitis vinifera subsp vinifera cv. Aranyka sarga</t>
  </si>
  <si>
    <t>UMR Institut de Génétique, Environnement et Protection des Plantes, INRA-Rennes</t>
  </si>
  <si>
    <t>Vitis vinifera subsp vinifera cv. Ararati</t>
  </si>
  <si>
    <t>Vitis vinifera subsp vinifera cv. Araxeni tchernii</t>
  </si>
  <si>
    <t>UMR Institut de Génétique, Environnement et Protection des Plantes, INRA-Rennes, Site de Plougoulm</t>
  </si>
  <si>
    <t>Vitis vinifera subsp vinifera cv. Arbane</t>
  </si>
  <si>
    <t>UMR Peuplement Végétaux et Bioagresseurs en Milieu Tropical, CIRAD-Réunion</t>
  </si>
  <si>
    <t>Vitis vinifera subsp vinifera cv. Arbia</t>
  </si>
  <si>
    <t>Vitis vinifera subsp vinifera cv. Arbois rose</t>
  </si>
  <si>
    <t>UMR SPO</t>
  </si>
  <si>
    <t>Vitis vinifera subsp vinifera cv. Ardona = INRA 605-8</t>
  </si>
  <si>
    <t>UMR Stress Abiotiques et Différenciation des Végétaux Cultivés</t>
  </si>
  <si>
    <t>Vitis vinifera subsp vinifera cv. Ardonnet</t>
  </si>
  <si>
    <t>UMR UMR INRA 1165 - CNRS 8114 - UEVE</t>
  </si>
  <si>
    <t>Vitis vinifera subsp vinifera cv. Ardounet noir</t>
  </si>
  <si>
    <t>UMR UP-IRD-CNRS 5096</t>
  </si>
  <si>
    <t>Vitis vinifera subsp vinifera cv. Areni tchernii</t>
  </si>
  <si>
    <t>UMR USTL-INRA 1281 - Stress abiotique et difirenciation des vigitaux cultivis (SADV)</t>
  </si>
  <si>
    <t>Vitis vinifera subsp vinifera cv. Argant</t>
  </si>
  <si>
    <t>UMR 1095 INRA-UBP Amélioration &amp; Santé des Plantes</t>
  </si>
  <si>
    <t>Vitis vinifera subsp vinifera cv. Arinarnoa</t>
  </si>
  <si>
    <t>UMR 1095 INRA/UBP GDEC</t>
  </si>
  <si>
    <t>Vitis vinifera subsp vinifera cv. Ariño</t>
  </si>
  <si>
    <t>UMR 1095 INRA-UBP Génétique, Diversité et Ecophysiologie des Céréales</t>
  </si>
  <si>
    <t>Vitis vinifera subsp vinifera cv. Arinto de Bucelas</t>
  </si>
  <si>
    <t>UMR 1095 INRA-UBP Ginitique, Diversiti et Ecophysiologie des Ciriales</t>
  </si>
  <si>
    <t>Vitis vinifera subsp vinifera cv. Arinto du Dâo</t>
  </si>
  <si>
    <t>UMR 1096 / PIA</t>
  </si>
  <si>
    <t>Vitis vinifera subsp vinifera cv. Arizul</t>
  </si>
  <si>
    <t>UMR 1096 /PIA</t>
  </si>
  <si>
    <t>Vitis vinifera subsp vinifera cv. Armas</t>
  </si>
  <si>
    <t>UMR 1097 Vigne</t>
  </si>
  <si>
    <t>Vitis vinifera subsp vinifera cv. Armenia</t>
  </si>
  <si>
    <t>UMR 1136</t>
  </si>
  <si>
    <t>Vitis vinifera subsp vinifera cv. Arna guirna</t>
  </si>
  <si>
    <t>UMR 118 INRA-AgroCampus Rennes</t>
  </si>
  <si>
    <t>Vitis vinifera subsp vinifera cv. Arneis</t>
  </si>
  <si>
    <t>UMR 12 87 EGFV</t>
  </si>
  <si>
    <t>Vitis vinifera subsp vinifera cv. Aromatica = Pirovano 393</t>
  </si>
  <si>
    <t>UMR 320 Genetique Vegetale</t>
  </si>
  <si>
    <t>Vitis vinifera subsp vinifera cv. Aromriesling</t>
  </si>
  <si>
    <t>UMR 5004 laboratoire de physiologie et biologie moleculaire des plantes</t>
  </si>
  <si>
    <t>Vitis vinifera subsp vinifera cv. Arpad = Evêque Prohaszka</t>
  </si>
  <si>
    <t>UMR 5546 Pole de biotechnologies vegetales</t>
  </si>
  <si>
    <t>Vitis vinifera subsp vinifera cv. Arriloba</t>
  </si>
  <si>
    <t>UMR 619 - Equipe Biologie de la Vigne</t>
  </si>
  <si>
    <t>Vitis vinifera subsp vinifera cv. Arrouya</t>
  </si>
  <si>
    <t>UMR 8618 - Laboratoire Structure et Metabolisme des Plantes</t>
  </si>
  <si>
    <t>Vitis vinifera subsp vinifera cv. Arrufiac</t>
  </si>
  <si>
    <t>UMR-DAP</t>
  </si>
  <si>
    <t>Vitis vinifera subsp vinifera cv. Arturo Marescalchi = Pirovano 318</t>
  </si>
  <si>
    <t>UMR05 CNRS/INRA</t>
  </si>
  <si>
    <t>Vitis vinifera subsp vinifera cv. Arvesiniadu</t>
  </si>
  <si>
    <t>UMR1097 Vigne</t>
  </si>
  <si>
    <t>Vitis vinifera subsp vinifera cv. Arvignon</t>
  </si>
  <si>
    <t>UMR118 Amelioration des plantes</t>
  </si>
  <si>
    <t>Vitis vinifera subsp vinifera cv. Arvine</t>
  </si>
  <si>
    <t>UMR518 AgroParisTech/INRA</t>
  </si>
  <si>
    <t>Vitis vinifera subsp vinifera cv. Ascott Citronelle</t>
  </si>
  <si>
    <t>UMR759 Ecophysiologie des plantes sous stress environnementaux</t>
  </si>
  <si>
    <t>Vitis vinifera subsp vinifera cv. Askari</t>
  </si>
  <si>
    <t>UMR8576 CNRS/UST Lille</t>
  </si>
  <si>
    <t>Vitis vinifera subsp vinifera cv. Askeri</t>
  </si>
  <si>
    <t>UNCAC Cooperative Agricole Cereales</t>
  </si>
  <si>
    <t>Vitis vinifera subsp vinifera cv. Askudi</t>
  </si>
  <si>
    <t>UNCAC La Brosse Montceaux</t>
  </si>
  <si>
    <t>Vitis vinifera subsp vinifera cv. Asma</t>
  </si>
  <si>
    <t>Unicopa Clause</t>
  </si>
  <si>
    <t>Vitis vinifera subsp vinifera cv. Asmi assouad</t>
  </si>
  <si>
    <t>Unidad de Recursos Geneticos Universidad Autonoma de Chapingo</t>
  </si>
  <si>
    <t>Vitis vinifera subsp vinifera cv. Asmi blanc</t>
  </si>
  <si>
    <t>Union des Producteurs de Plaimont</t>
  </si>
  <si>
    <t>Vitis vinifera subsp vinifera cv. Aspiran Bouschet</t>
  </si>
  <si>
    <t>Unisigma Gie de Recherche et de Selection</t>
  </si>
  <si>
    <t>Vitis vinifera subsp vinifera cv. Aspiran rouge foncé</t>
  </si>
  <si>
    <t>Unit of Forest improvement, Genetics and Physiology</t>
  </si>
  <si>
    <t>Vitis vinifera subsp vinifera cv. Asprinio</t>
  </si>
  <si>
    <t>UnitÃ© AmÃ©lioration, GÃ©nÃ©tique et Physiologie ForestiÃ?res</t>
  </si>
  <si>
    <t>Vitis vinifera subsp vinifera cv. Asprouda de Santorini</t>
  </si>
  <si>
    <t>UnitC) de Nutrition AzotC)e des Plantes</t>
  </si>
  <si>
    <t>Vitis vinifera subsp vinifera cv. Asprouda Zakinthou</t>
  </si>
  <si>
    <t>Unite Centrale de la Miniere, GEVES</t>
  </si>
  <si>
    <t>Vitis vinifera subsp vinifera cv. Assali al arous</t>
  </si>
  <si>
    <t>Unite d'amelioration des plantes</t>
  </si>
  <si>
    <t>Vitis vinifera subsp vinifera cv. Assario roxo</t>
  </si>
  <si>
    <t>Unite de Biochime et Biologie Moleculaire des Cereales</t>
  </si>
  <si>
    <t>Vitis vinifera subsp vinifera cv. Assario Tinto</t>
  </si>
  <si>
    <t>Unite de Biochimie et Biologie Moleculaire des Cereales</t>
  </si>
  <si>
    <t>Vitis vinifera subsp vinifera cv. Assario (1)</t>
  </si>
  <si>
    <t>Unite de Genetique dt d amelioration des plantes fourrageres</t>
  </si>
  <si>
    <t>Vitis vinifera subsp vinifera cv. Assario (2)</t>
  </si>
  <si>
    <t>Unite de Genetique et d'Amelioration des Fruits et Legumes</t>
  </si>
  <si>
    <t>Vitis vinifera subsp vinifera cv. Asseli</t>
  </si>
  <si>
    <t>Unite de Genetique et d'Amelioration des Plantes Fourrageres (UGAPF)</t>
  </si>
  <si>
    <t>Vitis vinifera subsp vinifera cv. Asserghin</t>
  </si>
  <si>
    <t>Unite de Recherche des Produits de la Vigne</t>
  </si>
  <si>
    <t>Vitis vinifera subsp vinifera cv. Assouad Abou khislé</t>
  </si>
  <si>
    <t>Unite de Recherche en Genetique et Amelioration des plantes</t>
  </si>
  <si>
    <t>Vitis vinifera subsp vinifera cv. Assouad afranji</t>
  </si>
  <si>
    <t>Unite de Recherche en Genomique vegetale</t>
  </si>
  <si>
    <t>Vitis vinifera subsp vinifera cv. Assouad anouni</t>
  </si>
  <si>
    <t>Unite de Recherche Genomique-Info</t>
  </si>
  <si>
    <t>Vitis vinifera subsp vinifera cv. Assouad karech</t>
  </si>
  <si>
    <t>Unite de recherche sur les legumineuses (URLEG)</t>
  </si>
  <si>
    <t>Vitis vinifera subsp vinifera cv. Assoued kere</t>
  </si>
  <si>
    <t>Unite de Recherches en Sante Vegetale</t>
  </si>
  <si>
    <t>Vitis vinifera subsp vinifera cv. Assoued zeme</t>
  </si>
  <si>
    <t>Unite de recherches Interactions Plantes Microorganismes et Sante Vegetale</t>
  </si>
  <si>
    <t>Vitis vinifera subsp vinifera cv. Assul kara</t>
  </si>
  <si>
    <t>Unité Expérimentale du Domaine de Pech Rouge, INRA-Montpellier - UMR-SPO</t>
  </si>
  <si>
    <t>Vitis vinifera subsp vinifera cv. Assyrtico</t>
  </si>
  <si>
    <t>Vitis vinifera subsp vinifera cv. Athiri</t>
  </si>
  <si>
    <t>Unite experimentale du Magneraud, GEVES</t>
  </si>
  <si>
    <t>Vitis vinifera subsp vinifera cv. Athiri lefko</t>
  </si>
  <si>
    <t>Vitis vinifera subsp vinifera cv. Atomic</t>
  </si>
  <si>
    <t>Unite Genetique et amelioration des plantes</t>
  </si>
  <si>
    <t>Vitis vinifera subsp vinifera cv. Atomic apyrène</t>
  </si>
  <si>
    <t>Unite Interactions Plantes-Microorganismes et Sante Vegetale</t>
  </si>
  <si>
    <t>Vitis vinifera subsp vinifera cv. Attiki</t>
  </si>
  <si>
    <t>Unité mixte de recherche Génétique et ecophysiologie des légumineuses (UMRLEG)</t>
  </si>
  <si>
    <t>Vitis vinifera subsp vinifera cv. Attila</t>
  </si>
  <si>
    <t>Unité mixte de recherche Génétique et écophysiologie des légumineuses (UMRLEG)</t>
  </si>
  <si>
    <t>Vitis vinifera subsp vinifera cv. Attilio Ragioneri = Pirovano 150</t>
  </si>
  <si>
    <t>Unité mixte de recherche Physiologie Moléculaire des Semences (UMR PMS)</t>
  </si>
  <si>
    <t>Vitis vinifera subsp vinifera cv. Aubin</t>
  </si>
  <si>
    <t>United State Department of Agriculture by Agricultural Research Service, Washington - USA - Fogle H.</t>
  </si>
  <si>
    <t>Vitis vinifera subsp vinifera cv. Aubin vert</t>
  </si>
  <si>
    <t>United States Department of Agriculture Georgie USA</t>
  </si>
  <si>
    <t>Vitis vinifera subsp vinifera cv. Aubun</t>
  </si>
  <si>
    <t>Univ. Calif. Citrus Exp. Sta.</t>
  </si>
  <si>
    <t>Vitis vinifera subsp vinifera cv. Audibert</t>
  </si>
  <si>
    <t>Universidad de la Republica Oriental del Uruguay</t>
  </si>
  <si>
    <t>Vitis vinifera subsp vinifera cv. Augster blau</t>
  </si>
  <si>
    <t>Universidad Nacional Autonoma de Honduras</t>
  </si>
  <si>
    <t>Vitis vinifera subsp vinifera cv. Augster weisser</t>
  </si>
  <si>
    <t>Universidad Nacional Hermilio Abad del Cusco, Centro K'Ayra</t>
  </si>
  <si>
    <t>Vitis vinifera subsp vinifera cv. Aurata = Pirovano 110</t>
  </si>
  <si>
    <t>Universidade Federal do Rio Grande do Rio Grande</t>
  </si>
  <si>
    <t>Vitis vinifera subsp vinifera cv. Aurora = Pirovano 100</t>
  </si>
  <si>
    <t>Universita di Catania</t>
  </si>
  <si>
    <t>Vitis vinifera subsp vinifera cv. Autumn black</t>
  </si>
  <si>
    <t>Universitaet Hohenheim</t>
  </si>
  <si>
    <t>Vitis vinifera subsp vinifera cv. Autumn seedless</t>
  </si>
  <si>
    <t>Universite Grenoble Biologie moleculaire et vegetale</t>
  </si>
  <si>
    <t>Vitis vinifera subsp vinifera cv. Auxerrois</t>
  </si>
  <si>
    <t>University California USA</t>
  </si>
  <si>
    <t>Vitis vinifera subsp vinifera cv. Avana</t>
  </si>
  <si>
    <t>University Florida USA</t>
  </si>
  <si>
    <t>Vitis vinifera subsp vinifera cv. Avarengo</t>
  </si>
  <si>
    <t>University of Arizona</t>
  </si>
  <si>
    <t>Vitis vinifera subsp vinifera cv. Avassirkhva</t>
  </si>
  <si>
    <t>University of California</t>
  </si>
  <si>
    <t>Vitis vinifera subsp vinifera cv. Avesso</t>
  </si>
  <si>
    <t>University of Illinois,  Urbana-Champaign</t>
  </si>
  <si>
    <t>Vitis vinifera subsp vinifera cv. Avgoulato</t>
  </si>
  <si>
    <t>University of Pretoria</t>
  </si>
  <si>
    <t>Vitis vinifera subsp vinifera cv. Azal branco</t>
  </si>
  <si>
    <t>University of Puerto Rico</t>
  </si>
  <si>
    <t>Vitis vinifera subsp vinifera cv. Azal tinto</t>
  </si>
  <si>
    <t>University of Saskatchewan</t>
  </si>
  <si>
    <t>Vitis vinifera subsp vinifera cv. Azizi el Jaïa</t>
  </si>
  <si>
    <t>University of Sydney Plant Breeding Institute</t>
  </si>
  <si>
    <t>Vitis vinifera subsp vinifera cv. Azougah</t>
  </si>
  <si>
    <t>University of Udayana</t>
  </si>
  <si>
    <t>Vitis vinifera subsp vinifera cv. B 3-1</t>
  </si>
  <si>
    <t>University of Wuhan, Hubei</t>
  </si>
  <si>
    <t>Vitis vinifera subsp vinifera cv. B 5-6</t>
  </si>
  <si>
    <t>UNKNOWN</t>
  </si>
  <si>
    <t>Vitis vinifera subsp vinifera cv. Babeasca gris</t>
  </si>
  <si>
    <t>Vitis vinifera subsp vinifera cv. Babeasca neagra</t>
  </si>
  <si>
    <t>UPS Pole de Biotechnologie Vegetale</t>
  </si>
  <si>
    <t>Vitis vinifera subsp vinifera cv. Babic</t>
  </si>
  <si>
    <t>Vitis vinifera subsp vinifera cv. Bacchus = Geilweilerhof 33-29-133</t>
  </si>
  <si>
    <t>UR EFV</t>
  </si>
  <si>
    <t>Vitis vinifera subsp vinifera cv. Bacchus Bidault</t>
  </si>
  <si>
    <t>Vitis vinifera subsp vinifera cv. Bachet</t>
  </si>
  <si>
    <t>UR GAFL</t>
  </si>
  <si>
    <t>Vitis vinifera subsp vinifera cv. Badacsonyi Somzölö</t>
  </si>
  <si>
    <t>Vitis vinifera subsp vinifera cv. Baga</t>
  </si>
  <si>
    <t>Vitis vinifera subsp vinifera cv. Baïan Schirei</t>
  </si>
  <si>
    <t>Vitis vinifera subsp vinifera cv. Bakarka</t>
  </si>
  <si>
    <t>URGV</t>
  </si>
  <si>
    <t>Vitis vinifera subsp vinifera cv. Bakator kek</t>
  </si>
  <si>
    <t>URGV,  CNRS / INRA</t>
  </si>
  <si>
    <t>Vitis vinifera subsp vinifera cv. Bakator piros</t>
  </si>
  <si>
    <t>URGV - Plant Genomics Research Unit</t>
  </si>
  <si>
    <t>Vitis vinifera subsp vinifera cv. Bakator tüdöszinu</t>
  </si>
  <si>
    <t>Vitis vinifera subsp vinifera cv. Bakouri</t>
  </si>
  <si>
    <t>URP3F</t>
  </si>
  <si>
    <t>Vitis vinifera subsp vinifera cv. Balafant</t>
  </si>
  <si>
    <t>UR121 RIZ</t>
  </si>
  <si>
    <t>Vitis vinifera subsp vinifera cv. Balaton kincse</t>
  </si>
  <si>
    <t>UR254 Genetique et amelioration des plantes</t>
  </si>
  <si>
    <t>Vitis vinifera subsp vinifera cv. Balbut bijeli</t>
  </si>
  <si>
    <t>U.S. Date and Citrus Station</t>
  </si>
  <si>
    <t>Vitis vinifera subsp vinifera cv. Balint</t>
  </si>
  <si>
    <t>US Department of Agriculture,  Agriculture Research Service, Pacific West Area,  Western Regional Research Center</t>
  </si>
  <si>
    <t>Vitis vinifera subsp vinifera cv. Balouti</t>
  </si>
  <si>
    <t>US Department of Agriculture,  Agriculture Research Service, Plant Science and  Entomology Unit</t>
  </si>
  <si>
    <t>Vitis vinifera subsp vinifera cv. Balouzme</t>
  </si>
  <si>
    <t>U.S. Horticultural Field Station</t>
  </si>
  <si>
    <t>Vitis vinifera subsp vinifera cv. Balsamina nera</t>
  </si>
  <si>
    <t>U.S Horticultural Research</t>
  </si>
  <si>
    <t>Vitis vinifera subsp vinifera cv. Balsamino blanc</t>
  </si>
  <si>
    <t>US. Horticultural Research Lab,  Ft. Pierce,  FL</t>
  </si>
  <si>
    <t>Vitis vinifera subsp vinifera cv. Balzac blanc</t>
  </si>
  <si>
    <t>US Horticultural Research Laboratory</t>
  </si>
  <si>
    <t>Vitis vinifera subsp vinifera cv. Banati Rizling</t>
  </si>
  <si>
    <t>US Horticulture Research Laboratory, USDA/ARS</t>
  </si>
  <si>
    <t>Vitis vinifera subsp vinifera cv. Baratcsuha kek</t>
  </si>
  <si>
    <t>USDA, ARS Agricultural Research Service</t>
  </si>
  <si>
    <t>Vitis vinifera subsp vinifera cv. Baratcsuha szürke</t>
  </si>
  <si>
    <t>USDA, ARS, National Small Grains Collection</t>
  </si>
  <si>
    <t>Vitis vinifera subsp vinifera cv. Barbableu = Pirovano 81</t>
  </si>
  <si>
    <t>USDA, ARS, Plant Genetic Resources Unit, Cornell University, New York State Agricultural Experiment Station</t>
  </si>
  <si>
    <t>Vitis vinifera subsp vinifera cv. Barbaroux</t>
  </si>
  <si>
    <t>USDA, ARS, Washington State University, Irrigation Agricultural Research and Extension Center</t>
  </si>
  <si>
    <t>Vitis vinifera subsp vinifera cv. Barbera</t>
  </si>
  <si>
    <t>USDA, ARS, Western Regional Plant Introduction Station, Washington State University</t>
  </si>
  <si>
    <t>Vitis vinifera subsp vinifera cv. Barbera bianca</t>
  </si>
  <si>
    <t>USDA ARS WRRC</t>
  </si>
  <si>
    <t>Vitis vinifera subsp vinifera cv. Barcello</t>
  </si>
  <si>
    <t>USDA Beltsville Agricultural research Centre</t>
  </si>
  <si>
    <t>Vitis vinifera subsp vinifera cv. Barducis</t>
  </si>
  <si>
    <t>USDA/ARS Children's Nutrition Research Center</t>
  </si>
  <si>
    <t>Vitis vinifera subsp vinifera cv. Baresana</t>
  </si>
  <si>
    <t>USDA-ARS-JWDSRC</t>
  </si>
  <si>
    <t>Vitis vinifera subsp vinifera cv. Barlinka</t>
  </si>
  <si>
    <t>U.S.Department of Agriculture</t>
  </si>
  <si>
    <t>Vitis vinifera subsp vinifera cv. Barone dell Aterno = Pirovano 184</t>
  </si>
  <si>
    <t>U.S.Department of Agriculture - Agricultural Research Service</t>
  </si>
  <si>
    <t>Vitis vinifera subsp vinifera cv. Baroque</t>
  </si>
  <si>
    <t>Ustimovskaya Experimental Station for Plant Cultivation</t>
  </si>
  <si>
    <t>Vitis vinifera subsp vinifera cv. Baroque rose</t>
  </si>
  <si>
    <t>Utah Agricultural Experiment Station, Utah State University</t>
  </si>
  <si>
    <t>Vitis vinifera subsp vinifera cv. Barraquou</t>
  </si>
  <si>
    <t>Van borren, Tchécoslovaquie</t>
  </si>
  <si>
    <t>Vitis vinifera subsp vinifera cv. Barsaglina</t>
  </si>
  <si>
    <t>Van der Have GmbH</t>
  </si>
  <si>
    <t>Vitis vinifera subsp vinifera cv. Baserri</t>
  </si>
  <si>
    <t>Veg Saatzucht Hadmersleben</t>
  </si>
  <si>
    <t>Vitis vinifera subsp vinifera cv. Basicata</t>
  </si>
  <si>
    <t>Vegetable breeding station PEKIN</t>
  </si>
  <si>
    <t>Vitis vinifera subsp vinifera cv. Basicata faux</t>
  </si>
  <si>
    <t>Verger expérimental de l'Yonne (89) - France</t>
  </si>
  <si>
    <t>Vitis vinifera subsp vinifera cv. Basile Logothetis = Pirovano 77</t>
  </si>
  <si>
    <t>Villa Thuret</t>
  </si>
  <si>
    <t>Vitis vinifera subsp vinifera cv. Basilicumtraube</t>
  </si>
  <si>
    <t>Ville de Menton</t>
  </si>
  <si>
    <t>Vitis vinifera subsp vinifera cv. Bastardinho</t>
  </si>
  <si>
    <t>Vilmorin</t>
  </si>
  <si>
    <t>Vitis vinifera subsp vinifera cv. Bastardo Magaratchskii</t>
  </si>
  <si>
    <t>Vilmorin S.A.</t>
  </si>
  <si>
    <t>Vitis vinifera subsp vinifera cv. Batiki</t>
  </si>
  <si>
    <t>Vilmorin-Andrieux</t>
  </si>
  <si>
    <t>Vitis vinifera subsp vinifera cv. Batoca blanc</t>
  </si>
  <si>
    <t>Virginia Agricultural Experiment Station, Virginia Tech</t>
  </si>
  <si>
    <t>Vitis vinifera subsp vinifera cv. Battraube</t>
  </si>
  <si>
    <t>Vnii Sorgo I Drugih Zernovyh Kul'tur</t>
  </si>
  <si>
    <t>Vitis vinifera subsp vinifera cv. Batuta neagra</t>
  </si>
  <si>
    <t>Volcani Research Center</t>
  </si>
  <si>
    <t>Vitis vinifera subsp vinifera cv. Baude</t>
  </si>
  <si>
    <t>Waite Agricultural Research Institute University of Adelaide</t>
  </si>
  <si>
    <t>Vitis vinifera subsp vinifera cv. Baxtiori</t>
  </si>
  <si>
    <t>Wakayama Fruit Tree Experiment Station</t>
  </si>
  <si>
    <t>Vitis vinifera subsp vinifera cv. Bayad</t>
  </si>
  <si>
    <t>Washington State University Research Foundation - Pullman, WA - USA - Toyama TK</t>
  </si>
  <si>
    <t>Vitis vinifera subsp vinifera cv. Bayadi</t>
  </si>
  <si>
    <t>Washington State University Research Foundation, Pullman, WA - USA + Cot International, Generac - France</t>
  </si>
  <si>
    <t>Vitis vinifera subsp vinifera cv. Bayadi de Syrie</t>
  </si>
  <si>
    <t>Weizman Institute of Science</t>
  </si>
  <si>
    <t>Vitis vinifera subsp vinifera cv. Bayadi du Liban</t>
  </si>
  <si>
    <t>Western Australian Department of Agriculture</t>
  </si>
  <si>
    <t>Vitis vinifera subsp vinifera cv. BB 575-49 SRLH</t>
  </si>
  <si>
    <t>Wet-lowlands Islands Research Programme, Keravat</t>
  </si>
  <si>
    <t>Vitis vinifera subsp vinifera cv. Beala debela</t>
  </si>
  <si>
    <t>Wheat National Research Center</t>
  </si>
  <si>
    <t>Vitis vinifera subsp vinifera cv. Beaunoir</t>
  </si>
  <si>
    <t>Wheat Research Institute Ilam Research Centre</t>
  </si>
  <si>
    <t>Vitis vinifera subsp vinifera cv. Beauty seedless</t>
  </si>
  <si>
    <t>Wiersum Plant Breeding Station</t>
  </si>
  <si>
    <t>Vitis vinifera subsp vinifera cv. Béclan</t>
  </si>
  <si>
    <t>William James Farrer - Breeder</t>
  </si>
  <si>
    <t>Vitis vinifera subsp vinifera cv. Beid el Hamman</t>
  </si>
  <si>
    <t>Willits &amp; Newcomb Nurseries Co. Inc</t>
  </si>
  <si>
    <t>Vitis vinifera subsp vinifera cv. Beitamouni</t>
  </si>
  <si>
    <t>Winnipeg Research Station Agriculture Canada</t>
  </si>
  <si>
    <t>Vitis vinifera subsp vinifera cv. Belair</t>
  </si>
  <si>
    <t>Wisconsin Agricultural Experiment Station, University of Wisconsin</t>
  </si>
  <si>
    <t>Vitis vinifera subsp vinifera cv. Beldi x Ugni blanc</t>
  </si>
  <si>
    <t>World Seeds Inc.</t>
  </si>
  <si>
    <t>Vitis vinifera subsp vinifera cv. Beldi x Ugni blanc 36 L 4</t>
  </si>
  <si>
    <t>Yossef Ben-dor, Perot Oemashtalot Ltd. - Hama'ala - Israel</t>
  </si>
  <si>
    <t>Vitis vinifera subsp vinifera cv. Belle de Cegled</t>
  </si>
  <si>
    <t>Zaiger Floid, Modesto - CA - USA</t>
  </si>
  <si>
    <t>Vitis vinifera subsp vinifera cv. Bellevue</t>
  </si>
  <si>
    <t>Zelder B.V.</t>
  </si>
  <si>
    <t>Vitis vinifera subsp vinifera cv. Bellino</t>
  </si>
  <si>
    <t>Zeneca Seeds UK Limited - Plant Breeding and Research Centre</t>
  </si>
  <si>
    <t>Vitis vinifera subsp vinifera cv. Bellone</t>
  </si>
  <si>
    <t>Zeneca Wheat Improvement Centre,  Norwich Research Park</t>
  </si>
  <si>
    <t>Vitis vinifera subsp vinifera cv. Belz el Ansa</t>
  </si>
  <si>
    <t>Zhejiang University</t>
  </si>
  <si>
    <t>Vitis vinifera subsp vinifera cv. Bem tabornok = Général Bem</t>
  </si>
  <si>
    <t>Zjednocz. Hodowli Roslin i Nasiennictwa</t>
  </si>
  <si>
    <t>Vitis vinifera subsp vinifera cv. Ben Suilah</t>
  </si>
  <si>
    <t>ZMBP - Center for Molecular Biology of Plants</t>
  </si>
  <si>
    <t>Vitis vinifera subsp vinifera cv. Beneti noir</t>
  </si>
  <si>
    <t>Vitis vinifera subsp vinifera cv. Benicarlo</t>
  </si>
  <si>
    <t>Vitis vinifera subsp vinifera cv. Beogradska rana</t>
  </si>
  <si>
    <t>Vitis vinifera subsp vinifera cv. Béquignol</t>
  </si>
  <si>
    <t>Vitis vinifera subsp vinifera cv. Béquignol blanc</t>
  </si>
  <si>
    <t>Vitis vinifera subsp vinifera cv. Béquignol gris</t>
  </si>
  <si>
    <t>Vitis vinifera subsp vinifera cv. Beran</t>
  </si>
  <si>
    <t>Vitis vinifera subsp vinifera cv. Berbecel</t>
  </si>
  <si>
    <t>Vitis vinifera subsp vinifera cv. Berdomenel</t>
  </si>
  <si>
    <t>Vitis vinifera subsp vinifera cv. Beregi rozsas</t>
  </si>
  <si>
    <t>Vitis vinifera subsp vinifera cv. Beregi rozsas faux</t>
  </si>
  <si>
    <t>Vitis vinifera subsp vinifera cv. Bermestia bianca</t>
  </si>
  <si>
    <t>Vitis vinifera subsp vinifera cv. Bervedino</t>
  </si>
  <si>
    <t>Vitis vinifera subsp vinifera cv. Besgano nero</t>
  </si>
  <si>
    <t>Vitis vinifera subsp vinifera cv. Best's 22</t>
  </si>
  <si>
    <t>Vitis vinifera subsp vinifera cv. Bettlertraube</t>
  </si>
  <si>
    <t>Vitis vinifera subsp vinifera cv. Beylerce</t>
  </si>
  <si>
    <t>Vitis vinifera subsp vinifera cv. Bezoul el Aouda</t>
  </si>
  <si>
    <t>Vitis vinifera subsp vinifera cv. Bezoul el Kedima</t>
  </si>
  <si>
    <t>Vitis vinifera subsp vinifera cv. Bezoul el Kelba</t>
  </si>
  <si>
    <t>Vitis vinifera subsp vinifera cv. Bezoul el Khadem</t>
  </si>
  <si>
    <t>Vitis vinifera subsp vinifera cv. Bia blanc</t>
  </si>
  <si>
    <t>Vitis vinifera subsp vinifera cv. Biancame</t>
  </si>
  <si>
    <t>Vitis vinifera subsp vinifera cv. Biancazza</t>
  </si>
  <si>
    <t>Vitis vinifera subsp vinifera cv. Bianchetta genovese</t>
  </si>
  <si>
    <t>Vitis vinifera subsp vinifera cv. Bianchetta trevigiana</t>
  </si>
  <si>
    <t>Vitis vinifera subsp vinifera cv. Bianco d'Alessano</t>
  </si>
  <si>
    <t>Vitis vinifera subsp vinifera cv. Biancolella</t>
  </si>
  <si>
    <t>Vitis vinifera subsp vinifera cv. Biancone</t>
  </si>
  <si>
    <t>Vitis vinifera subsp vinifera cv. Biancu Gentile</t>
  </si>
  <si>
    <t>Vitis vinifera subsp vinifera cv. Bicane</t>
  </si>
  <si>
    <t>Vitis vinifera subsp vinifera cv. Bichtii</t>
  </si>
  <si>
    <t>Vitis vinifera subsp vinifera cv. Biczo balint emleke</t>
  </si>
  <si>
    <t>Vitis vinifera subsp vinifera cv. Biczö egon</t>
  </si>
  <si>
    <t>Vitis vinifera subsp vinifera cv. Bidaneh ghelmez</t>
  </si>
  <si>
    <t>Vitis vinifera subsp vinifera cv. Bien donné</t>
  </si>
  <si>
    <t>Vitis vinifera subsp vinifera cv. Big Perlon</t>
  </si>
  <si>
    <t>Vitis vinifera subsp vinifera cv. Bigasse</t>
  </si>
  <si>
    <t>Vitis vinifera subsp vinifera cv. Binisalem</t>
  </si>
  <si>
    <t>Vitis vinifera subsp vinifera cv. Black Alicante</t>
  </si>
  <si>
    <t>Vitis vinifera subsp vinifera cv. Black monukka</t>
  </si>
  <si>
    <t>Vitis vinifera subsp vinifera cv. Black Morocco</t>
  </si>
  <si>
    <t>Vitis vinifera subsp vinifera cv. Black Pearl Corrin</t>
  </si>
  <si>
    <t>Vitis vinifera subsp vinifera cv. Black Prince</t>
  </si>
  <si>
    <t>Vitis vinifera subsp vinifera cv. Black Rose = H 3-47</t>
  </si>
  <si>
    <t>Vitis vinifera subsp vinifera cv. Blanc Auba</t>
  </si>
  <si>
    <t>Vitis vinifera subsp vinifera cv. Blanc Cardon</t>
  </si>
  <si>
    <t>Vitis vinifera subsp vinifera cv. Blanc d'ambre</t>
  </si>
  <si>
    <t>Vitis vinifera subsp vinifera cv. Blanc Dame</t>
  </si>
  <si>
    <t>Vitis vinifera subsp vinifera cv. Blanc d'Automne</t>
  </si>
  <si>
    <t>Vitis vinifera subsp vinifera cv. Blanc de Creüe</t>
  </si>
  <si>
    <t>Vitis vinifera subsp vinifera cv. Blanc de Dellys</t>
  </si>
  <si>
    <t>Vitis vinifera subsp vinifera cv. Blanc de Dellys x Rhodites</t>
  </si>
  <si>
    <t>Vitis vinifera subsp vinifera cv. Blanc de Morgex</t>
  </si>
  <si>
    <t>Vitis vinifera subsp vinifera cv. Blanc de Rhafsaï</t>
  </si>
  <si>
    <t>Vitis vinifera subsp vinifera cv. Blanc Marquis</t>
  </si>
  <si>
    <t>Vitis vinifera subsp vinifera cv. Blanc Neyroud</t>
  </si>
  <si>
    <t>Vitis vinifera subsp vinifera cv. Blanc vert</t>
  </si>
  <si>
    <t>Vitis vinifera subsp vinifera cv. Blanca Gordal</t>
  </si>
  <si>
    <t>Vitis vinifera subsp vinifera cv. Blanca Superior para parral</t>
  </si>
  <si>
    <t>Vitis vinifera subsp vinifera cv. Blanca temprana Almeria</t>
  </si>
  <si>
    <t>Vitis vinifera subsp vinifera cv. Blancard</t>
  </si>
  <si>
    <t>Vitis vinifera subsp vinifera cv. Blanchier</t>
  </si>
  <si>
    <t>Vitis vinifera subsp vinifera cv. Blancorna</t>
  </si>
  <si>
    <t>Vitis vinifera subsp vinifera cv. Blank blauer</t>
  </si>
  <si>
    <t>Vitis vinifera subsp vinifera cv. Blanqueiron</t>
  </si>
  <si>
    <t>Vitis vinifera subsp vinifera cv. Blatina crna</t>
  </si>
  <si>
    <t>Vitis vinifera subsp vinifera cv. Blauburger</t>
  </si>
  <si>
    <t>Vitis vinifera subsp vinifera cv. Blauer Muskateller</t>
  </si>
  <si>
    <t>Vitis vinifera subsp vinifera cv. Blush seedless</t>
  </si>
  <si>
    <t>Vitis vinifera subsp vinifera cv. Boal cachudo</t>
  </si>
  <si>
    <t>Vitis vinifera subsp vinifera cv. Boal de Alicante Moscatel</t>
  </si>
  <si>
    <t>Vitis vinifera subsp vinifera cv. Boal de Madère</t>
  </si>
  <si>
    <t>Vitis vinifera subsp vinifera cv. Boal de Natura</t>
  </si>
  <si>
    <t>Vitis vinifera subsp vinifera cv. Boal molle</t>
  </si>
  <si>
    <t>Vitis vinifera subsp vinifera cv. Boal rosado</t>
  </si>
  <si>
    <t>Vitis vinifera subsp vinifera cv. Bobal</t>
  </si>
  <si>
    <t>Vitis vinifera subsp vinifera cv. Bocalilla</t>
  </si>
  <si>
    <t>Vitis vinifera subsp vinifera cv. Bogaz kere</t>
  </si>
  <si>
    <t>Vitis vinifera subsp vinifera cv. Bogdanusa</t>
  </si>
  <si>
    <t>Vitis vinifera subsp vinifera cv. Bogdanyi dinka</t>
  </si>
  <si>
    <t>Vitis vinifera subsp vinifera cv. Bogni 17 B</t>
  </si>
  <si>
    <t>Vitis vinifera subsp vinifera cv. Bogni 8</t>
  </si>
  <si>
    <t>Vitis vinifera subsp vinifera cv. Bombino bianco</t>
  </si>
  <si>
    <t>Vitis vinifera subsp vinifera cv. Bombino nero</t>
  </si>
  <si>
    <t>Vitis vinifera subsp vinifera cv. Bon blanc de Frangy</t>
  </si>
  <si>
    <t>Vitis vinifera subsp vinifera cv. Bonamico</t>
  </si>
  <si>
    <t>Vitis vinifera subsp vinifera cv. Bonarda piemontese</t>
  </si>
  <si>
    <t>Vitis vinifera subsp vinifera cv. Bonheur</t>
  </si>
  <si>
    <t>Vitis vinifera subsp vinifera cv. Bonne Vituaigne</t>
  </si>
  <si>
    <t>Vitis vinifera subsp vinifera cv. Bonnet de retord</t>
  </si>
  <si>
    <t>Vitis vinifera subsp vinifera cv. Bonnita</t>
  </si>
  <si>
    <t>Vitis vinifera subsp vinifera cv. Borba blanca</t>
  </si>
  <si>
    <t>Vitis vinifera subsp vinifera cv. Boriska</t>
  </si>
  <si>
    <t>Vitis vinifera subsp vinifera cv. Borraçal</t>
  </si>
  <si>
    <t>Vitis vinifera subsp vinifera cv. Borrado das moscas</t>
  </si>
  <si>
    <t>Vitis vinifera subsp vinifera cv. Bosco</t>
  </si>
  <si>
    <t>Vitis vinifera subsp vinifera cv. Boskokwi</t>
  </si>
  <si>
    <t>Vitis vinifera subsp vinifera cv. Botun</t>
  </si>
  <si>
    <t>Vitis vinifera subsp vinifera cv. Bou Khanzir blanc</t>
  </si>
  <si>
    <t>Vitis vinifera subsp vinifera cv. Bou Khanzir noir</t>
  </si>
  <si>
    <t>Vitis vinifera subsp vinifera cv. Bou Qsob faux</t>
  </si>
  <si>
    <t>Vitis vinifera subsp vinifera cv. Bou Rouguia</t>
  </si>
  <si>
    <t>Vitis vinifera subsp vinifera cv. Bouaki nor</t>
  </si>
  <si>
    <t>Vitis vinifera subsp vinifera cv. Bouaki tach</t>
  </si>
  <si>
    <t>Vitis vinifera subsp vinifera cv. Bouchalès</t>
  </si>
  <si>
    <t>Vitis vinifera subsp vinifera cv. Bouchereau</t>
  </si>
  <si>
    <t>Vitis vinifera subsp vinifera cv. Bouchouka</t>
  </si>
  <si>
    <t>Vitis vinifera subsp vinifera cv. Boudechouri tcherny</t>
  </si>
  <si>
    <t>Vitis vinifera subsp vinifera cv. Bouillan</t>
  </si>
  <si>
    <t>Vitis vinifera subsp vinifera cv. Bouillenc noir</t>
  </si>
  <si>
    <t>Vitis vinifera subsp vinifera cv. Bouillet</t>
  </si>
  <si>
    <t>Vitis vinifera subsp vinifera cv. Boulanoui</t>
  </si>
  <si>
    <t>Vitis vinifera subsp vinifera cv. Bouquet riesling</t>
  </si>
  <si>
    <t>Vitis vinifera subsp vinifera cv. Bouquet Sylvaner</t>
  </si>
  <si>
    <t>Vitis vinifera subsp vinifera cv. Bouquettraube</t>
  </si>
  <si>
    <t>Vitis vinifera subsp vinifera cv. Bourboulenc</t>
  </si>
  <si>
    <t>Vitis vinifera subsp vinifera cv. Bourdier 2-04-58</t>
  </si>
  <si>
    <t>Vitis vinifera subsp vinifera cv. Bourrisquou</t>
  </si>
  <si>
    <t>Vitis vinifera subsp vinifera cv. Bouteillan noir</t>
  </si>
  <si>
    <t>Vitis vinifera subsp vinifera cv. Bouvierrebe</t>
  </si>
  <si>
    <t>Vitis vinifera subsp vinifera cv. Bouzouga</t>
  </si>
  <si>
    <t>Vitis vinifera subsp vinifera cv. Bovale grande = Bovale di Spagna</t>
  </si>
  <si>
    <t>Vitis vinifera subsp vinifera cv. Bracciola nera</t>
  </si>
  <si>
    <t>Vitis vinifera subsp vinifera cv. Brachet</t>
  </si>
  <si>
    <t>Vitis vinifera subsp vinifera cv. Brachet 2</t>
  </si>
  <si>
    <t>Vitis vinifera subsp vinifera cv. Brachetto</t>
  </si>
  <si>
    <t>Vitis vinifera subsp vinifera cv. Braghina</t>
  </si>
  <si>
    <t>Vitis vinifera subsp vinifera cv. Bratkovina</t>
  </si>
  <si>
    <t>Vitis vinifera subsp vinifera cv. Bronnerstraube</t>
  </si>
  <si>
    <t>Vitis vinifera subsp vinifera cv. Broumest</t>
  </si>
  <si>
    <t>Vitis vinifera subsp vinifera cv. Brun argenté</t>
  </si>
  <si>
    <t>Vitis vinifera subsp vinifera cv. Brun Fourca</t>
  </si>
  <si>
    <t>Vitis vinifera subsp vinifera cv. Bruni 1 Sélection clonale</t>
  </si>
  <si>
    <t>Vitis vinifera subsp vinifera cv. Bruni 100</t>
  </si>
  <si>
    <t>Vitis vinifera subsp vinifera cv. Bruni 102</t>
  </si>
  <si>
    <t>Vitis vinifera subsp vinifera cv. Bruni 116</t>
  </si>
  <si>
    <t>Vitis vinifera subsp vinifera cv. Bruni 12</t>
  </si>
  <si>
    <t>Vitis vinifera subsp vinifera cv. Bruni 125</t>
  </si>
  <si>
    <t>Vitis vinifera subsp vinifera cv. Bruni 14</t>
  </si>
  <si>
    <t>Vitis vinifera subsp vinifera cv. Bruni 147</t>
  </si>
  <si>
    <t>Vitis vinifera subsp vinifera cv. Bruni 15</t>
  </si>
  <si>
    <t>Vitis vinifera subsp vinifera cv. Bruni 154</t>
  </si>
  <si>
    <t>Vitis vinifera subsp vinifera cv. Bruni 18 (hybride)</t>
  </si>
  <si>
    <t>Vitis vinifera subsp vinifera cv. Bruni 317</t>
  </si>
  <si>
    <t>Vitis vinifera subsp vinifera cv. Bruni 33</t>
  </si>
  <si>
    <t>Vitis vinifera subsp vinifera cv. Bruni 36</t>
  </si>
  <si>
    <t>Vitis vinifera subsp vinifera cv. Bruni 360</t>
  </si>
  <si>
    <t>Vitis vinifera subsp vinifera cv. Bruni 381</t>
  </si>
  <si>
    <t>Vitis vinifera subsp vinifera cv. Bruni 4</t>
  </si>
  <si>
    <t>Vitis vinifera subsp vinifera cv. Bruni 41</t>
  </si>
  <si>
    <t>Vitis vinifera subsp vinifera cv. Bruni 415</t>
  </si>
  <si>
    <t>Vitis vinifera subsp vinifera cv. Bruni 429</t>
  </si>
  <si>
    <t>Vitis vinifera subsp vinifera cv. Bruni 45</t>
  </si>
  <si>
    <t>Vitis vinifera subsp vinifera cv. Bruni 54</t>
  </si>
  <si>
    <t>Vitis vinifera subsp vinifera cv. Bruni 65</t>
  </si>
  <si>
    <t>Vitis vinifera subsp vinifera cv. Bruni 74</t>
  </si>
  <si>
    <t>Vitis vinifera subsp vinifera cv. Bruni 75</t>
  </si>
  <si>
    <t>Vitis vinifera subsp vinifera cv. Bruni 90</t>
  </si>
  <si>
    <t>Vitis vinifera subsp vinifera cv. Brunq noir</t>
  </si>
  <si>
    <t>Vitis vinifera subsp vinifera cv. Brustiano</t>
  </si>
  <si>
    <t>Vitis vinifera subsp vinifera cv. Brustiano faux</t>
  </si>
  <si>
    <t>Vitis vinifera subsp vinifera cv. Buckland sweet water</t>
  </si>
  <si>
    <t>Vitis vinifera subsp vinifera cv. Budai Szagos</t>
  </si>
  <si>
    <t>Vitis vinifera subsp vinifera cv. Budai zöld</t>
  </si>
  <si>
    <t>Vitis vinifera subsp vinifera cv. Burgrave de Hongrie</t>
  </si>
  <si>
    <t>Vitis vinifera subsp vinifera cv. Cabasma alba</t>
  </si>
  <si>
    <t>Vitis vinifera subsp vinifera cv. Cabernet franc</t>
  </si>
  <si>
    <t>Vitis vinifera subsp vinifera cv. Cabernet Lion</t>
  </si>
  <si>
    <t>Vitis vinifera subsp vinifera cv. Cabernet-Malbec n°1</t>
  </si>
  <si>
    <t>Vitis vinifera subsp vinifera cv. Cabernet-Malbec n°2</t>
  </si>
  <si>
    <t>Vitis vinifera subsp vinifera cv. Cabernet-Malbec n°4</t>
  </si>
  <si>
    <t>Vitis vinifera subsp vinifera cv. Cabernet-Sauvignon</t>
  </si>
  <si>
    <t>Vitis vinifera subsp vinifera cv. Cacaboué</t>
  </si>
  <si>
    <t>Vitis vinifera subsp vinifera cv. Caddiu</t>
  </si>
  <si>
    <t>Vitis vinifera subsp vinifera cv. Cainho branco</t>
  </si>
  <si>
    <t>Vitis vinifera subsp vinifera cv. Caiño longo</t>
  </si>
  <si>
    <t>Vitis vinifera subsp vinifera cv. Calabre</t>
  </si>
  <si>
    <t>Vitis vinifera subsp vinifera cv. Calabrese</t>
  </si>
  <si>
    <t>Vitis vinifera subsp vinifera cv. Caladoc = INRA 1510-104</t>
  </si>
  <si>
    <t>Vitis vinifera subsp vinifera cv. Calitor</t>
  </si>
  <si>
    <t>Vitis vinifera subsp vinifera cv. Calitor blanc</t>
  </si>
  <si>
    <t>Vitis vinifera subsp vinifera cv. Calitor gris</t>
  </si>
  <si>
    <t>Vitis vinifera subsp vinifera cv. Callet</t>
  </si>
  <si>
    <t>Vitis vinifera subsp vinifera cv. Calmeria = C11-31-5</t>
  </si>
  <si>
    <t>Vitis vinifera subsp vinifera cv. Caloria</t>
  </si>
  <si>
    <t>Vitis vinifera subsp vinifera cv. Calzin</t>
  </si>
  <si>
    <t>Vitis vinifera subsp vinifera cv. Camaralet de Lasseube</t>
  </si>
  <si>
    <t>Vitis vinifera subsp vinifera cv. Camaraou blanc</t>
  </si>
  <si>
    <t>Vitis vinifera subsp vinifera cv. Camaraou noir</t>
  </si>
  <si>
    <t>Vitis vinifera subsp vinifera cv. Canaiolo</t>
  </si>
  <si>
    <t>Vitis vinifera subsp vinifera cv. Canari</t>
  </si>
  <si>
    <t>Vitis vinifera subsp vinifera cv. Canina nera</t>
  </si>
  <si>
    <t>Vitis vinifera subsp vinifera cv. Canner seedless</t>
  </si>
  <si>
    <t>Vitis vinifera subsp vinifera cv. Cannon Hall</t>
  </si>
  <si>
    <t>Vitis vinifera subsp vinifera cv. Cannon Hall faux</t>
  </si>
  <si>
    <t>Vitis vinifera subsp vinifera cv. Cañocazo</t>
  </si>
  <si>
    <t>Vitis vinifera subsp vinifera cv. Cañorroyo</t>
  </si>
  <si>
    <t>Vitis vinifera subsp vinifera cv. Cape currant</t>
  </si>
  <si>
    <t>Vitis vinifera subsp vinifera cv. Caralicante</t>
  </si>
  <si>
    <t>Vitis vinifera subsp vinifera cv. Carcaces</t>
  </si>
  <si>
    <t>Vitis vinifera subsp vinifera cv. Carcajolo</t>
  </si>
  <si>
    <t>Vitis vinifera subsp vinifera cv. Carcajolo blanc</t>
  </si>
  <si>
    <t>Vitis vinifera subsp vinifera cv. Cardinal = G 10-30</t>
  </si>
  <si>
    <t>Vitis vinifera subsp vinifera cv. Carignan</t>
  </si>
  <si>
    <t>Vitis vinifera subsp vinifera cv. Carignan blanc</t>
  </si>
  <si>
    <t>Vitis vinifera subsp vinifera cv. Carignan Bouschet</t>
  </si>
  <si>
    <t>Vitis vinifera subsp vinifera cv. Carignan gris</t>
  </si>
  <si>
    <t>Vitis vinifera subsp vinifera cv. Carla = INRA 1650-10</t>
  </si>
  <si>
    <t>Vitis vinifera subsp vinifera cv. Carmenère</t>
  </si>
  <si>
    <t>Vitis vinifera subsp vinifera cv. Carminoir</t>
  </si>
  <si>
    <t>Vitis vinifera subsp vinifera cv. Carnelian</t>
  </si>
  <si>
    <t>Vitis vinifera subsp vinifera cv. Carrega somera</t>
  </si>
  <si>
    <t>Vitis vinifera subsp vinifera cv. Carricante</t>
  </si>
  <si>
    <t>Vitis vinifera subsp vinifera cv. Cartuja blanca</t>
  </si>
  <si>
    <t>Vitis vinifera subsp vinifera cv. Castellano morado</t>
  </si>
  <si>
    <t>Vitis vinifera subsp vinifera cv. Castets</t>
  </si>
  <si>
    <t>Vitis vinifera subsp vinifera cv. Castiglione</t>
  </si>
  <si>
    <t>Vitis vinifera subsp vinifera cv. Catalanesca</t>
  </si>
  <si>
    <t>Vitis vinifera subsp vinifera cv. Catanese nero</t>
  </si>
  <si>
    <t>Vitis vinifera subsp vinifera cv. Catarratto bianco comune</t>
  </si>
  <si>
    <t>Vitis vinifera subsp vinifera cv. Catarratto bianco lucido</t>
  </si>
  <si>
    <t>Vitis vinifera subsp vinifera cv. Catarratto nero</t>
  </si>
  <si>
    <t>Vitis vinifera subsp vinifera cv. Centennial seedless</t>
  </si>
  <si>
    <t>Vitis vinifera subsp vinifera cv. Centorotolli</t>
  </si>
  <si>
    <t>Vitis vinifera subsp vinifera cv. Cep rouge</t>
  </si>
  <si>
    <t>Vitis vinifera subsp vinifera cv. Cercial du Dão</t>
  </si>
  <si>
    <t>Vitis vinifera subsp vinifera cv. Cereza</t>
  </si>
  <si>
    <t>Vitis vinifera subsp vinifera cv. Cesanese comune</t>
  </si>
  <si>
    <t>Vitis vinifera subsp vinifera cv. César</t>
  </si>
  <si>
    <t>Vitis vinifera subsp vinifera cv. Chaani biely</t>
  </si>
  <si>
    <t>Vitis vinifera subsp vinifera cv. Chaani tchernii</t>
  </si>
  <si>
    <t>Vitis vinifera subsp vinifera cv. Chahnani</t>
  </si>
  <si>
    <t>Vitis vinifera subsp vinifera cv. Chaillaud</t>
  </si>
  <si>
    <t>Vitis vinifera subsp vinifera cv. Chakar angour de Tachkent</t>
  </si>
  <si>
    <t>Vitis vinifera subsp vinifera cv. Chalosse noire</t>
  </si>
  <si>
    <t>Vitis vinifera subsp vinifera cv. Chalosse noire = Négret castrais</t>
  </si>
  <si>
    <t>Vitis vinifera subsp vinifera cv. Chami</t>
  </si>
  <si>
    <t>Vitis vinifera subsp vinifera cv. Chany gris</t>
  </si>
  <si>
    <t>Vitis vinifera subsp vinifera cv. Chaouch blanc</t>
  </si>
  <si>
    <t>Vitis vinifera subsp vinifera cv. Chaouch rose</t>
  </si>
  <si>
    <t>Vitis vinifera subsp vinifera cv. Chaptal</t>
  </si>
  <si>
    <t>Vitis vinifera subsp vinifera cv. Chardonnay</t>
  </si>
  <si>
    <t>Vitis vinifera subsp vinifera cv. Chardonnay musqué</t>
  </si>
  <si>
    <t>Vitis vinifera subsp vinifera cv. Chardonnay rose</t>
  </si>
  <si>
    <t>Vitis vinifera subsp vinifera cv. Charmont</t>
  </si>
  <si>
    <t>Vitis vinifera subsp vinifera cv. Chasan = INRA 1527-78</t>
  </si>
  <si>
    <t>Vitis vinifera subsp vinifera cv. Chasselas</t>
  </si>
  <si>
    <t>Vitis vinifera subsp vinifera cv. Chasselas apyrène</t>
  </si>
  <si>
    <t>Vitis vinifera subsp vinifera cv. Chasselas des Bouches du Rhône</t>
  </si>
  <si>
    <t>Vitis vinifera subsp vinifera cv. Chasselas Duhamel</t>
  </si>
  <si>
    <t>Vitis vinifera subsp vinifera cv. Chasselas Impérial Oberlin</t>
  </si>
  <si>
    <t>Vitis vinifera subsp vinifera cv. Chasselas lacinifolié</t>
  </si>
  <si>
    <t>Vitis vinifera subsp vinifera cv. Chasselas Michel Tompa</t>
  </si>
  <si>
    <t>Vitis vinifera subsp vinifera cv. Chasselas musqué</t>
  </si>
  <si>
    <t>Vitis vinifera subsp vinifera cv. Chasselas noir</t>
  </si>
  <si>
    <t>Vitis vinifera subsp vinifera cv. Chasselas rose</t>
  </si>
  <si>
    <t>Vitis vinifera subsp vinifera cv. Chasselas rose royal</t>
  </si>
  <si>
    <t>Vitis vinifera subsp vinifera cv. Chasselas rouge</t>
  </si>
  <si>
    <t>Vitis vinifera subsp vinifera cv. Chasselas tétraploïde</t>
  </si>
  <si>
    <t>Vitis vinifera subsp vinifera cv. Chasselas violet</t>
  </si>
  <si>
    <t>Vitis vinifera subsp vinifera cv. Chatus</t>
  </si>
  <si>
    <t>Vitis vinifera subsp vinifera cv. Chenanson = INRA 1509-149</t>
  </si>
  <si>
    <t>Vitis vinifera subsp vinifera cv. Chenin</t>
  </si>
  <si>
    <t>Vitis vinifera subsp vinifera cv. Chichaud</t>
  </si>
  <si>
    <t>Vitis vinifera subsp vinifera cv. Chikki</t>
  </si>
  <si>
    <t>Vitis vinifera subsp vinifera cv. Chirai</t>
  </si>
  <si>
    <t>Vitis vinifera subsp vinifera cv. Chiroka Melnichka = Melnik</t>
  </si>
  <si>
    <t>Vitis vinifera subsp vinifera cv. Chirvan chakhi</t>
  </si>
  <si>
    <t>Vitis vinifera subsp vinifera cv. Chouchillon</t>
  </si>
  <si>
    <t>Vitis vinifera subsp vinifera cv. Christmas rose</t>
  </si>
  <si>
    <t>Vitis vinifera subsp vinifera cv. Chtour angour</t>
  </si>
  <si>
    <t>Vitis vinifera subsp vinifera cv. Ciclopica = Pirovano 60</t>
  </si>
  <si>
    <t>Vitis vinifera subsp vinifera cv. Ciganyszölö</t>
  </si>
  <si>
    <t>Vitis vinifera subsp vinifera cv. Ciliegiolo</t>
  </si>
  <si>
    <t>Vitis vinifera subsp vinifera cv. Cinsaut</t>
  </si>
  <si>
    <t>Vitis vinifera subsp vinifera cv. Cinsaut Bouschet</t>
  </si>
  <si>
    <t>Vitis vinifera subsp vinifera cv. Cioinic</t>
  </si>
  <si>
    <t>Vitis vinifera subsp vinifera cv. Circé</t>
  </si>
  <si>
    <t>Vitis vinifera subsp vinifera cv. Citana</t>
  </si>
  <si>
    <t>Vitis vinifera subsp vinifera cv. Citronelle</t>
  </si>
  <si>
    <t>Vitis vinifera subsp vinifera cv. Citronelle x Aramon</t>
  </si>
  <si>
    <t>Vitis vinifera subsp vinifera cv. Clairette</t>
  </si>
  <si>
    <t>Vitis vinifera subsp vinifera cv. Clairette Mazel</t>
  </si>
  <si>
    <t>Vitis vinifera subsp vinifera cv. Clairette rose</t>
  </si>
  <si>
    <t>Vitis vinifera subsp vinifera cv. Clairette x Beldi 36 L 2</t>
  </si>
  <si>
    <t>Vitis vinifera subsp vinifera cv. Clarin = INRA 573-11</t>
  </si>
  <si>
    <t>Vitis vinifera subsp vinifera cv. Claverie</t>
  </si>
  <si>
    <t>Vitis vinifera subsp vinifera cv. Claverie coulard</t>
  </si>
  <si>
    <t>Vitis vinifera subsp vinifera cv. Clotilde Prosperi = Prosperi 190</t>
  </si>
  <si>
    <t>Vitis vinifera subsp vinifera cv. Coada vulpii</t>
  </si>
  <si>
    <t>Vitis vinifera subsp vinifera cv. Coarna alba</t>
  </si>
  <si>
    <t>Vitis vinifera subsp vinifera cv. Coarna neagra</t>
  </si>
  <si>
    <t>Vitis vinifera subsp vinifera cv. Coarna rosie</t>
  </si>
  <si>
    <t>Vitis vinifera subsp vinifera cv. Cococciola</t>
  </si>
  <si>
    <t>Vitis vinifera subsp vinifera cv. Coda di volpe bianca</t>
  </si>
  <si>
    <t>Vitis vinifera subsp vinifera cv. Codega</t>
  </si>
  <si>
    <t>Vitis vinifera subsp vinifera cv. Codivarta</t>
  </si>
  <si>
    <t>Vitis vinifera subsp vinifera cv. Colman blanc</t>
  </si>
  <si>
    <t>Vitis vinifera subsp vinifera cv. Colombana nera</t>
  </si>
  <si>
    <t>Vitis vinifera subsp vinifera cv. Colombard</t>
  </si>
  <si>
    <t>Vitis vinifera subsp vinifera cv. Colombaud = Bouteillan blanc</t>
  </si>
  <si>
    <t>Vitis vinifera subsp vinifera cv. Colorino</t>
  </si>
  <si>
    <t>Vitis vinifera subsp vinifera cv. Completer</t>
  </si>
  <si>
    <t>Vitis vinifera subsp vinifera cv. Conca d'ora = Paulsen 152</t>
  </si>
  <si>
    <t>Vitis vinifera subsp vinifera cv. Conegliano 120</t>
  </si>
  <si>
    <t>Vitis vinifera subsp vinifera cv. Conegliano 199</t>
  </si>
  <si>
    <t>Vitis vinifera subsp vinifera cv. Conegliano 213</t>
  </si>
  <si>
    <t>Vitis vinifera subsp vinifera cv. Conegliano 218</t>
  </si>
  <si>
    <t>Vitis vinifera subsp vinifera cv. Constantinescu-Negreanu 2/13/8 (Victoria)</t>
  </si>
  <si>
    <t>Vitis vinifera subsp vinifera cv. Conte rosso = Pirovano 73</t>
  </si>
  <si>
    <t>Vitis vinifera subsp vinifera cv. Corbeau</t>
  </si>
  <si>
    <t>Vitis vinifera subsp vinifera cv. Corbina vicentina</t>
  </si>
  <si>
    <t>Vitis vinifera subsp vinifera cv. Corfiatis</t>
  </si>
  <si>
    <t>Vitis vinifera subsp vinifera cv. Corinthe blanc</t>
  </si>
  <si>
    <t>Vitis vinifera subsp vinifera cv. Corinthe noir</t>
  </si>
  <si>
    <t>Vitis vinifera subsp vinifera cv. Corinto bianco</t>
  </si>
  <si>
    <t>Vitis vinifera subsp vinifera cv. Corneille</t>
  </si>
  <si>
    <t>Vitis vinifera subsp vinifera cv. Cornet</t>
  </si>
  <si>
    <t>Vitis vinifera subsp vinifera cv. Cornichon violet</t>
  </si>
  <si>
    <t>Vitis vinifera subsp vinifera cv. Cornichon violet = Rosa menna di vacca</t>
  </si>
  <si>
    <t>Vitis vinifera subsp vinifera cv. Cornifesto</t>
  </si>
  <si>
    <t>Vitis vinifera subsp vinifera cv. Corniola bianca di Milazzo</t>
  </si>
  <si>
    <t>Vitis vinifera subsp vinifera cv. Corniola nera</t>
  </si>
  <si>
    <t>Vitis vinifera subsp vinifera cv. Corrin Seedless</t>
  </si>
  <si>
    <t>Vitis vinifera subsp vinifera cv. Cortese</t>
  </si>
  <si>
    <t>Vitis vinifera subsp vinifera cv. Corvina veronese</t>
  </si>
  <si>
    <t>Vitis vinifera subsp vinifera cv. Cot</t>
  </si>
  <si>
    <t>Vitis vinifera subsp vinifera cv. Cot de Chéragas</t>
  </si>
  <si>
    <t>Vitis vinifera subsp vinifera cv. Counoise</t>
  </si>
  <si>
    <t>Vitis vinifera subsp vinifera cv. Courbès</t>
  </si>
  <si>
    <t>Vitis vinifera subsp vinifera cv. Courbu</t>
  </si>
  <si>
    <t>Vitis vinifera subsp vinifera cv. Courbu noir</t>
  </si>
  <si>
    <t>Vitis vinifera subsp vinifera cv. Courtoisie</t>
  </si>
  <si>
    <t>Vitis vinifera subsp vinifera cv. Coutinho 6</t>
  </si>
  <si>
    <t>Vitis vinifera subsp vinifera cv. Crassostaphyllo</t>
  </si>
  <si>
    <t>Vitis vinifera subsp vinifera cv. Crimposie</t>
  </si>
  <si>
    <t>Vitis vinifera subsp vinifera cv. Crimson seedless</t>
  </si>
  <si>
    <t>Vitis vinifera subsp vinifera cv. Criolla chica 2</t>
  </si>
  <si>
    <t>Vitis vinifera subsp vinifera cv. Criolla mediana 2</t>
  </si>
  <si>
    <t>Vitis vinifera subsp vinifera cv. Criolla San Juanina</t>
  </si>
  <si>
    <t>Vitis vinifera subsp vinifera cv. Crista couleur d'ambre</t>
  </si>
  <si>
    <t>Vitis vinifera subsp vinifera cv. Croatina</t>
  </si>
  <si>
    <t>Vitis vinifera subsp vinifera cv. Croetto</t>
  </si>
  <si>
    <t>Vitis vinifera subsp vinifera cv. Crouchen</t>
  </si>
  <si>
    <t>Vitis vinifera subsp vinifera cv. Cruciulita</t>
  </si>
  <si>
    <t>Vitis vinifera subsp vinifera cv. Crujidera</t>
  </si>
  <si>
    <t>Vitis vinifera subsp vinifera cv. Crujillon</t>
  </si>
  <si>
    <t>Vitis vinifera subsp vinifera cv. Crvena slaubanic</t>
  </si>
  <si>
    <t>Vitis vinifera subsp vinifera cv. Crystal (Afrique du Sud)</t>
  </si>
  <si>
    <t>Vitis vinifera subsp vinifera cv. Crystal (Etats-Unis)</t>
  </si>
  <si>
    <t>Vitis vinifera subsp vinifera cv. Csoka szöllö</t>
  </si>
  <si>
    <t>Vitis vinifera subsp vinifera cv. Csomorika</t>
  </si>
  <si>
    <t>Vitis vinifera subsp vinifera cv. Cualtaccio</t>
  </si>
  <si>
    <t>Vitis vinifera subsp vinifera cv. Curisti</t>
  </si>
  <si>
    <t>Vitis vinifera subsp vinifera cv. Cyperntraube</t>
  </si>
  <si>
    <t>Vitis vinifera subsp vinifera cv. Dabouki</t>
  </si>
  <si>
    <t>Vitis vinifera subsp vinifera cv. Dalmasso III-33</t>
  </si>
  <si>
    <t>Vitis vinifera subsp vinifera cv. Dalmasso IX-1</t>
  </si>
  <si>
    <t>Vitis vinifera subsp vinifera cv. Dalmasso VIII-5</t>
  </si>
  <si>
    <t>Vitis vinifera subsp vinifera cv. Dalmasso VII-9</t>
  </si>
  <si>
    <t>Vitis vinifera subsp vinifera cv. Dalmasso VI-17</t>
  </si>
  <si>
    <t>Vitis vinifera subsp vinifera cv. Dalmasso VI-24</t>
  </si>
  <si>
    <t>Vitis vinifera subsp vinifera cv. Dalmasso VI-6</t>
  </si>
  <si>
    <t>Vitis vinifera subsp vinifera cv. Dalmasso XI-20</t>
  </si>
  <si>
    <t>Vitis vinifera subsp vinifera cv. Dalmasso XI-8</t>
  </si>
  <si>
    <t>Vitis vinifera subsp vinifera cv. Dalmasso XVIII-1</t>
  </si>
  <si>
    <t>Vitis vinifera subsp vinifera cv. Damas rouge</t>
  </si>
  <si>
    <t>Vitis vinifera subsp vinifera cv. Dameret</t>
  </si>
  <si>
    <t>Vitis vinifera subsp vinifera cv. Dameron</t>
  </si>
  <si>
    <t>Vitis vinifera subsp vinifera cv. Danam = INRA 1551-6</t>
  </si>
  <si>
    <t>Vitis vinifera subsp vinifera cv. Danlas = INRA 1548-20</t>
  </si>
  <si>
    <t>Vitis vinifera subsp vinifera cv. Danugue</t>
  </si>
  <si>
    <t>Vitis vinifera subsp vinifera cv. Danuta = INRA 1992-3</t>
  </si>
  <si>
    <t>Vitis vinifera subsp vinifera cv. Daphni</t>
  </si>
  <si>
    <t>Vitis vinifera subsp vinifera cv. Daranyi Ignac</t>
  </si>
  <si>
    <t>Vitis vinifera subsp vinifera cv. Darkaïa</t>
  </si>
  <si>
    <t>Vitis vinifera subsp vinifera cv. Dastatchine</t>
  </si>
  <si>
    <t>Vitis vinifera subsp vinifera cv. Datal = INRA 753-54</t>
  </si>
  <si>
    <t>Vitis vinifera subsp vinifera cv. Dattier de Beyrouth</t>
  </si>
  <si>
    <t>Vitis vinifera subsp vinifera cv. Dattier noir</t>
  </si>
  <si>
    <t>Vitis vinifera subsp vinifera cv. Dauphine</t>
  </si>
  <si>
    <t>Vitis vinifera subsp vinifera cv. David = Pirovano 109</t>
  </si>
  <si>
    <t>Vitis vinifera subsp vinifera cv. Dawn seedless</t>
  </si>
  <si>
    <t>Vitis vinifera subsp vinifera cv. De Hengril</t>
  </si>
  <si>
    <t>Vitis vinifera subsp vinifera cv. Debina</t>
  </si>
  <si>
    <t>Vitis vinifera subsp vinifera cv. Dedo de dama</t>
  </si>
  <si>
    <t>Vitis vinifera subsp vinifera cv. Delhro = JA148-59 SRLH</t>
  </si>
  <si>
    <t>Vitis vinifera subsp vinifera cv. Delight</t>
  </si>
  <si>
    <t>Vitis vinifera subsp vinifera cv. Delizia di Vaprio = Pirovano 46 a</t>
  </si>
  <si>
    <t>Vitis vinifera subsp vinifera cv. Delizia gialla = Pirovano 266</t>
  </si>
  <si>
    <t>Vitis vinifera subsp vinifera cv. Demir kara</t>
  </si>
  <si>
    <t>Vitis vinifera subsp vinifera cv. Derani</t>
  </si>
  <si>
    <t>Vitis vinifera subsp vinifera cv. Dermatas</t>
  </si>
  <si>
    <t>Vitis vinifera subsp vinifera cv. Diagalves</t>
  </si>
  <si>
    <t>Vitis vinifera subsp vinifera cv. Diamante nero = Pirovano 87</t>
  </si>
  <si>
    <t>Vitis vinifera subsp vinifera cv. Diamanttraube</t>
  </si>
  <si>
    <t>Vitis vinifera subsp vinifera cv. Diana</t>
  </si>
  <si>
    <t>Vitis vinifera subsp vinifera cv. Dimiat</t>
  </si>
  <si>
    <t>Vitis vinifera subsp vinifera cv. Diminitis</t>
  </si>
  <si>
    <t>Vitis vinifera subsp vinifera cv. Dimrit</t>
  </si>
  <si>
    <t>Vitis vinifera subsp vinifera cv. Dinka feher</t>
  </si>
  <si>
    <t>Vitis vinifera subsp vinifera cv. Dinka vörös</t>
  </si>
  <si>
    <t>Vitis vinifera subsp vinifera cv. Dinka zöld</t>
  </si>
  <si>
    <t>Vitis vinifera subsp vinifera cv. Diolinoir</t>
  </si>
  <si>
    <t>Vitis vinifera subsp vinifera cv. Directeur Tisserand</t>
  </si>
  <si>
    <t>Vitis vinifera subsp vinifera cv. Divromo</t>
  </si>
  <si>
    <t>Vitis vinifera subsp vinifera cv. Djandjal kara</t>
  </si>
  <si>
    <t>Vitis vinifera subsp vinifera cv. Djoura ousum</t>
  </si>
  <si>
    <t>Vitis vinifera subsp vinifera cv. Dlinnokhvosty</t>
  </si>
  <si>
    <t>Vitis vinifera subsp vinifera cv. Dobricic</t>
  </si>
  <si>
    <t>Vitis vinifera subsp vinifera cv. Doçal grande</t>
  </si>
  <si>
    <t>Vitis vinifera subsp vinifera cv. Dokay</t>
  </si>
  <si>
    <t>Vitis vinifera subsp vinifera cv. Dolcetto</t>
  </si>
  <si>
    <t>Vitis vinifera subsp vinifera cv. Dolosata</t>
  </si>
  <si>
    <t>Vitis vinifera subsp vinifera cv. Dominga</t>
  </si>
  <si>
    <t>Vitis vinifera subsp vinifera cv. Domvrena aspri</t>
  </si>
  <si>
    <t>Vitis vinifera subsp vinifera cv. Domvrena mavri</t>
  </si>
  <si>
    <t>Vitis vinifera subsp vinifera cv. Don Bueno</t>
  </si>
  <si>
    <t>Vitis vinifera subsp vinifera cv. Don Mariano</t>
  </si>
  <si>
    <t>Vitis vinifera subsp vinifera cv. Dona branca</t>
  </si>
  <si>
    <t>Vitis vinifera subsp vinifera cv. Dona Maria = Leao Ferreira da Almeida 31-54-41</t>
  </si>
  <si>
    <t>Vitis vinifera subsp vinifera cv. Dongine</t>
  </si>
  <si>
    <t>Vitis vinifera subsp vinifera cv. Donzelinho</t>
  </si>
  <si>
    <t>Vitis vinifera subsp vinifera cv. Donzelinho do Castelo</t>
  </si>
  <si>
    <t>Vitis vinifera subsp vinifera cv. Doradilla</t>
  </si>
  <si>
    <t>Vitis vinifera subsp vinifera cv. Doral</t>
  </si>
  <si>
    <t>Vitis vinifera subsp vinifera cv. Dorona di Venezia</t>
  </si>
  <si>
    <t>Vitis vinifera subsp vinifera cv. Douradinha</t>
  </si>
  <si>
    <t>Vitis vinifera subsp vinifera cv. Doux d'Henry</t>
  </si>
  <si>
    <t>Vitis vinifera subsp vinifera cv. Dronkane</t>
  </si>
  <si>
    <t>Vitis vinifera subsp vinifera cv. Duc d'Anjou</t>
  </si>
  <si>
    <t>Vitis vinifera subsp vinifera cv. Duc de Magenta</t>
  </si>
  <si>
    <t>Vitis vinifera subsp vinifera cv. Duchess of Buccleugh</t>
  </si>
  <si>
    <t>Vitis vinifera subsp vinifera cv. Duras</t>
  </si>
  <si>
    <t>Vitis vinifera subsp vinifera cv. Durella</t>
  </si>
  <si>
    <t>Vitis vinifera subsp vinifera cv. Dureza</t>
  </si>
  <si>
    <t>Vitis vinifera subsp vinifera cv. Durif</t>
  </si>
  <si>
    <t>Vitis vinifera subsp vinifera cv. Early Cardinal</t>
  </si>
  <si>
    <t>Vitis vinifera subsp vinifera cv. Early Muscat</t>
  </si>
  <si>
    <t>Vitis vinifera subsp vinifera cv. Ederena</t>
  </si>
  <si>
    <t>Vitis vinifera subsp vinifera cv. Egiodola</t>
  </si>
  <si>
    <t>Vitis vinifera subsp vinifera cv. Ehrenfelser = Gm 9-93</t>
  </si>
  <si>
    <t>Vitis vinifera subsp vinifera cv. Einuni</t>
  </si>
  <si>
    <t>Vitis vinifera subsp vinifera cv. Ekigaïna</t>
  </si>
  <si>
    <t>Vitis vinifera subsp vinifera cv. Ekim kara</t>
  </si>
  <si>
    <t>Vitis vinifera subsp vinifera cv. El Biod</t>
  </si>
  <si>
    <t>Vitis vinifera subsp vinifera cv. El Farryali</t>
  </si>
  <si>
    <t>Vitis vinifera subsp vinifera cv. El Gouz</t>
  </si>
  <si>
    <t>Vitis vinifera subsp vinifera cv. Elbling</t>
  </si>
  <si>
    <t>Vitis vinifera subsp vinifera cv. Elbling blau</t>
  </si>
  <si>
    <t>Vitis vinifera subsp vinifera cv. Elbling rose</t>
  </si>
  <si>
    <t>Vitis vinifera subsp vinifera cv. Elbling rot</t>
  </si>
  <si>
    <t>Vitis vinifera subsp vinifera cv. Elizabeth Krasnay</t>
  </si>
  <si>
    <t>Vitis vinifera subsp vinifera cv. Emerald Riesling</t>
  </si>
  <si>
    <t>Vitis vinifera subsp vinifera cv. Emerald seedless</t>
  </si>
  <si>
    <t>Vitis vinifera subsp vinifera cv. Emilia = Dalmasso VI-3</t>
  </si>
  <si>
    <t>Vitis vinifera subsp vinifera cv. Emperor</t>
  </si>
  <si>
    <t>Vitis vinifera subsp vinifera cv. Emperor seedless</t>
  </si>
  <si>
    <t>Vitis vinifera subsp vinifera cv. Empibotte</t>
  </si>
  <si>
    <t>Vitis vinifera subsp vinifera cv. En Kövidinkam</t>
  </si>
  <si>
    <t>Vitis vinifera subsp vinifera cv. Encruzado</t>
  </si>
  <si>
    <t>Vitis vinifera subsp vinifera cv. Enfariné</t>
  </si>
  <si>
    <t>Vitis vinifera subsp vinifera cv. Enfariné gris</t>
  </si>
  <si>
    <t>Vitis vinifera subsp vinifera cv. Epero de Gall</t>
  </si>
  <si>
    <t>Vitis vinifera subsp vinifera cv. Epinou</t>
  </si>
  <si>
    <t>Vitis vinifera subsp vinifera cv. Erbaluce</t>
  </si>
  <si>
    <t>Vitis vinifera subsp vinifera cv. Erdeifeher</t>
  </si>
  <si>
    <t>Vitis vinifera subsp vinifera cv. Espadeiro branco</t>
  </si>
  <si>
    <t>Vitis vinifera subsp vinifera cv. Espadeiro tinto</t>
  </si>
  <si>
    <t>Vitis vinifera subsp vinifera cv. Estaca saoumo</t>
  </si>
  <si>
    <t>Vitis vinifera subsp vinifera cv. Etraire de la Dui</t>
  </si>
  <si>
    <t>Vitis vinifera subsp vinifera cv. Exalta</t>
  </si>
  <si>
    <t>Vitis vinifera subsp vinifera cv. Exbrayat</t>
  </si>
  <si>
    <t>Vitis vinifera subsp vinifera cv. Exotic</t>
  </si>
  <si>
    <t>Vitis vinifera subsp vinifera cv. Ezereves Magyarorszag Emleke</t>
  </si>
  <si>
    <t>Vitis vinifera subsp vinifera cv. Ezerjo</t>
  </si>
  <si>
    <t>Vitis vinifera subsp vinifera cv. F. Lantini = Pirovano 263</t>
  </si>
  <si>
    <t>Vitis vinifera subsp vinifera cv. F 10-79</t>
  </si>
  <si>
    <t>Vitis vinifera subsp vinifera cv. Faberrebe = Alzey 10375</t>
  </si>
  <si>
    <t>Vitis vinifera subsp vinifera cv. Faddy zsiga dinka</t>
  </si>
  <si>
    <t>Vitis vinifera subsp vinifera cv. Fakhri</t>
  </si>
  <si>
    <t>Vitis vinifera subsp vinifera cv. Falanghina</t>
  </si>
  <si>
    <t>Vitis vinifera subsp vinifera cv. Fantasy seedless</t>
  </si>
  <si>
    <t>Vitis vinifera subsp vinifera cv. Farana noir</t>
  </si>
  <si>
    <t>Vitis vinifera subsp vinifera cv. Farbfränkisch</t>
  </si>
  <si>
    <t>Vitis vinifera subsp vinifera cv. Fatima</t>
  </si>
  <si>
    <t>Vitis vinifera subsp vinifera cv. Fatma</t>
  </si>
  <si>
    <t>Vitis vinifera subsp vinifera cv. Faux Courbu noir</t>
  </si>
  <si>
    <t>Vitis vinifera subsp vinifera cv. Faux Mauzac blanc</t>
  </si>
  <si>
    <t>Vitis vinifera subsp vinifera cv. Fayoumi</t>
  </si>
  <si>
    <t>Vitis vinifera subsp vinifera cv. Feher Kövidinka</t>
  </si>
  <si>
    <t>Vitis vinifera subsp vinifera cv. Feinriesling</t>
  </si>
  <si>
    <t>Vitis vinifera subsp vinifera cv. Fer</t>
  </si>
  <si>
    <t>Vitis vinifera subsp vinifera cv. Ferlé de Pegões = Leao Ferreira da Almeida 17-48-1</t>
  </si>
  <si>
    <t>Vitis vinifera subsp vinifera cv. Ferlé 76 = Leao Ferreira da Almeida 34-49-76</t>
  </si>
  <si>
    <t>Vitis vinifera subsp vinifera cv. Fernand rose</t>
  </si>
  <si>
    <t>Vitis vinifera subsp vinifera cv. Fernao Pires</t>
  </si>
  <si>
    <t>Vitis vinifera subsp vinifera cv. Ferral</t>
  </si>
  <si>
    <t>Vitis vinifera subsp vinifera cv. Ferral tamara</t>
  </si>
  <si>
    <t>Vitis vinifera subsp vinifera cv. Feteasca neagra</t>
  </si>
  <si>
    <t>Vitis vinifera subsp vinifera cv. Feteasca regala</t>
  </si>
  <si>
    <t>Vitis vinifera subsp vinifera cv. Feunate</t>
  </si>
  <si>
    <t>Vitis vinifera subsp vinifera cv. Fiano</t>
  </si>
  <si>
    <t>Vitis vinifera subsp vinifera cv. Fiesta</t>
  </si>
  <si>
    <t>Vitis vinifera subsp vinifera cv. Findling = Kimmig KP 1</t>
  </si>
  <si>
    <t>Vitis vinifera subsp vinifera cv. Fintendo</t>
  </si>
  <si>
    <t>Vitis vinifera subsp vinifera cv. Firnriesling</t>
  </si>
  <si>
    <t>Vitis vinifera subsp vinifera cv. Fitzrebe</t>
  </si>
  <si>
    <t>Vitis vinifera subsp vinifera cv. Flame seedless</t>
  </si>
  <si>
    <t>Vitis vinifera subsp vinifera cv. Flaming rose</t>
  </si>
  <si>
    <t>Vitis vinifera subsp vinifera cv. Fleur de Kecskemet</t>
  </si>
  <si>
    <t>Vitis vinifera subsp vinifera cv. Flora</t>
  </si>
  <si>
    <t>Vitis vinifera subsp vinifera cv. Focca</t>
  </si>
  <si>
    <t>Vitis vinifera subsp vinifera cv. Fogarina</t>
  </si>
  <si>
    <t>Vitis vinifera subsp vinifera cv. Foglia tonda</t>
  </si>
  <si>
    <t>Vitis vinifera subsp vinifera cv. Fogoneu</t>
  </si>
  <si>
    <t>Vitis vinifera subsp vinifera cv. Folignan</t>
  </si>
  <si>
    <t>Vitis vinifera subsp vinifera cv. Folle blanche</t>
  </si>
  <si>
    <t>Vitis vinifera subsp vinifera cv. Folle blanche du Minervois</t>
  </si>
  <si>
    <t>Vitis vinifera subsp vinifera cv. Fondo de Orza</t>
  </si>
  <si>
    <t>Vitis vinifera subsp vinifera cv. Forastera</t>
  </si>
  <si>
    <t>Vitis vinifera subsp vinifera cv. Forastera (Iles Canaries)</t>
  </si>
  <si>
    <t>Vitis vinifera subsp vinifera cv. Forcalla</t>
  </si>
  <si>
    <t>Vitis vinifera subsp vinifera cv. Forcellina</t>
  </si>
  <si>
    <t>Vitis vinifera subsp vinifera cv. Formosa = Pirovano 245</t>
  </si>
  <si>
    <t>Vitis vinifera subsp vinifera cv. Fortana</t>
  </si>
  <si>
    <t>Vitis vinifera subsp vinifera cv. Foster's white seedling</t>
  </si>
  <si>
    <t>Vitis vinifera subsp vinifera cv. Fotcha</t>
  </si>
  <si>
    <t>Vitis vinifera subsp vinifera cv. Franc noir de la Haute-Saône</t>
  </si>
  <si>
    <t>Vitis vinifera subsp vinifera cv. Francavidda</t>
  </si>
  <si>
    <t>Vitis vinifera subsp vinifera cv. François Ier</t>
  </si>
  <si>
    <t>Vitis vinifera subsp vinifera cv. François noir</t>
  </si>
  <si>
    <t>Vitis vinifera subsp vinifera cv. Francuse</t>
  </si>
  <si>
    <t>Vitis vinifera subsp vinifera cv. Frankamon</t>
  </si>
  <si>
    <t>Vitis vinifera subsp vinifera cv. Frankenthal</t>
  </si>
  <si>
    <t>Vitis vinifera subsp vinifera cv. Frankenthal rose foncé</t>
  </si>
  <si>
    <t>Vitis vinifera subsp vinifera cv. Frankenthal rouge foncé</t>
  </si>
  <si>
    <t>Vitis vinifera subsp vinifera cv. Frappato di Vittoria</t>
  </si>
  <si>
    <t>Vitis vinifera subsp vinifera cv. Fredericton</t>
  </si>
  <si>
    <t>Vitis vinifera subsp vinifera cv. Freisa</t>
  </si>
  <si>
    <t>Vitis vinifera subsp vinifera cv. Freisamer</t>
  </si>
  <si>
    <t>Vitis vinifera subsp vinifera cv. Frühgipfler I</t>
  </si>
  <si>
    <t>Vitis vinifera subsp vinifera cv. Frühmuscat Oberlin</t>
  </si>
  <si>
    <t>Vitis vinifera subsp vinifera cv. Frühriesling</t>
  </si>
  <si>
    <t>Vitis vinifera subsp vinifera cv. Fruttuosa = Pirovano 27</t>
  </si>
  <si>
    <t>Vitis vinifera subsp vinifera cv. Fuella nera</t>
  </si>
  <si>
    <t>Vitis vinifera subsp vinifera cv. Fulgens = Pirovano 347</t>
  </si>
  <si>
    <t>Vitis vinifera subsp vinifera cv. Fumin</t>
  </si>
  <si>
    <t>Vitis vinifera subsp vinifera cv. Furjmony feher</t>
  </si>
  <si>
    <t>Vitis vinifera subsp vinifera cv. Furmint</t>
  </si>
  <si>
    <t>Vitis vinifera subsp vinifera cv. Furmint piros</t>
  </si>
  <si>
    <t>Vitis vinifera subsp vinifera cv. Furmint valtözö</t>
  </si>
  <si>
    <t>Vitis vinifera subsp vinifera cv. Fürstentraube</t>
  </si>
  <si>
    <t>Vitis vinifera subsp vinifera cv. Fusca = Pirovano 142</t>
  </si>
  <si>
    <t>Vitis vinifera subsp vinifera cv. G. Molon = Pirovano 102</t>
  </si>
  <si>
    <t>Vitis vinifera subsp vinifera cv. G 367-49 SRLH</t>
  </si>
  <si>
    <t>Vitis vinifera subsp vinifera cv. Gaglioppo</t>
  </si>
  <si>
    <t>Vitis vinifera subsp vinifera cv. Gaïdouria</t>
  </si>
  <si>
    <t>Vitis vinifera subsp vinifera cv. Galbena de Odobesti</t>
  </si>
  <si>
    <t>Vitis vinifera subsp vinifera cv. Galbena uriasa</t>
  </si>
  <si>
    <t>Vitis vinifera subsp vinifera cv. Galbena verde</t>
  </si>
  <si>
    <t>Vitis vinifera subsp vinifera cv. Galego de Montemor</t>
  </si>
  <si>
    <t>Vitis vinifera subsp vinifera cv. Galego dourado</t>
  </si>
  <si>
    <t>Vitis vinifera subsp vinifera cv. Galotta</t>
  </si>
  <si>
    <t>Vitis vinifera subsp vinifera cv. Galvani = Pirovano 86</t>
  </si>
  <si>
    <t>Vitis vinifera subsp vinifera cv. Gamarelha branca</t>
  </si>
  <si>
    <t>Vitis vinifera subsp vinifera cv. Gamaret</t>
  </si>
  <si>
    <t>Vitis vinifera subsp vinifera cv. Gamay</t>
  </si>
  <si>
    <t>Vitis vinifera subsp vinifera cv. Gamay à fleurs doubles</t>
  </si>
  <si>
    <t>Vitis vinifera subsp vinifera cv. Gamay blanc Gloriod</t>
  </si>
  <si>
    <t>Vitis vinifera subsp vinifera cv. Gamay Castille</t>
  </si>
  <si>
    <t>Vitis vinifera subsp vinifera cv. Gamay Castille mutation blanche</t>
  </si>
  <si>
    <t>Vitis vinifera subsp vinifera cv. Gamay de Bouze</t>
  </si>
  <si>
    <t>Vitis vinifera subsp vinifera cv. Gamay de Chaudenay</t>
  </si>
  <si>
    <t>Vitis vinifera subsp vinifera cv. Gamay Fréaux</t>
  </si>
  <si>
    <t>Vitis vinifera subsp vinifera cv. Gamay gris</t>
  </si>
  <si>
    <t>Vitis vinifera subsp vinifera cv. Gamay mourot</t>
  </si>
  <si>
    <t>Vitis vinifera subsp vinifera cv. Gamay précoce noir</t>
  </si>
  <si>
    <t>Vitis vinifera subsp vinifera cv. Gamza de Varna</t>
  </si>
  <si>
    <t>Vitis vinifera subsp vinifera cv. Ganson = INRA 1509-73</t>
  </si>
  <si>
    <t>Vitis vinifera subsp vinifera cv. Gantziandan</t>
  </si>
  <si>
    <t>Vitis vinifera subsp vinifera cv. Garandmak</t>
  </si>
  <si>
    <t>Vitis vinifera subsp vinifera cv. Garganega</t>
  </si>
  <si>
    <t>Vitis vinifera subsp vinifera cv. Garrido fino</t>
  </si>
  <si>
    <t>Vitis vinifera subsp vinifera cv. Garrido macho</t>
  </si>
  <si>
    <t>Vitis vinifera subsp vinifera cv. Gascon</t>
  </si>
  <si>
    <t>Vitis vinifera subsp vinifera cv. Gateta</t>
  </si>
  <si>
    <t>Vitis vinifera subsp vinifera cv. Gegic</t>
  </si>
  <si>
    <t>Vitis vinifera subsp vinifera cv. Gelbholzer blau</t>
  </si>
  <si>
    <t>Vitis vinifera subsp vinifera cv. Gemre</t>
  </si>
  <si>
    <t>Vitis vinifera subsp vinifera cv. Général de la Marmora</t>
  </si>
  <si>
    <t>Vitis vinifera subsp vinifera cv. Général de la Marmora faux</t>
  </si>
  <si>
    <t>Vitis vinifera subsp vinifera cv. Genk Uzum</t>
  </si>
  <si>
    <t>Vitis vinifera subsp vinifera cv. Genouillet</t>
  </si>
  <si>
    <t>Vitis vinifera subsp vinifera cv. Genovèse</t>
  </si>
  <si>
    <t>Vitis vinifera subsp vinifera cv. Gewürztraminer</t>
  </si>
  <si>
    <t>Vitis vinifera subsp vinifera cv. Gheméra</t>
  </si>
  <si>
    <t>Vitis vinifera subsp vinifera cv. Ghiouroukiko</t>
  </si>
  <si>
    <t>Vitis vinifera subsp vinifera cv. Gholadon</t>
  </si>
  <si>
    <t>Vitis vinifera subsp vinifera cv. Gibert</t>
  </si>
  <si>
    <t>Vitis vinifera subsp vinifera cv. Gibi</t>
  </si>
  <si>
    <t>Vitis vinifera subsp vinifera cv. Gierniolat</t>
  </si>
  <si>
    <t>Vitis vinifera subsp vinifera cv. Gildé</t>
  </si>
  <si>
    <t>Vitis vinifera subsp vinifera cv. Giro</t>
  </si>
  <si>
    <t>Vitis vinifera subsp vinifera cv. Giro (Iles Baléares)</t>
  </si>
  <si>
    <t>Vitis vinifera subsp vinifera cv. Glacière</t>
  </si>
  <si>
    <t>Vitis vinifera subsp vinifera cv. Gloria Hungariae</t>
  </si>
  <si>
    <t>Vitis vinifera subsp vinifera cv. Glycostaphyllo</t>
  </si>
  <si>
    <t>Vitis vinifera subsp vinifera cv. Goher</t>
  </si>
  <si>
    <t>Vitis vinifera subsp vinifera cv. Goher Piros</t>
  </si>
  <si>
    <t>Vitis vinifera subsp vinifera cv. Goher valtözö</t>
  </si>
  <si>
    <t>Vitis vinifera subsp vinifera cv. Gold</t>
  </si>
  <si>
    <t>Vitis vinifera subsp vinifera cv. Golden champion = Mill Hill Hamburg</t>
  </si>
  <si>
    <t>Vitis vinifera subsp vinifera cv. Golden Queen</t>
  </si>
  <si>
    <t>Vitis vinifera subsp vinifera cv. Goldriesling B</t>
  </si>
  <si>
    <t>Vitis vinifera subsp vinifera cv. Gora Chirine</t>
  </si>
  <si>
    <t>Vitis vinifera subsp vinifera cv. Gora Chirine rose</t>
  </si>
  <si>
    <t>Vitis vinifera subsp vinifera cv. Gordan</t>
  </si>
  <si>
    <t>Vitis vinifera subsp vinifera cv. Gordin</t>
  </si>
  <si>
    <t>Vitis vinifera subsp vinifera cv. Gordin gurguiat</t>
  </si>
  <si>
    <t>Vitis vinifera subsp vinifera cv. Gorgollosa</t>
  </si>
  <si>
    <t>Vitis vinifera subsp vinifera cv. Goron</t>
  </si>
  <si>
    <t>Vitis vinifera subsp vinifera cv. Gouais blanc</t>
  </si>
  <si>
    <t>Vitis vinifera subsp vinifera cv. Gouget</t>
  </si>
  <si>
    <t>Vitis vinifera subsp vinifera cv. Gounaïa</t>
  </si>
  <si>
    <t>Vitis vinifera subsp vinifera cv. Goustoulidi</t>
  </si>
  <si>
    <t>Vitis vinifera subsp vinifera cv. Goyura</t>
  </si>
  <si>
    <t>Vitis vinifera subsp vinifera cv. Gradiska</t>
  </si>
  <si>
    <t>Vitis vinifera subsp vinifera cv. Graisse</t>
  </si>
  <si>
    <t>Vitis vinifera subsp vinifera cv. Gramon = INRA 1740-774</t>
  </si>
  <si>
    <t>Vitis vinifera subsp vinifera cv. Grand Noir de la Calmette</t>
  </si>
  <si>
    <t>Vitis vinifera subsp vinifera cv. Granoir</t>
  </si>
  <si>
    <t>Vitis vinifera subsp vinifera cv. Grappenoux</t>
  </si>
  <si>
    <t>Vitis vinifera subsp vinifera cv. Grasa de Cotnari</t>
  </si>
  <si>
    <t>Vitis vinifera subsp vinifera cv. Grassen</t>
  </si>
  <si>
    <t>Vitis vinifera subsp vinifera cv. Grec blanc</t>
  </si>
  <si>
    <t>Vitis vinifera subsp vinifera cv. Grec rouge</t>
  </si>
  <si>
    <t>Vitis vinifera subsp vinifera cv. Grecanico</t>
  </si>
  <si>
    <t>Vitis vinifera subsp vinifera cv. Grechetto</t>
  </si>
  <si>
    <t>Vitis vinifera subsp vinifera cv. Greco bianco</t>
  </si>
  <si>
    <t>Vitis vinifera subsp vinifera cv. Greco bianco di tufo</t>
  </si>
  <si>
    <t>Vitis vinifera subsp vinifera cv. Greco nero</t>
  </si>
  <si>
    <t>Vitis vinifera subsp vinifera cv. Grenache</t>
  </si>
  <si>
    <t>Vitis vinifera subsp vinifera cv. Grenache blanc</t>
  </si>
  <si>
    <t>Vitis vinifera subsp vinifera cv. Grenache gris</t>
  </si>
  <si>
    <t>Vitis vinifera subsp vinifera cv. Grenache noir femelle</t>
  </si>
  <si>
    <t>Vitis vinifera subsp vinifera cv. Grignolino</t>
  </si>
  <si>
    <t>Vitis vinifera subsp vinifera cv. Grillo</t>
  </si>
  <si>
    <t>Vitis vinifera subsp vinifera cv. Gringet</t>
  </si>
  <si>
    <t>Vitis vinifera subsp vinifera cv. Grk</t>
  </si>
  <si>
    <t>Vitis vinifera subsp vinifera cv. Grolleau</t>
  </si>
  <si>
    <t>Vitis vinifera subsp vinifera cv. Grolleau blanc</t>
  </si>
  <si>
    <t>Vitis vinifera subsp vinifera cv. Grolleau gris</t>
  </si>
  <si>
    <t>Vitis vinifera subsp vinifera cv. Gropello di San Stefano</t>
  </si>
  <si>
    <t>Vitis vinifera subsp vinifera cv. Gropello gentile</t>
  </si>
  <si>
    <t>Vitis vinifera subsp vinifera cv. Gros Bec</t>
  </si>
  <si>
    <t>Vitis vinifera subsp vinifera cv. Gros Blanc</t>
  </si>
  <si>
    <t>Vitis vinifera subsp vinifera cv. Gros Bourgogne</t>
  </si>
  <si>
    <t>Vitis vinifera subsp vinifera cv. Gros Bouschet</t>
  </si>
  <si>
    <t>Vitis vinifera subsp vinifera cv. Gros Cabernet</t>
  </si>
  <si>
    <t>Vitis vinifera subsp vinifera cv. Gros Colman</t>
  </si>
  <si>
    <t>Vitis vinifera subsp vinifera cv. Gros Manseng</t>
  </si>
  <si>
    <t>Vitis vinifera subsp vinifera cv. Gros Manseng de Lucq</t>
  </si>
  <si>
    <t>Vitis vinifera subsp vinifera cv. Gros Manseng Meunier</t>
  </si>
  <si>
    <t>Vitis vinifera subsp vinifera cv. Gros Mansois</t>
  </si>
  <si>
    <t>Vitis vinifera subsp vinifera cv. Gros Maroc</t>
  </si>
  <si>
    <t>Vitis vinifera subsp vinifera cv. Gros noir des Beni Abès</t>
  </si>
  <si>
    <t>Vitis vinifera subsp vinifera cv. Gros Péjac</t>
  </si>
  <si>
    <t>Vitis vinifera subsp vinifera cv. Gros Verdot</t>
  </si>
  <si>
    <t>Vitis vinifera subsp vinifera cv. Gros Vert</t>
  </si>
  <si>
    <t>Vitis vinifera subsp vinifera cv. Gros Vert noir</t>
  </si>
  <si>
    <t>Vitis vinifera subsp vinifera cv. Grosse Jacquère</t>
  </si>
  <si>
    <t>Vitis vinifera subsp vinifera cv. Grosse Roussette</t>
  </si>
  <si>
    <t>Vitis vinifera subsp vinifera cv. Guadurea</t>
  </si>
  <si>
    <t>Vitis vinifera subsp vinifera cv. Gualarido</t>
  </si>
  <si>
    <t>Vitis vinifera subsp vinifera cv. Guarnaccia</t>
  </si>
  <si>
    <t>Vitis vinifera subsp vinifera cv. Gueuche blanc</t>
  </si>
  <si>
    <t>Vitis vinifera subsp vinifera cv. Gueuche noir</t>
  </si>
  <si>
    <t>Vitis vinifera subsp vinifera cv. Guignard de Saintours</t>
  </si>
  <si>
    <t>Vitis vinifera subsp vinifera cv. Guillany Imre</t>
  </si>
  <si>
    <t>Vitis vinifera subsp vinifera cv. Guillemot</t>
  </si>
  <si>
    <t>Vitis vinifera subsp vinifera cv. Guiouliabi dagestanskii</t>
  </si>
  <si>
    <t>Vitis vinifera subsp vinifera cv. Gustavne Szauter</t>
  </si>
  <si>
    <t>Vitis vinifera subsp vinifera cv. Gyöngy feher</t>
  </si>
  <si>
    <t>Vitis vinifera subsp vinifera cv. Gyöngy szölö</t>
  </si>
  <si>
    <t>Vitis vinifera subsp vinifera cv. Hadari</t>
  </si>
  <si>
    <t>Vitis vinifera subsp vinifera cv. Hagi ali negru</t>
  </si>
  <si>
    <t>Vitis vinifera subsp vinifera cv. Halholyag</t>
  </si>
  <si>
    <t>Vitis vinifera subsp vinifera cv. Hammami</t>
  </si>
  <si>
    <t>Vitis vinifera subsp vinifera cv. Hamvas</t>
  </si>
  <si>
    <t>Vitis vinifera subsp vinifera cv. Hängling blau</t>
  </si>
  <si>
    <t>Vitis vinifera subsp vinifera cv. Hansen rot</t>
  </si>
  <si>
    <t>Vitis vinifera subsp vinifera cv. Harslevelu</t>
  </si>
  <si>
    <t>Vitis vinifera subsp vinifera cv. Hasan dede</t>
  </si>
  <si>
    <t>Vitis vinifera subsp vinifera cv. Hebron blanc</t>
  </si>
  <si>
    <t>Vitis vinifera subsp vinifera cv. Hegedüs Sandor</t>
  </si>
  <si>
    <t>Vitis vinifera subsp vinifera cv. Hegoa</t>
  </si>
  <si>
    <t>Vitis vinifera subsp vinifera cv. Helfensteiner = We S 5332</t>
  </si>
  <si>
    <t>Vitis vinifera subsp vinifera cv. Henab</t>
  </si>
  <si>
    <t>Vitis vinifera subsp vinifera cv. Henab turki faux</t>
  </si>
  <si>
    <t>Vitis vinifera subsp vinifera cv. Heptakilo</t>
  </si>
  <si>
    <t>Vitis vinifera subsp vinifera cv. Heroldrebe = We S 130</t>
  </si>
  <si>
    <t>Vitis vinifera subsp vinifera cv. Heunisch blanc</t>
  </si>
  <si>
    <t>Vitis vinifera subsp vinifera cv. Heunisch noir</t>
  </si>
  <si>
    <t>Vitis vinifera subsp vinifera cv. Heunisch rose</t>
  </si>
  <si>
    <t>Vitis vinifera subsp vinifera cv. Hibou blanc</t>
  </si>
  <si>
    <t>Vitis vinifera subsp vinifera cv. Hibou noir</t>
  </si>
  <si>
    <t>Vitis vinifera subsp vinifera cv. Himoniatiko</t>
  </si>
  <si>
    <t>Vitis vinifera subsp vinifera cv. Honigler</t>
  </si>
  <si>
    <t>Vitis vinifera subsp vinifera cv. Horoz karasi</t>
  </si>
  <si>
    <t>Vitis vinifera subsp vinifera cv. Hosszunyelu</t>
  </si>
  <si>
    <t>Vitis vinifera subsp vinifera cv. Humagne blanche</t>
  </si>
  <si>
    <t>Vitis vinifera subsp vinifera cv. Humagne rouge</t>
  </si>
  <si>
    <t>Vitis vinifera subsp vinifera cv. Hunisa</t>
  </si>
  <si>
    <t>Vitis vinifera subsp vinifera cv. Hunyadi = Horty Miklosné</t>
  </si>
  <si>
    <t>Vitis vinifera subsp vinifera cv. Husseini (Afghanistan)</t>
  </si>
  <si>
    <t>Vitis vinifera subsp vinifera cv. Husseini (Etats-Unis)</t>
  </si>
  <si>
    <t>Vitis vinifera subsp vinifera cv. Huxelrebe = Alzey 3962</t>
  </si>
  <si>
    <t>Vitis vinifera subsp vinifera cv. Icod de los Vinos</t>
  </si>
  <si>
    <t>Vitis vinifera subsp vinifera cv. Ida</t>
  </si>
  <si>
    <t>Vitis vinifera subsp vinifera cv. Igherziz</t>
  </si>
  <si>
    <t>Vitis vinifera subsp vinifera cv. Ignea = Pirovano 185</t>
  </si>
  <si>
    <t>Vitis vinifera subsp vinifera cv. ¿illade du 1er Août</t>
  </si>
  <si>
    <t>Vitis vinifera subsp vinifera cv. Imperatriz</t>
  </si>
  <si>
    <t>Vitis vinifera subsp vinifera cv. Impero = Pirovano 264</t>
  </si>
  <si>
    <t>Vitis vinifera subsp vinifera cv. Impigno</t>
  </si>
  <si>
    <t>Vitis vinifera subsp vinifera cv. Inab el Mir</t>
  </si>
  <si>
    <t>Vitis vinifera subsp vinifera cv. Inconnu blanc</t>
  </si>
  <si>
    <t>Vitis vinifera subsp vinifera cv. Inconnu blanc de Jongieux</t>
  </si>
  <si>
    <t>Vitis vinifera subsp vinifera cv. Inconnu noir</t>
  </si>
  <si>
    <t>Vitis vinifera subsp vinifera cv. Ingram's Hardy Prolific</t>
  </si>
  <si>
    <t>Vitis vinifera subsp vinifera cv. Inzolia</t>
  </si>
  <si>
    <t>Vitis vinifera subsp vinifera cv. Irki</t>
  </si>
  <si>
    <t>Vitis vinifera subsp vinifera cv. Irsay Oliver</t>
  </si>
  <si>
    <t>Vitis vinifera subsp vinifera cv. Isa = INRA 2012-55</t>
  </si>
  <si>
    <t>Vitis vinifera subsp vinifera cv. Ispisari</t>
  </si>
  <si>
    <t>Vitis vinifera subsp vinifera cv. Italia = Pirovano 65</t>
  </si>
  <si>
    <t>Vitis vinifera subsp vinifera cv. Italia rubi</t>
  </si>
  <si>
    <t>Vitis vinifera subsp vinifera cv. Itchkimar biely</t>
  </si>
  <si>
    <t>Vitis vinifera subsp vinifera cv. Ithaki</t>
  </si>
  <si>
    <t>Vitis vinifera subsp vinifera cv. Itshkimar</t>
  </si>
  <si>
    <t>Vitis vinifera subsp vinifera cv. Ivan</t>
  </si>
  <si>
    <t>Vitis vinifera subsp vinifera cv. Izsaki sarfeher</t>
  </si>
  <si>
    <t>Vitis vinifera subsp vinifera cv. Jacquère</t>
  </si>
  <si>
    <t>Vitis vinifera subsp vinifera cv. Jacquère noire faux</t>
  </si>
  <si>
    <t>Vitis vinifera subsp vinifera cv. Jaen</t>
  </si>
  <si>
    <t>Vitis vinifera subsp vinifera cv. Jaen negro</t>
  </si>
  <si>
    <t>Vitis vinifera subsp vinifera cv. Jaen noir</t>
  </si>
  <si>
    <t>Vitis vinifera subsp vinifera cv. Jahafi</t>
  </si>
  <si>
    <t>Vitis vinifera subsp vinifera cv. Jampal</t>
  </si>
  <si>
    <t>Vitis vinifera subsp vinifera cv. Jaoumet</t>
  </si>
  <si>
    <t>Vitis vinifera subsp vinifera cv. Jardovany</t>
  </si>
  <si>
    <t>Vitis vinifera subsp vinifera cv. Jardovany fekete</t>
  </si>
  <si>
    <t>Vitis vinifera subsp vinifera cv. Jaumin</t>
  </si>
  <si>
    <t>Vitis vinifera subsp vinifera cv. Javor gross</t>
  </si>
  <si>
    <t>Vitis vinifera subsp vinifera cv. Jean Bernath</t>
  </si>
  <si>
    <t>Vitis vinifera subsp vinifera cv. Jean Macé</t>
  </si>
  <si>
    <t>Vitis vinifera subsp vinifera cv. Jeludovii</t>
  </si>
  <si>
    <t>Vitis vinifera subsp vinifera cv. Jerez fina</t>
  </si>
  <si>
    <t>Vitis vinifera subsp vinifera cv. Jérusalem bleu</t>
  </si>
  <si>
    <t>Vitis vinifera subsp vinifera cv. Jijona</t>
  </si>
  <si>
    <t>Vitis vinifera subsp vinifera cv. Jo rizling</t>
  </si>
  <si>
    <t>Vitis vinifera subsp vinifera cv. Joamenco</t>
  </si>
  <si>
    <t>Vitis vinifera subsp vinifera cv. João Domingos</t>
  </si>
  <si>
    <t>Vitis vinifera subsp vinifera cv. Joubertin</t>
  </si>
  <si>
    <t>Vitis vinifera subsp vinifera cv. Joumalak biely</t>
  </si>
  <si>
    <t>Vitis vinifera subsp vinifera cv. Jubilé (Bulgarie)</t>
  </si>
  <si>
    <t>Vitis vinifera subsp vinifera cv. Juhfark</t>
  </si>
  <si>
    <t>Vitis vinifera subsp vinifera cv. Julius Caesar</t>
  </si>
  <si>
    <t>Vitis vinifera subsp vinifera cv. July Muscat</t>
  </si>
  <si>
    <t>Vitis vinifera subsp vinifera cv. Jurançon blanc</t>
  </si>
  <si>
    <t>Vitis vinifera subsp vinifera cv. Jurançon noir</t>
  </si>
  <si>
    <t>Vitis vinifera subsp vinifera cv. Kabyle noir</t>
  </si>
  <si>
    <t>Vitis vinifera subsp vinifera cv. Kadarka</t>
  </si>
  <si>
    <t>Vitis vinifera subsp vinifera cv. Kadarka Szürke</t>
  </si>
  <si>
    <t>Vitis vinifera subsp vinifera cv. Kadarka Török</t>
  </si>
  <si>
    <t>Vitis vinifera subsp vinifera cv. Kadarun</t>
  </si>
  <si>
    <t>Vitis vinifera subsp vinifera cv. Kaisermuskat</t>
  </si>
  <si>
    <t>Vitis vinifera subsp vinifera cv. Kakkete</t>
  </si>
  <si>
    <t>Vitis vinifera subsp vinifera cv. Kakourdess blanc</t>
  </si>
  <si>
    <t>Vitis vinifera subsp vinifera cv. Kalecik siyahi</t>
  </si>
  <si>
    <t>Vitis vinifera subsp vinifera cv. Kalili</t>
  </si>
  <si>
    <t>Vitis vinifera subsp vinifera cv. Kalina</t>
  </si>
  <si>
    <t>Vitis vinifera subsp vinifera cv. Kandahar</t>
  </si>
  <si>
    <t>Vitis vinifera subsp vinifera cv. Kandari</t>
  </si>
  <si>
    <t>Vitis vinifera subsp vinifera cv. Kanigl grün</t>
  </si>
  <si>
    <t>Vitis vinifera subsp vinifera cv. Kanzler = Alzey 3983</t>
  </si>
  <si>
    <t>Vitis vinifera subsp vinifera cv. Kaouchansky</t>
  </si>
  <si>
    <t>Vitis vinifera subsp vinifera cv. Kara kaltak</t>
  </si>
  <si>
    <t>Vitis vinifera subsp vinifera cv. Kara ouzume Aschkhabadsky</t>
  </si>
  <si>
    <t>Vitis vinifera subsp vinifera cv. Kara Palvan</t>
  </si>
  <si>
    <t>Vitis vinifera subsp vinifera cv. Kara papigi</t>
  </si>
  <si>
    <t>Vitis vinifera subsp vinifera cv. Karabraimis</t>
  </si>
  <si>
    <t>Vitis vinifera subsp vinifera cv. Karasakiz</t>
  </si>
  <si>
    <t>Vitis vinifera subsp vinifera cv. Karitsiotis</t>
  </si>
  <si>
    <t>Vitis vinifera subsp vinifera cv. Karmir Kakhani</t>
  </si>
  <si>
    <t>Vitis vinifera subsp vinifera cv. Karolowska</t>
  </si>
  <si>
    <t>Vitis vinifera subsp vinifera cv. Karroo belle</t>
  </si>
  <si>
    <t>Vitis vinifera subsp vinifera cv. Karydato</t>
  </si>
  <si>
    <t>Vitis vinifera subsp vinifera cv. Karystino</t>
  </si>
  <si>
    <t>Vitis vinifera subsp vinifera cv. Kasoufi de la Bekaa</t>
  </si>
  <si>
    <t>Vitis vinifera subsp vinifera cv. Kasoufi enta</t>
  </si>
  <si>
    <t>Vitis vinifera subsp vinifera cv. Kassoufi</t>
  </si>
  <si>
    <t>Vitis vinifera subsp vinifera cv. Kata</t>
  </si>
  <si>
    <t>Vitis vinifera subsp vinifera cv. Katsacoulias</t>
  </si>
  <si>
    <t>Vitis vinifera subsp vinifera cv. Katta kourgan</t>
  </si>
  <si>
    <t>Vitis vinifera subsp vinifera cv. Kauka blau</t>
  </si>
  <si>
    <t>Vitis vinifera subsp vinifera cv. Kaytagi rose</t>
  </si>
  <si>
    <t>Vitis vinifera subsp vinifera cv. Kechmisch aly violet</t>
  </si>
  <si>
    <t>Vitis vinifera subsp vinifera cv. Kecskecsecsu kek</t>
  </si>
  <si>
    <t>Vitis vinifera subsp vinifera cv. Kecskecsecsu roszas piros</t>
  </si>
  <si>
    <t>Vitis vinifera subsp vinifera cv. Kecskemet kincse</t>
  </si>
  <si>
    <t>Vitis vinifera subsp vinifera cv. Kecskemet Szepe</t>
  </si>
  <si>
    <t>Vitis vinifera subsp vinifera cv. Kecskemeti izes</t>
  </si>
  <si>
    <t>Vitis vinifera subsp vinifera cv. Kecskemeti rizling</t>
  </si>
  <si>
    <t>Vitis vinifera subsp vinifera cv. Kefessia</t>
  </si>
  <si>
    <t>Vitis vinifera subsp vinifera cv. Kekhlibar</t>
  </si>
  <si>
    <t>Vitis vinifera subsp vinifera cv. Keknyelü</t>
  </si>
  <si>
    <t>Vitis vinifera subsp vinifera cv. Kerner = We S 25-30</t>
  </si>
  <si>
    <t>Vitis vinifera subsp vinifera cv. Keropodia</t>
  </si>
  <si>
    <t>Vitis vinifera subsp vinifera cv. Khalili Piskakes</t>
  </si>
  <si>
    <t>Vitis vinifera subsp vinifera cv. Khalili tcherni</t>
  </si>
  <si>
    <t>Vitis vinifera subsp vinifera cv. Khalt</t>
  </si>
  <si>
    <t>Vitis vinifera subsp vinifera cv. Khatmi</t>
  </si>
  <si>
    <t>Vitis vinifera subsp vinifera cv. Khikhvi</t>
  </si>
  <si>
    <t>Vitis vinifera subsp vinifera cv. Khindogny</t>
  </si>
  <si>
    <t>Vitis vinifera subsp vinifera cv. Khoussaïné blanc</t>
  </si>
  <si>
    <t>Vitis vinifera subsp vinifera cv. Kibraiski</t>
  </si>
  <si>
    <t>Vitis vinifera subsp vinifera cv. Kichmich chichraou</t>
  </si>
  <si>
    <t>Vitis vinifera subsp vinifera cv. Kichmich rond</t>
  </si>
  <si>
    <t>Vitis vinifera subsp vinifera cv. Kincsem</t>
  </si>
  <si>
    <t>Vitis vinifera subsp vinifera cv. Kizil</t>
  </si>
  <si>
    <t>Vitis vinifera subsp vinifera cv. Kizil sapak</t>
  </si>
  <si>
    <t>Vitis vinifera subsp vinifera cv. Knipperlé</t>
  </si>
  <si>
    <t>Vitis vinifera subsp vinifera cv. Kocsis Irma</t>
  </si>
  <si>
    <t>Vitis vinifera subsp vinifera cv. Kocsis Pal szilvanija</t>
  </si>
  <si>
    <t>Vitis vinifera subsp vinifera cv. Kocsis Sandor</t>
  </si>
  <si>
    <t>Vitis vinifera subsp vinifera cv. Kokkinellia</t>
  </si>
  <si>
    <t>Vitis vinifera subsp vinifera cv. Kokkinostaphylo</t>
  </si>
  <si>
    <t>Vitis vinifera subsp vinifera cv. Kokour bely</t>
  </si>
  <si>
    <t>Vitis vinifera subsp vinifera cv. Kolliniatico</t>
  </si>
  <si>
    <t>Vitis vinifera subsp vinifera cv. Kölner blau</t>
  </si>
  <si>
    <t>Vitis vinifera subsp vinifera cv. Kolokythas avgoulatos</t>
  </si>
  <si>
    <t>Vitis vinifera subsp vinifera cv. Kolontar</t>
  </si>
  <si>
    <t>Vitis vinifera subsp vinifera cv. Königstraube</t>
  </si>
  <si>
    <t>Vitis vinifera subsp vinifera cv. Kontocladi</t>
  </si>
  <si>
    <t>Vitis vinifera subsp vinifera cv. Korai Olasz</t>
  </si>
  <si>
    <t>Vitis vinifera subsp vinifera cv. Korithi à gros grains</t>
  </si>
  <si>
    <t>Vitis vinifera subsp vinifera cv. Korithi aspro</t>
  </si>
  <si>
    <t>Vitis vinifera subsp vinifera cv. Korithi mavro</t>
  </si>
  <si>
    <t>Vitis vinifera subsp vinifera cv. Koritsanos rouge</t>
  </si>
  <si>
    <t>Vitis vinifera subsp vinifera cv. Koshu noir faux</t>
  </si>
  <si>
    <t>Vitis vinifera subsp vinifera cv. Kossorotovsky</t>
  </si>
  <si>
    <t>Vitis vinifera subsp vinifera cv. Kotselina</t>
  </si>
  <si>
    <t>Vitis vinifera subsp vinifera cv. Kotsiphali</t>
  </si>
  <si>
    <t>Vitis vinifera subsp vinifera cv. Koudsi</t>
  </si>
  <si>
    <t>Vitis vinifera subsp vinifera cv. Kouldjinsky</t>
  </si>
  <si>
    <t>Vitis vinifera subsp vinifera cv. Koumari</t>
  </si>
  <si>
    <t>Vitis vinifera subsp vinifera cv. Kouroupitsa</t>
  </si>
  <si>
    <t>Vitis vinifera subsp vinifera cv. Koussan</t>
  </si>
  <si>
    <t>Vitis vinifera subsp vinifera cv. Kovacsi feher</t>
  </si>
  <si>
    <t>Vitis vinifera subsp vinifera cv. Kovalevka</t>
  </si>
  <si>
    <t>Vitis vinifera subsp vinifera cv. Kövidinka</t>
  </si>
  <si>
    <t>Vitis vinifera subsp vinifera cv. Koytsoumbeli aspro</t>
  </si>
  <si>
    <t>Vitis vinifera subsp vinifera cv. Koz ouzioum</t>
  </si>
  <si>
    <t>Vitis vinifera subsp vinifera cv. Kozanitis</t>
  </si>
  <si>
    <t>Vitis vinifera subsp vinifera cv. Kozma</t>
  </si>
  <si>
    <t>Vitis vinifera subsp vinifera cv. Kracher gelber</t>
  </si>
  <si>
    <t>Vitis vinifera subsp vinifera cv. Krakhouna</t>
  </si>
  <si>
    <t>Vitis vinifera subsp vinifera cv. Krasnostop zolotowskii</t>
  </si>
  <si>
    <t>Vitis vinifera subsp vinifera cv. Kravi tzitzi</t>
  </si>
  <si>
    <t>Vitis vinifera subsp vinifera cv. Krestovsky</t>
  </si>
  <si>
    <t>Vitis vinifera subsp vinifera cv. Kroustalli</t>
  </si>
  <si>
    <t>Vitis vinifera subsp vinifera cv. Kujundzusa</t>
  </si>
  <si>
    <t>Vitis vinifera subsp vinifera cv. Kurtelaska</t>
  </si>
  <si>
    <t>Vitis vinifera subsp vinifera cv. Kypreiko</t>
  </si>
  <si>
    <t>Vitis vinifera subsp vinifera cv. La Guitte</t>
  </si>
  <si>
    <t>Vitis vinifera subsp vinifera cv. La Rochelle</t>
  </si>
  <si>
    <t>Vitis vinifera subsp vinifera cv. Laadari</t>
  </si>
  <si>
    <t>Vitis vinifera subsp vinifera cv. Labrusco</t>
  </si>
  <si>
    <t>Vitis vinifera subsp vinifera cv. Lacrima di Maria</t>
  </si>
  <si>
    <t>Vitis vinifera subsp vinifera cv. Lacryma Christi</t>
  </si>
  <si>
    <t>Vitis vinifera subsp vinifera cv. Ladikino</t>
  </si>
  <si>
    <t>Vitis vinifera subsp vinifera cv. Lady Downe's seedling</t>
  </si>
  <si>
    <t>Vitis vinifera subsp vinifera cv. Lady Hastings</t>
  </si>
  <si>
    <t>Vitis vinifera subsp vinifera cv. Lafayette</t>
  </si>
  <si>
    <t>Vitis vinifera subsp vinifera cv. Lagauzère A</t>
  </si>
  <si>
    <t>Vitis vinifera subsp vinifera cv. Lagauzère B</t>
  </si>
  <si>
    <t>Vitis vinifera subsp vinifera cv. Lagauzère C</t>
  </si>
  <si>
    <t>Vitis vinifera subsp vinifera cv. Lagauzère E</t>
  </si>
  <si>
    <t>Vitis vinifera subsp vinifera cv. Lagauzère 19</t>
  </si>
  <si>
    <t>Vitis vinifera subsp vinifera cv. Lagauzère 20</t>
  </si>
  <si>
    <t>Vitis vinifera subsp vinifera cv. Lagauzère 21</t>
  </si>
  <si>
    <t>Vitis vinifera subsp vinifera cv. Lagorthi</t>
  </si>
  <si>
    <t>Vitis vinifera subsp vinifera cv. Lagrein</t>
  </si>
  <si>
    <t>Vitis vinifera subsp vinifera cv. Lahntraube</t>
  </si>
  <si>
    <t>Vitis vinifera subsp vinifera cv. Lahntraube (Institut Oberlin)</t>
  </si>
  <si>
    <t>Vitis vinifera subsp vinifera cv. Lallée</t>
  </si>
  <si>
    <t>Vitis vinifera subsp vinifera cv. Lambrusco à foglia frastigliata</t>
  </si>
  <si>
    <t>Vitis vinifera subsp vinifera cv. Lambrusco di Sorbara</t>
  </si>
  <si>
    <t>Vitis vinifera subsp vinifera cv. Lambrusco grasparossa</t>
  </si>
  <si>
    <t>Vitis vinifera subsp vinifera cv. Lambrusco Maestri</t>
  </si>
  <si>
    <t>Vitis vinifera subsp vinifera cv. Lambrusco Marani</t>
  </si>
  <si>
    <t>Vitis vinifera subsp vinifera cv. Lambrusco Monterico</t>
  </si>
  <si>
    <t>Vitis vinifera subsp vinifera cv. Lambrusco oliva</t>
  </si>
  <si>
    <t>Vitis vinifera subsp vinifera cv. Lambrusco salamino</t>
  </si>
  <si>
    <t>Vitis vinifera subsp vinifera cv. Lambrusco Viadanese</t>
  </si>
  <si>
    <t>Vitis vinifera subsp vinifera cv. Lambruscone</t>
  </si>
  <si>
    <t>Vitis vinifera subsp vinifera cv. Lambrusque A</t>
  </si>
  <si>
    <t>Vitis vinifera subsp vinifera cv. lambrusque C</t>
  </si>
  <si>
    <t>Vitis vinifera subsp vinifera cv. Lambrusque D</t>
  </si>
  <si>
    <t>Vitis vinifera subsp vinifera cv. Lambrusque E</t>
  </si>
  <si>
    <t>Vitis vinifera subsp vinifera cv. Lambrusque F</t>
  </si>
  <si>
    <t>Vitis vinifera subsp vinifera cv. Lambrusque I</t>
  </si>
  <si>
    <t>Vitis vinifera subsp vinifera cv. Lambrusque J</t>
  </si>
  <si>
    <t>Vitis vinifera subsp vinifera cv. Lambrusque spontanée coloniale</t>
  </si>
  <si>
    <t>Vitis vinifera subsp vinifera cv. Lambrusque subspontanée</t>
  </si>
  <si>
    <t>Vitis vinifera subsp vinifera cv. Lamparfahr de Vany</t>
  </si>
  <si>
    <t>Vitis vinifera subsp vinifera cv. Landroter</t>
  </si>
  <si>
    <t>Vitis vinifera subsp vinifera cv. Lanjaron claro</t>
  </si>
  <si>
    <t>Vitis vinifera subsp vinifera cv. Larião</t>
  </si>
  <si>
    <t>Vitis vinifera subsp vinifera cv. Lasina</t>
  </si>
  <si>
    <t>Vitis vinifera subsp vinifera cv. Laska</t>
  </si>
  <si>
    <t>Vitis vinifera subsp vinifera cv. Latina = Pirovano 711</t>
  </si>
  <si>
    <t>Vitis vinifera subsp vinifera cv. Lattuario nero</t>
  </si>
  <si>
    <t>Vitis vinifera subsp vinifera cv. Lauzet</t>
  </si>
  <si>
    <t>Vitis vinifera subsp vinifera cv. Leanyka</t>
  </si>
  <si>
    <t>Vitis vinifera subsp vinifera cv. Leao Ferreira da Almeida 10-48-24</t>
  </si>
  <si>
    <t>Vitis vinifera subsp vinifera cv. Leao Ferreira da Almeida 29-54-30</t>
  </si>
  <si>
    <t>Vitis vinifera subsp vinifera cv. Leao Ferreira da Almeida 29-54-7</t>
  </si>
  <si>
    <t>Vitis vinifera subsp vinifera cv. Leao Ferreira da Almeida 34-49-48</t>
  </si>
  <si>
    <t>Vitis vinifera subsp vinifera cv. Leao Ferreira da Almeida 34-49-50</t>
  </si>
  <si>
    <t>Vitis vinifera subsp vinifera cv. Leao Ferreira da Almeida 37-50-8</t>
  </si>
  <si>
    <t>Vitis vinifera subsp vinifera cv. Leao Ferreira da Almeida 4-49-44</t>
  </si>
  <si>
    <t>Vitis vinifera subsp vinifera cv. Leao Ferreira da Almeida 7-49-35</t>
  </si>
  <si>
    <t>Vitis vinifera subsp vinifera cv. Lefcas</t>
  </si>
  <si>
    <t>Vitis vinifera subsp vinifera cv. Len de l'El</t>
  </si>
  <si>
    <t>Vitis vinifera subsp vinifera cv. L'Enfant trouvé</t>
  </si>
  <si>
    <t>Vitis vinifera subsp vinifera cv. Léopold III</t>
  </si>
  <si>
    <t>Vitis vinifera subsp vinifera cv. Lercat</t>
  </si>
  <si>
    <t>Vitis vinifera subsp vinifera cv. Lesz meg hazam</t>
  </si>
  <si>
    <t>Vitis vinifera subsp vinifera cv. Lialmigui</t>
  </si>
  <si>
    <t>Vitis vinifera subsp vinifera cv. Liatico</t>
  </si>
  <si>
    <t>Vitis vinifera subsp vinifera cv. Lignage</t>
  </si>
  <si>
    <t>Vitis vinifera subsp vinifera cv. Lignan</t>
  </si>
  <si>
    <t>Vitis vinifera subsp vinifera cv. Liliorila</t>
  </si>
  <si>
    <t>Vitis vinifera subsp vinifera cv. Limberger</t>
  </si>
  <si>
    <t>Vitis vinifera subsp vinifera cv. Limniona</t>
  </si>
  <si>
    <t>Vitis vinifera subsp vinifera cv. Linné</t>
  </si>
  <si>
    <t>Vitis vinifera subsp vinifera cv. Listan</t>
  </si>
  <si>
    <t>Vitis vinifera subsp vinifera cv. Lisztes feher feketefaju</t>
  </si>
  <si>
    <t>Vitis vinifera subsp vinifera cv. Lisztes piros</t>
  </si>
  <si>
    <t>Vitis vinifera subsp vinifera cv. Littorio = Pirovano 90</t>
  </si>
  <si>
    <t>Vitis vinifera subsp vinifera cv. Lival = INRA 696-11</t>
  </si>
  <si>
    <t>Vitis vinifera subsp vinifera cv. Lkeny noir</t>
  </si>
  <si>
    <t>Vitis vinifera subsp vinifera cv. Lledoner pelut</t>
  </si>
  <si>
    <t>Vitis vinifera subsp vinifera cv. Lombardia = Pirovano 353</t>
  </si>
  <si>
    <t>Vitis vinifera subsp vinifera cv. Louali</t>
  </si>
  <si>
    <t>Vitis vinifera subsp vinifera cv. Loureiro</t>
  </si>
  <si>
    <t>Vitis vinifera subsp vinifera cv. Lucien Baltet</t>
  </si>
  <si>
    <t>Vitis vinifera subsp vinifera cv. Luigi Razza = Pirovano 365</t>
  </si>
  <si>
    <t>Vitis vinifera subsp vinifera cv. Luisa blanca</t>
  </si>
  <si>
    <t>Vitis vinifera subsp vinifera cv. Lumassina</t>
  </si>
  <si>
    <t>Vitis vinifera subsp vinifera cv. Luparello</t>
  </si>
  <si>
    <t>Vitis vinifera subsp vinifera cv. Lutea = Pirovano 167</t>
  </si>
  <si>
    <t>Vitis vinifera subsp vinifera cv. Maabouri</t>
  </si>
  <si>
    <t>Vitis vinifera subsp vinifera cv. Maça</t>
  </si>
  <si>
    <t>Vitis vinifera subsp vinifera cv. Macabeu</t>
  </si>
  <si>
    <t>Vitis vinifera subsp vinifera cv. Maceratino</t>
  </si>
  <si>
    <t>Vitis vinifera subsp vinifera cv. Mackensen</t>
  </si>
  <si>
    <t>Vitis vinifera subsp vinifera cv. Madeleine angevine</t>
  </si>
  <si>
    <t>Vitis vinifera subsp vinifera cv. Madeleine angevine Oberlin</t>
  </si>
  <si>
    <t>Vitis vinifera subsp vinifera cv. Madeleine Céline</t>
  </si>
  <si>
    <t>Vitis vinifera subsp vinifera cv. Madeleine de Clermont</t>
  </si>
  <si>
    <t>Vitis vinifera subsp vinifera cv. Madeleine royale</t>
  </si>
  <si>
    <t>Vitis vinifera subsp vinifera cv. Madeleine Salomon</t>
  </si>
  <si>
    <t>Vitis vinifera subsp vinifera cv. Madeleine Sämling 18</t>
  </si>
  <si>
    <t>Vitis vinifera subsp vinifera cv. Madeleine Sämling 22</t>
  </si>
  <si>
    <t>Vitis vinifera subsp vinifera cv. Madina = INRA 2004-9</t>
  </si>
  <si>
    <t>Vitis vinifera subsp vinifera cv. Magliocco</t>
  </si>
  <si>
    <t>Vitis vinifera subsp vinifera cv. Magyartraube</t>
  </si>
  <si>
    <t>Vitis vinifera subsp vinifera cv. Maingonat 50 L 2</t>
  </si>
  <si>
    <t>Vitis vinifera subsp vinifera cv. Maingonnat 11 L 13</t>
  </si>
  <si>
    <t>Vitis vinifera subsp vinifera cv. Maingonnat 12 L 11</t>
  </si>
  <si>
    <t>Vitis vinifera subsp vinifera cv. Maingonnat 14 L 23</t>
  </si>
  <si>
    <t>Vitis vinifera subsp vinifera cv. Maingonnat 16 L 4</t>
  </si>
  <si>
    <t>Vitis vinifera subsp vinifera cv. Maingonnat 17 L 24</t>
  </si>
  <si>
    <t>Vitis vinifera subsp vinifera cv. Maingonnat 19 L 25</t>
  </si>
  <si>
    <t>Vitis vinifera subsp vinifera cv. Maingonnat 20 L 12</t>
  </si>
  <si>
    <t>Vitis vinifera subsp vinifera cv. Maingonnat 20 L 22</t>
  </si>
  <si>
    <t>Vitis vinifera subsp vinifera cv. Maingonnat 25 L 5</t>
  </si>
  <si>
    <t>Vitis vinifera subsp vinifera cv. Maingonnat 27 L1</t>
  </si>
  <si>
    <t>Vitis vinifera subsp vinifera cv. Maingonnat 3 L 1</t>
  </si>
  <si>
    <t>Vitis vinifera subsp vinifera cv. Maingonnat 3 L 22</t>
  </si>
  <si>
    <t>Vitis vinifera subsp vinifera cv. Maingonnat 30 L 22</t>
  </si>
  <si>
    <t>Vitis vinifera subsp vinifera cv. Maingonnat 31 L 10</t>
  </si>
  <si>
    <t>Vitis vinifera subsp vinifera cv. Maingonnat 31 L 11</t>
  </si>
  <si>
    <t>Vitis vinifera subsp vinifera cv. Maingonnat 34 L 5</t>
  </si>
  <si>
    <t>Vitis vinifera subsp vinifera cv. Maingonnat 4 L 22</t>
  </si>
  <si>
    <t>Vitis vinifera subsp vinifera cv. Maingonnat 42 L 10</t>
  </si>
  <si>
    <t>Vitis vinifera subsp vinifera cv. Maingonnat 48 L 2</t>
  </si>
  <si>
    <t>Vitis vinifera subsp vinifera cv. Maingonnat 48 L 4</t>
  </si>
  <si>
    <t>Vitis vinifera subsp vinifera cv. Maingonnat 50 L 4</t>
  </si>
  <si>
    <t>Vitis vinifera subsp vinifera cv. Maingonnat 7 L 1</t>
  </si>
  <si>
    <t>Vitis vinifera subsp vinifera cv. Maingonnat 9 L 24</t>
  </si>
  <si>
    <t>Vitis vinifera subsp vinifera cv. Malaga II</t>
  </si>
  <si>
    <t>Vitis vinifera subsp vinifera cv. Malaga noir</t>
  </si>
  <si>
    <t>Vitis vinifera subsp vinifera cv. Maloukato</t>
  </si>
  <si>
    <t>Vitis vinifera subsp vinifera cv. Malpé (1)</t>
  </si>
  <si>
    <t>Vitis vinifera subsp vinifera cv. Malpé (2)</t>
  </si>
  <si>
    <t>Vitis vinifera subsp vinifera cv. Malvar</t>
  </si>
  <si>
    <t>Vitis vinifera subsp vinifera cv. Malvarisco</t>
  </si>
  <si>
    <t>Vitis vinifera subsp vinifera cv. Malvasia</t>
  </si>
  <si>
    <t>Vitis vinifera subsp vinifera cv. Malvasia del Chianti</t>
  </si>
  <si>
    <t>Vitis vinifera subsp vinifera cv. Malvasia del Lazio</t>
  </si>
  <si>
    <t>Vitis vinifera subsp vinifera cv. Malvasia di Candia</t>
  </si>
  <si>
    <t>Vitis vinifera subsp vinifera cv. Malvasia di Candia aromatica</t>
  </si>
  <si>
    <t>Vitis vinifera subsp vinifera cv. Malvasia di Casorzo</t>
  </si>
  <si>
    <t>Vitis vinifera subsp vinifera cv. Malvasia di Sardegna</t>
  </si>
  <si>
    <t>Vitis vinifera subsp vinifera cv. Malvasia di Schierano</t>
  </si>
  <si>
    <t>Vitis vinifera subsp vinifera cv. Malvasia fina</t>
  </si>
  <si>
    <t>Vitis vinifera subsp vinifera cv. Malvasia istriana</t>
  </si>
  <si>
    <t>Vitis vinifera subsp vinifera cv. Malvasia Moscatel Fonte grande</t>
  </si>
  <si>
    <t>Vitis vinifera subsp vinifera cv. Malvasia nera di Brindisi</t>
  </si>
  <si>
    <t>Vitis vinifera subsp vinifera cv. Malvasia nera di Lecce</t>
  </si>
  <si>
    <t>Vitis vinifera subsp vinifera cv. Malvasia rei</t>
  </si>
  <si>
    <t>Vitis vinifera subsp vinifera cv. Malvina</t>
  </si>
  <si>
    <t>Vitis vinifera subsp vinifera cv. Malvoisie de Sitges fausse</t>
  </si>
  <si>
    <t>Vitis vinifera subsp vinifera cv. Mamelon</t>
  </si>
  <si>
    <t>Vitis vinifera subsp vinifera cv. Mammolo</t>
  </si>
  <si>
    <t>Vitis vinifera subsp vinifera cv. Mancens</t>
  </si>
  <si>
    <t>Vitis vinifera subsp vinifera cv. Mancin</t>
  </si>
  <si>
    <t>Vitis vinifera subsp vinifera cv. Mandrègue</t>
  </si>
  <si>
    <t>Vitis vinifera subsp vinifera cv. Manseng noir</t>
  </si>
  <si>
    <t>Vitis vinifera subsp vinifera cv. Manseng vert</t>
  </si>
  <si>
    <t>Vitis vinifera subsp vinifera cv. Mansonnet</t>
  </si>
  <si>
    <t>Vitis vinifera subsp vinifera cv. Manteudo</t>
  </si>
  <si>
    <t>Vitis vinifera subsp vinifera cv. Mantheudo</t>
  </si>
  <si>
    <t>Vitis vinifera subsp vinifera cv. Mantilaria</t>
  </si>
  <si>
    <t>Vitis vinifera subsp vinifera cv. Mantuo de Pilas</t>
  </si>
  <si>
    <t>Vitis vinifera subsp vinifera cv. Manzoni 1-50</t>
  </si>
  <si>
    <t>Vitis vinifera subsp vinifera cv. Manzoni 2-15</t>
  </si>
  <si>
    <t>Vitis vinifera subsp vinifera cv. Manzoni 3-26</t>
  </si>
  <si>
    <t>Vitis vinifera subsp vinifera cv. Maratheftico</t>
  </si>
  <si>
    <t>Vitis vinifera subsp vinifera cv. Marawi</t>
  </si>
  <si>
    <t>Vitis vinifera subsp vinifera cv. Maréchal Bosquet</t>
  </si>
  <si>
    <t>Vitis vinifera subsp vinifera cv. Maréchal Gallieni</t>
  </si>
  <si>
    <t>Vitis vinifera subsp vinifera cv. Marengo = Pirovano 205</t>
  </si>
  <si>
    <t>Vitis vinifera subsp vinifera cv. Maria Pirovano = Pirovano 165</t>
  </si>
  <si>
    <t>Vitis vinifera subsp vinifera cv. Marienriesling</t>
  </si>
  <si>
    <t>Vitis vinifera subsp vinifera cv. Mariensteiner = Würzburg B 51-7-3</t>
  </si>
  <si>
    <t>Vitis vinifera subsp vinifera cv. Mario Mariani = Pirovano 276</t>
  </si>
  <si>
    <t>Vitis vinifera subsp vinifera cv. Marocain gris</t>
  </si>
  <si>
    <t>Vitis vinifera subsp vinifera cv. Marocain noir</t>
  </si>
  <si>
    <t>Vitis vinifera subsp vinifera cv. Maroo seedless</t>
  </si>
  <si>
    <t>Vitis vinifera subsp vinifera cv. Marouhé</t>
  </si>
  <si>
    <t>Vitis vinifera subsp vinifera cv. Marsanne</t>
  </si>
  <si>
    <t>Vitis vinifera subsp vinifera cv. Marsanne de Pays</t>
  </si>
  <si>
    <t>Vitis vinifera subsp vinifera cv. Marselan = INRA 1810-68</t>
  </si>
  <si>
    <t>Vitis vinifera subsp vinifera cv. Marsigliana nera</t>
  </si>
  <si>
    <t>Vitis vinifera subsp vinifera cv. Martien</t>
  </si>
  <si>
    <t>Vitis vinifera subsp vinifera cv. Marzemino</t>
  </si>
  <si>
    <t>Vitis vinifera subsp vinifera cv. Massecamp</t>
  </si>
  <si>
    <t>Vitis vinifera subsp vinifera cv. Mateu</t>
  </si>
  <si>
    <t>Vitis vinifera subsp vinifera cv. Mathiasz Janos Diadala muskotaly</t>
  </si>
  <si>
    <t>Vitis vinifera subsp vinifera cv. Mathiasz Janos Emleke</t>
  </si>
  <si>
    <t>Vitis vinifera subsp vinifera cv. Mathiasz Janosne</t>
  </si>
  <si>
    <t>Vitis vinifera subsp vinifera cv. Mathiasz Muskotaly = Revai tranonor</t>
  </si>
  <si>
    <t>Vitis vinifera subsp vinifera cv. Mathiasz 215 faux</t>
  </si>
  <si>
    <t>Vitis vinifera subsp vinifera cv. Maticha</t>
  </si>
  <si>
    <t>Vitis vinifera subsp vinifera cv. Matilde</t>
  </si>
  <si>
    <t>Vitis vinifera subsp vinifera cv. Matrassa</t>
  </si>
  <si>
    <t>Vitis vinifera subsp vinifera cv. Maturana</t>
  </si>
  <si>
    <t>Vitis vinifera subsp vinifera cv. Mauvaise Roussette</t>
  </si>
  <si>
    <t>Vitis vinifera subsp vinifera cv. Mauzac</t>
  </si>
  <si>
    <t>Vitis vinifera subsp vinifera cv. Mauzac noir</t>
  </si>
  <si>
    <t>Vitis vinifera subsp vinifera cv. Mauzac rose</t>
  </si>
  <si>
    <t>Vitis vinifera subsp vinifera cv. Mavro Kymis</t>
  </si>
  <si>
    <t>Vitis vinifera subsp vinifera cv. Mavrodaphni</t>
  </si>
  <si>
    <t>Vitis vinifera subsp vinifera cv. Mavrostypho</t>
  </si>
  <si>
    <t>Vitis vinifera subsp vinifera cv. Mavrotragano</t>
  </si>
  <si>
    <t>Vitis vinifera subsp vinifera cv. Mavroudi</t>
  </si>
  <si>
    <t>Vitis vinifera subsp vinifera cv. Mavrud</t>
  </si>
  <si>
    <t>Vitis vinifera subsp vinifera cv. Mavrud Varnenski</t>
  </si>
  <si>
    <t>Vitis vinifera subsp vinifera cv. Mayorquin</t>
  </si>
  <si>
    <t>Vitis vinifera subsp vinifera cv. Mazzari</t>
  </si>
  <si>
    <t>Vitis vinifera subsp vinifera cv. Mècle de Bourgoin</t>
  </si>
  <si>
    <t>Vitis vinifera subsp vinifera cv. Médoc noir</t>
  </si>
  <si>
    <t>Vitis vinifera subsp vinifera cv. Mehdik</t>
  </si>
  <si>
    <t>Vitis vinifera subsp vinifera cv. Mehlweiss</t>
  </si>
  <si>
    <t>Vitis vinifera subsp vinifera cv. Melbento</t>
  </si>
  <si>
    <t>Vitis vinifera subsp vinifera cv. Melon</t>
  </si>
  <si>
    <t>Vitis vinifera subsp vinifera cv. Melon noir</t>
  </si>
  <si>
    <t>Vitis vinifera subsp vinifera cv. Mencia</t>
  </si>
  <si>
    <t>Vitis vinifera subsp vinifera cv. Mendel = Pirovano 532</t>
  </si>
  <si>
    <t>Vitis vinifera subsp vinifera cv. Mérille</t>
  </si>
  <si>
    <t>Vitis vinifera subsp vinifera cv. Merlot</t>
  </si>
  <si>
    <t>Vitis vinifera subsp vinifera cv. Merlot blanc</t>
  </si>
  <si>
    <t>Vitis vinifera subsp vinifera cv. Merlot gris</t>
  </si>
  <si>
    <t>Vitis vinifera subsp vinifera cv. Merseguera</t>
  </si>
  <si>
    <t>Vitis vinifera subsp vinifera cv. Meslier noir</t>
  </si>
  <si>
    <t>Vitis vinifera subsp vinifera cv. Meslier Saint-François</t>
  </si>
  <si>
    <t>Vitis vinifera subsp vinifera cv. Métis Clerc</t>
  </si>
  <si>
    <t>Vitis vinifera subsp vinifera cv. Meunier</t>
  </si>
  <si>
    <t>Vitis vinifera subsp vinifera cv. Meunier Court Maillé</t>
  </si>
  <si>
    <t>Vitis vinifera subsp vinifera cv. Meunier tête de nègre</t>
  </si>
  <si>
    <t>Vitis vinifera subsp vinifera cv. Mezesfeher</t>
  </si>
  <si>
    <t>Vitis vinifera subsp vinifera cv. Mezesfekete</t>
  </si>
  <si>
    <t>Vitis vinifera subsp vinifera cv. Mezi</t>
  </si>
  <si>
    <t>Vitis vinifera subsp vinifera cv. Mgaloblichvili</t>
  </si>
  <si>
    <t>Vitis vinifera subsp vinifera cv. Michele Palieri = Palieri 5</t>
  </si>
  <si>
    <t>Vitis vinifera subsp vinifera cv. Miguel de Arco</t>
  </si>
  <si>
    <t>Vitis vinifera subsp vinifera cv. Mikveh 17</t>
  </si>
  <si>
    <t>Vitis vinifera subsp vinifera cv. Milgranet</t>
  </si>
  <si>
    <t>Vitis vinifera subsp vinifera cv. Milton</t>
  </si>
  <si>
    <t>Vitis vinifera subsp vinifera cv. Minnella bianca</t>
  </si>
  <si>
    <t>Vitis vinifera subsp vinifera cv. Mireille = Mi 108 C</t>
  </si>
  <si>
    <t>Vitis vinifera subsp vinifera cv. Mirifica = Pirovano 432</t>
  </si>
  <si>
    <t>Vitis vinifera subsp vinifera cv. Mirni</t>
  </si>
  <si>
    <t>Vitis vinifera subsp vinifera cv. Misguli kara</t>
  </si>
  <si>
    <t>Vitis vinifera subsp vinifera cv. Mishung</t>
  </si>
  <si>
    <t>Vitis vinifera subsp vinifera cv. Misket tcherven</t>
  </si>
  <si>
    <t>Vitis vinifera subsp vinifera cv. Misket vratchansky</t>
  </si>
  <si>
    <t>Vitis vinifera subsp vinifera cv. Mission</t>
  </si>
  <si>
    <t>Vitis vinifera subsp vinifera cv. Mistress Hall</t>
  </si>
  <si>
    <t>Vitis vinifera subsp vinifera cv. Mohzel</t>
  </si>
  <si>
    <t>Vitis vinifera subsp vinifera cv. Moldovanka</t>
  </si>
  <si>
    <t>Vitis vinifera subsp vinifera cv. Molette</t>
  </si>
  <si>
    <t>Vitis vinifera subsp vinifera cv. Molinara</t>
  </si>
  <si>
    <t>Vitis vinifera subsp vinifera cv. Molinera gorda</t>
  </si>
  <si>
    <t>Vitis vinifera subsp vinifera cv. Mollar</t>
  </si>
  <si>
    <t>Vitis vinifera subsp vinifera cv. Mollard</t>
  </si>
  <si>
    <t>Vitis vinifera subsp vinifera cv. Monaca</t>
  </si>
  <si>
    <t>Vitis vinifera subsp vinifera cv. Monbadon</t>
  </si>
  <si>
    <t>Vitis vinifera subsp vinifera cv. Mondeuse</t>
  </si>
  <si>
    <t>Vitis vinifera subsp vinifera cv. Mondeuse blanche</t>
  </si>
  <si>
    <t>Vitis vinifera subsp vinifera cv. Mondeuse du Piémont</t>
  </si>
  <si>
    <t>Vitis vinifera subsp vinifera cv. Mondeuse grise</t>
  </si>
  <si>
    <t>Vitis vinifera subsp vinifera cv. Monemvassia</t>
  </si>
  <si>
    <t>Vitis vinifera subsp vinifera cv. Monerac = INRA 1740-1142</t>
  </si>
  <si>
    <t>Vitis vinifera subsp vinifera cv. Monica</t>
  </si>
  <si>
    <t>Vitis vinifera subsp vinifera cv. Monique</t>
  </si>
  <si>
    <t>Vitis vinifera subsp vinifera cv. Monte d'oro = Pirovano 240</t>
  </si>
  <si>
    <t>Vitis vinifera subsp vinifera cv. Montepulciano</t>
  </si>
  <si>
    <t>Vitis vinifera subsp vinifera cv. Montils</t>
  </si>
  <si>
    <t>Vitis vinifera subsp vinifera cv. Montonico bianco</t>
  </si>
  <si>
    <t>Vitis vinifera subsp vinifera cv. Montu</t>
  </si>
  <si>
    <t>Vitis vinifera subsp vinifera cv. Montuonico</t>
  </si>
  <si>
    <t>Vitis vinifera subsp vinifera cv. Morenillo</t>
  </si>
  <si>
    <t>Vitis vinifera subsp vinifera cv. Moreto</t>
  </si>
  <si>
    <t>Vitis vinifera subsp vinifera cv. Moriot Muskat = Geilweilerhof I-28-30</t>
  </si>
  <si>
    <t>Vitis vinifera subsp vinifera cv. Morisca</t>
  </si>
  <si>
    <t>Vitis vinifera subsp vinifera cv. Morlin gris</t>
  </si>
  <si>
    <t>Vitis vinifera subsp vinifera cv. Mornen</t>
  </si>
  <si>
    <t>Vitis vinifera subsp vinifera cv. Morrastel</t>
  </si>
  <si>
    <t>Vitis vinifera subsp vinifera cv. Morrastel Bouschet à gros grains</t>
  </si>
  <si>
    <t>Vitis vinifera subsp vinifera cv. Moscatel de Camarate</t>
  </si>
  <si>
    <t>Vitis vinifera subsp vinifera cv. Moscatel de San Ildefonso</t>
  </si>
  <si>
    <t>Vitis vinifera subsp vinifera cv. Moscatel Dr Soares Franco</t>
  </si>
  <si>
    <t>Vitis vinifera subsp vinifera cv. Moscatel rosa = Leao Ferreira da Almeida 37-51-15</t>
  </si>
  <si>
    <t>Vitis vinifera subsp vinifera cv. Moscatel rosado</t>
  </si>
  <si>
    <t>Vitis vinifera subsp vinifera cv. Moscato Cerletti</t>
  </si>
  <si>
    <t>Vitis vinifera subsp vinifera cv. Moscato d'Adda</t>
  </si>
  <si>
    <t>Vitis vinifera subsp vinifera cv. Moscato giallo</t>
  </si>
  <si>
    <t>Vitis vinifera subsp vinifera cv. Moscato Tiammor = Pirovano 672</t>
  </si>
  <si>
    <t>Vitis vinifera subsp vinifera cv. Moschardina</t>
  </si>
  <si>
    <t>Vitis vinifera subsp vinifera cv. Moschopatata</t>
  </si>
  <si>
    <t>Vitis vinifera subsp vinifera cv. Mouchketny</t>
  </si>
  <si>
    <t>Vitis vinifera subsp vinifera cv. Moudjouretouli</t>
  </si>
  <si>
    <t>Vitis vinifera subsp vinifera cv. Mourisco branco</t>
  </si>
  <si>
    <t>Vitis vinifera subsp vinifera cv. Mourisco de Semente</t>
  </si>
  <si>
    <t>Vitis vinifera subsp vinifera cv. Mourisco du Minho</t>
  </si>
  <si>
    <t>Vitis vinifera subsp vinifera cv. Mourisco nacional</t>
  </si>
  <si>
    <t>Vitis vinifera subsp vinifera cv. Mourisco tinto</t>
  </si>
  <si>
    <t>Vitis vinifera subsp vinifera cv. Mourtaou</t>
  </si>
  <si>
    <t>Vitis vinifera subsp vinifera cv. Mourtès</t>
  </si>
  <si>
    <t>Vitis vinifera subsp vinifera cv. Mourvaison</t>
  </si>
  <si>
    <t>Vitis vinifera subsp vinifera cv. Mourvèdre</t>
  </si>
  <si>
    <t>Vitis vinifera subsp vinifera cv. Mourvèdre gris</t>
  </si>
  <si>
    <t>Vitis vinifera subsp vinifera cv. Mouscha</t>
  </si>
  <si>
    <t>Vitis vinifera subsp vinifera cv. Mouyssaguès</t>
  </si>
  <si>
    <t>Vitis vinifera subsp vinifera cv. Mskhali</t>
  </si>
  <si>
    <t>Vitis vinifera subsp vinifera cv. Mtzvané</t>
  </si>
  <si>
    <t>Vitis vinifera subsp vinifera cv. Mulata = Leao Ferreira da Almeida 11-48-49</t>
  </si>
  <si>
    <t>Vitis vinifera subsp vinifera cv. Müller-Thurgau</t>
  </si>
  <si>
    <t>Vitis vinifera subsp vinifera cv. Munkatsy Jozsef Muskotaly</t>
  </si>
  <si>
    <t>Vitis vinifera subsp vinifera cv. Muresconu = Morescono</t>
  </si>
  <si>
    <t>Vitis vinifera subsp vinifera cv. Mureto</t>
  </si>
  <si>
    <t>Vitis vinifera subsp vinifera cv. Murrâo</t>
  </si>
  <si>
    <t>Vitis vinifera subsp vinifera cv. Muscadelle</t>
  </si>
  <si>
    <t>Vitis vinifera subsp vinifera cv. Muscardin</t>
  </si>
  <si>
    <t>Vitis vinifera subsp vinifera cv. Muscat à petits grains blancs</t>
  </si>
  <si>
    <t>Vitis vinifera subsp vinifera cv. Muscat à petits grains roses</t>
  </si>
  <si>
    <t>Vitis vinifera subsp vinifera cv. Muscat à petits grains rouges</t>
  </si>
  <si>
    <t>Vitis vinifera subsp vinifera cv. Muscat bifère</t>
  </si>
  <si>
    <t>Vitis vinifera subsp vinifera cv. Muscat Bouschet</t>
  </si>
  <si>
    <t>Vitis vinifera subsp vinifera cv. Muscat cendré</t>
  </si>
  <si>
    <t>Vitis vinifera subsp vinifera cv. Muscat d'Alexandrie</t>
  </si>
  <si>
    <t>Vitis vinifera subsp vinifera cv. Muscat d'Alexandrie rouge</t>
  </si>
  <si>
    <t>Vitis vinifera subsp vinifera cv. Muscat de Hambourg</t>
  </si>
  <si>
    <t>Vitis vinifera subsp vinifera cv. Muscat de Pantelleria</t>
  </si>
  <si>
    <t>Vitis vinifera subsp vinifera cv. Muscat de Roussé</t>
  </si>
  <si>
    <t>Vitis vinifera subsp vinifera cv. Muscat de Sarbelle</t>
  </si>
  <si>
    <t>Vitis vinifera subsp vinifera cv. Muscat de Saumur</t>
  </si>
  <si>
    <t>Vitis vinifera subsp vinifera cv. Muscat de Terracina</t>
  </si>
  <si>
    <t>Vitis vinifera subsp vinifera cv. Muscat d'Eisenstadt</t>
  </si>
  <si>
    <t>Vitis vinifera subsp vinifera cv. Muscat d'Istamboul</t>
  </si>
  <si>
    <t>Vitis vinifera subsp vinifera cv. Muscat d'Ouzbekistan</t>
  </si>
  <si>
    <t>Vitis vinifera subsp vinifera cv. Muscat fleur d'oranger</t>
  </si>
  <si>
    <t>Vitis vinifera subsp vinifera cv. Muscat fleur d'oranger faux</t>
  </si>
  <si>
    <t>Vitis vinifera subsp vinifera cv. Muscat gris de la Calmette</t>
  </si>
  <si>
    <t>Vitis vinifera subsp vinifera cv. Muscat Laserelle</t>
  </si>
  <si>
    <t>Vitis vinifera subsp vinifera cv. Muscat Lierval</t>
  </si>
  <si>
    <t>Vitis vinifera subsp vinifera cv. Muscat Madresfield Court</t>
  </si>
  <si>
    <t>Vitis vinifera subsp vinifera cv. Muscat Mikveh</t>
  </si>
  <si>
    <t>Vitis vinifera subsp vinifera cv. Muscat Oberlin</t>
  </si>
  <si>
    <t>Vitis vinifera subsp vinifera cv. Muscat Ottonel</t>
  </si>
  <si>
    <t>Vitis vinifera subsp vinifera cv. Muscat Paulsen = Paulsen 122</t>
  </si>
  <si>
    <t>Vitis vinifera subsp vinifera cv. Muscat Pince's black</t>
  </si>
  <si>
    <t>Vitis vinifera subsp vinifera cv. Muscat rouge de Madère</t>
  </si>
  <si>
    <t>Vitis vinifera subsp vinifera cv. Muscat Saint-Laurent</t>
  </si>
  <si>
    <t>Vitis vinifera subsp vinifera cv. Muscat Salomon</t>
  </si>
  <si>
    <t>Vitis vinifera subsp vinifera cv. Muscat Vira</t>
  </si>
  <si>
    <t>Vitis vinifera subsp vinifera cv. Muscat Vörösmarty</t>
  </si>
  <si>
    <t>Vitis vinifera subsp vinifera cv. Muskat blume</t>
  </si>
  <si>
    <t>Vitis vinifera subsp vinifera cv. Muskat bouquet</t>
  </si>
  <si>
    <t>Vitis vinifera subsp vinifera cv. Müsküle</t>
  </si>
  <si>
    <t>Vitis vinifera subsp vinifera cv. Mustos feher</t>
  </si>
  <si>
    <t>Vitis vinifera subsp vinifera cv. Nagyfüger</t>
  </si>
  <si>
    <t>Vitis vinifera subsp vinifera cv. Naosé</t>
  </si>
  <si>
    <t>Vitis vinifera subsp vinifera cv. Narince</t>
  </si>
  <si>
    <t>Vitis vinifera subsp vinifera cv. Narma</t>
  </si>
  <si>
    <t>Vitis vinifera subsp vinifera cv. Nasco</t>
  </si>
  <si>
    <t>Vitis vinifera subsp vinifera cv. Nave</t>
  </si>
  <si>
    <t>Vitis vinifera subsp vinifera cv. Nebbiolo</t>
  </si>
  <si>
    <t>Vitis vinifera subsp vinifera cv. Nedelcsev magvatlana</t>
  </si>
  <si>
    <t>Vitis vinifera subsp vinifera cv. Nedeltchev VI-4</t>
  </si>
  <si>
    <t>Vitis vinifera subsp vinifera cv. Nedeltchev V-6</t>
  </si>
  <si>
    <t>Vitis vinifera subsp vinifera cv. Negra corriente</t>
  </si>
  <si>
    <t>Vitis vinifera subsp vinifera cv. Negra mole</t>
  </si>
  <si>
    <t>Vitis vinifera subsp vinifera cv. Negra rayada</t>
  </si>
  <si>
    <t>Vitis vinifera subsp vinifera cv. Negral</t>
  </si>
  <si>
    <t>Vitis vinifera subsp vinifera cv. Negrara trentina</t>
  </si>
  <si>
    <t>Vitis vinifera subsp vinifera cv. Negrara veronese</t>
  </si>
  <si>
    <t>Vitis vinifera subsp vinifera cv. Négret de Banhars</t>
  </si>
  <si>
    <t>Vitis vinifera subsp vinifera cv. Négret de la Canourgue</t>
  </si>
  <si>
    <t>Vitis vinifera subsp vinifera cv. Négret pointu</t>
  </si>
  <si>
    <t>Vitis vinifera subsp vinifera cv. Négrette</t>
  </si>
  <si>
    <t>Vitis vinifera subsp vinifera cv. Negretto</t>
  </si>
  <si>
    <t>Vitis vinifera subsp vinifera cv. Negro amaro</t>
  </si>
  <si>
    <t>Vitis vinifera subsp vinifera cv. Negro mouro</t>
  </si>
  <si>
    <t>Vitis vinifera subsp vinifera cv. Negronza</t>
  </si>
  <si>
    <t>Vitis vinifera subsp vinifera cv. Negru de Causani</t>
  </si>
  <si>
    <t>Vitis vinifera subsp vinifera cv. Negru mare</t>
  </si>
  <si>
    <t>Vitis vinifera subsp vinifera cv. Negru moale</t>
  </si>
  <si>
    <t>Vitis vinifera subsp vinifera cv. Negru virtos</t>
  </si>
  <si>
    <t>Vitis vinifera subsp vinifera cv. Nehelescol</t>
  </si>
  <si>
    <t>Vitis vinifera subsp vinifera cv. Nemorin</t>
  </si>
  <si>
    <t>Vitis vinifera subsp vinifera cv. Nerello cappucio</t>
  </si>
  <si>
    <t>Vitis vinifera subsp vinifera cv. Nerello mascalese</t>
  </si>
  <si>
    <t>Vitis vinifera subsp vinifera cv. Neretta cuneese</t>
  </si>
  <si>
    <t>Vitis vinifera subsp vinifera cv. Neretto di Bairo</t>
  </si>
  <si>
    <t>Vitis vinifera subsp vinifera cv. Neretto grosso monregalese</t>
  </si>
  <si>
    <t>Vitis vinifera subsp vinifera cv. Nerona</t>
  </si>
  <si>
    <t>Vitis vinifera subsp vinifera cv. Netter</t>
  </si>
  <si>
    <t>Vitis vinifera subsp vinifera cv. Neuburger</t>
  </si>
  <si>
    <t>Vitis vinifera subsp vinifera cv. Neuburger (Roumanie)</t>
  </si>
  <si>
    <t>Vitis vinifera subsp vinifera cv. Nieddera</t>
  </si>
  <si>
    <t>Vitis vinifera subsp vinifera cv. Nieddu mannu gris</t>
  </si>
  <si>
    <t>Vitis vinifera subsp vinifera cv. Nielluccio</t>
  </si>
  <si>
    <t>Vitis vinifera subsp vinifera cv. Niger = Pirovano 486</t>
  </si>
  <si>
    <t>Vitis vinifera subsp vinifera cv. Nimrang</t>
  </si>
  <si>
    <t>Vitis vinifera subsp vinifera cv. Nimrang rouge</t>
  </si>
  <si>
    <t>Vitis vinifera subsp vinifera cv. Nincusa</t>
  </si>
  <si>
    <t>Vitis vinifera subsp vinifera cv. Niou-Sin</t>
  </si>
  <si>
    <t>Vitis vinifera subsp vinifera cv. Nobling = 128-40 Fribourg</t>
  </si>
  <si>
    <t>Vitis vinifera subsp vinifera cv. Nocera</t>
  </si>
  <si>
    <t>Vitis vinifera subsp vinifera cv. Noé</t>
  </si>
  <si>
    <t>Vitis vinifera subsp vinifera cv. Nogier 58-1</t>
  </si>
  <si>
    <t>Vitis vinifera subsp vinifera cv. Noir Fleurien</t>
  </si>
  <si>
    <t>Vitis vinifera subsp vinifera cv. Noir Glady</t>
  </si>
  <si>
    <t>Vitis vinifera subsp vinifera cv. Noir hâtif de Marseille</t>
  </si>
  <si>
    <t>Vitis vinifera subsp vinifera cv. Nosiola</t>
  </si>
  <si>
    <t>Vitis vinifera subsp vinifera cv. Noual</t>
  </si>
  <si>
    <t>Vitis vinifera subsp vinifera cv. Noulisok</t>
  </si>
  <si>
    <t>Vitis vinifera subsp vinifera cv. Novraste</t>
  </si>
  <si>
    <t>Vitis vinifera subsp vinifera cv. Nuno gomes</t>
  </si>
  <si>
    <t>Vitis vinifera subsp vinifera cv. Nuragus</t>
  </si>
  <si>
    <t>Vitis vinifera subsp vinifera cv. Obak bieli</t>
  </si>
  <si>
    <t>Vitis vinifera subsp vinifera cv. Obeidi</t>
  </si>
  <si>
    <t>Vitis vinifera subsp vinifera cv. Odem</t>
  </si>
  <si>
    <t>Vitis vinifera subsp vinifera cv. Odesky tcherny</t>
  </si>
  <si>
    <t>Vitis vinifera subsp vinifera cv. Odjalechi</t>
  </si>
  <si>
    <t>Vitis vinifera subsp vinifera cv. Odjou batak</t>
  </si>
  <si>
    <t>Vitis vinifera subsp vinifera cv. Odola</t>
  </si>
  <si>
    <t>Vitis vinifera subsp vinifera cv. Oeillade Bouschet n°1</t>
  </si>
  <si>
    <t>Vitis vinifera subsp vinifera cv. Oeillade bouschet n°4</t>
  </si>
  <si>
    <t>Vitis vinifera subsp vinifera cv. Oeillade noire</t>
  </si>
  <si>
    <t>Vitis vinifera subsp vinifera cv. Ofner</t>
  </si>
  <si>
    <t>Vitis vinifera subsp vinifera cv. Ohanès</t>
  </si>
  <si>
    <t>Vitis vinifera subsp vinifera cv. Okatac</t>
  </si>
  <si>
    <t>Vitis vinifera subsp vinifera cv. Oktiabrskii</t>
  </si>
  <si>
    <t>Vitis vinifera subsp vinifera cv. Öküz gözü</t>
  </si>
  <si>
    <t>Vitis vinifera subsp vinifera cv. Öküz gözü par erreur</t>
  </si>
  <si>
    <t>Vitis vinifera subsp vinifera cv. Olasz kadarka</t>
  </si>
  <si>
    <t>Vitis vinifera subsp vinifera cv. Olber weiss</t>
  </si>
  <si>
    <t>Vitis vinifera subsp vinifera cv. Olho de cocco</t>
  </si>
  <si>
    <t>Vitis vinifera subsp vinifera cv. Olho de Pargo</t>
  </si>
  <si>
    <t>Vitis vinifera subsp vinifera cv. Olivette Barthelet</t>
  </si>
  <si>
    <t>Vitis vinifera subsp vinifera cv. Olivette blanche</t>
  </si>
  <si>
    <t>Vitis vinifera subsp vinifera cv. Olivette noire</t>
  </si>
  <si>
    <t>Vitis vinifera subsp vinifera cv. Olivette rose</t>
  </si>
  <si>
    <t>Vitis vinifera subsp vinifera cv. Om Reu</t>
  </si>
  <si>
    <t>Vitis vinifera subsp vinifera cv. Onchette</t>
  </si>
  <si>
    <t>Vitis vinifera subsp vinifera cv. Ondenc</t>
  </si>
  <si>
    <t>Vitis vinifera subsp vinifera cv. Onusta</t>
  </si>
  <si>
    <t>Vitis vinifera subsp vinifera cv. Opale = Pirovano 213</t>
  </si>
  <si>
    <t>Vitis vinifera subsp vinifera cv. Oporto feher</t>
  </si>
  <si>
    <t>Vitis vinifera subsp vinifera cv. Oporto szürke</t>
  </si>
  <si>
    <t>Vitis vinifera subsp vinifera cv. Opsimos Edessis</t>
  </si>
  <si>
    <t>Vitis vinifera subsp vinifera cv. Optima = Geilweilerhof 33-13-113</t>
  </si>
  <si>
    <t>Vitis vinifera subsp vinifera cv. Ora = INRA 2403-3</t>
  </si>
  <si>
    <t>Vitis vinifera subsp vinifera cv. Orangetraube</t>
  </si>
  <si>
    <t>Vitis vinifera subsp vinifera cv. Orbois = Arbois</t>
  </si>
  <si>
    <t>Vitis vinifera subsp vinifera cv. Org tokos</t>
  </si>
  <si>
    <t>Vitis vinifera subsp vinifera cv. Orléans jaune</t>
  </si>
  <si>
    <t>Vitis vinifera subsp vinifera cv. Orlovi nogti</t>
  </si>
  <si>
    <t>Vitis vinifera subsp vinifera cv. Orlovi nokti cerni</t>
  </si>
  <si>
    <t>Vitis vinifera subsp vinifera cv. Ornove</t>
  </si>
  <si>
    <t>Vitis vinifera subsp vinifera cv. Ornove 2</t>
  </si>
  <si>
    <t>Vitis vinifera subsp vinifera cv. Örrökké piros</t>
  </si>
  <si>
    <t>Vitis vinifera subsp vinifera cv. Ortega = Würzburg B 48-21-4</t>
  </si>
  <si>
    <t>Vitis vinifera subsp vinifera cv. Ortrugo</t>
  </si>
  <si>
    <t>Vitis vinifera subsp vinifera cv. Otcha bala</t>
  </si>
  <si>
    <t>Vitis vinifera subsp vinifera cv. Ötfürtü</t>
  </si>
  <si>
    <t>Vitis vinifera subsp vinifera cv. Oul b'Ouzgueur</t>
  </si>
  <si>
    <t>Vitis vinifera subsp vinifera cv. Ouliven</t>
  </si>
  <si>
    <t>Vitis vinifera subsp vinifera cv. Ouroum üzümü</t>
  </si>
  <si>
    <t>Vitis vinifera subsp vinifera cv. Oussakheloouri</t>
  </si>
  <si>
    <t>Vitis vinifera subsp vinifera cv. Outanant</t>
  </si>
  <si>
    <t>Vitis vinifera subsp vinifera cv. Ovis</t>
  </si>
  <si>
    <t>Vitis vinifera subsp vinifera cv. Ozaan Daii</t>
  </si>
  <si>
    <t>Vitis vinifera subsp vinifera cv. Padeiro de Basto</t>
  </si>
  <si>
    <t>Vitis vinifera subsp vinifera cv. Pagadebiti</t>
  </si>
  <si>
    <t>Vitis vinifera subsp vinifera cv. Pagadebito</t>
  </si>
  <si>
    <t>Vitis vinifera subsp vinifera cv. Païs</t>
  </si>
  <si>
    <t>Vitis vinifera subsp vinifera cv. Palarusa</t>
  </si>
  <si>
    <t>Vitis vinifera subsp vinifera cv. Palestina Oberlin I</t>
  </si>
  <si>
    <t>Vitis vinifera subsp vinifera cv. Palestina Oberlin II</t>
  </si>
  <si>
    <t>Vitis vinifera subsp vinifera cv. Palestina Oberlin III</t>
  </si>
  <si>
    <t>Vitis vinifera subsp vinifera cv. Pallagrello nero</t>
  </si>
  <si>
    <t>Vitis vinifera subsp vinifera cv. Pamid</t>
  </si>
  <si>
    <t>Vitis vinifera subsp vinifera cv. Pamid bial</t>
  </si>
  <si>
    <t>Vitis vinifera subsp vinifera cv. Pamid siv</t>
  </si>
  <si>
    <t>Vitis vinifera subsp vinifera cv. Pamid tcher</t>
  </si>
  <si>
    <t>Vitis vinifera subsp vinifera cv. Pamidi</t>
  </si>
  <si>
    <t>Vitis vinifera subsp vinifera cv. Pannonia kincse</t>
  </si>
  <si>
    <t>Vitis vinifera subsp vinifera cv. Panse précoce</t>
  </si>
  <si>
    <t>Vitis vinifera subsp vinifera cv. Pansera</t>
  </si>
  <si>
    <t>Vitis vinifera subsp vinifera cv. Papadiko</t>
  </si>
  <si>
    <t>Vitis vinifera subsp vinifera cv. Papasca neagra</t>
  </si>
  <si>
    <t>Vitis vinifera subsp vinifera cv. Papaskarasi</t>
  </si>
  <si>
    <t>Vitis vinifera subsp vinifera cv. Paradisa</t>
  </si>
  <si>
    <t>Vitis vinifera subsp vinifera cv. Pardillo</t>
  </si>
  <si>
    <t>Vitis vinifera subsp vinifera cv. Pardina = Pirovano 130</t>
  </si>
  <si>
    <t>Vitis vinifera subsp vinifera cv. Pardotte</t>
  </si>
  <si>
    <t>Vitis vinifera subsp vinifera cv. Parduca</t>
  </si>
  <si>
    <t>Vitis vinifera subsp vinifera cv. Parellada</t>
  </si>
  <si>
    <t>Vitis vinifera subsp vinifera cv. Pariano</t>
  </si>
  <si>
    <t>Vitis vinifera subsp vinifera cv. Parkent</t>
  </si>
  <si>
    <t>Vitis vinifera subsp vinifera cv. Pascal</t>
  </si>
  <si>
    <t>Vitis vinifera subsp vinifera cv. Pascale di Cagliari</t>
  </si>
  <si>
    <t>Vitis vinifera subsp vinifera cv. Pasiga</t>
  </si>
  <si>
    <t>Vitis vinifera subsp vinifera cv. Patagonia</t>
  </si>
  <si>
    <t>Vitis vinifera subsp vinifera cv. Pattaresco</t>
  </si>
  <si>
    <t>Vitis vinifera subsp vinifera cv. Patte d'oie</t>
  </si>
  <si>
    <t>Vitis vinifera subsp vinifera cv. Pau Ferro</t>
  </si>
  <si>
    <t>Vitis vinifera subsp vinifera cv. Paulsen 157</t>
  </si>
  <si>
    <t>Vitis vinifera subsp vinifera cv. Pavana</t>
  </si>
  <si>
    <t>Vitis vinifera subsp vinifera cv. Pé de Perdiz</t>
  </si>
  <si>
    <t>Vitis vinifera subsp vinifera cv. Pé de Perdrix</t>
  </si>
  <si>
    <t>Vitis vinifera subsp vinifera cv. Peck</t>
  </si>
  <si>
    <t>Vitis vinifera subsp vinifera cv. Pecorino</t>
  </si>
  <si>
    <t>Vitis vinifera subsp vinifera cv. Pecsi dinka</t>
  </si>
  <si>
    <t>Vitis vinifera subsp vinifera cv. Pecsi Szagos</t>
  </si>
  <si>
    <t>Vitis vinifera subsp vinifera cv. Pedevenda</t>
  </si>
  <si>
    <t>Vitis vinifera subsp vinifera cv. Pedro Gimenez faux</t>
  </si>
  <si>
    <t>Vitis vinifera subsp vinifera cv. Pedro Jimenez</t>
  </si>
  <si>
    <t>Vitis vinifera subsp vinifera cv. Pedro Luis</t>
  </si>
  <si>
    <t>Vitis vinifera subsp vinifera cv. Pedrol</t>
  </si>
  <si>
    <t>Vitis vinifera subsp vinifera cv. Peikani</t>
  </si>
  <si>
    <t>Vitis vinifera subsp vinifera cv. Peince</t>
  </si>
  <si>
    <t>Vitis vinifera subsp vinifera cv. Peloursin</t>
  </si>
  <si>
    <t>Vitis vinifera subsp vinifera cv. Peloursin gris</t>
  </si>
  <si>
    <t>Vitis vinifera subsp vinifera cv. Penouille</t>
  </si>
  <si>
    <t>Vitis vinifera subsp vinifera cv. Perdea</t>
  </si>
  <si>
    <t>Vitis vinifera subsp vinifera cv. Perel</t>
  </si>
  <si>
    <t>Vitis vinifera subsp vinifera cv. Pergolese</t>
  </si>
  <si>
    <t>Vitis vinifera subsp vinifera cv. Pergrandis = Pirovano 388</t>
  </si>
  <si>
    <t>Vitis vinifera subsp vinifera cv. Periquita</t>
  </si>
  <si>
    <t>Vitis vinifera subsp vinifera cv. Perla nera = Pirovano 218</t>
  </si>
  <si>
    <t>Vitis vinifera subsp vinifera cv. Perlaut = INRA 669-45</t>
  </si>
  <si>
    <t>Vitis vinifera subsp vinifera cv. Perle = Scheu 3951</t>
  </si>
  <si>
    <t>Vitis vinifera subsp vinifera cv. Perle de Csaba</t>
  </si>
  <si>
    <t>Vitis vinifera subsp vinifera cv. Perle de Csaba rouge</t>
  </si>
  <si>
    <t>Vitis vinifera subsp vinifera cv. Perle impériale blanche</t>
  </si>
  <si>
    <t>Vitis vinifera subsp vinifera cv. Perlette</t>
  </si>
  <si>
    <t>Vitis vinifera subsp vinifera cv. Perlon</t>
  </si>
  <si>
    <t>Vitis vinifera subsp vinifera cv. Perlona = Pirovano 54</t>
  </si>
  <si>
    <t>Vitis vinifera subsp vinifera cv. Perola da Gestosa</t>
  </si>
  <si>
    <t>Vitis vinifera subsp vinifera cv. Perricone</t>
  </si>
  <si>
    <t>Vitis vinifera subsp vinifera cv. Perrier noir</t>
  </si>
  <si>
    <t>Vitis vinifera subsp vinifera cv. Perrum</t>
  </si>
  <si>
    <t>Vitis vinifera subsp vinifera cv. Perruno</t>
  </si>
  <si>
    <t>Vitis vinifera subsp vinifera cv. Persagne grise</t>
  </si>
  <si>
    <t>Vitis vinifera subsp vinifera cv. Persan</t>
  </si>
  <si>
    <t>Vitis vinifera subsp vinifera cv. Pervenetz praskoveisky</t>
  </si>
  <si>
    <t>Vitis vinifera subsp vinifera cv. Petinos</t>
  </si>
  <si>
    <t>Vitis vinifera subsp vinifera cv. Petit Blanchou</t>
  </si>
  <si>
    <t>Vitis vinifera subsp vinifera cv. Petit Bouschet</t>
  </si>
  <si>
    <t>Vitis vinifera subsp vinifera cv. Petit Bouschet à feuilles de Malvoisie</t>
  </si>
  <si>
    <t>Vitis vinifera subsp vinifera cv. Petit Bouschet à feuilles lisses x Aramon n°2</t>
  </si>
  <si>
    <t>Vitis vinifera subsp vinifera cv. Petit Bouschet à feuilles lisses x Aramon n°3</t>
  </si>
  <si>
    <t>Vitis vinifera subsp vinifera cv. Petit Bouschet à feuilles lisses x Aramon n°5</t>
  </si>
  <si>
    <t>Vitis vinifera subsp vinifera cv. Petit Bouschet extra fertile</t>
  </si>
  <si>
    <t>Vitis vinifera subsp vinifera cv. Petit Bouschet x Aramon n°1</t>
  </si>
  <si>
    <t>Vitis vinifera subsp vinifera cv. Petit Bouschet x Aramon n°2</t>
  </si>
  <si>
    <t>Vitis vinifera subsp vinifera cv. Petit Bouschet x Aramon n°4</t>
  </si>
  <si>
    <t>Vitis vinifera subsp vinifera cv. Petit Bouschet x Aramon n°6</t>
  </si>
  <si>
    <t>Vitis vinifera subsp vinifera cv. Petit Bouschet x Aramon n°7</t>
  </si>
  <si>
    <t>Vitis vinifera subsp vinifera cv. Petit Bouschet x Aramon n°8</t>
  </si>
  <si>
    <t>Vitis vinifera subsp vinifera cv. Petit Bouschet x Aramon n°9</t>
  </si>
  <si>
    <t>Vitis vinifera subsp vinifera cv. Petit Bouschet x Morrastel fleuri n°1</t>
  </si>
  <si>
    <t>Vitis vinifera subsp vinifera cv. Petit Bouschet x Morrastel n°3</t>
  </si>
  <si>
    <t>Vitis vinifera subsp vinifera cv. Petit Bouschet x Morrastel n°7</t>
  </si>
  <si>
    <t>Vitis vinifera subsp vinifera cv. Petit Bouschet x Piquepoul n°2</t>
  </si>
  <si>
    <t>Vitis vinifera subsp vinifera cv. Petit Bouschet x Terret gris</t>
  </si>
  <si>
    <t>Vitis vinifera subsp vinifera cv. Petit Courbu</t>
  </si>
  <si>
    <t>Vitis vinifera subsp vinifera cv. Petit Manseng</t>
  </si>
  <si>
    <t>Vitis vinifera subsp vinifera cv. Petit Meslier</t>
  </si>
  <si>
    <t>Vitis vinifera subsp vinifera cv. Petit Meslier rose</t>
  </si>
  <si>
    <t>Vitis vinifera subsp vinifera cv. Petit Péjac</t>
  </si>
  <si>
    <t>Vitis vinifera subsp vinifera cv. Petit rouge</t>
  </si>
  <si>
    <t>Vitis vinifera subsp vinifera cv. Petit Verdot</t>
  </si>
  <si>
    <t>Vitis vinifera subsp vinifera cv. Pétoin</t>
  </si>
  <si>
    <t>Vitis vinifera subsp vinifera cv. Peurion</t>
  </si>
  <si>
    <t>Vitis vinifera subsp vinifera cv. Peverella</t>
  </si>
  <si>
    <t>Vitis vinifera subsp vinifera cv. Peygamber üzümü</t>
  </si>
  <si>
    <t>Vitis vinifera subsp vinifera cv. Phakhri</t>
  </si>
  <si>
    <t>Vitis vinifera subsp vinifera cv. Phidia</t>
  </si>
  <si>
    <t>Vitis vinifera subsp vinifera cv. Phileri attikis</t>
  </si>
  <si>
    <t>Vitis vinifera subsp vinifera cv. Phileri rose</t>
  </si>
  <si>
    <t>Vitis vinifera subsp vinifera cv. Phileri rose musqué</t>
  </si>
  <si>
    <t>Vitis vinifera subsp vinifera cv. Phokiano</t>
  </si>
  <si>
    <t>Vitis vinifera subsp vinifera cv. Phraoula rose</t>
  </si>
  <si>
    <t>Vitis vinifera subsp vinifera cv. Picadillo blanco</t>
  </si>
  <si>
    <t>Vitis vinifera subsp vinifera cv. Picardan = Araignan blanc</t>
  </si>
  <si>
    <t>Vitis vinifera subsp vinifera cv. Piccola nera</t>
  </si>
  <si>
    <t>Vitis vinifera subsp vinifera cv. Piccolit</t>
  </si>
  <si>
    <t>Vitis vinifera subsp vinifera cv. Picolin</t>
  </si>
  <si>
    <t>Vitis vinifera subsp vinifera cv. Piedirosso</t>
  </si>
  <si>
    <t>Vitis vinifera subsp vinifera cv. Pigeonnet</t>
  </si>
  <si>
    <t>Vitis vinifera subsp vinifera cv. Pignol</t>
  </si>
  <si>
    <t>Vitis vinifera subsp vinifera cv. Pignola valtellinese</t>
  </si>
  <si>
    <t>Vitis vinifera subsp vinifera cv. Piment</t>
  </si>
  <si>
    <t>Vitis vinifera subsp vinifera cv. Pin el pou Tao</t>
  </si>
  <si>
    <t>Vitis vinifera subsp vinifera cv. Pineau d'Aunis</t>
  </si>
  <si>
    <t>Vitis vinifera subsp vinifera cv. Pineau d'Aunis teinturier</t>
  </si>
  <si>
    <t>Vitis vinifera subsp vinifera cv. Pinella bianca</t>
  </si>
  <si>
    <t>Vitis vinifera subsp vinifera cv. Pinot à fleurs doubles</t>
  </si>
  <si>
    <t>Vitis vinifera subsp vinifera cv. Pinot blanc</t>
  </si>
  <si>
    <t>Vitis vinifera subsp vinifera cv. Pinot gris</t>
  </si>
  <si>
    <t>Vitis vinifera subsp vinifera cv. Pinot lacinifolié</t>
  </si>
  <si>
    <t>Vitis vinifera subsp vinifera cv. Pinot noir</t>
  </si>
  <si>
    <t>Vitis vinifera subsp vinifera cv. Pinot précoce noir</t>
  </si>
  <si>
    <t>Vitis vinifera subsp vinifera cv. Pinot rouge</t>
  </si>
  <si>
    <t>Vitis vinifera subsp vinifera cv. Pinot teinturier</t>
  </si>
  <si>
    <t>Vitis vinifera subsp vinifera cv. Pinot tête de nègre</t>
  </si>
  <si>
    <t>Vitis vinifera subsp vinifera cv. Pinotage</t>
  </si>
  <si>
    <t>Vitis vinifera subsp vinifera cv. Piquepoul blanc</t>
  </si>
  <si>
    <t>Vitis vinifera subsp vinifera cv. Piquepoul Bouschet</t>
  </si>
  <si>
    <t>Vitis vinifera subsp vinifera cv. Piquepoul gris</t>
  </si>
  <si>
    <t>Vitis vinifera subsp vinifera cv. Piquepoul noir</t>
  </si>
  <si>
    <t>Vitis vinifera subsp vinifera cv. Pirciu</t>
  </si>
  <si>
    <t>Vitis vinifera subsp vinifera cv. Pirovano 1</t>
  </si>
  <si>
    <t>Vitis vinifera subsp vinifera cv. Pirovano 11</t>
  </si>
  <si>
    <t>Vitis vinifera subsp vinifera cv. Pirovano 111</t>
  </si>
  <si>
    <t>Vitis vinifera subsp vinifera cv. Pirovano 112</t>
  </si>
  <si>
    <t>Vitis vinifera subsp vinifera cv. Pirovano 113</t>
  </si>
  <si>
    <t>Vitis vinifera subsp vinifera cv. Pirovano 115</t>
  </si>
  <si>
    <t>Vitis vinifera subsp vinifera cv. Pirovano 123</t>
  </si>
  <si>
    <t>Vitis vinifera subsp vinifera cv. Pirovano 14</t>
  </si>
  <si>
    <t>Vitis vinifera subsp vinifera cv. Pirovano 15</t>
  </si>
  <si>
    <t>Vitis vinifera subsp vinifera cv. Pirovano 153</t>
  </si>
  <si>
    <t>Vitis vinifera subsp vinifera cv. Pirovano 154</t>
  </si>
  <si>
    <t>Vitis vinifera subsp vinifera cv. Pirovano 155</t>
  </si>
  <si>
    <t>Vitis vinifera subsp vinifera cv. Pirovano 156</t>
  </si>
  <si>
    <t>Vitis vinifera subsp vinifera cv. Pirovano 157</t>
  </si>
  <si>
    <t>Vitis vinifera subsp vinifera cv. Pirovano 159</t>
  </si>
  <si>
    <t>Vitis vinifera subsp vinifera cv. Pirovano 17</t>
  </si>
  <si>
    <t>Vitis vinifera subsp vinifera cv. Pirovano 174</t>
  </si>
  <si>
    <t>Vitis vinifera subsp vinifera cv. Pirovano 175</t>
  </si>
  <si>
    <t>Vitis vinifera subsp vinifera cv. Pirovano 182</t>
  </si>
  <si>
    <t>Vitis vinifera subsp vinifera cv. Pirovano 186</t>
  </si>
  <si>
    <t>Vitis vinifera subsp vinifera cv. Pirovano 186 a</t>
  </si>
  <si>
    <t>Vitis vinifera subsp vinifera cv. Pirovano 188</t>
  </si>
  <si>
    <t>Vitis vinifera subsp vinifera cv. Pirovano 19</t>
  </si>
  <si>
    <t>Vitis vinifera subsp vinifera cv. Pirovano 190</t>
  </si>
  <si>
    <t>Vitis vinifera subsp vinifera cv. Pirovano 21</t>
  </si>
  <si>
    <t>Vitis vinifera subsp vinifera cv. Pirovano 217</t>
  </si>
  <si>
    <t>Vitis vinifera subsp vinifera cv. Pirovano 219</t>
  </si>
  <si>
    <t>Vitis vinifera subsp vinifera cv. Pirovano 220 b</t>
  </si>
  <si>
    <t>Vitis vinifera subsp vinifera cv. Pirovano 225</t>
  </si>
  <si>
    <t>Vitis vinifera subsp vinifera cv. Pirovano 235</t>
  </si>
  <si>
    <t>Vitis vinifera subsp vinifera cv. Pirovano 24</t>
  </si>
  <si>
    <t>Vitis vinifera subsp vinifera cv. Pirovano 25</t>
  </si>
  <si>
    <t>Vitis vinifera subsp vinifera cv. Pirovano 28</t>
  </si>
  <si>
    <t>Vitis vinifera subsp vinifera cv. Pirovano 3</t>
  </si>
  <si>
    <t>Vitis vinifera subsp vinifera cv. Pirovano 306</t>
  </si>
  <si>
    <t>Vitis vinifera subsp vinifera cv. Pirovano 31</t>
  </si>
  <si>
    <t>Vitis vinifera subsp vinifera cv. Pirovano 312</t>
  </si>
  <si>
    <t>Vitis vinifera subsp vinifera cv. Pirovano 313 a</t>
  </si>
  <si>
    <t>Vitis vinifera subsp vinifera cv. Pirovano 315</t>
  </si>
  <si>
    <t>Vitis vinifera subsp vinifera cv. Pirovano 32</t>
  </si>
  <si>
    <t>Vitis vinifera subsp vinifera cv. Pirovano 321</t>
  </si>
  <si>
    <t>Vitis vinifera subsp vinifera cv. Pirovano 322</t>
  </si>
  <si>
    <t>Vitis vinifera subsp vinifera cv. Pirovano 338</t>
  </si>
  <si>
    <t>Vitis vinifera subsp vinifera cv. Pirovano 344</t>
  </si>
  <si>
    <t>Vitis vinifera subsp vinifera cv. Pirovano 346</t>
  </si>
  <si>
    <t>Vitis vinifera subsp vinifera cv. Pirovano 349</t>
  </si>
  <si>
    <t>Vitis vinifera subsp vinifera cv. Pirovano 352 faux</t>
  </si>
  <si>
    <t>Vitis vinifera subsp vinifera cv. Pirovano 359</t>
  </si>
  <si>
    <t>Vitis vinifera subsp vinifera cv. Pirovano 36</t>
  </si>
  <si>
    <t>Vitis vinifera subsp vinifera cv. Pirovano 378</t>
  </si>
  <si>
    <t>Vitis vinifera subsp vinifera cv. Pirovano 398</t>
  </si>
  <si>
    <t>Vitis vinifera subsp vinifera cv. Pirovano 399</t>
  </si>
  <si>
    <t>Vitis vinifera subsp vinifera cv. Pirovano 4</t>
  </si>
  <si>
    <t>Vitis vinifera subsp vinifera cv. Pirovano 428</t>
  </si>
  <si>
    <t>Vitis vinifera subsp vinifera cv. Pirovano 436</t>
  </si>
  <si>
    <t>Vitis vinifera subsp vinifera cv. Pirovano 46</t>
  </si>
  <si>
    <t>Vitis vinifera subsp vinifera cv. Pirovano 468</t>
  </si>
  <si>
    <t>Vitis vinifera subsp vinifera cv. Pirovano 471</t>
  </si>
  <si>
    <t>Vitis vinifera subsp vinifera cv. Pirovano 477 a</t>
  </si>
  <si>
    <t>Vitis vinifera subsp vinifera cv. Pirovano 49</t>
  </si>
  <si>
    <t>Vitis vinifera subsp vinifera cv. Pirovano 5</t>
  </si>
  <si>
    <t>Vitis vinifera subsp vinifera cv. Pirovano 50</t>
  </si>
  <si>
    <t>Vitis vinifera subsp vinifera cv. Pirovano 51</t>
  </si>
  <si>
    <t>Vitis vinifera subsp vinifera cv. Pirovano 53</t>
  </si>
  <si>
    <t>Vitis vinifera subsp vinifera cv. Pirovano 530</t>
  </si>
  <si>
    <t>Vitis vinifera subsp vinifera cv. Pirovano 531</t>
  </si>
  <si>
    <t>Vitis vinifera subsp vinifera cv. Pirovano 536</t>
  </si>
  <si>
    <t>Vitis vinifera subsp vinifera cv. Pirovano 54 A</t>
  </si>
  <si>
    <t>Vitis vinifera subsp vinifera cv. Pirovano 540 A</t>
  </si>
  <si>
    <t>Vitis vinifera subsp vinifera cv. Pirovano 544</t>
  </si>
  <si>
    <t>Vitis vinifera subsp vinifera cv. Pirovano 55 faux</t>
  </si>
  <si>
    <t>Vitis vinifera subsp vinifera cv. Pirovano 56</t>
  </si>
  <si>
    <t>Vitis vinifera subsp vinifera cv. Pirovano 57</t>
  </si>
  <si>
    <t>Vitis vinifera subsp vinifera cv. Pirovano 575</t>
  </si>
  <si>
    <t>Vitis vinifera subsp vinifera cv. Pirovano 61</t>
  </si>
  <si>
    <t>Vitis vinifera subsp vinifera cv. Pirovano 62</t>
  </si>
  <si>
    <t>Vitis vinifera subsp vinifera cv. Pirovano 620</t>
  </si>
  <si>
    <t>Vitis vinifera subsp vinifera cv. Pirovano 63</t>
  </si>
  <si>
    <t>Vitis vinifera subsp vinifera cv. Pirovano 64</t>
  </si>
  <si>
    <t>Vitis vinifera subsp vinifera cv. Pirovano 66</t>
  </si>
  <si>
    <t>Vitis vinifera subsp vinifera cv. Pirovano 671</t>
  </si>
  <si>
    <t>Vitis vinifera subsp vinifera cv. Pirovano 69</t>
  </si>
  <si>
    <t>Vitis vinifera subsp vinifera cv. Pirovano 74</t>
  </si>
  <si>
    <t>Vitis vinifera subsp vinifera cv. Pirovano 76</t>
  </si>
  <si>
    <t>Vitis vinifera subsp vinifera cv. Pirovano 79</t>
  </si>
  <si>
    <t>Vitis vinifera subsp vinifera cv. Pirovano 80</t>
  </si>
  <si>
    <t>Vitis vinifera subsp vinifera cv. Pirovano 84</t>
  </si>
  <si>
    <t>Vitis vinifera subsp vinifera cv. Pirovano 88</t>
  </si>
  <si>
    <t>Vitis vinifera subsp vinifera cv. Pirovano 91</t>
  </si>
  <si>
    <t>Vitis vinifera subsp vinifera cv. Pirovano 92</t>
  </si>
  <si>
    <t>Vitis vinifera subsp vinifera cv. Pirovano 93</t>
  </si>
  <si>
    <t>Vitis vinifera subsp vinifera cv. Pirovano 94</t>
  </si>
  <si>
    <t>Vitis vinifera subsp vinifera cv. Pirovano 95</t>
  </si>
  <si>
    <t>Vitis vinifera subsp vinifera cv. Pirovano 96</t>
  </si>
  <si>
    <t>Vitis vinifera subsp vinifera cv. Pirovano 97</t>
  </si>
  <si>
    <t>Vitis vinifera subsp vinifera cv. Pirovano 98</t>
  </si>
  <si>
    <t>Vitis vinifera subsp vinifera cv. Pirovano 99</t>
  </si>
  <si>
    <t>Vitis vinifera subsp vinifera cv. Pizzutello nero</t>
  </si>
  <si>
    <t>Vitis vinifera subsp vinifera cv. Plant d'Aoste</t>
  </si>
  <si>
    <t>Vitis vinifera subsp vinifera cv. Plant de Brunel</t>
  </si>
  <si>
    <t>Vitis vinifera subsp vinifera cv. Plant de Couston</t>
  </si>
  <si>
    <t>Vitis vinifera subsp vinifera cv. Plant de Flassans</t>
  </si>
  <si>
    <t>Vitis vinifera subsp vinifera cv. Plant droit</t>
  </si>
  <si>
    <t>Vitis vinifera subsp vinifera cv. Plant Vert</t>
  </si>
  <si>
    <t>Vitis vinifera subsp vinifera cv. Planta mula</t>
  </si>
  <si>
    <t>Vitis vinifera subsp vinifera cv. Planta nova</t>
  </si>
  <si>
    <t>Vitis vinifera subsp vinifera cv. Plassa</t>
  </si>
  <si>
    <t>Vitis vinifera subsp vinifera cv. Platyracho</t>
  </si>
  <si>
    <t>Vitis vinifera subsp vinifera cv. Plavac mali (Jelaska)</t>
  </si>
  <si>
    <t>Vitis vinifera subsp vinifera cv. Plavaï</t>
  </si>
  <si>
    <t>Vitis vinifera subsp vinifera cv. Plavina crna</t>
  </si>
  <si>
    <t>Vitis vinifera subsp vinifera cv. Pletchistik</t>
  </si>
  <si>
    <t>Vitis vinifera subsp vinifera cv. Plyto</t>
  </si>
  <si>
    <t>Vitis vinifera subsp vinifera cv. Pobeda</t>
  </si>
  <si>
    <t>Vitis vinifera subsp vinifera cv. Pointu</t>
  </si>
  <si>
    <t>Vitis vinifera subsp vinifera cv. Pollera nera</t>
  </si>
  <si>
    <t>Vitis vinifera subsp vinifera cv. Pollita</t>
  </si>
  <si>
    <t>Vitis vinifera subsp vinifera cv. Portan = INRA 1508-25</t>
  </si>
  <si>
    <t>Vitis vinifera subsp vinifera cv. Portugais blanc</t>
  </si>
  <si>
    <t>Vitis vinifera subsp vinifera cv. Portugais bleu</t>
  </si>
  <si>
    <t>Vitis vinifera subsp vinifera cv. Posip</t>
  </si>
  <si>
    <t>Vitis vinifera subsp vinifera cv. Potamissio</t>
  </si>
  <si>
    <t>Vitis vinifera subsp vinifera cv. Pougayen</t>
  </si>
  <si>
    <t>Vitis vinifera subsp vinifera cv. Pougnet</t>
  </si>
  <si>
    <t>Vitis vinifera subsp vinifera cv. Poulsard</t>
  </si>
  <si>
    <t>Vitis vinifera subsp vinifera cv. Poulsard blanc</t>
  </si>
  <si>
    <t>Vitis vinifera subsp vinifera cv. Poulsard rouge</t>
  </si>
  <si>
    <t>Vitis vinifera subsp vinifera cv. Pozsonyi feher</t>
  </si>
  <si>
    <t>Vitis vinifera subsp vinifera cv. Prc</t>
  </si>
  <si>
    <t>Vitis vinifera subsp vinifera cv. Précoce Bousquet</t>
  </si>
  <si>
    <t>Vitis vinifera subsp vinifera cv. Précoce de Malingre</t>
  </si>
  <si>
    <t>Vitis vinifera subsp vinifera cv. Précoce di Roma = Pirovano 707</t>
  </si>
  <si>
    <t>Vitis vinifera subsp vinifera cv. Premier</t>
  </si>
  <si>
    <t>Vitis vinifera subsp vinifera cv. Président Carnot</t>
  </si>
  <si>
    <t>Vitis vinifera subsp vinifera cv. Preto Martinho</t>
  </si>
  <si>
    <t>Vitis vinifera subsp vinifera cv. Preto salmoura</t>
  </si>
  <si>
    <t>Vitis vinifera subsp vinifera cv. Prima =  INRA 2719-122</t>
  </si>
  <si>
    <t>Vitis vinifera subsp vinifera cv. Primiera = Pirovano 309</t>
  </si>
  <si>
    <t>Vitis vinifera subsp vinifera cv. Primitivo</t>
  </si>
  <si>
    <t>Vitis vinifera subsp vinifera cv. Prin blanc</t>
  </si>
  <si>
    <t>Vitis vinifera subsp vinifera cv. Prince of Wales</t>
  </si>
  <si>
    <t>Vitis vinifera subsp vinifera cv. Princeps = Pirovano 357</t>
  </si>
  <si>
    <t>Vitis vinifera subsp vinifera cv. Principessa di Piemonte = Pirovano 108</t>
  </si>
  <si>
    <t>Vitis vinifera subsp vinifera cv. Prista</t>
  </si>
  <si>
    <t>Vitis vinifera subsp vinifera cv. Prodigiosa = Pirovano 59</t>
  </si>
  <si>
    <t>Vitis vinifera subsp vinifera cv. Prokupac</t>
  </si>
  <si>
    <t>Vitis vinifera subsp vinifera cv. Prosecco</t>
  </si>
  <si>
    <t>Vitis vinifera subsp vinifera cv. Prosecco lungo</t>
  </si>
  <si>
    <t>Vitis vinifera subsp vinifera cv. Prosperi 102</t>
  </si>
  <si>
    <t>Vitis vinifera subsp vinifera cv. Prosperi 167</t>
  </si>
  <si>
    <t>Vitis vinifera subsp vinifera cv. Prosperi 201</t>
  </si>
  <si>
    <t>Vitis vinifera subsp vinifera cv. Prosperi 204</t>
  </si>
  <si>
    <t>Vitis vinifera subsp vinifera cv. Prosperi 262</t>
  </si>
  <si>
    <t>Vitis vinifera subsp vinifera cv. Prosperi 268</t>
  </si>
  <si>
    <t>Vitis vinifera subsp vinifera cv. Prosperi 285</t>
  </si>
  <si>
    <t>Vitis vinifera subsp vinifera cv. Prosperi 37</t>
  </si>
  <si>
    <t>Vitis vinifera subsp vinifera cv. Prosperi 371</t>
  </si>
  <si>
    <t>Vitis vinifera subsp vinifera cv. Prosperi 8</t>
  </si>
  <si>
    <t>Vitis vinifera subsp vinifera cv. Prosperi 97</t>
  </si>
  <si>
    <t>Vitis vinifera subsp vinifera cv. Proueral</t>
  </si>
  <si>
    <t>Vitis vinifera subsp vinifera cv. Prueras</t>
  </si>
  <si>
    <t>Vitis vinifera subsp vinifera cv. Prune de Cazouls</t>
  </si>
  <si>
    <t>Vitis vinifera subsp vinifera cv. Prunelard</t>
  </si>
  <si>
    <t>Vitis vinifera subsp vinifera cv. Prunella moscato = Pirovano 47</t>
  </si>
  <si>
    <t>Vitis vinifera subsp vinifera cv. Prunesta nera</t>
  </si>
  <si>
    <t>Vitis vinifera subsp vinifera cv. Prunesta rosso violacea</t>
  </si>
  <si>
    <t>Vitis vinifera subsp vinifera cv. Psarotherico</t>
  </si>
  <si>
    <t>Vitis vinifera subsp vinifera cv. Pseudosyrico</t>
  </si>
  <si>
    <t>Vitis vinifera subsp vinifera cv. Puljïzanac</t>
  </si>
  <si>
    <t>Vitis vinifera subsp vinifera cv. Purcsin</t>
  </si>
  <si>
    <t>Vitis vinifera subsp vinifera cv. Putzscheere</t>
  </si>
  <si>
    <t>Vitis vinifera subsp vinifera cv. Quebranta</t>
  </si>
  <si>
    <t>Vitis vinifera subsp vinifera cv. Queen</t>
  </si>
  <si>
    <t>Vitis vinifera subsp vinifera cv. Quiebratinajas</t>
  </si>
  <si>
    <t>Vitis vinifera subsp vinifera cv. Quigat</t>
  </si>
  <si>
    <t>Vitis vinifera subsp vinifera cv. Rabigato</t>
  </si>
  <si>
    <t>Vitis vinifera subsp vinifera cv. Rabigato du Douro</t>
  </si>
  <si>
    <t>Vitis vinifera subsp vinifera cv. Raboso piave</t>
  </si>
  <si>
    <t>Vitis vinifera subsp vinifera cv. Raboso Veronese</t>
  </si>
  <si>
    <t>Vitis vinifera subsp vinifera cv. Raffiat de Moncade</t>
  </si>
  <si>
    <t>Vitis vinifera subsp vinifera cv. Raisaine</t>
  </si>
  <si>
    <t>Vitis vinifera subsp vinifera cv. Raisin de Kossuth</t>
  </si>
  <si>
    <t>Vitis vinifera subsp vinifera cv. Rakszölö</t>
  </si>
  <si>
    <t>Vitis vinifera subsp vinifera cv. Rami = Vidal 119</t>
  </si>
  <si>
    <t>Vitis vinifera subsp vinifera cv. Ramisco</t>
  </si>
  <si>
    <t>Vitis vinifera subsp vinifera cv. Rannii Vira</t>
  </si>
  <si>
    <t>Vitis vinifera subsp vinifera cv. Ranny Magaratcha = Magaratch 372</t>
  </si>
  <si>
    <t>Vitis vinifera subsp vinifera cv. Rassegui</t>
  </si>
  <si>
    <t>Vitis vinifera subsp vinifera cv. Rauschling</t>
  </si>
  <si>
    <t>Vitis vinifera subsp vinifera cv. Razachie alba</t>
  </si>
  <si>
    <t>Vitis vinifera subsp vinifera cv. Razachie rosie</t>
  </si>
  <si>
    <t>Vitis vinifera subsp vinifera cv. Razakiia mirisliva</t>
  </si>
  <si>
    <t>Vitis vinifera subsp vinifera cv. Razakiia piembiana</t>
  </si>
  <si>
    <t>Vitis vinifera subsp vinifera cv. Razdani</t>
  </si>
  <si>
    <t>Vitis vinifera subsp vinifera cv. Raziki</t>
  </si>
  <si>
    <t>Vitis vinifera subsp vinifera cv. Red globe</t>
  </si>
  <si>
    <t>Vitis vinifera subsp vinifera cv. Red May</t>
  </si>
  <si>
    <t>Vitis vinifera subsp vinifera cv. Refosco dal pedonculo rosso</t>
  </si>
  <si>
    <t>Vitis vinifera subsp vinifera cv. Refoscone</t>
  </si>
  <si>
    <t>Vitis vinifera subsp vinifera cv. Regenerator</t>
  </si>
  <si>
    <t>Vitis vinifera subsp vinifera cv. Reichensteiner</t>
  </si>
  <si>
    <t>Vitis vinifera subsp vinifera cv. Reichriesling</t>
  </si>
  <si>
    <t>Vitis vinifera subsp vinifera cv. Reichsfränkisch</t>
  </si>
  <si>
    <t>Vitis vinifera subsp vinifera cv. Reine des Vignes</t>
  </si>
  <si>
    <t>Vitis vinifera subsp vinifera cv. Retagliado bianco = Arrotelas</t>
  </si>
  <si>
    <t>Vitis vinifera subsp vinifera cv. Revers Cepens</t>
  </si>
  <si>
    <t>Vitis vinifera subsp vinifera cv. Rèze</t>
  </si>
  <si>
    <t>Vitis vinifera subsp vinifera cv. Rhoditis</t>
  </si>
  <si>
    <t>Vitis vinifera subsp vinifera cv. Ribier gris</t>
  </si>
  <si>
    <t>Vitis vinifera subsp vinifera cv. Ribier noir</t>
  </si>
  <si>
    <t>Vitis vinifera subsp vinifera cv. Ribol = INRA 1597-131</t>
  </si>
  <si>
    <t>Vitis vinifera subsp vinifera cv. Ribolla gialla</t>
  </si>
  <si>
    <t>Vitis vinifera subsp vinifera cv. Ribote</t>
  </si>
  <si>
    <t>Vitis vinifera subsp vinifera cv. Rieslaner = Würzburg NI 11-17</t>
  </si>
  <si>
    <t>Vitis vinifera subsp vinifera cv. Riesling</t>
  </si>
  <si>
    <t>Vitis vinifera subsp vinifera cv. Riesling italico</t>
  </si>
  <si>
    <t>Vitis vinifera subsp vinifera cv. Riesling Lion</t>
  </si>
  <si>
    <t>Vitis vinifera subsp vinifera cv. Riesling rouge</t>
  </si>
  <si>
    <t>Vitis vinifera subsp vinifera cv. Rigolbouillé</t>
  </si>
  <si>
    <t>Vitis vinifera subsp vinifera cv. Riminèse</t>
  </si>
  <si>
    <t>Vitis vinifera subsp vinifera cv. Rindjaga</t>
  </si>
  <si>
    <t>Vitis vinifera subsp vinifera cv. Rivairenc = Aspiran noir</t>
  </si>
  <si>
    <t>Vitis vinifera subsp vinifera cv. Rivairenc blanc = Aspiran blanc</t>
  </si>
  <si>
    <t>Vitis vinifera subsp vinifera cv. Rivairenc gris = Aspiran gris</t>
  </si>
  <si>
    <t>Vitis vinifera subsp vinifera cv. Rizamat</t>
  </si>
  <si>
    <t>Vitis vinifera subsp vinifera cv. Rizens</t>
  </si>
  <si>
    <t>Vitis vinifera subsp vinifera cv. Rkatsitelli</t>
  </si>
  <si>
    <t>Vitis vinifera subsp vinifera cv. Rkatziteli krasni</t>
  </si>
  <si>
    <t>Vitis vinifera subsp vinifera cv. Robin noir</t>
  </si>
  <si>
    <t>Vitis vinifera subsp vinifera cv. Rodi = Pirovano 166</t>
  </si>
  <si>
    <t>Vitis vinifera subsp vinifera cv. Rohrtraube</t>
  </si>
  <si>
    <t>Vitis vinifera subsp vinifera cv. Roi des précoces</t>
  </si>
  <si>
    <t>Vitis vinifera subsp vinifera cv. Roma = Pirovano 210</t>
  </si>
  <si>
    <t>Vitis vinifera subsp vinifera cv. Rombola noir</t>
  </si>
  <si>
    <t>Vitis vinifera subsp vinifera cv. Romeïco</t>
  </si>
  <si>
    <t>Vitis vinifera subsp vinifera cv. Romorantin</t>
  </si>
  <si>
    <t>Vitis vinifera subsp vinifera cv. Rondinella</t>
  </si>
  <si>
    <t>Vitis vinifera subsp vinifera cv. Ronelle</t>
  </si>
  <si>
    <t>Vitis vinifera subsp vinifera cv. Rosa del Peru type 1</t>
  </si>
  <si>
    <t>Vitis vinifera subsp vinifera cv. Rosa del Peru type 2</t>
  </si>
  <si>
    <t>Vitis vinifera subsp vinifera cv. Rosa menna di vacca</t>
  </si>
  <si>
    <t>Vitis vinifera subsp vinifera cv. Rosa steen</t>
  </si>
  <si>
    <t>Vitis vinifera subsp vinifera cv. Rosaki blanc de semis</t>
  </si>
  <si>
    <t>Vitis vinifera subsp vinifera cv. Rosaki noir de semis</t>
  </si>
  <si>
    <t>Vitis vinifera subsp vinifera cv. Rosé du Var</t>
  </si>
  <si>
    <t>Vitis vinifera subsp vinifera cv. Rossara trentina</t>
  </si>
  <si>
    <t>Vitis vinifera subsp vinifera cv. Rossese</t>
  </si>
  <si>
    <t>Vitis vinifera subsp vinifera cv. Rossignola</t>
  </si>
  <si>
    <t>Vitis vinifera subsp vinifera cv. Rossola bianca</t>
  </si>
  <si>
    <t>Vitis vinifera subsp vinifera cv. Rotberger = Gm 3-37</t>
  </si>
  <si>
    <t>Vitis vinifera subsp vinifera cv. Rotgipfler</t>
  </si>
  <si>
    <t>Vitis vinifera subsp vinifera cv. Roubinoy de Magaratch = Magaratch 56</t>
  </si>
  <si>
    <t>Vitis vinifera subsp vinifera cv. Roublot</t>
  </si>
  <si>
    <t>Vitis vinifera subsp vinifera cv. Rouchaki</t>
  </si>
  <si>
    <t>Vitis vinifera subsp vinifera cv. Rouge de Fully</t>
  </si>
  <si>
    <t>Vitis vinifera subsp vinifera cv. Roumi noir</t>
  </si>
  <si>
    <t>Vitis vinifera subsp vinifera cv. Roussaïtis</t>
  </si>
  <si>
    <t>Vitis vinifera subsp vinifera cv. Roussanne</t>
  </si>
  <si>
    <t>Vitis vinifera subsp vinifera cv. Roussaou</t>
  </si>
  <si>
    <t>Vitis vinifera subsp vinifera cv. Roussette d'Ayze</t>
  </si>
  <si>
    <t>Vitis vinifera subsp vinifera cv. Roxo dos pintos</t>
  </si>
  <si>
    <t>Vitis vinifera subsp vinifera cv. Royal</t>
  </si>
  <si>
    <t>Vitis vinifera subsp vinifera cv. Royal Ascot</t>
  </si>
  <si>
    <t>Vitis vinifera subsp vinifera cv. Royal Askant</t>
  </si>
  <si>
    <t>Vitis vinifera subsp vinifera cv. Royal Molenberg</t>
  </si>
  <si>
    <t>Vitis vinifera subsp vinifera cv. Royal Vineyard</t>
  </si>
  <si>
    <t>Vitis vinifera subsp vinifera cv. Rubi</t>
  </si>
  <si>
    <t>Vitis vinifera subsp vinifera cv. Ruby Cabernet</t>
  </si>
  <si>
    <t>Vitis vinifera subsp vinifera cv. Ruby seedless</t>
  </si>
  <si>
    <t>Vitis vinifera subsp vinifera cv. Rudezusa</t>
  </si>
  <si>
    <t>Vitis vinifera subsp vinifera cv. Ruzevina</t>
  </si>
  <si>
    <t>Vitis vinifera subsp vinifera cv. Sabalkanskoï</t>
  </si>
  <si>
    <t>Vitis vinifera subsp vinifera cv. Sabaté</t>
  </si>
  <si>
    <t>Vitis vinifera subsp vinifera cv. Sabra</t>
  </si>
  <si>
    <t>Vitis vinifera subsp vinifera cv. Sacavem = C27 Coutinho</t>
  </si>
  <si>
    <t>Vitis vinifera subsp vinifera cv. Sacy</t>
  </si>
  <si>
    <t>Vitis vinifera subsp vinifera cv. Sagrantino</t>
  </si>
  <si>
    <t>Vitis vinifera subsp vinifera cv. Sahami</t>
  </si>
  <si>
    <t>Vitis vinifera subsp vinifera cv. Sahebi</t>
  </si>
  <si>
    <t>Vitis vinifera subsp vinifera cv. Sahibi sorh</t>
  </si>
  <si>
    <t>Vitis vinifera subsp vinifera cv. Sahilii</t>
  </si>
  <si>
    <t>Vitis vinifera subsp vinifera cv. Saint-Emilion x Sémillon D</t>
  </si>
  <si>
    <t>Vitis vinifera subsp vinifera cv. Saint-Laurent</t>
  </si>
  <si>
    <t>Vitis vinifera subsp vinifera cv. Saint-Louis faux</t>
  </si>
  <si>
    <t>Vitis vinifera subsp vinifera cv. Saint-Macaire</t>
  </si>
  <si>
    <t>Vitis vinifera subsp vinifera cv. Sainton = Vidal 9</t>
  </si>
  <si>
    <t>Vitis vinifera subsp vinifera cv. Saint-Pierre doré</t>
  </si>
  <si>
    <t>Vitis vinifera subsp vinifera cv. Sakasli</t>
  </si>
  <si>
    <t>Vitis vinifera subsp vinifera cv. Salagnin</t>
  </si>
  <si>
    <t>Vitis vinifera subsp vinifera cv. Salba</t>
  </si>
  <si>
    <t>Vitis vinifera subsp vinifera cv. Salicette</t>
  </si>
  <si>
    <t>Vitis vinifera subsp vinifera cv. Samarrinho preto</t>
  </si>
  <si>
    <t>Vitis vinifera subsp vinifera cv. Samoriau</t>
  </si>
  <si>
    <t>Vitis vinifera subsp vinifera cv. Samoveanca</t>
  </si>
  <si>
    <t>Vitis vinifera subsp vinifera cv. San Antoni</t>
  </si>
  <si>
    <t>Vitis vinifera subsp vinifera cv. San Francisco</t>
  </si>
  <si>
    <t>Vitis vinifera subsp vinifera cv. San Jeronimo</t>
  </si>
  <si>
    <t>Vitis vinifera subsp vinifera cv. San Martino = Pirovano 215</t>
  </si>
  <si>
    <t>Vitis vinifera subsp vinifera cv. Sanginella di Salerno</t>
  </si>
  <si>
    <t>Vitis vinifera subsp vinifera cv. Santa Barbara = Pirovano 480</t>
  </si>
  <si>
    <t>Vitis vinifera subsp vinifera cv. Santa Magdalena</t>
  </si>
  <si>
    <t>Vitis vinifera subsp vinifera cv. Santa Morena</t>
  </si>
  <si>
    <t>Vitis vinifera subsp vinifera cv. Santa Paula</t>
  </si>
  <si>
    <t>Vitis vinifera subsp vinifera cv. Saperavi</t>
  </si>
  <si>
    <t>Vitis vinifera subsp vinifera cv. Sapere otzkhanouri</t>
  </si>
  <si>
    <t>Vitis vinifera subsp vinifera cv. Sarfeher</t>
  </si>
  <si>
    <t>Vitis vinifera subsp vinifera cv. Sary pandass</t>
  </si>
  <si>
    <t>Vitis vinifera subsp vinifera cv. Sateni bely</t>
  </si>
  <si>
    <t>Vitis vinifera subsp vinifera cv. Sateni tcherny</t>
  </si>
  <si>
    <t>Vitis vinifera subsp vinifera cv. Satino Kokkino</t>
  </si>
  <si>
    <t>Vitis vinifera subsp vinifera cv. Sauterne blanc</t>
  </si>
  <si>
    <t>Vitis vinifera subsp vinifera cv. Sauvaget</t>
  </si>
  <si>
    <t>Vitis vinifera subsp vinifera cv. Sauvignon</t>
  </si>
  <si>
    <t>Vitis vinifera subsp vinifera cv. Sauvignon gris</t>
  </si>
  <si>
    <t>Vitis vinifera subsp vinifera cv. Sauvignon rouge</t>
  </si>
  <si>
    <t>Vitis vinifera subsp vinifera cv. Sauvignonasse</t>
  </si>
  <si>
    <t>Vitis vinifera subsp vinifera cv. Savagnin blanc</t>
  </si>
  <si>
    <t>Vitis vinifera subsp vinifera cv. Savagnin rose</t>
  </si>
  <si>
    <t>Vitis vinifera subsp vinifera cv. Savvatiano</t>
  </si>
  <si>
    <t>Vitis vinifera subsp vinifera cv. Scaliger</t>
  </si>
  <si>
    <t>Vitis vinifera subsp vinifera cv. Schabasche</t>
  </si>
  <si>
    <t>Vitis vinifera subsp vinifera cv. Scheu 10514</t>
  </si>
  <si>
    <t>Vitis vinifera subsp vinifera cv. Scheurebe</t>
  </si>
  <si>
    <t>Vitis vinifera subsp vinifera cv. Schiava gentile</t>
  </si>
  <si>
    <t>Vitis vinifera subsp vinifera cv. Schiava grigia</t>
  </si>
  <si>
    <t>Vitis vinifera subsp vinifera cv. Schiava lombarda</t>
  </si>
  <si>
    <t>Vitis vinifera subsp vinifera cv. Schiradzouli</t>
  </si>
  <si>
    <t>Vitis vinifera subsp vinifera cv. Schiradzouli violet</t>
  </si>
  <si>
    <t>Vitis vinifera subsp vinifera cv. Schiras</t>
  </si>
  <si>
    <t>Vitis vinifera subsp vinifera cv. Sciaccarello</t>
  </si>
  <si>
    <t>Vitis vinifera subsp vinifera cv. Sciascinoso</t>
  </si>
  <si>
    <t>Vitis vinifera subsp vinifera cv. Sebai assouad</t>
  </si>
  <si>
    <t>Vitis vinifera subsp vinifera cv. Sécal</t>
  </si>
  <si>
    <t>Vitis vinifera subsp vinifera cv. Segalin = INRA 1377-174</t>
  </si>
  <si>
    <t>Vitis vinifera subsp vinifera cv. Seibel 60</t>
  </si>
  <si>
    <t>Vitis vinifera subsp vinifera cv. Select = Vidal 100 T</t>
  </si>
  <si>
    <t>Vitis vinifera subsp vinifera cv. Semebat</t>
  </si>
  <si>
    <t>Vitis vinifera subsp vinifera cv. Semidano</t>
  </si>
  <si>
    <t>Vitis vinifera subsp vinifera cv. Semillon</t>
  </si>
  <si>
    <t>Vitis vinifera subsp vinifera cv. Septimer = Alzey 3952</t>
  </si>
  <si>
    <t>Vitis vinifera subsp vinifera cv. Sercial</t>
  </si>
  <si>
    <t>Vitis vinifera subsp vinifera cv. Serénèze de Moirans</t>
  </si>
  <si>
    <t>Vitis vinifera subsp vinifera cv. Serénèze de Voreppe</t>
  </si>
  <si>
    <t>Vitis vinifera subsp vinifera cv. Serna</t>
  </si>
  <si>
    <t>Vitis vinifera subsp vinifera cv. Servabilis = Pirovano 221</t>
  </si>
  <si>
    <t>Vitis vinifera subsp vinifera cv. Servanin</t>
  </si>
  <si>
    <t>Vitis vinifera subsp vinifera cv. Servant</t>
  </si>
  <si>
    <t>Vitis vinifera subsp vinifera cv. Sevan</t>
  </si>
  <si>
    <t>Vitis vinifera subsp vinifera cv. Sgavetta</t>
  </si>
  <si>
    <t>Vitis vinifera subsp vinifera cv. Sguigarda</t>
  </si>
  <si>
    <t>Vitis vinifera subsp vinifera cv. Shenidani</t>
  </si>
  <si>
    <t>Vitis vinifera subsp vinifera cv. Shindo Khani</t>
  </si>
  <si>
    <t>Vitis vinifera subsp vinifera cv. Shirazi</t>
  </si>
  <si>
    <t>Vitis vinifera subsp vinifera cv. Siah</t>
  </si>
  <si>
    <t>Vitis vinifera subsp vinifera cv. Sibirkovy</t>
  </si>
  <si>
    <t>Vitis vinifera subsp vinifera cv. Sicilien faux</t>
  </si>
  <si>
    <t>Vitis vinifera subsp vinifera cv. Sideritis</t>
  </si>
  <si>
    <t>Vitis vinifera subsp vinifera cv. Siegerrebe = Scheu 7957</t>
  </si>
  <si>
    <t>Vitis vinifera subsp vinifera cv. Silberweiss</t>
  </si>
  <si>
    <t>Vitis vinifera subsp vinifera cv. Skiadopoulo</t>
  </si>
  <si>
    <t>Vitis vinifera subsp vinifera cv. Skyloklima</t>
  </si>
  <si>
    <t>Vitis vinifera subsp vinifera cv. Skylopnichtis</t>
  </si>
  <si>
    <t>Vitis vinifera subsp vinifera cv. Skylopnichtis blanc</t>
  </si>
  <si>
    <t>Vitis vinifera subsp vinifera cv. Slankamenka blanc</t>
  </si>
  <si>
    <t>Vitis vinifera subsp vinifera cv. Soiaki</t>
  </si>
  <si>
    <t>Vitis vinifera subsp vinifera cv. Soic</t>
  </si>
  <si>
    <t>Vitis vinifera subsp vinifera cv. Solferino = Pirovano 316</t>
  </si>
  <si>
    <t>Vitis vinifera subsp vinifera cv. Somarello rosso</t>
  </si>
  <si>
    <t>Vitis vinifera subsp vinifera cv. Somzölö kek</t>
  </si>
  <si>
    <t>Vitis vinifera subsp vinifera cv. Sorok Let Oktiabria</t>
  </si>
  <si>
    <t>Vitis vinifera subsp vinifera cv. Soukholimansky bely</t>
  </si>
  <si>
    <t>Vitis vinifera subsp vinifera cv. Souri (1)</t>
  </si>
  <si>
    <t>Vitis vinifera subsp vinifera cv. Souri (2)</t>
  </si>
  <si>
    <t>Vitis vinifera subsp vinifera cv. Sourkhak biely</t>
  </si>
  <si>
    <t>Vitis vinifera subsp vinifera cv. Sourkhak kitabsky</t>
  </si>
  <si>
    <t>Vitis vinifera subsp vinifera cv. Souvenir du Congrès</t>
  </si>
  <si>
    <t>Vitis vinifera subsp vinifera cv. Souzao</t>
  </si>
  <si>
    <t>Vitis vinifera subsp vinifera cv. Sovrana = Pirovano 244</t>
  </si>
  <si>
    <t>Vitis vinifera subsp vinifera cv. Staphidampelo</t>
  </si>
  <si>
    <t>Vitis vinifera subsp vinifera cv. Staphidostaphylo</t>
  </si>
  <si>
    <t>Vitis vinifera subsp vinifera cv. Steinschiller blanc</t>
  </si>
  <si>
    <t>Vitis vinifera subsp vinifera cv. Strophyliatico</t>
  </si>
  <si>
    <t>Vitis vinifera subsp vinifera cv. Suavis = Pirovano 365 s</t>
  </si>
  <si>
    <t>Vitis vinifera subsp vinifera cv. Subirat Parent</t>
  </si>
  <si>
    <t>Vitis vinifera subsp vinifera cv. Sugrafive = Early Supérior seedless</t>
  </si>
  <si>
    <t>Vitis vinifera subsp vinifera cv. Sugraone = Superior seedless</t>
  </si>
  <si>
    <t>Vitis vinifera subsp vinifera cv. Sulivan blanc</t>
  </si>
  <si>
    <t>Vitis vinifera subsp vinifera cv. Sultana moscata = Pirovano 75</t>
  </si>
  <si>
    <t>Vitis vinifera subsp vinifera cv. Sultanina</t>
  </si>
  <si>
    <t>Vitis vinifera subsp vinifera cv. Sultanine</t>
  </si>
  <si>
    <t>Vitis vinifera subsp vinifera cv. Sultanine monococco</t>
  </si>
  <si>
    <t>Vitis vinifera subsp vinifera cv. Sultanine rose</t>
  </si>
  <si>
    <t>Vitis vinifera subsp vinifera cv. Sultanine rouge</t>
  </si>
  <si>
    <t>Vitis vinifera subsp vinifera cv. Sumoll</t>
  </si>
  <si>
    <t>Vitis vinifera subsp vinifera cv. Suntory blanc</t>
  </si>
  <si>
    <t>Vitis vinifera subsp vinifera cv. Superba = Pirovano 476 a</t>
  </si>
  <si>
    <t>Vitis vinifera subsp vinifera cv. Superfrankenthal = Pirovano 243</t>
  </si>
  <si>
    <t>Vitis vinifera subsp vinifera cv. Superzibibbo = Pirovano 107 a</t>
  </si>
  <si>
    <t>Vitis vinifera subsp vinifera cv. Suscan crni</t>
  </si>
  <si>
    <t>Vitis vinifera subsp vinifera cv. Susumaniello</t>
  </si>
  <si>
    <t>Vitis vinifera subsp vinifera cv. Sykiotis</t>
  </si>
  <si>
    <t>Vitis vinifera subsp vinifera cv. Sylvaner</t>
  </si>
  <si>
    <t>Vitis vinifera subsp vinifera cv. Sylvaner blau</t>
  </si>
  <si>
    <t>Vitis vinifera subsp vinifera cv. Sylvaner rot</t>
  </si>
  <si>
    <t>Vitis vinifera subsp vinifera cv. Syrah</t>
  </si>
  <si>
    <t>Vitis vinifera subsp vinifera cv. Syriki</t>
  </si>
  <si>
    <t>Vitis vinifera subsp vinifera cv. Szagos Bajnar</t>
  </si>
  <si>
    <t>Vitis vinifera subsp vinifera cv. Szauter Gusztav</t>
  </si>
  <si>
    <t>Vitis vinifera subsp vinifera cv. Szegedi</t>
  </si>
  <si>
    <t>Vitis vinifera subsp vinifera cv. Szegeny ember szölöje</t>
  </si>
  <si>
    <t>Vitis vinifera subsp vinifera cv. Szent Laszlö</t>
  </si>
  <si>
    <t>Vitis vinifera subsp vinifera cv. Szeredi</t>
  </si>
  <si>
    <t>Vitis vinifera subsp vinifera cv. Szeremi zöld</t>
  </si>
  <si>
    <t>Vitis vinifera subsp vinifera cv. Tachtas</t>
  </si>
  <si>
    <t>Vitis vinifera subsp vinifera cv. Taferielt</t>
  </si>
  <si>
    <t>Vitis vinifera subsp vinifera cv. Tagleit n'timilli</t>
  </si>
  <si>
    <t>Vitis vinifera subsp vinifera cv. Tagobi</t>
  </si>
  <si>
    <t>Vitis vinifera subsp vinifera cv. Taifi belyi</t>
  </si>
  <si>
    <t>Vitis vinifera subsp vinifera cv. Taïfi rosovy</t>
  </si>
  <si>
    <t>Vitis vinifera subsp vinifera cv. Taïlilout</t>
  </si>
  <si>
    <t>Vitis vinifera subsp vinifera cv. Tamares</t>
  </si>
  <si>
    <t>Vitis vinifera subsp vinifera cv. Tamarez Moscatel 31-3-3</t>
  </si>
  <si>
    <t>Vitis vinifera subsp vinifera cv. Tana kouzy</t>
  </si>
  <si>
    <t>Vitis vinifera subsp vinifera cv. Tanagos</t>
  </si>
  <si>
    <t>Vitis vinifera subsp vinifera cv. Tankert</t>
  </si>
  <si>
    <t>Vitis vinifera subsp vinifera cv. Tannat</t>
  </si>
  <si>
    <t>Vitis vinifera subsp vinifera cv. Tantovina</t>
  </si>
  <si>
    <t>Vitis vinifera subsp vinifera cv. Tarabassié</t>
  </si>
  <si>
    <t>Vitis vinifera subsp vinifera cv. Tardif</t>
  </si>
  <si>
    <t>Vitis vinifera subsp vinifera cv. Tarnaou</t>
  </si>
  <si>
    <t>Vitis vinifera subsp vinifera cv. Tarragonins</t>
  </si>
  <si>
    <t>Vitis vinifera subsp vinifera cv. Tarrango</t>
  </si>
  <si>
    <t>Vitis vinifera subsp vinifera cv. Taschly</t>
  </si>
  <si>
    <t>Vitis vinifera subsp vinifera cv. Tavkveri</t>
  </si>
  <si>
    <t>Vitis vinifera subsp vinifera cv. Tavrida = Magaratch 171</t>
  </si>
  <si>
    <t>Vitis vinifera subsp vinifera cv. Tchaïnak</t>
  </si>
  <si>
    <t>Vitis vinifera subsp vinifera cv. Tchernii Crimski</t>
  </si>
  <si>
    <t>Vitis vinifera subsp vinifera cv. Tchilar</t>
  </si>
  <si>
    <t>Vitis vinifera subsp vinifera cv. Tchiliaki blanc</t>
  </si>
  <si>
    <t>Vitis vinifera subsp vinifera cv. Tchiliaki rouge</t>
  </si>
  <si>
    <t>Vitis vinifera subsp vinifera cv. Tchingin kara</t>
  </si>
  <si>
    <t>Vitis vinifera subsp vinifera cv. Tchinouri</t>
  </si>
  <si>
    <t>Vitis vinifera subsp vinifera cv. Tchkhaveri</t>
  </si>
  <si>
    <t>Vitis vinifera subsp vinifera cv. Teinturier</t>
  </si>
  <si>
    <t>Vitis vinifera subsp vinifera cv. Teli granat</t>
  </si>
  <si>
    <t>Vitis vinifera subsp vinifera cv. Tempranilla</t>
  </si>
  <si>
    <t>Vitis vinifera subsp vinifera cv. Tempranillo</t>
  </si>
  <si>
    <t>Vitis vinifera subsp vinifera cv. Téoulier</t>
  </si>
  <si>
    <t>Vitis vinifera subsp vinifera cv. Téoulier blanc</t>
  </si>
  <si>
    <t>Vitis vinifera subsp vinifera cv. Terbasch</t>
  </si>
  <si>
    <t>Vitis vinifera subsp vinifera cv. Teresita = Dalmasso XVIII-24</t>
  </si>
  <si>
    <t>Vitis vinifera subsp vinifera cv. Terlaner</t>
  </si>
  <si>
    <t>Vitis vinifera subsp vinifera cv. Teroldego</t>
  </si>
  <si>
    <t>Vitis vinifera subsp vinifera cv. Terr Gulmek</t>
  </si>
  <si>
    <t>Vitis vinifera subsp vinifera cv. Terramon long</t>
  </si>
  <si>
    <t>Vitis vinifera subsp vinifera cv. Terramon rond</t>
  </si>
  <si>
    <t>Vitis vinifera subsp vinifera cv. Terrano</t>
  </si>
  <si>
    <t>Vitis vinifera subsp vinifera cv. Terrantez de Madère</t>
  </si>
  <si>
    <t>Vitis vinifera subsp vinifera cv. Terrantez du Dão</t>
  </si>
  <si>
    <t>Vitis vinifera subsp vinifera cv. Terret blanc</t>
  </si>
  <si>
    <t>Vitis vinifera subsp vinifera cv. Terret Bouschet</t>
  </si>
  <si>
    <t>Vitis vinifera subsp vinifera cv. Terret gris</t>
  </si>
  <si>
    <t>Vitis vinifera subsp vinifera cv. Terret noir</t>
  </si>
  <si>
    <t>Vitis vinifera subsp vinifera cv. Teta de Vaca</t>
  </si>
  <si>
    <t>Vitis vinifera subsp vinifera cv. Thallocsy Lajos muskotaly = Muscat Thallocsy</t>
  </si>
  <si>
    <t>Vitis vinifera subsp vinifera cv. Thermi</t>
  </si>
  <si>
    <t>Vitis vinifera subsp vinifera cv. Tibouren</t>
  </si>
  <si>
    <t>Vitis vinifera subsp vinifera cv. Tihany</t>
  </si>
  <si>
    <t>Vitis vinifera subsp vinifera cv. Timorasso</t>
  </si>
  <si>
    <t>Vitis vinifera subsp vinifera cv. Timpurie</t>
  </si>
  <si>
    <t>Vitis vinifera subsp vinifera cv. Tini</t>
  </si>
  <si>
    <t>Vitis vinifera subsp vinifera cv. Tiniouine</t>
  </si>
  <si>
    <t>Vitis vinifera subsp vinifera cv. Tinos noir</t>
  </si>
  <si>
    <t>Vitis vinifera subsp vinifera cv. Tinta amarella</t>
  </si>
  <si>
    <t>Vitis vinifera subsp vinifera cv. Tinta Barroca</t>
  </si>
  <si>
    <t>Vitis vinifera subsp vinifera cv. Tinta carvalha</t>
  </si>
  <si>
    <t>Vitis vinifera subsp vinifera cv. Tinta castellõa</t>
  </si>
  <si>
    <t>Vitis vinifera subsp vinifera cv. Tinta de Madeira</t>
  </si>
  <si>
    <t>Vitis vinifera subsp vinifera cv. Tinta francisca</t>
  </si>
  <si>
    <t>Vitis vinifera subsp vinifera cv. Tinta pinheira</t>
  </si>
  <si>
    <t>Vitis vinifera subsp vinifera cv. Tintillo</t>
  </si>
  <si>
    <t>Vitis vinifera subsp vinifera cv. Tintinha = Leao Ferreira da Almeida 11-48-122</t>
  </si>
  <si>
    <t>Vitis vinifera subsp vinifera cv. Tinto Cao</t>
  </si>
  <si>
    <t>Vitis vinifera subsp vinifera cv. Tintora</t>
  </si>
  <si>
    <t>Vitis vinifera subsp vinifera cv. Tita Caprei</t>
  </si>
  <si>
    <t>Vitis vinifera subsp vinifera cv. Tolstokorii</t>
  </si>
  <si>
    <t>Vitis vinifera subsp vinifera cv. Török Mazsola</t>
  </si>
  <si>
    <t>Vitis vinifera subsp vinifera cv. Torralba</t>
  </si>
  <si>
    <t>Vitis vinifera subsp vinifera cv. Torrontès</t>
  </si>
  <si>
    <t>Vitis vinifera subsp vinifera cv. Torrontès mendocino</t>
  </si>
  <si>
    <t>Vitis vinifera subsp vinifera cv. Torrontès riojano</t>
  </si>
  <si>
    <t>Vitis vinifera subsp vinifera cv. Torrontès sanjuanino</t>
  </si>
  <si>
    <t>Vitis vinifera subsp vinifera cv. Tortozon</t>
  </si>
  <si>
    <t>Vitis vinifera subsp vinifera cv. Tourbat</t>
  </si>
  <si>
    <t>Vitis vinifera subsp vinifera cv. Touriga</t>
  </si>
  <si>
    <t>Vitis vinifera subsp vinifera cv. Toutrissin</t>
  </si>
  <si>
    <t>Vitis vinifera subsp vinifera cv. Tre voto</t>
  </si>
  <si>
    <t>Vitis vinifera subsp vinifera cv. Trebbiano</t>
  </si>
  <si>
    <t>Vitis vinifera subsp vinifera cv. Trebbiano di Soave</t>
  </si>
  <si>
    <t>Vitis vinifera subsp vinifera cv. Trebbiano giallo</t>
  </si>
  <si>
    <t>Vitis vinifera subsp vinifera cv. Trebbiano romagnolo</t>
  </si>
  <si>
    <t>Vitis vinifera subsp vinifera cv. Trebbiano spoletino</t>
  </si>
  <si>
    <t>Vitis vinifera subsp vinifera cv. Treixadura</t>
  </si>
  <si>
    <t>Vitis vinifera subsp vinifera cv. Trentham black faux</t>
  </si>
  <si>
    <t>Vitis vinifera subsp vinifera cv. Treolina</t>
  </si>
  <si>
    <t>Vitis vinifera subsp vinifera cv. Tressot</t>
  </si>
  <si>
    <t>Vitis vinifera subsp vinifera cv. Tressot blanc</t>
  </si>
  <si>
    <t>Vitis vinifera subsp vinifera cv. Tressot panaché</t>
  </si>
  <si>
    <t>Vitis vinifera subsp vinifera cv. Tressot panaché faux</t>
  </si>
  <si>
    <t>Vitis vinifera subsp vinifera cv. Trevisana nera</t>
  </si>
  <si>
    <t>Vitis vinifera subsp vinifera cv. Trieste = Pirovano 299</t>
  </si>
  <si>
    <t>Vitis vinifera subsp vinifera cv. Tripoli = Pirovano 352</t>
  </si>
  <si>
    <t>Vitis vinifera subsp vinifera cv. Trollinger blaudüftig</t>
  </si>
  <si>
    <t>Vitis vinifera subsp vinifera cv. Trollinger Muskat</t>
  </si>
  <si>
    <t>Vitis vinifera subsp vinifera cv. Trollingi feher</t>
  </si>
  <si>
    <t>Vitis vinifera subsp vinifera cv. Trousseau</t>
  </si>
  <si>
    <t>Vitis vinifera subsp vinifera cv. Trousseau gris</t>
  </si>
  <si>
    <t>Vitis vinifera subsp vinifera cv. Troyen</t>
  </si>
  <si>
    <t>Vitis vinifera subsp vinifera cv. Trunzo</t>
  </si>
  <si>
    <t>Vitis vinifera subsp vinifera cv. Tsambato</t>
  </si>
  <si>
    <t>Vitis vinifera subsp vinifera cv. Tschetirbak</t>
  </si>
  <si>
    <t>Vitis vinifera subsp vinifera cv. Tuia tiche</t>
  </si>
  <si>
    <t>Vitis vinifera subsp vinifera cv. Tuia tiche faux</t>
  </si>
  <si>
    <t>Vitis vinifera subsp vinifera cv. Tulillah</t>
  </si>
  <si>
    <t>Vitis vinifera subsp vinifera cv. Turki</t>
  </si>
  <si>
    <t>Vitis vinifera subsp vinifera cv. Turruntes</t>
  </si>
  <si>
    <t>Vitis vinifera subsp vinifera cv. Turska dinka</t>
  </si>
  <si>
    <t>Vitis vinifera subsp vinifera cv. Tzimlansky blanc</t>
  </si>
  <si>
    <t>Vitis vinifera subsp vinifera cv. Tzimlansky noir</t>
  </si>
  <si>
    <t>Vitis vinifera subsp vinifera cv. Tzitzka</t>
  </si>
  <si>
    <t>Vitis vinifera subsp vinifera cv. Tzolikoouri</t>
  </si>
  <si>
    <t>Vitis vinifera subsp vinifera cv. Ugni blanc</t>
  </si>
  <si>
    <t>Vitis vinifera subsp vinifera cv. Ugni blanc à feuilles découpées</t>
  </si>
  <si>
    <t>Vitis vinifera subsp vinifera cv. Ugni rouge</t>
  </si>
  <si>
    <t>Vitis vinifera subsp vinifera cv. Urben blau</t>
  </si>
  <si>
    <t>Vitis vinifera subsp vinifera cv. Urben rot</t>
  </si>
  <si>
    <t>Vitis vinifera subsp vinifera cv. Urreti</t>
  </si>
  <si>
    <t>Vitis vinifera subsp vinifera cv. Uva Cao</t>
  </si>
  <si>
    <t>Vitis vinifera subsp vinifera cv. Uva de Rey</t>
  </si>
  <si>
    <t>Vitis vinifera subsp vinifera cv. Uva di Troia</t>
  </si>
  <si>
    <t>Vitis vinifera subsp vinifera cv. Uva melona</t>
  </si>
  <si>
    <t>Vitis vinifera subsp vinifera cv. V 155 (J.P. Vidal)</t>
  </si>
  <si>
    <t>Vitis vinifera subsp vinifera cv. Valais noir</t>
  </si>
  <si>
    <t>Vitis vinifera subsp vinifera cv. Valdepeñas</t>
  </si>
  <si>
    <t>Vitis vinifera subsp vinifera cv. Valdiguié</t>
  </si>
  <si>
    <t>Vitis vinifera subsp vinifera cv. Valdiguié pissaïré</t>
  </si>
  <si>
    <t>Vitis vinifera subsp vinifera cv. Valenci blanco</t>
  </si>
  <si>
    <t>Vitis vinifera subsp vinifera cv. Valenci blanco faux</t>
  </si>
  <si>
    <t>Vitis vinifera subsp vinifera cv. Valensi noir</t>
  </si>
  <si>
    <t>Vitis vinifera subsp vinifera cv. Vapsa</t>
  </si>
  <si>
    <t>Vitis vinifera subsp vinifera cv. Vassarga bielaia</t>
  </si>
  <si>
    <t>Vitis vinifera subsp vinifera cv. Vassarga tchernaia</t>
  </si>
  <si>
    <t>Vitis vinifera subsp vinifera cv. Vékonyhéju</t>
  </si>
  <si>
    <t>Vitis vinifera subsp vinifera cv. Velteliner rouge</t>
  </si>
  <si>
    <t>Vitis vinifera subsp vinifera cv. Velteliner rouge précoce</t>
  </si>
  <si>
    <t>Vitis vinifera subsp vinifera cv. Velteliner vert</t>
  </si>
  <si>
    <t>Vitis vinifera subsp vinifera cv. Verdanel</t>
  </si>
  <si>
    <t>Vitis vinifera subsp vinifera cv. Verdea</t>
  </si>
  <si>
    <t>Vitis vinifera subsp vinifera cv. Verdeca</t>
  </si>
  <si>
    <t>Vitis vinifera subsp vinifera cv. Verdejo blanco</t>
  </si>
  <si>
    <t>Vitis vinifera subsp vinifera cv. Verdejo negro</t>
  </si>
  <si>
    <t>Vitis vinifera subsp vinifera cv. Verdelho</t>
  </si>
  <si>
    <t>Vitis vinifera subsp vinifera cv. Verdelho du Dâo</t>
  </si>
  <si>
    <t>Vitis vinifera subsp vinifera cv. Verdelho feijão</t>
  </si>
  <si>
    <t>Vitis vinifera subsp vinifera cv. Verdelho tinto femelle</t>
  </si>
  <si>
    <t>Vitis vinifera subsp vinifera cv. Verdesse</t>
  </si>
  <si>
    <t>Vitis vinifera subsp vinifera cv. Verdicchio</t>
  </si>
  <si>
    <t>Vitis vinifera subsp vinifera cv. Verdiso</t>
  </si>
  <si>
    <t>Vitis vinifera subsp vinifera cv. Verduschia</t>
  </si>
  <si>
    <t>Vitis vinifera subsp vinifera cv. Verduzzo friulano</t>
  </si>
  <si>
    <t>Vitis vinifera subsp vinifera cv. Verduzzo trevigiano</t>
  </si>
  <si>
    <t>Vitis vinifera subsp vinifera cv. Verico</t>
  </si>
  <si>
    <t>Vitis vinifera subsp vinifera cv. Verjus</t>
  </si>
  <si>
    <t>Vitis vinifera subsp vinifera cv. Vermentino</t>
  </si>
  <si>
    <t>Vitis vinifera subsp vinifera cv. Vermentino nero</t>
  </si>
  <si>
    <t>Vitis vinifera subsp vinifera cv. Vernaccia di Oristano</t>
  </si>
  <si>
    <t>Vitis vinifera subsp vinifera cv. Vernaccia di San Gimignano</t>
  </si>
  <si>
    <t>Vitis vinifera subsp vinifera cv. Vernaccia nera</t>
  </si>
  <si>
    <t>Vitis vinifera subsp vinifera cv. Vernaccina</t>
  </si>
  <si>
    <t>Vitis vinifera subsp vinifera cv. Verona = Pirovano 52</t>
  </si>
  <si>
    <t>Vitis vinifera subsp vinifera cv. Vespaiola</t>
  </si>
  <si>
    <t>Vitis vinifera subsp vinifera cv. Vespolina</t>
  </si>
  <si>
    <t>Vitis vinifera subsp vinifera cv. Vesprino</t>
  </si>
  <si>
    <t>Vitis vinifera subsp vinifera cv. Victor = Pirovano 314</t>
  </si>
  <si>
    <t>Vitis vinifera subsp vinifera cv. Vidal 117</t>
  </si>
  <si>
    <t>Vitis vinifera subsp vinifera cv. Vidal 31</t>
  </si>
  <si>
    <t>Vitis vinifera subsp vinifera cv. Vidal 311</t>
  </si>
  <si>
    <t>Vitis vinifera subsp vinifera cv. Vidal 36</t>
  </si>
  <si>
    <t>Vitis vinifera subsp vinifera cv. Vidal 539</t>
  </si>
  <si>
    <t>Vitis vinifera subsp vinifera cv. Vidal 544</t>
  </si>
  <si>
    <t>Vitis vinifera subsp vinifera cv. Vidal 547</t>
  </si>
  <si>
    <t>Vitis vinifera subsp vinifera cv. Vidal 548</t>
  </si>
  <si>
    <t>Vitis vinifera subsp vinifera cv. Vidal 595</t>
  </si>
  <si>
    <t>Vitis vinifera subsp vinifera cv. Vidal 662</t>
  </si>
  <si>
    <t>Vitis vinifera subsp vinifera cv. Vidal 678</t>
  </si>
  <si>
    <t>Vitis vinifera subsp vinifera cv. Vidal 686</t>
  </si>
  <si>
    <t>Vitis vinifera subsp vinifera cv. Vidal 76 T</t>
  </si>
  <si>
    <t>Vitis vinifera subsp vinifera cv. Vidal 800</t>
  </si>
  <si>
    <t>Vitis vinifera subsp vinifera cv. Vidal 804</t>
  </si>
  <si>
    <t>Vitis vinifera subsp vinifera cv. Vidal 808</t>
  </si>
  <si>
    <t>Vitis vinifera subsp vinifera cv. Vidal 815</t>
  </si>
  <si>
    <t>Vitis vinifera subsp vinifera cv. Vidal 83 T</t>
  </si>
  <si>
    <t>Vitis vinifera subsp vinifera cv. Vidal 98 T</t>
  </si>
  <si>
    <t>Vitis vinifera subsp vinifera cv. Vidal 99 T</t>
  </si>
  <si>
    <t>Vitis vinifera subsp vinifera cv. Vidiano</t>
  </si>
  <si>
    <t>Vitis vinifera subsp vinifera cv. Vien de Nus</t>
  </si>
  <si>
    <t>Vitis vinifera subsp vinifera cv. Vigne de Wood</t>
  </si>
  <si>
    <t>Vitis vinifera subsp vinifera cv. Vijiriega</t>
  </si>
  <si>
    <t>Vitis vinifera subsp vinifera cv. Vilana</t>
  </si>
  <si>
    <t>Vitis vinifera subsp vinifera cv. Villardiell</t>
  </si>
  <si>
    <t>Vitis vinifera subsp vinifera cv. Vinta</t>
  </si>
  <si>
    <t>Vitis vinifera subsp vinifera cv. Vintaïu</t>
  </si>
  <si>
    <t>Vitis vinifera subsp vinifera cv. Viognier</t>
  </si>
  <si>
    <t>Vitis vinifera subsp vinifera cv. Viola = Dalmasso XVIII-3</t>
  </si>
  <si>
    <t>Vitis vinifera subsp vinifera cv. Viosinho</t>
  </si>
  <si>
    <t>Vitis vinifera subsp vinifera cv. Viska</t>
  </si>
  <si>
    <t>Vitis vinifera subsp vinifera cv. Vital</t>
  </si>
  <si>
    <t>Vitis vinifera subsp vinifera cv. Volavna feher</t>
  </si>
  <si>
    <t>Vitis vinifera subsp vinifera cv. Volta = Pirovano 105</t>
  </si>
  <si>
    <t>Vitis vinifera subsp vinifera cv. Vörös vallas kek</t>
  </si>
  <si>
    <t>Vitis vinifera subsp vinifera cv. Voskeat</t>
  </si>
  <si>
    <t>Vitis vinifera subsp vinifera cv. Voudomato</t>
  </si>
  <si>
    <t>Vitis vinifera subsp vinifera cv. Vranac crni</t>
  </si>
  <si>
    <t>Vitis vinifera subsp vinifera cv. Vugava</t>
  </si>
  <si>
    <t>Vitis vinifera subsp vinifera cv. Vulpea</t>
  </si>
  <si>
    <t>Vitis vinifera subsp vinifera cv. Weisse Geisdutte par erreur</t>
  </si>
  <si>
    <t>Vitis vinifera subsp vinifera cv. West Freisia</t>
  </si>
  <si>
    <t>Vitis vinifera subsp vinifera cv. White Cinsaut</t>
  </si>
  <si>
    <t>Vitis vinifera subsp vinifera cv. White Lisbon</t>
  </si>
  <si>
    <t>Vitis vinifera subsp vinifera cv. White Muscadel</t>
  </si>
  <si>
    <t>Vitis vinifera subsp vinifera cv. White Prince</t>
  </si>
  <si>
    <t>Vitis vinifera subsp vinifera cv. Wildbacher blau</t>
  </si>
  <si>
    <t>Vitis vinifera subsp vinifera cv. Xarello</t>
  </si>
  <si>
    <t>Vitis vinifera subsp vinifera cv. Xarello vermell</t>
  </si>
  <si>
    <t>Vitis vinifera subsp vinifera cv. Xynomavro</t>
  </si>
  <si>
    <t>Vitis vinifera subsp vinifera cv. Yaghasti</t>
  </si>
  <si>
    <t>Vitis vinifera subsp vinifera cv. Yaï isioum rosovy</t>
  </si>
  <si>
    <t>Vitis vinifera subsp vinifera cv. Yapindjac</t>
  </si>
  <si>
    <t>Vitis vinifera subsp vinifera cv. Yekroa</t>
  </si>
  <si>
    <t>Vitis vinifera subsp vinifera cv. Ygia</t>
  </si>
  <si>
    <t>Vitis vinifera subsp vinifera cv. Yhsouh ali</t>
  </si>
  <si>
    <t>Vitis vinifera subsp vinifera cv. Zadarka bijela</t>
  </si>
  <si>
    <t>Vitis vinifera subsp vinifera cv. Zagtaïr</t>
  </si>
  <si>
    <t>Vitis vinifera subsp vinifera cv. Zalema</t>
  </si>
  <si>
    <t>Vitis vinifera subsp vinifera cv. Zalovitico</t>
  </si>
  <si>
    <t>Vitis vinifera subsp vinifera cv. Zampara</t>
  </si>
  <si>
    <t>Vitis vinifera subsp vinifera cv. Zeini</t>
  </si>
  <si>
    <t>Vitis vinifera subsp vinifera cv. Zeini abiad</t>
  </si>
  <si>
    <t>Vitis vinifera subsp vinifera cv. Zeini baladi</t>
  </si>
  <si>
    <t>Vitis vinifera subsp vinifera cv. Zeini rouge</t>
  </si>
  <si>
    <t>Vitis vinifera subsp vinifera cv. Zghihara de Husi</t>
  </si>
  <si>
    <t>Vitis vinifera subsp vinifera cv. Zierfandler rot</t>
  </si>
  <si>
    <t>Vitis vinifera subsp vinifera cv. Zilavka</t>
  </si>
  <si>
    <t>Vitis vinifera subsp vinifera cv. Zimsko belo</t>
  </si>
  <si>
    <t>Vitis vinifera subsp vinifera cv. Zizine</t>
  </si>
  <si>
    <t>Vitis vinifera subsp vinifera cv. Zlatarica bijela</t>
  </si>
  <si>
    <t>Vitis vinifera subsp vinifera cv. Zöldfürtü</t>
  </si>
  <si>
    <t>Vitis vinifera subsp vinifera cv. Zrinyi Ilona</t>
  </si>
  <si>
    <t>Vitis vinifera subsp vinifera cv. Zsitvai dinka</t>
  </si>
  <si>
    <t>Vitis vinifera subsp vinifera cv. Zweigelt blau</t>
  </si>
  <si>
    <t>Vitis vinifera subsp vinifera L.</t>
  </si>
  <si>
    <t>Vitis wenchowensis C.Ling</t>
  </si>
  <si>
    <t>Vitis x interspécifique</t>
  </si>
  <si>
    <t>Vitis x interspécifique cv. Aladin</t>
  </si>
  <si>
    <t>Vitis x interspécifique cv. Albenc = Galibert 36-1</t>
  </si>
  <si>
    <t>Vitis x interspécifique cv. Albignac = Galibert 12-1</t>
  </si>
  <si>
    <t>Vitis x interspécifique cv. Albignan</t>
  </si>
  <si>
    <t>Vitis x interspécifique cv. Alicante Ganzin</t>
  </si>
  <si>
    <t>Vitis x interspécifique cv. Alicante Terras 20</t>
  </si>
  <si>
    <t>Vitis x interspécifique cv. Amandin</t>
  </si>
  <si>
    <t>Vitis x interspécifique cv. Ambror = Seibel 10173</t>
  </si>
  <si>
    <t>Vitis x interspécifique cv. Aramond du Gard = Seibel 2007</t>
  </si>
  <si>
    <t>Vitis x interspécifique cv. Aramon-Rupestris Ganzin 1</t>
  </si>
  <si>
    <t>Vitis x interspécifique cv. Aramon-Rupestris Ganzin 2</t>
  </si>
  <si>
    <t>Vitis x interspécifique cv. Aramon-Rupestris Ganzin 9</t>
  </si>
  <si>
    <t>Vitis x interspécifique cv. Arboras = Galibert 22-5</t>
  </si>
  <si>
    <t>Vitis x interspécifique cv. Arnaud Fabre 3</t>
  </si>
  <si>
    <t>Vitis x interspécifique cv. Arnold 3401</t>
  </si>
  <si>
    <t>Vitis x interspécifique cv. Aspignan noir n° 1 = Galibert 239-35</t>
  </si>
  <si>
    <t>Vitis x interspécifique cv. Aspignan noir n°2 = Galibert 239-36</t>
  </si>
  <si>
    <t>Vitis x interspécifique cv. Aspignan n°1 = Galibert 239-34</t>
  </si>
  <si>
    <t>Vitis x interspécifique cv. Aurore = Seibel 5279</t>
  </si>
  <si>
    <t>Vitis x interspécifique cv. B Maclet</t>
  </si>
  <si>
    <t>Vitis x interspécifique cv. Baco blanc = Baco 22 A</t>
  </si>
  <si>
    <t>Vitis x interspécifique cv. Baco Noir = Baco 1</t>
  </si>
  <si>
    <t>Vitis x interspécifique cv. Baco 23 A</t>
  </si>
  <si>
    <t>Vitis x interspécifique cv. Baco 9-11</t>
  </si>
  <si>
    <t>Vitis x interspécifique cv. Beaujolais x 23657 S.V. n°1</t>
  </si>
  <si>
    <t>Vitis x interspécifique cv. Beaujolais x 23657 S.V. n°10</t>
  </si>
  <si>
    <t>Vitis x interspécifique cv. Beaujolais x 23657 S.V. n°11</t>
  </si>
  <si>
    <t>Vitis x interspécifique cv. Beaujolais x 23657 S.V. n°12</t>
  </si>
  <si>
    <t>Vitis x interspécifique cv. Beaujolais x 23657 S.V. n°13</t>
  </si>
  <si>
    <t>Vitis x interspécifique cv. Beaujolais x 23657 S.V. n°14</t>
  </si>
  <si>
    <t>Vitis x interspécifique cv. Beaujolais x 23657 S.V. n°15</t>
  </si>
  <si>
    <t>Vitis x interspécifique cv. Beaujolais x 23657 S.V. n°16</t>
  </si>
  <si>
    <t>Vitis x interspécifique cv. Beaujolais x 23657 S.V. n°17</t>
  </si>
  <si>
    <t>Vitis x interspécifique cv. Beaujolais x 23657 S.V. n°18</t>
  </si>
  <si>
    <t>Vitis x interspécifique cv. Beaujolais x 23657 S.V. n°2</t>
  </si>
  <si>
    <t>Vitis x interspécifique cv. Beaujolais x 23657 S.V. n°3</t>
  </si>
  <si>
    <t>Vitis x interspécifique cv. Beaujolais x 23657 S.V. n°4</t>
  </si>
  <si>
    <t>Vitis x interspécifique cv. Beaujolais x 23657 S.V. n°5</t>
  </si>
  <si>
    <t>Vitis x interspécifique cv. Beaujolais x 23657 S.V. n°6</t>
  </si>
  <si>
    <t>Vitis x interspécifique cv. Beaujolais x 23657 S.V. n°7</t>
  </si>
  <si>
    <t>Vitis x interspécifique cv. Beaujolais x 23657 S.V. n°8</t>
  </si>
  <si>
    <t>Vitis x interspécifique cv. Beaujolais x 23657 S.V. n°9</t>
  </si>
  <si>
    <t>Vitis x interspécifique cv. Bel Castel = Castel 13706</t>
  </si>
  <si>
    <t>Vitis x interspécifique cv. Bellandais = Seibel 14596</t>
  </si>
  <si>
    <t>Vitis x interspécifique cv. Bénédiction de Pecs</t>
  </si>
  <si>
    <t>Vitis x interspécifique cv. berlandieri x ?</t>
  </si>
  <si>
    <t>Vitis x interspécifique cv. Berlandieri-Colombard 1 A</t>
  </si>
  <si>
    <t>Vitis x interspécifique cv. Berlandieri-Colombard 1 B</t>
  </si>
  <si>
    <t>Vitis x interspécifique cv. Berlandieri-Colombard 2 = BC 2</t>
  </si>
  <si>
    <t>Vitis x interspécifique cv. Berlandieri-Colombard 3</t>
  </si>
  <si>
    <t>Vitis x interspécifique cv. Bertille Seyve 1125</t>
  </si>
  <si>
    <t>Vitis x interspécifique cv. Bertille Seyve 1127</t>
  </si>
  <si>
    <t>Vitis x interspécifique cv. Bertille Seyve 1129</t>
  </si>
  <si>
    <t>Vitis x interspécifique cv. Bertille Seyve 1134</t>
  </si>
  <si>
    <t>Vitis x interspécifique cv. Bertille Seyve 1353</t>
  </si>
  <si>
    <t>Vitis x interspécifique cv. Bertille Seyve 1372</t>
  </si>
  <si>
    <t>Vitis x interspécifique cv. Bertille Seyve 1516</t>
  </si>
  <si>
    <t>Vitis x interspécifique cv. Bertille Seyve 1522</t>
  </si>
  <si>
    <t>Vitis x interspécifique cv. Bertille Seyve 1523</t>
  </si>
  <si>
    <t>Vitis x interspécifique cv. Bertille Seyve 1630 faux</t>
  </si>
  <si>
    <t>Vitis x interspécifique cv. Bertille Seyve 1808</t>
  </si>
  <si>
    <t>Vitis x interspécifique cv. Bertille Seyve 1838</t>
  </si>
  <si>
    <t>Vitis x interspécifique cv. Bertille Seyve 2048</t>
  </si>
  <si>
    <t>Vitis x interspécifique cv. Bertille Seyve 2049</t>
  </si>
  <si>
    <t>Vitis x interspécifique cv. Bertille Seyve 2050</t>
  </si>
  <si>
    <t>Vitis x interspécifique cv. Bertille Seyve 2117</t>
  </si>
  <si>
    <t>Vitis x interspécifique cv. Bertille Seyve 2179</t>
  </si>
  <si>
    <t>Vitis x interspécifique cv. Bertille Seyve 2240</t>
  </si>
  <si>
    <t>Vitis x interspécifique cv. Bertille Seyve 2381</t>
  </si>
  <si>
    <t>Vitis x interspécifique cv. Bertille Seyve 2400</t>
  </si>
  <si>
    <t>Vitis x interspécifique cv. Bertille Seyve 2409</t>
  </si>
  <si>
    <t>Vitis x interspécifique cv. Bertille Seyve 2475</t>
  </si>
  <si>
    <t>Vitis x interspécifique cv. Bertille Seyve 2491</t>
  </si>
  <si>
    <t>Vitis x interspécifique cv. Bertille Seyve 2499</t>
  </si>
  <si>
    <t>Vitis x interspécifique cv. Bertille Seyve 2502</t>
  </si>
  <si>
    <t>Vitis x interspécifique cv. Bertille Seyve 2508</t>
  </si>
  <si>
    <t>Vitis x interspécifique cv. Bertille Seyve 2533</t>
  </si>
  <si>
    <t>Vitis x interspécifique cv. Bertille Seyve 2578</t>
  </si>
  <si>
    <t>Vitis x interspécifique cv. Bertille Seyve 2603</t>
  </si>
  <si>
    <t>Vitis x interspécifique cv. Bertille Seyve 2758</t>
  </si>
  <si>
    <t>Vitis x interspécifique cv. Bertille Seyve 2760</t>
  </si>
  <si>
    <t>Vitis x interspécifique cv. Bertille Seyve 2833</t>
  </si>
  <si>
    <t>Vitis x interspécifique cv. Bertille Seyve 2845</t>
  </si>
  <si>
    <t>Vitis x interspécifique cv. Bertille Seyve 2846</t>
  </si>
  <si>
    <t>Vitis x interspécifique cv. Bertille Seyve 3027</t>
  </si>
  <si>
    <t>Vitis x interspécifique cv. Bertille Seyve 3064</t>
  </si>
  <si>
    <t>Vitis x interspécifique cv. Bertille Seyve 3072</t>
  </si>
  <si>
    <t>Vitis x interspécifique cv. Bertille Seyve 3101</t>
  </si>
  <si>
    <t>Vitis x interspécifique cv. Bertille Seyve 3114</t>
  </si>
  <si>
    <t>Vitis x interspécifique cv. Bertille Seyve 3118</t>
  </si>
  <si>
    <t>Vitis x interspécifique cv. Bertille Seyve 3144</t>
  </si>
  <si>
    <t>Vitis x interspécifique cv. Bertille Seyve 3246</t>
  </si>
  <si>
    <t>Vitis x interspécifique cv. Bertille Seyve 3310</t>
  </si>
  <si>
    <t>Vitis x interspécifique cv. Bertille Seyve 3408</t>
  </si>
  <si>
    <t>Vitis x interspécifique cv. Bertille Seyve 3411</t>
  </si>
  <si>
    <t>Vitis x interspécifique cv. Bertille Seyve 3434</t>
  </si>
  <si>
    <t>Vitis x interspécifique cv. Bertille Seyve 3585</t>
  </si>
  <si>
    <t>Vitis x interspécifique cv. Bertille Seyve 3600</t>
  </si>
  <si>
    <t>Vitis x interspécifique cv. Bertille Seyve 4127</t>
  </si>
  <si>
    <t>Vitis x interspécifique cv. Bertille Seyve 413</t>
  </si>
  <si>
    <t>Vitis x interspécifique cv. Bertille Seyve 4176</t>
  </si>
  <si>
    <t>Vitis x interspécifique cv. Bertille Seyve 4201</t>
  </si>
  <si>
    <t>Vitis x interspécifique cv. Bertille Seyve 433</t>
  </si>
  <si>
    <t>Vitis x interspécifique cv. Bertille Seyve 450</t>
  </si>
  <si>
    <t>Vitis x interspécifique cv. Bertille Seyve 453</t>
  </si>
  <si>
    <t>Vitis x interspécifique cv. Bertille Seyve 460</t>
  </si>
  <si>
    <t>Vitis x interspécifique cv. Bertille Seyve 4825</t>
  </si>
  <si>
    <t>Vitis x interspécifique cv. Bertille Seyve 618</t>
  </si>
  <si>
    <t>Vitis x interspécifique cv. Bertille Seyve 6264</t>
  </si>
  <si>
    <t>Vitis x interspécifique cv. Bertille Seyve 6283</t>
  </si>
  <si>
    <t>Vitis x interspécifique cv. Bertille Seyve 822</t>
  </si>
  <si>
    <t>Vitis x interspécifique cv. Bertille Seyve 872</t>
  </si>
  <si>
    <t>Vitis x interspécifique cv. Bertille Seyve 893</t>
  </si>
  <si>
    <t>Vitis x interspécifique cv. Beta grape de Chaunac = Beta</t>
  </si>
  <si>
    <t>Vitis x interspécifique cv. Beyer 2</t>
  </si>
  <si>
    <t>Vitis x interspécifique cv. Black Queen</t>
  </si>
  <si>
    <t>Vitis x interspécifique cv. Blanche musquée = Galibert 256-73</t>
  </si>
  <si>
    <t>Vitis x interspécifique cv. Bogni 15</t>
  </si>
  <si>
    <t>Vitis x interspécifique cv. Bon Laurent = Kühlmann 267-1</t>
  </si>
  <si>
    <t>Vitis x interspécifique cv. Bon noir = Kühlmann 278-2</t>
  </si>
  <si>
    <t>Vitis x interspécifique cv. Bouchalès x 18315 S.V. n°30</t>
  </si>
  <si>
    <t>Vitis x interspécifique cv. Boujannoir = Galibert 6-1</t>
  </si>
  <si>
    <t>Vitis x interspécifique cv. Breider 19975</t>
  </si>
  <si>
    <t>Vitis x interspécifique cv. Brémont</t>
  </si>
  <si>
    <t>Vitis x interspécifique cv. Bronner = FR 250-75</t>
  </si>
  <si>
    <t>Vitis x interspécifique cv. Bronx seedless</t>
  </si>
  <si>
    <t>Vitis x interspécifique cv. Burdin 10010</t>
  </si>
  <si>
    <t>Vitis x interspécifique cv. Burdin 1582</t>
  </si>
  <si>
    <t>Vitis x interspécifique cv. Burdin 1585</t>
  </si>
  <si>
    <t>Vitis x interspécifique cv. Burdin 1605</t>
  </si>
  <si>
    <t>Vitis x interspécifique cv. Burdin 4077</t>
  </si>
  <si>
    <t>Vitis x interspécifique cv. Burdin 4502</t>
  </si>
  <si>
    <t>Vitis x interspécifique cv. Burdin 4503</t>
  </si>
  <si>
    <t>Vitis x interspécifique cv. Burdin 4560</t>
  </si>
  <si>
    <t>Vitis x interspécifique cv. Burdin 4582</t>
  </si>
  <si>
    <t>Vitis x interspécifique cv. Burdin 4601</t>
  </si>
  <si>
    <t>Vitis x interspécifique cv. Burdin 4650</t>
  </si>
  <si>
    <t>Vitis x interspécifique cv. Burdin 4655</t>
  </si>
  <si>
    <t>Vitis x interspécifique cv. Burdin 4672</t>
  </si>
  <si>
    <t>Vitis x interspécifique cv. Burdin 4687</t>
  </si>
  <si>
    <t>Vitis x interspécifique cv. Burdin 4695</t>
  </si>
  <si>
    <t>Vitis x interspécifique cv. Burdin 4716</t>
  </si>
  <si>
    <t>Vitis x interspécifique cv. Burdin 4795</t>
  </si>
  <si>
    <t>Vitis x interspécifique cv. Burdin 4855</t>
  </si>
  <si>
    <t>Vitis x interspécifique cv. Burdin 5201</t>
  </si>
  <si>
    <t>Vitis x interspécifique cv. Burdin 5400</t>
  </si>
  <si>
    <t>Vitis x interspécifique cv. Burdin 5406</t>
  </si>
  <si>
    <t>Vitis x interspécifique cv. Burdin 5440</t>
  </si>
  <si>
    <t>Vitis x interspécifique cv. Burdin 5535</t>
  </si>
  <si>
    <t>Vitis x interspécifique cv. Burdin 5539</t>
  </si>
  <si>
    <t>Vitis x interspécifique cv. Burdin 5540</t>
  </si>
  <si>
    <t>Vitis x interspécifique cv. Burdin 5580</t>
  </si>
  <si>
    <t>Vitis x interspécifique cv. Burdin 5581</t>
  </si>
  <si>
    <t>Vitis x interspécifique cv. Burdin 5620</t>
  </si>
  <si>
    <t>Vitis x interspécifique cv. Burdin 5833</t>
  </si>
  <si>
    <t>Vitis x interspécifique cv. Burdin 5894</t>
  </si>
  <si>
    <t>Vitis x interspécifique cv. Burdin 5957</t>
  </si>
  <si>
    <t>Vitis x interspécifique cv. Burdin 5960</t>
  </si>
  <si>
    <t>Vitis x interspécifique cv. Burdin 5963</t>
  </si>
  <si>
    <t>Vitis x interspécifique cv. Burdin 5984</t>
  </si>
  <si>
    <t>Vitis x interspécifique cv. Burdin 6004</t>
  </si>
  <si>
    <t>Vitis x interspécifique cv. Burdin 6055</t>
  </si>
  <si>
    <t>Vitis x interspécifique cv. Burdin 6154</t>
  </si>
  <si>
    <t>Vitis x interspécifique cv. Burdin 6189</t>
  </si>
  <si>
    <t>Vitis x interspécifique cv. Burdin 6205</t>
  </si>
  <si>
    <t>Vitis x interspécifique cv. Burdin 6316</t>
  </si>
  <si>
    <t>Vitis x interspécifique cv. Burdin 6422</t>
  </si>
  <si>
    <t>Vitis x interspécifique cv. Burdin 6541</t>
  </si>
  <si>
    <t>Vitis x interspécifique cv. Burdin 6621</t>
  </si>
  <si>
    <t>Vitis x interspécifique cv. Burdin 7037</t>
  </si>
  <si>
    <t>Vitis x interspécifique cv. Burdin 7044</t>
  </si>
  <si>
    <t>Vitis x interspécifique cv. Burdin 7061</t>
  </si>
  <si>
    <t>Vitis x interspécifique cv. Burdin 7187</t>
  </si>
  <si>
    <t>Vitis x interspécifique cv. Burdin 7194</t>
  </si>
  <si>
    <t>Vitis x interspécifique cv. Burdin 7200</t>
  </si>
  <si>
    <t>Vitis x interspécifique cv. Burdin 7206</t>
  </si>
  <si>
    <t>Vitis x interspécifique cv. Burdin 7215</t>
  </si>
  <si>
    <t>Vitis x interspécifique cv. Burdin 7216</t>
  </si>
  <si>
    <t>Vitis x interspécifique cv. Burdin 7334</t>
  </si>
  <si>
    <t>Vitis x interspécifique cv. Burdin 7352</t>
  </si>
  <si>
    <t>Vitis x interspécifique cv. Burdin 7353</t>
  </si>
  <si>
    <t>Vitis x interspécifique cv. Burdin 7357</t>
  </si>
  <si>
    <t>Vitis x interspécifique cv. Burdin 7358</t>
  </si>
  <si>
    <t>Vitis x interspécifique cv. Burdin 7360</t>
  </si>
  <si>
    <t>Vitis x interspécifique cv. Burdin 7365</t>
  </si>
  <si>
    <t>Vitis x interspécifique cv. Burdin 7368</t>
  </si>
  <si>
    <t>Vitis x interspécifique cv. Burdin 7369</t>
  </si>
  <si>
    <t>Vitis x interspécifique cv. Burdin 7371</t>
  </si>
  <si>
    <t>Vitis x interspécifique cv. Burdin 7374</t>
  </si>
  <si>
    <t>Vitis x interspécifique cv. Burdin 7375</t>
  </si>
  <si>
    <t>Vitis x interspécifique cv. Burdin 7380</t>
  </si>
  <si>
    <t>Vitis x interspécifique cv. Burdin 7405</t>
  </si>
  <si>
    <t>Vitis x interspécifique cv. Burdin 7468</t>
  </si>
  <si>
    <t>Vitis x interspécifique cv. Burdin 7510</t>
  </si>
  <si>
    <t>Vitis x interspécifique cv. Burdin 7515</t>
  </si>
  <si>
    <t>Vitis x interspécifique cv. Burdin 7582</t>
  </si>
  <si>
    <t>Vitis x interspécifique cv. Burdin 7595</t>
  </si>
  <si>
    <t>Vitis x interspécifique cv. Burdin 7618</t>
  </si>
  <si>
    <t>Vitis x interspécifique cv. Burdin 7638</t>
  </si>
  <si>
    <t>Vitis x interspécifique cv. Burdin 7648</t>
  </si>
  <si>
    <t>Vitis x interspécifique cv. Burdin 7696</t>
  </si>
  <si>
    <t>Vitis x interspécifique cv. Burdin 8649</t>
  </si>
  <si>
    <t>Vitis x interspécifique cv. Burdin 8796</t>
  </si>
  <si>
    <t>Vitis x interspécifique cv. Burdin 8811</t>
  </si>
  <si>
    <t>Vitis x interspécifique cv. Burdin 9010</t>
  </si>
  <si>
    <t>Vitis x interspécifique cv. C 26 Maclet</t>
  </si>
  <si>
    <t>Vitis x interspécifique cv. C 49 Maclet</t>
  </si>
  <si>
    <t>Vitis x interspécifique cv. C 69 Maclet</t>
  </si>
  <si>
    <t>Vitis x interspécifique cv. C 86 Maclet</t>
  </si>
  <si>
    <t>Vitis x interspécifique cv. C 98 Maclet</t>
  </si>
  <si>
    <t>Vitis x interspécifique cv. Cadamon 1</t>
  </si>
  <si>
    <t>Vitis x interspécifique cv. Cadamon 1 = Galibert 133-6</t>
  </si>
  <si>
    <t>Vitis x interspécifique cv. Cadamon 2 = Galibert 201-5</t>
  </si>
  <si>
    <t>Vitis x interspécifique cv. Cadillon doré = Galibert 261-13</t>
  </si>
  <si>
    <t>Vitis x interspécifique cv. Cadillon tardif = Galibert 261-12</t>
  </si>
  <si>
    <t>Vitis x interspécifique cv. Cadougnan blanc = Galibert 217-36</t>
  </si>
  <si>
    <t>Vitis x interspécifique cv. Cadougnan noir n° 2 = Galibert 217-33</t>
  </si>
  <si>
    <t>Vitis x interspécifique cv. Cadoulas n°1 = Galibert 207-86</t>
  </si>
  <si>
    <t>Vitis x interspécifique cv. Cadoulas n°2 = Galibert 114-14</t>
  </si>
  <si>
    <t>Vitis x interspécifique cv. Cadoulenc n°3 = Galibert 239-92</t>
  </si>
  <si>
    <t>Vitis x interspécifique cv. Cadoulenc 2</t>
  </si>
  <si>
    <t>Vitis x interspécifique cv. Caille 16</t>
  </si>
  <si>
    <t>Vitis x interspécifique cv. Caille 78</t>
  </si>
  <si>
    <t>Vitis x interspécifique cv. Calignon 2</t>
  </si>
  <si>
    <t>Vitis x interspécifique cv. Camirane blanche = Fourquier 16-45</t>
  </si>
  <si>
    <t>Vitis x interspécifique cv. Camirane rose = Fourquier 5-45</t>
  </si>
  <si>
    <t>Vitis x interspécifique cv. Candin</t>
  </si>
  <si>
    <t>Vitis x interspécifique cv. Carubis = Galibert 21-1</t>
  </si>
  <si>
    <t>Vitis x interspécifique cv. Cassady</t>
  </si>
  <si>
    <t>Vitis x interspécifique cv. Castel 120</t>
  </si>
  <si>
    <t>Vitis x interspécifique cv. Castel 121</t>
  </si>
  <si>
    <t>Vitis x interspécifique cv. Castel 12412</t>
  </si>
  <si>
    <t>Vitis x interspécifique cv. Castel 12827</t>
  </si>
  <si>
    <t>Vitis x interspécifique cv. Castel 12916</t>
  </si>
  <si>
    <t>Vitis x interspécifique cv. Castel 18311</t>
  </si>
  <si>
    <t>Vitis x interspécifique cv. Castel 1832</t>
  </si>
  <si>
    <t>Vitis x interspécifique cv. Castel 188-04</t>
  </si>
  <si>
    <t>Vitis x interspécifique cv. Castel 188-08</t>
  </si>
  <si>
    <t>Vitis x interspécifique cv. Castel 188-15</t>
  </si>
  <si>
    <t>Vitis x interspécifique cv. Castel 19637</t>
  </si>
  <si>
    <t>Vitis x interspécifique cv. Castel 20029</t>
  </si>
  <si>
    <t>Vitis x interspécifique cv. Castel 20031</t>
  </si>
  <si>
    <t>Vitis x interspécifique cv. Castel 20035</t>
  </si>
  <si>
    <t>Vitis x interspécifique cv. Castel 20410</t>
  </si>
  <si>
    <t>Vitis x interspécifique cv. Castel 20415</t>
  </si>
  <si>
    <t>Vitis x interspécifique cv. Castel 20418</t>
  </si>
  <si>
    <t>Vitis x interspécifique cv. Castel 215-1</t>
  </si>
  <si>
    <t>Vitis x interspécifique cv. Castel 227-1</t>
  </si>
  <si>
    <t>Vitis x interspécifique cv. Castel 3431</t>
  </si>
  <si>
    <t>Vitis x interspécifique cv. Castel 4337</t>
  </si>
  <si>
    <t>Vitis x interspécifique cv. Castel 4515</t>
  </si>
  <si>
    <t>Vitis x interspécifique cv. Castel 4639</t>
  </si>
  <si>
    <t>Vitis x interspécifique cv. Castel 6011</t>
  </si>
  <si>
    <t>Vitis x interspécifique cv. Castel 6021</t>
  </si>
  <si>
    <t>Vitis x interspécifique cv. Castel 6831</t>
  </si>
  <si>
    <t>Vitis x interspécifique cv. Castel 7229</t>
  </si>
  <si>
    <t>Vitis x interspécifique cv. Castel 7501</t>
  </si>
  <si>
    <t>Vitis x interspécifique cv. Castel 7605</t>
  </si>
  <si>
    <t>Vitis x interspécifique cv. Chambaudière 113</t>
  </si>
  <si>
    <t>Vitis x interspécifique cv. Chambaudière 1330</t>
  </si>
  <si>
    <t>Vitis x interspécifique cv. Chambaudière 1336</t>
  </si>
  <si>
    <t>Vitis x interspécifique cv. Chambaudière 1337</t>
  </si>
  <si>
    <t>Vitis x interspécifique cv. Chambaudière 1349</t>
  </si>
  <si>
    <t>Vitis x interspécifique cv. Chambaudière 1375</t>
  </si>
  <si>
    <t>Vitis x interspécifique cv. Chambaudière 1391</t>
  </si>
  <si>
    <t>Vitis x interspécifique cv. Chambaudière 426</t>
  </si>
  <si>
    <t>Vitis x interspécifique cv. Chambaudière 442</t>
  </si>
  <si>
    <t>Vitis x interspécifique cv. Chambaudière 540</t>
  </si>
  <si>
    <t>Vitis x interspécifique cv. Chambourcin = Joannès Seyve 26205</t>
  </si>
  <si>
    <t>Vitis x interspécifique cv. Chancellor = Seibel 7053</t>
  </si>
  <si>
    <t>Vitis x interspécifique cv. Chasselas Baco = Baco 7 A</t>
  </si>
  <si>
    <t>Vitis x interspécifique cv. Chazalon</t>
  </si>
  <si>
    <t>Vitis x interspécifique cv. Chelois = Seibel 10878</t>
  </si>
  <si>
    <t>Vitis x interspécifique cv. Chenivesse</t>
  </si>
  <si>
    <t>Vitis x interspécifique cv. Chevalier 3401</t>
  </si>
  <si>
    <t>Vitis x interspécifique cv. Chevalier 4002</t>
  </si>
  <si>
    <t>Vitis x interspécifique cv. cinerea x davidii</t>
  </si>
  <si>
    <t>Vitis x interspécifique cv. Claire Kühlmann = Kühlmann 477-1</t>
  </si>
  <si>
    <t>Vitis x interspécifique cv. Clairette dorée Ganzin</t>
  </si>
  <si>
    <t>Vitis x interspécifique cv. Clairette résistante</t>
  </si>
  <si>
    <t>Vitis x interspécifique cv. Clinton = Kilianstraube</t>
  </si>
  <si>
    <t>Vitis x interspécifique cv. Colobel = Seibel 8357</t>
  </si>
  <si>
    <t>Vitis x interspécifique cv. coriacea x cinerea</t>
  </si>
  <si>
    <t>Vitis x interspécifique cv. Cosmo 10</t>
  </si>
  <si>
    <t>Vitis x interspécifique cv. Cosmo 2</t>
  </si>
  <si>
    <t>Vitis x interspécifique cv. Couderc noir = Couderc 7120</t>
  </si>
  <si>
    <t>Vitis x interspécifique cv. Couderc 1</t>
  </si>
  <si>
    <t>Vitis x interspécifique cv. Couderc 10</t>
  </si>
  <si>
    <t>Vitis x interspécifique cv. Couderc 101</t>
  </si>
  <si>
    <t>Vitis x interspécifique cv. Couderc 102-5 ter</t>
  </si>
  <si>
    <t>Vitis x interspécifique cv. Couderc 106-46</t>
  </si>
  <si>
    <t>Vitis x interspécifique cv. Couderc 106-51</t>
  </si>
  <si>
    <t>Vitis x interspécifique cv. Couderc 109-4</t>
  </si>
  <si>
    <t>Vitis x interspécifique cv. Couderc 11</t>
  </si>
  <si>
    <t>Vitis x interspécifique cv. Couderc 117-3</t>
  </si>
  <si>
    <t>Vitis x interspécifique cv. Couderc 117-4</t>
  </si>
  <si>
    <t>Vitis x interspécifique cv. Couderc 119</t>
  </si>
  <si>
    <t>Vitis x interspécifique cv. Couderc 12</t>
  </si>
  <si>
    <t>Vitis x interspécifique cv. Couderc 1202</t>
  </si>
  <si>
    <t>Vitis x interspécifique cv. Couderc 124-12</t>
  </si>
  <si>
    <t>Vitis x interspécifique cv. Couderc 126-8</t>
  </si>
  <si>
    <t>Vitis x interspécifique cv. Couderc 128-29 = N 6-53</t>
  </si>
  <si>
    <t>Vitis x interspécifique cv. Couderc 13</t>
  </si>
  <si>
    <t>Vitis x interspécifique cv. Couderc 1305</t>
  </si>
  <si>
    <t>Vitis x interspécifique cv. Couderc 13-11</t>
  </si>
  <si>
    <t>Vitis x interspécifique cv. Couderc 132</t>
  </si>
  <si>
    <t>Vitis x interspécifique cv. Couderc 13-205 ou 132-5</t>
  </si>
  <si>
    <t>Vitis x interspécifique cv. Couderc 136-4</t>
  </si>
  <si>
    <t>Vitis x interspécifique cv. Couderc 14</t>
  </si>
  <si>
    <t>Vitis x interspécifique cv. Couderc 1401</t>
  </si>
  <si>
    <t>Vitis x interspécifique cv. Couderc 146-51</t>
  </si>
  <si>
    <t>Vitis x interspécifique cv. Couderc 15</t>
  </si>
  <si>
    <t>Vitis x interspécifique cv. Couderc 157-11</t>
  </si>
  <si>
    <t>Vitis x interspécifique cv. Couderc 157-21</t>
  </si>
  <si>
    <t>Vitis x interspécifique cv. Couderc 16</t>
  </si>
  <si>
    <t>Vitis x interspécifique cv. Couderc 1613</t>
  </si>
  <si>
    <t>Vitis x interspécifique cv. Couderc 1615</t>
  </si>
  <si>
    <t>Vitis x interspécifique cv. Couderc 1616 (Colmar 1984)</t>
  </si>
  <si>
    <t>Vitis x interspécifique cv. Couderc 1616 Davy (pubescent)</t>
  </si>
  <si>
    <t>Vitis x interspécifique cv. Couderc 1616 E</t>
  </si>
  <si>
    <t>Vitis x interspécifique cv. Couderc 162</t>
  </si>
  <si>
    <t>Vitis x interspécifique cv. Couderc 162-46</t>
  </si>
  <si>
    <t>Vitis x interspécifique cv. Couderc 162-5</t>
  </si>
  <si>
    <t>Vitis x interspécifique cv. Couderc 162-97</t>
  </si>
  <si>
    <t>Vitis x interspécifique cv. Couderc 17</t>
  </si>
  <si>
    <t>Vitis x interspécifique cv. Couderc 175</t>
  </si>
  <si>
    <t>Vitis x interspécifique cv. Couderc 18</t>
  </si>
  <si>
    <t>Vitis x interspécifique cv. Couderc 19 = 299-35</t>
  </si>
  <si>
    <t>Vitis x interspécifique cv. Couderc 197-94</t>
  </si>
  <si>
    <t>Vitis x interspécifique cv. Couderc 198-21</t>
  </si>
  <si>
    <t>Vitis x interspécifique cv. Couderc 198-89</t>
  </si>
  <si>
    <t>Vitis x interspécifique cv. Couderc 199-88</t>
  </si>
  <si>
    <t>Vitis x interspécifique cv. Couderc 2</t>
  </si>
  <si>
    <t>Vitis x interspécifique cv. Couderc 20</t>
  </si>
  <si>
    <t>Vitis x interspécifique cv. Couderc 201</t>
  </si>
  <si>
    <t>Vitis x interspécifique cv. Couderc 202-137</t>
  </si>
  <si>
    <t>Vitis x interspécifique cv. Couderc 203-143</t>
  </si>
  <si>
    <t>Vitis x interspécifique cv. Couderc 21</t>
  </si>
  <si>
    <t>Vitis x interspécifique cv. Couderc 2-10 = 2 Baronne</t>
  </si>
  <si>
    <t>Vitis x interspécifique cv. Couderc 216-2</t>
  </si>
  <si>
    <t>Vitis x interspécifique cv. Couderc 22</t>
  </si>
  <si>
    <t>Vitis x interspécifique cv. Couderc 226-58</t>
  </si>
  <si>
    <t>Vitis x interspécifique cv. Couderc 23</t>
  </si>
  <si>
    <t>Vitis x interspécifique cv. Couderc 235-120</t>
  </si>
  <si>
    <t>Vitis x interspécifique cv. Couderc 24</t>
  </si>
  <si>
    <t>Vitis x interspécifique cv. Couderc 241-123</t>
  </si>
  <si>
    <t>Vitis x interspécifique cv. Couderc 241-125</t>
  </si>
  <si>
    <t>Vitis x interspécifique cv. Couderc 246-123</t>
  </si>
  <si>
    <t>Vitis x interspécifique cv. Couderc 25</t>
  </si>
  <si>
    <t>Vitis x interspécifique cv. Couderc 251-150</t>
  </si>
  <si>
    <t>Vitis x interspécifique cv. Couderc 251-50</t>
  </si>
  <si>
    <t>Vitis x interspécifique cv. Couderc 252-14</t>
  </si>
  <si>
    <t>Vitis x interspécifique cv. Couderc 252-15</t>
  </si>
  <si>
    <t>Vitis x interspécifique cv. Couderc 26</t>
  </si>
  <si>
    <t>Vitis x interspécifique cv. Couderc 261-50</t>
  </si>
  <si>
    <t>Vitis x interspécifique cv. Couderc 2627-11</t>
  </si>
  <si>
    <t>Vitis x interspécifique cv. Couderc 267-27</t>
  </si>
  <si>
    <t>Vitis x interspécifique cv. Couderc 272-60</t>
  </si>
  <si>
    <t>Vitis x interspécifique cv. Couderc 28-112</t>
  </si>
  <si>
    <t>Vitis x interspécifique cv. Couderc 286-68</t>
  </si>
  <si>
    <t>Vitis x interspécifique cv. Couderc 299-17</t>
  </si>
  <si>
    <t>Vitis x interspécifique cv. Couderc 299-35</t>
  </si>
  <si>
    <t>Vitis x interspécifique cv. Couderc 3</t>
  </si>
  <si>
    <t>Vitis x interspécifique cv. Couderc 302-60</t>
  </si>
  <si>
    <t>Vitis x interspécifique cv. Couderc 3304</t>
  </si>
  <si>
    <t>Vitis x interspécifique cv. Couderc 3306</t>
  </si>
  <si>
    <t>Vitis x interspécifique cv. Couderc 3307</t>
  </si>
  <si>
    <t>Vitis x interspécifique cv. Couderc 3310</t>
  </si>
  <si>
    <t>Vitis x interspécifique cv. Couderc 343-14</t>
  </si>
  <si>
    <t>Vitis x interspécifique cv. Couderc 3601</t>
  </si>
  <si>
    <t>Vitis x interspécifique cv. Couderc 3905</t>
  </si>
  <si>
    <t>Vitis x interspécifique cv. Couderc 3907</t>
  </si>
  <si>
    <t>Vitis x interspécifique cv. Couderc 4</t>
  </si>
  <si>
    <t>Vitis x interspécifique cv. Couderc 404</t>
  </si>
  <si>
    <t>Vitis x interspécifique cv. Couderc 4306</t>
  </si>
  <si>
    <t>Vitis x interspécifique cv. Couderc 4308</t>
  </si>
  <si>
    <t>Vitis x interspécifique cv. Couderc 5</t>
  </si>
  <si>
    <t>Vitis x interspécifique cv. Couderc 501</t>
  </si>
  <si>
    <t>Vitis x interspécifique cv. Couderc 503</t>
  </si>
  <si>
    <t>Vitis x interspécifique cv. Couderc 504</t>
  </si>
  <si>
    <t>Vitis x interspécifique cv. Couderc 5407</t>
  </si>
  <si>
    <t>Vitis x interspécifique cv. Couderc 548-1</t>
  </si>
  <si>
    <t>Vitis x interspécifique cv. Couderc 554-5</t>
  </si>
  <si>
    <t>Vitis x interspécifique cv. Couderc 6</t>
  </si>
  <si>
    <t>Vitis x interspécifique cv. Couderc 601</t>
  </si>
  <si>
    <t>Vitis x interspécifique cv. Couderc 602</t>
  </si>
  <si>
    <t>Vitis x interspécifique cv. Couderc 603</t>
  </si>
  <si>
    <t>Vitis x interspécifique cv. Couderc 62-66</t>
  </si>
  <si>
    <t>Vitis x interspécifique cv. Couderc 633 H</t>
  </si>
  <si>
    <t>Vitis x interspécifique cv. Couderc 7</t>
  </si>
  <si>
    <t>Vitis x interspécifique cv. Couderc 71-03</t>
  </si>
  <si>
    <t>Vitis x interspécifique cv. Couderc 71-04</t>
  </si>
  <si>
    <t>Vitis x interspécifique cv. Couderc 7106</t>
  </si>
  <si>
    <t>Vitis x interspécifique cv. Couderc 7160</t>
  </si>
  <si>
    <t>Vitis x interspécifique cv. Couderc 71-61 = Contassot 2</t>
  </si>
  <si>
    <t>Vitis x interspécifique cv. Couderc 7301</t>
  </si>
  <si>
    <t>Vitis x interspécifique cv. Couderc 7417</t>
  </si>
  <si>
    <t>Vitis x interspécifique cv. Couderc 7502</t>
  </si>
  <si>
    <t>Vitis x interspécifique cv. Couderc 8</t>
  </si>
  <si>
    <t>Vitis x interspécifique cv. Couderc 81-2</t>
  </si>
  <si>
    <t>Vitis x interspécifique cv. Couderc 82-12</t>
  </si>
  <si>
    <t>Vitis x interspécifique cv. Couderc 8232</t>
  </si>
  <si>
    <t>Vitis x interspécifique cv. Couderc 84-10</t>
  </si>
  <si>
    <t>Vitis x interspécifique cv. Couderc 84-61</t>
  </si>
  <si>
    <t>Vitis x interspécifique cv. Couderc 85-113</t>
  </si>
  <si>
    <t>Vitis x interspécifique cv. Couderc 87-83</t>
  </si>
  <si>
    <t>Vitis x interspécifique cv. Couderc 89-23</t>
  </si>
  <si>
    <t>Vitis x interspécifique cv. Couderc 9</t>
  </si>
  <si>
    <t>Vitis x interspécifique cv. Couderc 901</t>
  </si>
  <si>
    <t>Vitis x interspécifique cv. Couderc 90-38</t>
  </si>
  <si>
    <t>Vitis x interspécifique cv. Couderc 904</t>
  </si>
  <si>
    <t>Vitis x interspécifique cv. Couderc 93-5</t>
  </si>
  <si>
    <t>Vitis x interspécifique cv. Couderc 96-32</t>
  </si>
  <si>
    <t>Vitis x interspécifique cv. Couderc 98-76</t>
  </si>
  <si>
    <t>Vitis x interspécifique cv. Cournon = Galibert 22-4</t>
  </si>
  <si>
    <t>Vitis x interspécifique cv. D Maclet</t>
  </si>
  <si>
    <t>Vitis x interspécifique cv. Dattier de Saint-Vallier = Seyve-Villard 20-365</t>
  </si>
  <si>
    <t>Vitis x interspécifique cv. davidii x ?</t>
  </si>
  <si>
    <t>Vitis x interspécifique cv. De Chaunac = Seibel 9549</t>
  </si>
  <si>
    <t>Vitis x interspécifique cv. Delaware rose</t>
  </si>
  <si>
    <t>Vitis x interspécifique cv. Directeur Grosjean = Kühlmann 536-3</t>
  </si>
  <si>
    <t>Vitis x interspécifique cv. Docteur Decker-rebe</t>
  </si>
  <si>
    <t>Vitis x interspécifique cv. Dog Ridge</t>
  </si>
  <si>
    <t>Vitis x interspécifique cv. Dorette</t>
  </si>
  <si>
    <t>Vitis x interspécifique cv. Douriou = Baco 37-16</t>
  </si>
  <si>
    <t>Vitis x interspécifique cv. Doux noir = Galibert 294-33</t>
  </si>
  <si>
    <t>Vitis x interspécifique cv. Dufour 11 F</t>
  </si>
  <si>
    <t>Vitis x interspécifique cv. E 31 Maclet</t>
  </si>
  <si>
    <t>Vitis x interspécifique cv. E 46 Maclet</t>
  </si>
  <si>
    <t>Vitis x interspécifique cv. Edda Mussolini = Pirovano 78</t>
  </si>
  <si>
    <t>Vitis x interspécifique cv. Einset seedless</t>
  </si>
  <si>
    <t>Vitis x interspécifique cv. Elisabeth</t>
  </si>
  <si>
    <t>Vitis x interspécifique cv. Embanc n°2 = Galibert 113-20</t>
  </si>
  <si>
    <t>Vitis x interspécifique cv. Emblanc n°1 = Galibert 113-18</t>
  </si>
  <si>
    <t>Vitis x interspécifique cv. Emblanc n°3 = Galibert 113-32</t>
  </si>
  <si>
    <t>Vitis x interspécifique cv. Emblanc n°4 = Galibert 128-13</t>
  </si>
  <si>
    <t>Vitis x interspécifique cv. Emblanc n°5 = Galibert 152-26</t>
  </si>
  <si>
    <t>Vitis x interspécifique cv. Emblanc n°6 = Galibert 153-11</t>
  </si>
  <si>
    <t>Vitis x interspécifique cv. Emblanc n°7 = Galibert 154-20</t>
  </si>
  <si>
    <t>Vitis x interspécifique cv. Emblanc n°8 = Galibert 155-9</t>
  </si>
  <si>
    <t>Vitis x interspécifique cv. Emblanc n°9 = Galibert 162-3</t>
  </si>
  <si>
    <t>Vitis x interspécifique cv. Emon 1-23</t>
  </si>
  <si>
    <t>Vitis x interspécifique cv. Emon 19-20</t>
  </si>
  <si>
    <t>Vitis x interspécifique cv. Emon 2</t>
  </si>
  <si>
    <t>Vitis x interspécifique cv. Emon 2-5</t>
  </si>
  <si>
    <t>Vitis x interspécifique cv. Emon 9</t>
  </si>
  <si>
    <t>Vitis x interspécifique cv. Ennoir n°1 = Galibert 114-10</t>
  </si>
  <si>
    <t>Vitis x interspécifique cv. Ennoir n°2 = Galibert 152-24</t>
  </si>
  <si>
    <t>Vitis x interspécifique cv. Ennoir n°3 = Galibert 152-27</t>
  </si>
  <si>
    <t>Vitis x interspécifique cv. Ennoir n°4 = Galibert 155-3</t>
  </si>
  <si>
    <t>Vitis x interspécifique cv. Ennoir n°5 = Galibert 155-11</t>
  </si>
  <si>
    <t>Vitis x interspécifique cv. Ennoir n°6 = Galibert 155-14</t>
  </si>
  <si>
    <t>Vitis x interspécifique cv. Ennoir n°7 = Galibert 162-4</t>
  </si>
  <si>
    <t>Vitis x interspécifique cv. Ennoir n°8 = Galibert 166-18</t>
  </si>
  <si>
    <t>Vitis x interspécifique cv. Ennoir n°9 = Galibert 171-24</t>
  </si>
  <si>
    <t>Vitis x interspécifique cv. Estellat = Baco 30-12</t>
  </si>
  <si>
    <t>Vitis x interspécifique cv. Etoile 1 = Kühlmann 237-1</t>
  </si>
  <si>
    <t>Vitis x interspécifique cv. Etoile 2 = Kühlmann 237-2</t>
  </si>
  <si>
    <t>Vitis x interspécifique cv. Evex 13-3</t>
  </si>
  <si>
    <t>Vitis x interspécifique cv. Evex 13-5</t>
  </si>
  <si>
    <t>Vitis x interspécifique cv. Excelsior Guilly</t>
  </si>
  <si>
    <t>Vitis x interspécifique cv. Excelsior (Ricketts)</t>
  </si>
  <si>
    <t>Vitis x interspécifique cv. Farato Grimaldi</t>
  </si>
  <si>
    <t>Vitis x interspécifique cv. Fauconneau 1</t>
  </si>
  <si>
    <t>Vitis x interspécifique cv. Fauconneau 2</t>
  </si>
  <si>
    <t>Vitis x interspécifique cv. Fercal</t>
  </si>
  <si>
    <t>Vitis x interspécifique cv. Ferdinand de Lesseps</t>
  </si>
  <si>
    <t>Vitis x interspécifique cv. Fin blanc 1</t>
  </si>
  <si>
    <t>Vitis x interspécifique cv. Fin noir = Kühlmann 275-2</t>
  </si>
  <si>
    <t>Vitis x interspécifique cv. Fin noir 1</t>
  </si>
  <si>
    <t>Vitis x interspécifique cv. Fin noir 2</t>
  </si>
  <si>
    <t>Vitis x interspécifique cv. Florental = Burdin 7705</t>
  </si>
  <si>
    <t>Vitis x interspécifique cv. Flot d'Or = Seibel 2653</t>
  </si>
  <si>
    <t>Vitis x interspécifique cv. Flot rouge = Seibel 1020</t>
  </si>
  <si>
    <t>Vitis x interspécifique cv. Fontan</t>
  </si>
  <si>
    <t>Vitis x interspécifique cv. Fredonia</t>
  </si>
  <si>
    <t>Vitis x interspécifique cv. G 1 = Grézot 1</t>
  </si>
  <si>
    <t>Vitis x interspécifique cv. Gaillard 157</t>
  </si>
  <si>
    <t>Vitis x interspécifique cv. Gaillard 194</t>
  </si>
  <si>
    <t>Vitis x interspécifique cv. Gaillard 2</t>
  </si>
  <si>
    <t>Vitis x interspécifique cv. Galibert 114-12</t>
  </si>
  <si>
    <t>Vitis x interspécifique cv. Galibert 114-25</t>
  </si>
  <si>
    <t>Vitis x interspécifique cv. Galibert 115-18</t>
  </si>
  <si>
    <t>Vitis x interspécifique cv. Galibert 115-28</t>
  </si>
  <si>
    <t>Vitis x interspécifique cv. Galibert 14-2</t>
  </si>
  <si>
    <t>Vitis x interspécifique cv. Galibert 14-3</t>
  </si>
  <si>
    <t>Vitis x interspécifique cv. Galibert 14-4</t>
  </si>
  <si>
    <t>Vitis x interspécifique cv. Galibert 14-5</t>
  </si>
  <si>
    <t>Vitis x interspécifique cv. Galibert 201 F</t>
  </si>
  <si>
    <t>Vitis x interspécifique cv. Galibert 201 H</t>
  </si>
  <si>
    <t>Vitis x interspécifique cv. Galibert 201-8 = Inconnu</t>
  </si>
  <si>
    <t>Vitis x interspécifique cv. Galibert 20-2</t>
  </si>
  <si>
    <t>Vitis x interspécifique cv. Galibert 21-2</t>
  </si>
  <si>
    <t>Vitis x interspécifique cv. Galibert 25-2</t>
  </si>
  <si>
    <t>Vitis x interspécifique cv. Galibert 309</t>
  </si>
  <si>
    <t>Vitis x interspécifique cv. Galibert 315</t>
  </si>
  <si>
    <t>Vitis x interspécifique cv. Galibert 35-3</t>
  </si>
  <si>
    <t>Vitis x interspécifique cv. Galibert 403</t>
  </si>
  <si>
    <t>Vitis x interspécifique cv. Galibert 404</t>
  </si>
  <si>
    <t>Vitis x interspécifique cv. Galibert 408</t>
  </si>
  <si>
    <t>Vitis x interspécifique cv. Galibert 413</t>
  </si>
  <si>
    <t>Vitis x interspécifique cv. Galibert 414</t>
  </si>
  <si>
    <t>Vitis x interspécifique cv. Galibert 420</t>
  </si>
  <si>
    <t>Vitis x interspécifique cv. Galibert 42-1</t>
  </si>
  <si>
    <t>Vitis x interspécifique cv. Galibert 42-2</t>
  </si>
  <si>
    <t>Vitis x interspécifique cv. Galibert 42-3</t>
  </si>
  <si>
    <t>Vitis x interspécifique cv. Galicante blanc n°1 = Galibert 238-95</t>
  </si>
  <si>
    <t>Vitis x interspécifique cv. Galicante noir n°1 = Galibert 239-96</t>
  </si>
  <si>
    <t>Vitis x interspécifique cv. Galicoul noir = Galibert 238-35</t>
  </si>
  <si>
    <t>Vitis x interspécifique cv. Galignon n°2 = Galibert 264-34</t>
  </si>
  <si>
    <t>Vitis x interspécifique cv. Gamay Couderc = Couderc 3103</t>
  </si>
  <si>
    <t>Vitis x interspécifique cv. Garnier 15-6</t>
  </si>
  <si>
    <t>Vitis x interspécifique cv. Garonnet = Seyve-Villard 18-283</t>
  </si>
  <si>
    <t>Vitis x interspécifique cv. Gaulois 1</t>
  </si>
  <si>
    <t>Vitis x interspécifique cv. Gaulois 2</t>
  </si>
  <si>
    <t>Vitis x interspécifique cv. Geisenheim 26</t>
  </si>
  <si>
    <t>Vitis x interspécifique cv. Geisenheim 97</t>
  </si>
  <si>
    <t>Vitis x interspécifique cv. GfGa-47-42</t>
  </si>
  <si>
    <t>Vitis x interspécifique cv. Gigantesque Millardet de Grasset</t>
  </si>
  <si>
    <t>Vitis x interspécifique cv. Glenora</t>
  </si>
  <si>
    <t>Vitis x interspécifique cv. Golden Muscat</t>
  </si>
  <si>
    <t>Vitis x interspécifique cv. Golia = 1-37 Pirovano</t>
  </si>
  <si>
    <t>Vitis x interspécifique cv. Gradian noir = Galibert 23-2</t>
  </si>
  <si>
    <t>Vitis x interspécifique cv. Grand Noir de Cadoule = Galibert 115-22</t>
  </si>
  <si>
    <t>Vitis x interspécifique cv. Gravesac</t>
  </si>
  <si>
    <t>Vitis x interspécifique cv. Grimaldi 24-27</t>
  </si>
  <si>
    <t>Vitis x interspécifique cv. Grimaldi 444</t>
  </si>
  <si>
    <t>Vitis x interspécifique cv. Gros Cadillon = Galibert 261-11</t>
  </si>
  <si>
    <t>Vitis x interspécifique cv. Guillaume 35</t>
  </si>
  <si>
    <t>Vitis x interspécifique cv. Guillaume 4</t>
  </si>
  <si>
    <t>Vitis x interspécifique cv. Guillaume 6</t>
  </si>
  <si>
    <t>Vitis x interspécifique cv. Harmony</t>
  </si>
  <si>
    <t>Vitis x interspécifique cv. Hartford Prolific</t>
  </si>
  <si>
    <t>Vitis x interspécifique cv. Helios</t>
  </si>
  <si>
    <t>Vitis x interspécifique cv. Herbemont</t>
  </si>
  <si>
    <t>Vitis x interspécifique cv. Himrod</t>
  </si>
  <si>
    <t>Vitis x interspécifique cv. Humbert 3</t>
  </si>
  <si>
    <t>Vitis x interspécifique cv. Hybride Azemar</t>
  </si>
  <si>
    <t>Vitis x interspécifique cv. Hybride Boiziau</t>
  </si>
  <si>
    <t>Vitis x interspécifique cv. Hybride d'Allen</t>
  </si>
  <si>
    <t>Vitis x interspécifique cv. Hybride Fournier</t>
  </si>
  <si>
    <t>Vitis x interspécifique cv. Hybride Franc</t>
  </si>
  <si>
    <t>Vitis x interspécifique cv. Hybride Lacoste</t>
  </si>
  <si>
    <t>Vitis x interspécifique cv. Hybride Pully 1</t>
  </si>
  <si>
    <t>Vitis x interspécifique cv. Hybride Pully 7</t>
  </si>
  <si>
    <t>Vitis x interspécifique cv. Hybride Trinquier</t>
  </si>
  <si>
    <t>Vitis x interspécifique cv. INRA-Mtp-3186-1-87</t>
  </si>
  <si>
    <t>Vitis x interspécifique cv. Institut = Kühlmann 482-2</t>
  </si>
  <si>
    <t>Vitis x interspécifique cv. Jacquez</t>
  </si>
  <si>
    <t>Vitis x interspécifique cv. Jacquez d'Aurelles 1</t>
  </si>
  <si>
    <t>Vitis x interspécifique cv. Joannès Seyve 11369</t>
  </si>
  <si>
    <t>Vitis x interspécifique cv. Joannès Seyve 12426</t>
  </si>
  <si>
    <t>Vitis x interspécifique cv. Joannès Seyve 12428</t>
  </si>
  <si>
    <t>Vitis x interspécifique cv. Joannès Seyve 12448</t>
  </si>
  <si>
    <t>Vitis x interspécifique cv. Joannès Seyve 12462</t>
  </si>
  <si>
    <t>Vitis x interspécifique cv. Joannès Seyve 13733</t>
  </si>
  <si>
    <t>Vitis x interspécifique cv. Joannès Seyve 13756</t>
  </si>
  <si>
    <t>Vitis x interspécifique cv. Joannès Seyve 14924</t>
  </si>
  <si>
    <t>Vitis x interspécifique cv. Joannès Seyve 14928</t>
  </si>
  <si>
    <t>Vitis x interspécifique cv. Joannès Seyve 14982</t>
  </si>
  <si>
    <t>Vitis x interspécifique cv. Joannès Seyve 15874</t>
  </si>
  <si>
    <t>Vitis x interspécifique cv. Joannès Seyve 15875</t>
  </si>
  <si>
    <t>Vitis x interspécifique cv. Joannès Seyve 16150</t>
  </si>
  <si>
    <t>Vitis x interspécifique cv. Joannès Seyve 19103</t>
  </si>
  <si>
    <t>Vitis x interspécifique cv. Joannès Seyve 23275</t>
  </si>
  <si>
    <t>Vitis x interspécifique cv. Joannès Seyve 23284</t>
  </si>
  <si>
    <t>Vitis x interspécifique cv. Joannès Seyve 23298</t>
  </si>
  <si>
    <t>Vitis x interspécifique cv. Joannès Seyve 23416</t>
  </si>
  <si>
    <t>Vitis x interspécifique cv. Joannès Seyve 23545</t>
  </si>
  <si>
    <t>Vitis x interspécifique cv. Joannès Seyve 24298</t>
  </si>
  <si>
    <t>Vitis x interspécifique cv. Joannès Seyve 24397</t>
  </si>
  <si>
    <t>Vitis x interspécifique cv. Joannès Seyve 24398</t>
  </si>
  <si>
    <t>Vitis x interspécifique cv. Joannès Seyve 24399</t>
  </si>
  <si>
    <t>Vitis x interspécifique cv. Joannès Seyve 24408</t>
  </si>
  <si>
    <t>Vitis x interspécifique cv. Joannès Seyve 24444</t>
  </si>
  <si>
    <t>Vitis x interspécifique cv. Joannès Seyve 24610</t>
  </si>
  <si>
    <t>Vitis x interspécifique cv. Joannès Seyve 24614</t>
  </si>
  <si>
    <t>Vitis x interspécifique cv. Joannès Seyve 24651</t>
  </si>
  <si>
    <t>Vitis x interspécifique cv. Joannès Seyve 24967</t>
  </si>
  <si>
    <t>Vitis x interspécifique cv. Joannès Seyve 25444</t>
  </si>
  <si>
    <t>Vitis x interspécifique cv. Joannès Seyve 25555</t>
  </si>
  <si>
    <t>Vitis x interspécifique cv. Joannès Seyve 25874</t>
  </si>
  <si>
    <t>Vitis x interspécifique cv. Joannès Seyve 26130</t>
  </si>
  <si>
    <t>Vitis x interspécifique cv. Joannès Seyve 26470</t>
  </si>
  <si>
    <t>Vitis x interspécifique cv. Joannès Seyve 26480</t>
  </si>
  <si>
    <t>Vitis x interspécifique cv. Joannès Seyve 26482</t>
  </si>
  <si>
    <t>Vitis x interspécifique cv. Joannès Seyve 26487</t>
  </si>
  <si>
    <t>Vitis x interspécifique cv. Joannès Seyve 26490</t>
  </si>
  <si>
    <t>Vitis x interspécifique cv. Joannès Seyve 26620</t>
  </si>
  <si>
    <t>Vitis x interspécifique cv. Joannès Seyve 26627</t>
  </si>
  <si>
    <t>Vitis x interspécifique cv. Joannès Seyve 26649</t>
  </si>
  <si>
    <t>Vitis x interspécifique cv. Joannès Seyve 26651</t>
  </si>
  <si>
    <t>Vitis x interspécifique cv. Joannès Seyve 26654</t>
  </si>
  <si>
    <t>Vitis x interspécifique cv. Joannès Seyve 26674</t>
  </si>
  <si>
    <t>Vitis x interspécifique cv. Joannès Seyve 26724</t>
  </si>
  <si>
    <t>Vitis x interspécifique cv. Joannès Seyve 26790</t>
  </si>
  <si>
    <t>Vitis x interspécifique cv. Joannès Seyve 26855</t>
  </si>
  <si>
    <t>Vitis x interspécifique cv. Joannès Seyve 26924</t>
  </si>
  <si>
    <t>Vitis x interspécifique cv. Joannès Seyve 27350</t>
  </si>
  <si>
    <t>Vitis x interspécifique cv. Joannès Seyve 30158</t>
  </si>
  <si>
    <t>Vitis x interspécifique cv. Joannès Seyve 30286</t>
  </si>
  <si>
    <t>Vitis x interspécifique cv. Joannès Seyve 30555</t>
  </si>
  <si>
    <t>Vitis x interspécifique cv. Joannès Seyve 30641</t>
  </si>
  <si>
    <t>Vitis x interspécifique cv. Joannès Seyve 30662</t>
  </si>
  <si>
    <t>Vitis x interspécifique cv. Joannès Seyve 31132</t>
  </si>
  <si>
    <t>Vitis x interspécifique cv. Joannès Seyve 31392</t>
  </si>
  <si>
    <t>Vitis x interspécifique cv. Joannès Seyve 4825</t>
  </si>
  <si>
    <t>Vitis x interspécifique cv. Joannès Seyve 5563</t>
  </si>
  <si>
    <t>Vitis x interspécifique cv. Joannès Seyve 6264</t>
  </si>
  <si>
    <t>Vitis x interspécifique cv. Joannès Seyve 9149</t>
  </si>
  <si>
    <t>Vitis x interspécifique cv. Johanniter</t>
  </si>
  <si>
    <t>Vitis x interspécifique cv. Joussely 1</t>
  </si>
  <si>
    <t>Vitis x interspécifique cv. Joussely 2</t>
  </si>
  <si>
    <t>Vitis x interspécifique cv. Jurie 1975</t>
  </si>
  <si>
    <t>Vitis x interspécifique cv. Kühlmann 702 A faux</t>
  </si>
  <si>
    <t>Vitis x interspécifique cv. La Céline = Baco 12-12</t>
  </si>
  <si>
    <t>Vitis x interspécifique cv. La Madone = Couderc 4101</t>
  </si>
  <si>
    <t>Vitis x interspécifique cv. labrusca x ?</t>
  </si>
  <si>
    <t>Vitis x interspécifique cv. labrusca x vinifera</t>
  </si>
  <si>
    <t>Vitis x interspécifique cv. Laffourcade 15 V</t>
  </si>
  <si>
    <t>Vitis x interspécifique cv. Laffourcade 19</t>
  </si>
  <si>
    <t>Vitis x interspécifique cv. Laffourcade 26</t>
  </si>
  <si>
    <t>Vitis x interspécifique cv. Laffourcade 6</t>
  </si>
  <si>
    <t>Vitis x interspécifique cv. Landal = Landot 244</t>
  </si>
  <si>
    <t>Vitis x interspécifique cv. Landot 1233</t>
  </si>
  <si>
    <t>Vitis x interspécifique cv. Landot 1674</t>
  </si>
  <si>
    <t>Vitis x interspécifique cv. Landot 1678</t>
  </si>
  <si>
    <t>Vitis x interspécifique cv. Landot 1680</t>
  </si>
  <si>
    <t>Vitis x interspécifique cv. Landot 204</t>
  </si>
  <si>
    <t>Vitis x interspécifique cv. Landot 206</t>
  </si>
  <si>
    <t>Vitis x interspécifique cv. Landot 2281</t>
  </si>
  <si>
    <t>Vitis x interspécifique cv. Landot 2282</t>
  </si>
  <si>
    <t>Vitis x interspécifique cv. Landot 2283</t>
  </si>
  <si>
    <t>Vitis x interspécifique cv. Landot 2291</t>
  </si>
  <si>
    <t>Vitis x interspécifique cv. Landot 234</t>
  </si>
  <si>
    <t>Vitis x interspécifique cv. Landot 2380</t>
  </si>
  <si>
    <t>Vitis x interspécifique cv. Landot 240</t>
  </si>
  <si>
    <t>Vitis x interspécifique cv. Landot 2517</t>
  </si>
  <si>
    <t>Vitis x interspécifique cv. Landot 301</t>
  </si>
  <si>
    <t>Vitis x interspécifique cv. Landot 304</t>
  </si>
  <si>
    <t>Vitis x interspécifique cv. Landot 3381</t>
  </si>
  <si>
    <t>Vitis x interspécifique cv. Landot 3474</t>
  </si>
  <si>
    <t>Vitis x interspécifique cv. Landot 3518</t>
  </si>
  <si>
    <t>Vitis x interspécifique cv. Landot 3568</t>
  </si>
  <si>
    <t>Vitis x interspécifique cv. Landot 3901</t>
  </si>
  <si>
    <t>Vitis x interspécifique cv. Landot 4239</t>
  </si>
  <si>
    <t>Vitis x interspécifique cv. Landot 4411</t>
  </si>
  <si>
    <t>Vitis x interspécifique cv. Landot 4465</t>
  </si>
  <si>
    <t>Vitis x interspécifique cv. Landot 4511</t>
  </si>
  <si>
    <t>Vitis x interspécifique cv. Landot 506</t>
  </si>
  <si>
    <t>Vitis x interspécifique cv. Landot 508</t>
  </si>
  <si>
    <t>Vitis x interspécifique cv. Landot 540</t>
  </si>
  <si>
    <t>Vitis x interspécifique cv. Landot 562</t>
  </si>
  <si>
    <t>Vitis x interspécifique cv. Landot 742</t>
  </si>
  <si>
    <t>Vitis x interspécifique cv. Landot 760</t>
  </si>
  <si>
    <t>Vitis x interspécifique cv. Landot 790</t>
  </si>
  <si>
    <t>Vitis x interspécifique cv. Laquenexy 155-2</t>
  </si>
  <si>
    <t>Vitis x interspécifique cv. Laquenexy 43-3</t>
  </si>
  <si>
    <t>Vitis x interspécifique cv. Laquenexy 44</t>
  </si>
  <si>
    <t>Vitis x interspécifique cv. Laquenexy 4-54</t>
  </si>
  <si>
    <t>Vitis x interspécifique cv. Laquenexy 4-56</t>
  </si>
  <si>
    <t>Vitis x interspécifique cv. Le Capéran = Baco 43-23</t>
  </si>
  <si>
    <t>Vitis x interspécifique cv. Le Cazalet = Baco 58-15</t>
  </si>
  <si>
    <t>Vitis x interspécifique cv. Le Colonel = Bertille Seyve 2667</t>
  </si>
  <si>
    <t>Vitis x interspécifique cv. Le Commandant = Bertille Seyve 2862</t>
  </si>
  <si>
    <t>Vitis x interspécifique cv. Le Fondard = Le Jurassien = Jurie 580</t>
  </si>
  <si>
    <t>Vitis x interspécifique cv. Le Général = Bertille Seyve 5563</t>
  </si>
  <si>
    <t>Vitis x interspécifique cv. Le Pourpre = Seibel 4646</t>
  </si>
  <si>
    <t>Vitis x interspécifique cv. Le Rubis = Seibel 5575</t>
  </si>
  <si>
    <t>Vitis x interspécifique cv. Le Subéreux = Seibel 6905</t>
  </si>
  <si>
    <t>Vitis x interspécifique cv. Léon Millot = Kühlmann 194-2</t>
  </si>
  <si>
    <t>Vitis x interspécifique cv. Llyod's number 33 = LN 33</t>
  </si>
  <si>
    <t>Vitis x interspécifique cv. Logan</t>
  </si>
  <si>
    <t>Vitis x interspécifique cv. Lucie Kühlmann = Kühlmann 149-3</t>
  </si>
  <si>
    <t>Vitis x interspécifique cv. Maclet C 103</t>
  </si>
  <si>
    <t>Vitis x interspécifique cv. Madame Castel = Castel 1028</t>
  </si>
  <si>
    <t>Vitis x interspécifique cv. Madame Lussan = Castel 19002</t>
  </si>
  <si>
    <t>Vitis x interspécifique cv. Mademoiselle Messiny = Kühlmann 193-5</t>
  </si>
  <si>
    <t>Vitis x interspécifique cv. Malègue S 3</t>
  </si>
  <si>
    <t>Vitis x interspécifique cv. Malègue 113</t>
  </si>
  <si>
    <t>Vitis x interspécifique cv. Malègue 1157-1</t>
  </si>
  <si>
    <t>Vitis x interspécifique cv. Malègue 1157-15</t>
  </si>
  <si>
    <t>Vitis x interspécifique cv. Malègue 148-4</t>
  </si>
  <si>
    <t>Vitis x interspécifique cv. Malègue 1495-1</t>
  </si>
  <si>
    <t>Vitis x interspécifique cv. Malègue 150-13</t>
  </si>
  <si>
    <t>Vitis x interspécifique cv. Malègue 150-15</t>
  </si>
  <si>
    <t>Vitis x interspécifique cv. Malègue 150-9</t>
  </si>
  <si>
    <t>Vitis x interspécifique cv. Malègue 1647-8</t>
  </si>
  <si>
    <t>Vitis x interspécifique cv. Malègue 1995-4</t>
  </si>
  <si>
    <t>Vitis x interspécifique cv. Malègue 2049-3</t>
  </si>
  <si>
    <t>Vitis x interspécifique cv. Malègue 2094-3</t>
  </si>
  <si>
    <t>Vitis x interspécifique cv. Malègue 2236-1</t>
  </si>
  <si>
    <t>Vitis x interspécifique cv. Malègue 2623-2</t>
  </si>
  <si>
    <t>Vitis x interspécifique cv. Malègue 2627-11</t>
  </si>
  <si>
    <t>Vitis x interspécifique cv. Malègue 44-46</t>
  </si>
  <si>
    <t>Vitis x interspécifique cv. Malègue 469-2</t>
  </si>
  <si>
    <t>Vitis x interspécifique cv. Malègue 474-5</t>
  </si>
  <si>
    <t>Vitis x interspécifique cv. Malègue 51-20</t>
  </si>
  <si>
    <t>Vitis x interspécifique cv. Malègue 57</t>
  </si>
  <si>
    <t>Vitis x interspécifique cv. Malègue 653-1</t>
  </si>
  <si>
    <t>Vitis x interspécifique cv. Malègue 71-7</t>
  </si>
  <si>
    <t>Vitis x interspécifique cv. Malègue 75</t>
  </si>
  <si>
    <t>Vitis x interspécifique cv. Malègue 829-6</t>
  </si>
  <si>
    <t>Vitis x interspécifique cv. Maréchal Foch = Kühlmann 188-2</t>
  </si>
  <si>
    <t>Vitis x interspécifique cv. Maréchal Joffre = Kühlmann 187-1</t>
  </si>
  <si>
    <t>Vitis x interspécifique cv. Maxatawnay</t>
  </si>
  <si>
    <t>Vitis x interspécifique cv. Merzling</t>
  </si>
  <si>
    <t>Vitis x interspécifique cv. Meynieu 3</t>
  </si>
  <si>
    <t>Vitis x interspécifique cv. Meynieu 6</t>
  </si>
  <si>
    <t>Vitis x interspécifique cv. Meynieu 7</t>
  </si>
  <si>
    <t>Vitis x interspécifique cv. Meynieu 8-5</t>
  </si>
  <si>
    <t>Vitis x interspécifique cv. Meynieu 8-6</t>
  </si>
  <si>
    <t>Vitis x interspécifique cv. Meynieu 9-48</t>
  </si>
  <si>
    <t>Vitis x interspécifique cv. Millardet = Kühlmann 193-2</t>
  </si>
  <si>
    <t>Vitis x interspécifique cv. Millardet de Grasset 143 A</t>
  </si>
  <si>
    <t>Vitis x interspécifique cv. Millardet et de Grasset 101</t>
  </si>
  <si>
    <t>Vitis x interspécifique cv. Millardet et de Grasset 101-1</t>
  </si>
  <si>
    <t>Vitis x interspécifique cv. Millardet et de Grasset 101-10</t>
  </si>
  <si>
    <t>Vitis x interspécifique cv. Millardet et de Grasset 101-11</t>
  </si>
  <si>
    <t>Vitis x interspécifique cv. Millardet et de Grasset 101-12</t>
  </si>
  <si>
    <t>Vitis x interspécifique cv. Millardet et de Grasset 101-14 faux (Carpentras)</t>
  </si>
  <si>
    <t>Vitis x interspécifique cv. Millardet et de Grasset 101-2</t>
  </si>
  <si>
    <t>Vitis x interspécifique cv. Millardet et de Grasset 101-9</t>
  </si>
  <si>
    <t>Vitis x interspécifique cv. Millardet et de Grasset 106-8</t>
  </si>
  <si>
    <t>Vitis x interspécifique cv. Millardet et de Grasset 108-16</t>
  </si>
  <si>
    <t>Vitis x interspécifique cv. Millardet et de Grasset 125-1</t>
  </si>
  <si>
    <t>Vitis x interspécifique cv. Millardet et de Grasset 125-2</t>
  </si>
  <si>
    <t>Vitis x interspécifique cv. Millardet et de Grasset 125-4</t>
  </si>
  <si>
    <t>Vitis x interspécifique cv. Millardet et de Grasset 143</t>
  </si>
  <si>
    <t>Vitis x interspécifique cv. Millardet et de Grasset 17-37</t>
  </si>
  <si>
    <t>Vitis x interspécifique cv. Millardet et de Grasset 199-16</t>
  </si>
  <si>
    <t>Vitis x interspécifique cv. Millardet et de Grasset 202-4</t>
  </si>
  <si>
    <t>Vitis x interspécifique cv. Millardet et de Grasset 212-7</t>
  </si>
  <si>
    <t>Vitis x interspécifique cv. Millardet et de Grasset 215-2</t>
  </si>
  <si>
    <t>Vitis x interspécifique cv. Millardet et de Grasset 219-7</t>
  </si>
  <si>
    <t>Vitis x interspécifique cv. Millardet et de Grasset 227-11-29</t>
  </si>
  <si>
    <t>Vitis x interspécifique cv. Millardet et de Grasset 227-55-29</t>
  </si>
  <si>
    <t>Vitis x interspécifique cv. Millardet et de Grasset 262</t>
  </si>
  <si>
    <t>Vitis x interspécifique cv. Millardet et de Grasset 301-14-152</t>
  </si>
  <si>
    <t>Vitis x interspécifique cv. Millardet et de Grasset 301-37-152</t>
  </si>
  <si>
    <t>Vitis x interspécifique cv. Millardet et de Grasset 301-4-153</t>
  </si>
  <si>
    <t>Vitis x interspécifique cv. Millardet et de Grasset 301-43-152</t>
  </si>
  <si>
    <t>Vitis x interspécifique cv. Millardet et de Grasset 33</t>
  </si>
  <si>
    <t>Vitis x interspécifique cv. Millardet et de Grasset 420 B</t>
  </si>
  <si>
    <t>Vitis x interspécifique cv. Millardet et de Grasset 420 C</t>
  </si>
  <si>
    <t>Vitis x interspécifique cv. Millardet et de Grasset 422 A</t>
  </si>
  <si>
    <t>Vitis x interspécifique cv. Millardet et de Grasset 422 B</t>
  </si>
  <si>
    <t>Vitis x interspécifique cv. Millardet 301</t>
  </si>
  <si>
    <t>Vitis x interspécifique cv. Millardet 374</t>
  </si>
  <si>
    <t>Vitis x interspécifique cv. Molines P.F.</t>
  </si>
  <si>
    <t>Vitis x interspécifique cv. Montoneri 23</t>
  </si>
  <si>
    <t>Vitis x interspécifique cv. Mounier 14-2</t>
  </si>
  <si>
    <t>Vitis x interspécifique cv. Mounier 155-7</t>
  </si>
  <si>
    <t>Vitis x interspécifique cv. Mounier 19-3</t>
  </si>
  <si>
    <t>Vitis x interspécifique cv. Musc Delecta = Seibel 16281</t>
  </si>
  <si>
    <t>Vitis x interspécifique cv. Muscadille = Galibert 265-35</t>
  </si>
  <si>
    <t>Vitis x interspécifique cv. Muscadoule = Galibert 255-10</t>
  </si>
  <si>
    <t>Vitis x interspécifique cv. Muscat Bailey A</t>
  </si>
  <si>
    <t>Vitis x interspécifique cv. Muscat blanc = Meynieu 9-68</t>
  </si>
  <si>
    <t>Vitis x interspécifique cv. Muscat de Saint-Christol = Galibert 255-43</t>
  </si>
  <si>
    <t>Vitis x interspécifique cv. Muscat de Saint-Vallier = Seyve-Villard 20-473</t>
  </si>
  <si>
    <t>Vitis x interspécifique cv. Muscat Sélection 2 Gaillard</t>
  </si>
  <si>
    <t>Vitis x interspécifique cv. Muscolive = Galibert 15-2</t>
  </si>
  <si>
    <t>Vitis x interspécifique cv. Néo Muscat</t>
  </si>
  <si>
    <t>Vitis x interspécifique cv. Neo Muscat x Gros Sémillon</t>
  </si>
  <si>
    <t>Vitis x interspécifique cv. Néron = Kühlmann 296-1</t>
  </si>
  <si>
    <t>Vitis x interspécifique cv. Niabell</t>
  </si>
  <si>
    <t>Vitis x interspécifique cv. Niagara</t>
  </si>
  <si>
    <t>Vitis x interspécifique cv. Noah</t>
  </si>
  <si>
    <t>Vitis x interspécifique cv. Nouveau Bayard = Couderc 132-11</t>
  </si>
  <si>
    <t>Vitis x interspécifique cv. Oberlin noir = Oberlin 595</t>
  </si>
  <si>
    <t>Vitis x interspécifique cv. Oberlin 604</t>
  </si>
  <si>
    <t>Vitis x interspécifique cv. Oberlin 605</t>
  </si>
  <si>
    <t>Vitis x interspécifique cv. Oberlin 701</t>
  </si>
  <si>
    <t>Vitis x interspécifique cv. Oberlin 702 A</t>
  </si>
  <si>
    <t>Vitis x interspécifique cv. Oberlin 716</t>
  </si>
  <si>
    <t>Vitis x interspécifique cv. Oberlin 782</t>
  </si>
  <si>
    <t>Vitis x interspécifique cv. Oeillade de Conzieu = Landot 2832</t>
  </si>
  <si>
    <t>Vitis x interspécifique cv. Orion</t>
  </si>
  <si>
    <t>Vitis x interspécifique cv. Othello</t>
  </si>
  <si>
    <t>Vitis x interspécifique cv. Othello gris</t>
  </si>
  <si>
    <t>Vitis x interspécifique cv. Paulistinha</t>
  </si>
  <si>
    <t>Vitis x interspécifique cv. Paulsen 1043</t>
  </si>
  <si>
    <t>Vitis x interspécifique cv. Paulsen 1045</t>
  </si>
  <si>
    <t>Vitis x interspécifique cv. Paulsen 1119</t>
  </si>
  <si>
    <t>Vitis x interspécifique cv. Paulsen 1120</t>
  </si>
  <si>
    <t>Vitis x interspécifique cv. Paulsen 1321</t>
  </si>
  <si>
    <t>Vitis x interspécifique cv. Paulsen 1323</t>
  </si>
  <si>
    <t>Vitis x interspécifique cv. Paulsen 1381</t>
  </si>
  <si>
    <t>Vitis x interspécifique cv. Paulsen 1742</t>
  </si>
  <si>
    <t>Vitis x interspécifique cv. Paulsen 2 A</t>
  </si>
  <si>
    <t>Vitis x interspécifique cv. Paulsen 764</t>
  </si>
  <si>
    <t>Vitis x interspécifique cv. Paulsen 770</t>
  </si>
  <si>
    <t>Vitis x interspécifique cv. Paulsen 771</t>
  </si>
  <si>
    <t>Vitis x interspécifique cv. Paulsen 775</t>
  </si>
  <si>
    <t>Vitis x interspécifique cv. Paulsen 779</t>
  </si>
  <si>
    <t>Vitis x interspécifique cv. Paulsen 781</t>
  </si>
  <si>
    <t>Vitis x interspécifique cv. Paulsen 782</t>
  </si>
  <si>
    <t>Vitis x interspécifique cv. Paulsen 8302</t>
  </si>
  <si>
    <t>Vitis x interspécifique cv. Paulsen 8734</t>
  </si>
  <si>
    <t>Vitis x interspécifique cv. Peage 5-10 = Roy Chevrier 5-10</t>
  </si>
  <si>
    <t>Vitis x interspécifique cv. Perbos 137</t>
  </si>
  <si>
    <t>Vitis x interspécifique cv. Perbos 151</t>
  </si>
  <si>
    <t>Vitis x interspécifique cv. Perbos 159</t>
  </si>
  <si>
    <t>Vitis x interspécifique cv. Perbos 174</t>
  </si>
  <si>
    <t>Vitis x interspécifique cv. Perbos 180</t>
  </si>
  <si>
    <t>Vitis x interspécifique cv. Perbos 205</t>
  </si>
  <si>
    <t>Vitis x interspécifique cv. Perbos 210</t>
  </si>
  <si>
    <t>Vitis x interspécifique cv. Perbos 215</t>
  </si>
  <si>
    <t>Vitis x interspécifique cv. Perbos 226</t>
  </si>
  <si>
    <t>Vitis x interspécifique cv. Perbos 228</t>
  </si>
  <si>
    <t>Vitis x interspécifique cv. Perbos 48</t>
  </si>
  <si>
    <t>Vitis x interspécifique cv. Perbos 81</t>
  </si>
  <si>
    <t>Vitis x interspécifique cv. Perbos 82</t>
  </si>
  <si>
    <t>Vitis x interspécifique cv. Perdin</t>
  </si>
  <si>
    <t>Vitis x interspécifique cv. Perkins</t>
  </si>
  <si>
    <t>Vitis x interspécifique cv. Perle de Cadoule = Galibert 255-99</t>
  </si>
  <si>
    <t>Vitis x interspécifique cv. Perle noire = Seyve-Villard 20-347</t>
  </si>
  <si>
    <t>Vitis x interspécifique cv. Perraton 34</t>
  </si>
  <si>
    <t>Vitis x interspécifique cv. Perraton 36</t>
  </si>
  <si>
    <t>Vitis x interspécifique cv. Phénix</t>
  </si>
  <si>
    <t>Vitis x interspécifique cv. Phoenix</t>
  </si>
  <si>
    <t>Vitis x interspécifique cv. piasezkii x ?</t>
  </si>
  <si>
    <t>Vitis x interspécifique cv. piasezkii x romanetii</t>
  </si>
  <si>
    <t>Vitis x interspécifique cv. Picadoul = Galibert 221-31</t>
  </si>
  <si>
    <t>Vitis x interspécifique cv. Pierrelle = Seyve-Villard 20-366</t>
  </si>
  <si>
    <t>Vitis x interspécifique cv. Pignan noir = Galibert 23-1</t>
  </si>
  <si>
    <t>Vitis x interspécifique cv. Pignoletta</t>
  </si>
  <si>
    <t>Vitis x interspécifique cv. Pinard = Kühlmann 191-2</t>
  </si>
  <si>
    <t>Vitis x interspécifique cv. Pirobella</t>
  </si>
  <si>
    <t>Vitis x interspécifique cv. Pirovano 146</t>
  </si>
  <si>
    <t>Vitis x interspécifique cv. Pirovano 29</t>
  </si>
  <si>
    <t>Vitis x interspécifique cv. Pirovano 34</t>
  </si>
  <si>
    <t>Vitis x interspécifique cv. Pirovano 40</t>
  </si>
  <si>
    <t>Vitis x interspécifique cv. Pirovano 41</t>
  </si>
  <si>
    <t>Vitis x interspécifique cv. Pirovano 48</t>
  </si>
  <si>
    <t>Vitis x interspécifique cv. Pirovano 539 a</t>
  </si>
  <si>
    <t>Vitis x interspécifique cv. Pirovano 541</t>
  </si>
  <si>
    <t>Vitis x interspécifique cv. Pirovano 6</t>
  </si>
  <si>
    <t>Vitis x interspécifique cv. Plantet = Seibel 5455</t>
  </si>
  <si>
    <t>Vitis x interspécifique cv. Pocklington</t>
  </si>
  <si>
    <t>Vitis x interspécifique cv. Poilu = Kühlmann 252-3</t>
  </si>
  <si>
    <t>Vitis x interspécifique cv. Pougette musquée = Galibert 256-28</t>
  </si>
  <si>
    <t>Vitis x interspécifique cv. Précoce de Colmar = Kühlmann 277-2</t>
  </si>
  <si>
    <t>Vitis x interspécifique cv. Précoce Prady = Couderc 124-20</t>
  </si>
  <si>
    <t>Vitis x interspécifique cv. Précoce Prady = Couderc 126-21</t>
  </si>
  <si>
    <t>Vitis x interspécifique cv. Precursore</t>
  </si>
  <si>
    <t>Vitis x interspécifique cv. Primus = Pirovano 7</t>
  </si>
  <si>
    <t>Vitis x interspécifique cv. Prince noir Meynieu 1</t>
  </si>
  <si>
    <t>Vitis x interspécifique cv. Prosperi 11-71</t>
  </si>
  <si>
    <t>Vitis x interspécifique cv. Prosperi 11-72</t>
  </si>
  <si>
    <t>Vitis x interspécifique cv. Prosperi 15-99</t>
  </si>
  <si>
    <t>Vitis x interspécifique cv. Prosperi 16-107</t>
  </si>
  <si>
    <t>Vitis x interspécifique cv. Prosperi 16-108</t>
  </si>
  <si>
    <t>Vitis x interspécifique cv. Prosperi 16-109</t>
  </si>
  <si>
    <t>Vitis x interspécifique cv. Prosperi 5-32</t>
  </si>
  <si>
    <t>Vitis x interspécifique cv. Ranciaut blanc = Galibert 53-1</t>
  </si>
  <si>
    <t>Vitis x interspécifique cv. Ranciaut noir = Galibert 63-1</t>
  </si>
  <si>
    <t>Vitis x interspécifique cv. Ravat blanc = Ravat 6</t>
  </si>
  <si>
    <t>Vitis x interspécifique cv. Ravat 13</t>
  </si>
  <si>
    <t>Vitis x interspécifique cv. Ravat 143</t>
  </si>
  <si>
    <t>Vitis x interspécifique cv. Ravat 15</t>
  </si>
  <si>
    <t>Vitis x interspécifique cv. Ravat 16</t>
  </si>
  <si>
    <t>Vitis x interspécifique cv. Ravat 18</t>
  </si>
  <si>
    <t>Vitis x interspécifique cv. Ravat 19</t>
  </si>
  <si>
    <t>Vitis x interspécifique cv. Ravat 253</t>
  </si>
  <si>
    <t>Vitis x interspécifique cv. Ravat 262</t>
  </si>
  <si>
    <t>Vitis x interspécifique cv. Ravat 327</t>
  </si>
  <si>
    <t>Vitis x interspécifique cv. Ravat 34</t>
  </si>
  <si>
    <t>Vitis x interspécifique cv. Ravat 36</t>
  </si>
  <si>
    <t>Vitis x interspécifique cv. Ravat 507</t>
  </si>
  <si>
    <t>Vitis x interspécifique cv. Ravat 51</t>
  </si>
  <si>
    <t>Vitis x interspécifique cv. Ravat 8</t>
  </si>
  <si>
    <t>Vitis x interspécifique cv. Ravat 9</t>
  </si>
  <si>
    <t>Vitis x interspécifique cv. Ravaz 1</t>
  </si>
  <si>
    <t>Vitis x interspécifique cv. Ravaz 2</t>
  </si>
  <si>
    <t>Vitis x interspécifique cv. Rayon d'Or = Seibel 4986</t>
  </si>
  <si>
    <t>Vitis x interspécifique cv. RC 51</t>
  </si>
  <si>
    <t>Vitis x interspécifique cv. Rebecca</t>
  </si>
  <si>
    <t>Vitis x interspécifique cv. Regent</t>
  </si>
  <si>
    <t>Vitis x interspécifique cv. Rességuier sélection Birolleau 1 = RSB 1</t>
  </si>
  <si>
    <t>Vitis x interspécifique cv. Richter 31</t>
  </si>
  <si>
    <t>Vitis x interspécifique cv. Richter 57</t>
  </si>
  <si>
    <t>Vitis x interspécifique cv. Riparia Rupestris de Massannes glabre</t>
  </si>
  <si>
    <t>Vitis x interspécifique cv. riparia x berlandieri</t>
  </si>
  <si>
    <t>Vitis x interspécifique cv. riparia x rupestris</t>
  </si>
  <si>
    <t>Vitis x interspécifique cv. riparia x rupestris x candicans</t>
  </si>
  <si>
    <t>Vitis x interspécifique cv. riparia x vinifera</t>
  </si>
  <si>
    <t>Vitis x interspécifique cv. Riparia-Rupestris de Dracé</t>
  </si>
  <si>
    <t>Vitis x interspécifique cv. Riparia-Rupestris de Massannes pubescent</t>
  </si>
  <si>
    <t>Vitis x interspécifique cv. Riparia-Rupestris de Samadet</t>
  </si>
  <si>
    <t>Vitis x interspécifique cv. Riparia-Rupestris de Savènes</t>
  </si>
  <si>
    <t>Vitis x interspécifique cv. Riparia-Rupestris de Vauchretien</t>
  </si>
  <si>
    <t>Vitis x interspécifique cv. Riparia-Rupestris Schwarzmann</t>
  </si>
  <si>
    <t>Vitis x interspécifique cv. Robur</t>
  </si>
  <si>
    <t>Vitis x interspécifique cv. Roi des noirs = Seibel 4643</t>
  </si>
  <si>
    <t>Vitis x interspécifique cv. romanetii x ?</t>
  </si>
  <si>
    <t>Vitis x interspécifique cv. Rondo</t>
  </si>
  <si>
    <t>Vitis x interspécifique cv. Rosambre</t>
  </si>
  <si>
    <t>Vitis x interspécifique cv. Rosette = Seibel 1000</t>
  </si>
  <si>
    <t>Vitis x interspécifique cv. Rouby 3</t>
  </si>
  <si>
    <t>Vitis x interspécifique cv. Rouby 9</t>
  </si>
  <si>
    <t>Vitis x interspécifique cv. Roucaneuf = Seyve-Villard 12-309</t>
  </si>
  <si>
    <t>Vitis x interspécifique cv. Rougeon = Seibel 5898</t>
  </si>
  <si>
    <t>Vitis x interspécifique cv. Royalty</t>
  </si>
  <si>
    <t>Vitis x interspécifique cv. Rubilande = Seibel 11803</t>
  </si>
  <si>
    <t>Vitis x interspécifique cv. Rubino = Pirovano 192a</t>
  </si>
  <si>
    <t>Vitis x interspécifique cv. Rubiscan</t>
  </si>
  <si>
    <t>Vitis x interspécifique cv. Rudelin 101-6</t>
  </si>
  <si>
    <t>Vitis x interspécifique cv. Rudelin 101-9</t>
  </si>
  <si>
    <t>Vitis x interspécifique cv. Rudelin 102-1</t>
  </si>
  <si>
    <t>Vitis x interspécifique cv. Rudelin 102-4</t>
  </si>
  <si>
    <t>Vitis x interspécifique cv. Rudelin 102-8</t>
  </si>
  <si>
    <t>Vitis x interspécifique cv. Rudelin 102-9</t>
  </si>
  <si>
    <t>Vitis x interspécifique cv. Rudelin 103-1</t>
  </si>
  <si>
    <t>Vitis x interspécifique cv. Rudelin 103-2</t>
  </si>
  <si>
    <t>Vitis x interspécifique cv. Rudelin 103-6</t>
  </si>
  <si>
    <t>Vitis x interspécifique cv. Rudelin 103-8</t>
  </si>
  <si>
    <t>Vitis x interspécifique cv. Rudelin 104-4</t>
  </si>
  <si>
    <t>Vitis x interspécifique cv. Rudelin 104-8</t>
  </si>
  <si>
    <t>Vitis x interspécifique cv. Rudelin 105-6</t>
  </si>
  <si>
    <t>Vitis x interspécifique cv. Rudelin 106-1</t>
  </si>
  <si>
    <t>Vitis x interspécifique cv. Rudelin 106-4</t>
  </si>
  <si>
    <t>Vitis x interspécifique cv. Rudelin 108-4</t>
  </si>
  <si>
    <t>Vitis x interspécifique cv. Rudelin 109-3</t>
  </si>
  <si>
    <t>Vitis x interspécifique cv. Rudelin 109-7</t>
  </si>
  <si>
    <t>Vitis x interspécifique cv. Rudelin 111-2</t>
  </si>
  <si>
    <t>Vitis x interspécifique cv. Rudelin 111-3</t>
  </si>
  <si>
    <t>Vitis x interspécifique cv. Rudelin 111-4</t>
  </si>
  <si>
    <t>Vitis x interspécifique cv. Rudelin 111-8</t>
  </si>
  <si>
    <t>Vitis x interspécifique cv. Rudelin 122-9</t>
  </si>
  <si>
    <t>Vitis x interspécifique cv. Rudelin 125-8</t>
  </si>
  <si>
    <t>Vitis x interspécifique cv. Rudelin 126-4</t>
  </si>
  <si>
    <t>Vitis x interspécifique cv. Rudelin 126-6</t>
  </si>
  <si>
    <t>Vitis x interspécifique cv. Rudelin 130-8</t>
  </si>
  <si>
    <t>Vitis x interspécifique cv. Rudelin 131-7</t>
  </si>
  <si>
    <t>Vitis x interspécifique cv. Rudelin 132-2</t>
  </si>
  <si>
    <t>Vitis x interspécifique cv. Rudelin 17-4</t>
  </si>
  <si>
    <t>Vitis x interspécifique cv. Rudelin 17-5</t>
  </si>
  <si>
    <t>Vitis x interspécifique cv. Rudelin 18-1</t>
  </si>
  <si>
    <t>Vitis x interspécifique cv. Rudelin 3</t>
  </si>
  <si>
    <t>Vitis x interspécifique cv. Rudelin 312-1</t>
  </si>
  <si>
    <t>Vitis x interspécifique cv. Rudelin 314-3</t>
  </si>
  <si>
    <t>Vitis x interspécifique cv. Rudelin 315-1</t>
  </si>
  <si>
    <t>Vitis x interspécifique cv. Rudelin 316-5</t>
  </si>
  <si>
    <t>Vitis x interspécifique cv. Rudelin 37-3</t>
  </si>
  <si>
    <t>Vitis x interspécifique cv. Rudelin 38-6</t>
  </si>
  <si>
    <t>Vitis x interspécifique cv. Rudelin 5-41</t>
  </si>
  <si>
    <t>Vitis x interspécifique cv. Rudelin 58</t>
  </si>
  <si>
    <t>Vitis x interspécifique cv. Rudelin 610-6</t>
  </si>
  <si>
    <t>Vitis x interspécifique cv. Rudelin 611-1</t>
  </si>
  <si>
    <t>Vitis x interspécifique cv. Rudelin 613-3</t>
  </si>
  <si>
    <t>Vitis x interspécifique cv. Rudelin 6-96</t>
  </si>
  <si>
    <t>Vitis x interspécifique cv. Ruggeri 131</t>
  </si>
  <si>
    <t>Vitis x interspécifique cv. Ruggeri 188</t>
  </si>
  <si>
    <t>Vitis x interspécifique cv. Ruggeri 193</t>
  </si>
  <si>
    <t>Vitis x interspécifique cv. Ruggeri 205</t>
  </si>
  <si>
    <t>Vitis x interspécifique cv. Ruggeri 225</t>
  </si>
  <si>
    <t>Vitis x interspécifique cv. Ruggeri 240</t>
  </si>
  <si>
    <t>Vitis x interspécifique cv. Ruggeri 300</t>
  </si>
  <si>
    <t>Vitis x interspécifique cv. Ruggeri 322</t>
  </si>
  <si>
    <t>Vitis x interspécifique cv. Ruggeri 325</t>
  </si>
  <si>
    <t>Vitis x interspécifique cv. Ruggeri 333</t>
  </si>
  <si>
    <t>Vitis x interspécifique cv. Ruggeri 42</t>
  </si>
  <si>
    <t>Vitis x interspécifique cv. Ruggeri 55</t>
  </si>
  <si>
    <t>Vitis x interspécifique cv. rupestris x aestivalis</t>
  </si>
  <si>
    <t>Vitis x interspécifique cv. rupestris x aestivalis x cordifolia</t>
  </si>
  <si>
    <t>Vitis x interspécifique cv. rupestris x berlandieri</t>
  </si>
  <si>
    <t>Vitis x interspécifique cv. rupestris x candicans</t>
  </si>
  <si>
    <t>Vitis x interspécifique cv. rupestris x cordifolia</t>
  </si>
  <si>
    <t>Vitis x interspécifique cv. rupestris x vinifera</t>
  </si>
  <si>
    <t>Vitis x interspécifique cv. Sabrilong = Long 35</t>
  </si>
  <si>
    <t>Vitis x interspécifique cv. Saint-Sauveur d'Alsace = Kühlmann 65-1</t>
  </si>
  <si>
    <t>Vitis x interspécifique cv. Saint-Victor = Galibert 15-3</t>
  </si>
  <si>
    <t>Vitis x interspécifique cv. Saint-Vincent</t>
  </si>
  <si>
    <t>Vitis x interspécifique cv. Salt Creek</t>
  </si>
  <si>
    <t>Vitis x interspécifique cv. Salzmann 6-43</t>
  </si>
  <si>
    <t>Vitis x interspécifique cv. Sanson</t>
  </si>
  <si>
    <t>Vitis x interspécifique cv. Saubrians = Galibert 36-2</t>
  </si>
  <si>
    <t>Vitis x interspécifique cv. Seibel  6131</t>
  </si>
  <si>
    <t>Vitis x interspécifique cv. Seibel 1</t>
  </si>
  <si>
    <t>Vitis x interspécifique cv. Seibel 10010</t>
  </si>
  <si>
    <t>Vitis x interspécifique cv. Seibel 10020</t>
  </si>
  <si>
    <t>Vitis x interspécifique cv. Seibel 10027</t>
  </si>
  <si>
    <t>Vitis x interspécifique cv. Seibel 10033</t>
  </si>
  <si>
    <t>Vitis x interspécifique cv. Seibel 10034</t>
  </si>
  <si>
    <t>Vitis x interspécifique cv. Seibel 1004</t>
  </si>
  <si>
    <t>Vitis x interspécifique cv. Seibel 10046</t>
  </si>
  <si>
    <t>Vitis x interspécifique cv. Seibel 1007</t>
  </si>
  <si>
    <t>Vitis x interspécifique cv. Seibel 10076</t>
  </si>
  <si>
    <t>Vitis x interspécifique cv. Seibel 10078</t>
  </si>
  <si>
    <t>Vitis x interspécifique cv. Seibel 10096</t>
  </si>
  <si>
    <t>Vitis x interspécifique cv. Seibel 10114</t>
  </si>
  <si>
    <t>Vitis x interspécifique cv. Seibel 10123</t>
  </si>
  <si>
    <t>Vitis x interspécifique cv. Seibel 1013</t>
  </si>
  <si>
    <t>Vitis x interspécifique cv. Seibel 10136/2</t>
  </si>
  <si>
    <t>Vitis x interspécifique cv. Seibel 1014</t>
  </si>
  <si>
    <t>Vitis x interspécifique cv. Seibel 10146</t>
  </si>
  <si>
    <t>Vitis x interspécifique cv. Seibel 1015</t>
  </si>
  <si>
    <t>Vitis x interspécifique cv. Seibel 10172/2</t>
  </si>
  <si>
    <t>Vitis x interspécifique cv. Seibel 10186</t>
  </si>
  <si>
    <t>Vitis x interspécifique cv. Seibel 10208</t>
  </si>
  <si>
    <t>Vitis x interspécifique cv. Seibel 10215</t>
  </si>
  <si>
    <t>Vitis x interspécifique cv. Seibel 10217</t>
  </si>
  <si>
    <t>Vitis x interspécifique cv. Seibel 10230</t>
  </si>
  <si>
    <t>Vitis x interspécifique cv. Seibel 1025</t>
  </si>
  <si>
    <t>Vitis x interspécifique cv. Seibel 10259/1</t>
  </si>
  <si>
    <t>Vitis x interspécifique cv. Seibel 10267</t>
  </si>
  <si>
    <t>Vitis x interspécifique cv. Seibel 10292</t>
  </si>
  <si>
    <t>Vitis x interspécifique cv. Seibel 10295</t>
  </si>
  <si>
    <t>Vitis x interspécifique cv. Seibel 10417</t>
  </si>
  <si>
    <t>Vitis x interspécifique cv. Seibel 10420</t>
  </si>
  <si>
    <t>Vitis x interspécifique cv. Seibel 107</t>
  </si>
  <si>
    <t>Vitis x interspécifique cv. Seibel 1070</t>
  </si>
  <si>
    <t>Vitis x interspécifique cv. Seibel 10720</t>
  </si>
  <si>
    <t>Vitis x interspécifique cv. Seibel 1077</t>
  </si>
  <si>
    <t>Vitis x interspécifique cv. Seibel 10790</t>
  </si>
  <si>
    <t>Vitis x interspécifique cv. Seibel 10793</t>
  </si>
  <si>
    <t>Vitis x interspécifique cv. Seibel 10796</t>
  </si>
  <si>
    <t>Vitis x interspécifique cv. Seibel 10801</t>
  </si>
  <si>
    <t>Vitis x interspécifique cv. Seibel 10809</t>
  </si>
  <si>
    <t>Vitis x interspécifique cv. Seibel 1082</t>
  </si>
  <si>
    <t>Vitis x interspécifique cv. Seibel 10855</t>
  </si>
  <si>
    <t>Vitis x interspécifique cv. Seibel 10868</t>
  </si>
  <si>
    <t>Vitis x interspécifique cv. Seibel 10884/6</t>
  </si>
  <si>
    <t>Vitis x interspécifique cv. Seibel 110</t>
  </si>
  <si>
    <t>Vitis x interspécifique cv. Seibel 11020</t>
  </si>
  <si>
    <t>Vitis x interspécifique cv. Seibel 11023</t>
  </si>
  <si>
    <t>Vitis x interspécifique cv. Seibel 11027</t>
  </si>
  <si>
    <t>Vitis x interspécifique cv. Seibel 112</t>
  </si>
  <si>
    <t>Vitis x interspécifique cv. Seibel 11254/16</t>
  </si>
  <si>
    <t>Vitis x interspécifique cv. Seibel 11257</t>
  </si>
  <si>
    <t>Vitis x interspécifique cv. Seibel 11259</t>
  </si>
  <si>
    <t>Vitis x interspécifique cv. Seibel 11272</t>
  </si>
  <si>
    <t>Vitis x interspécifique cv. Seibel 11283</t>
  </si>
  <si>
    <t>Vitis x interspécifique cv. Seibel 11318</t>
  </si>
  <si>
    <t>Vitis x interspécifique cv. Seibel 11342</t>
  </si>
  <si>
    <t>Vitis x interspécifique cv. Seibel 114</t>
  </si>
  <si>
    <t>Vitis x interspécifique cv. Seibel 11404</t>
  </si>
  <si>
    <t>Vitis x interspécifique cv. Seibel 11431</t>
  </si>
  <si>
    <t>Vitis x interspécifique cv. Seibel 11437</t>
  </si>
  <si>
    <t>Vitis x interspécifique cv. Seibel 11486</t>
  </si>
  <si>
    <t>Vitis x interspécifique cv. Seibel 11493</t>
  </si>
  <si>
    <t>Vitis x interspécifique cv. Seibel 11670</t>
  </si>
  <si>
    <t>Vitis x interspécifique cv. Seibel 11697</t>
  </si>
  <si>
    <t>Vitis x interspécifique cv. Seibel 11701</t>
  </si>
  <si>
    <t>Vitis x interspécifique cv. Seibel 11705</t>
  </si>
  <si>
    <t>Vitis x interspécifique cv. Seibel 11729</t>
  </si>
  <si>
    <t>Vitis x interspécifique cv. Seibel 11780</t>
  </si>
  <si>
    <t>Vitis x interspécifique cv. Seibel 11815</t>
  </si>
  <si>
    <t>Vitis x interspécifique cv. Seibel 11846</t>
  </si>
  <si>
    <t>Vitis x interspécifique cv. Seibel 11875</t>
  </si>
  <si>
    <t>Vitis x interspécifique cv. Seibel 11906</t>
  </si>
  <si>
    <t>Vitis x interspécifique cv. Seibel 11929</t>
  </si>
  <si>
    <t>Vitis x interspécifique cv. Seibel 120</t>
  </si>
  <si>
    <t>Vitis x interspécifique cv. Seibel 12084</t>
  </si>
  <si>
    <t>Vitis x interspécifique cv. Seibel 12242</t>
  </si>
  <si>
    <t>Vitis x interspécifique cv. Seibel 12315</t>
  </si>
  <si>
    <t>Vitis x interspécifique cv. Seibel 12393</t>
  </si>
  <si>
    <t>Vitis x interspécifique cv. Seibel 12583</t>
  </si>
  <si>
    <t>Vitis x interspécifique cv. Seibel 126</t>
  </si>
  <si>
    <t>Vitis x interspécifique cv. Seibel 128</t>
  </si>
  <si>
    <t>Vitis x interspécifique cv. Seibel 13047</t>
  </si>
  <si>
    <t>Vitis x interspécifique cv. Seibel 13053</t>
  </si>
  <si>
    <t>Vitis x interspécifique cv. Seibel 13394</t>
  </si>
  <si>
    <t>Vitis x interspécifique cv. Seibel 13663</t>
  </si>
  <si>
    <t>Vitis x interspécifique cv. Seibel 13664</t>
  </si>
  <si>
    <t>Vitis x interspécifique cv. Seibel 13666</t>
  </si>
  <si>
    <t>Vitis x interspécifique cv. Seibel 13669</t>
  </si>
  <si>
    <t>Vitis x interspécifique cv. Seibel 13680</t>
  </si>
  <si>
    <t>Vitis x interspécifique cv. Seibel 13682</t>
  </si>
  <si>
    <t>Vitis x interspécifique cv. Seibel 13693</t>
  </si>
  <si>
    <t>Vitis x interspécifique cv. Seibel 13694</t>
  </si>
  <si>
    <t>Vitis x interspécifique cv. Seibel 13695</t>
  </si>
  <si>
    <t>Vitis x interspécifique cv. Seibel 13698</t>
  </si>
  <si>
    <t>Vitis x interspécifique cv. Seibel 13770</t>
  </si>
  <si>
    <t>Vitis x interspécifique cv. Seibel 138</t>
  </si>
  <si>
    <t>Vitis x interspécifique cv. Seibel 13846</t>
  </si>
  <si>
    <t>Vitis x interspécifique cv. Seibel 14</t>
  </si>
  <si>
    <t>Vitis x interspécifique cv. Seibel 14114</t>
  </si>
  <si>
    <t>Vitis x interspécifique cv. Seibel 14117</t>
  </si>
  <si>
    <t>Vitis x interspécifique cv. Seibel 14164</t>
  </si>
  <si>
    <t>Vitis x interspécifique cv. Seibel 14189</t>
  </si>
  <si>
    <t>Vitis x interspécifique cv. Seibel 14266</t>
  </si>
  <si>
    <t>Vitis x interspécifique cv. Seibel 14326</t>
  </si>
  <si>
    <t>Vitis x interspécifique cv. Seibel 14327</t>
  </si>
  <si>
    <t>Vitis x interspécifique cv. Seibel 14378</t>
  </si>
  <si>
    <t>Vitis x interspécifique cv. Seibel 14404</t>
  </si>
  <si>
    <t>Vitis x interspécifique cv. Seibel 14417</t>
  </si>
  <si>
    <t>Vitis x interspécifique cv. Seibel 14419</t>
  </si>
  <si>
    <t>Vitis x interspécifique cv. Seibel 14472</t>
  </si>
  <si>
    <t>Vitis x interspécifique cv. Seibel 14483</t>
  </si>
  <si>
    <t>Vitis x interspécifique cv. Seibel 14514</t>
  </si>
  <si>
    <t>Vitis x interspécifique cv. Seibel 14526</t>
  </si>
  <si>
    <t>Vitis x interspécifique cv. Seibel 14572</t>
  </si>
  <si>
    <t>Vitis x interspécifique cv. Seibel 14576</t>
  </si>
  <si>
    <t>Vitis x interspécifique cv. Seibel 14638</t>
  </si>
  <si>
    <t>Vitis x interspécifique cv. Seibel 14639</t>
  </si>
  <si>
    <t>Vitis x interspécifique cv. Seibel 14654</t>
  </si>
  <si>
    <t>Vitis x interspécifique cv. Seibel 14655</t>
  </si>
  <si>
    <t>Vitis x interspécifique cv. Seibel 14657</t>
  </si>
  <si>
    <t>Vitis x interspécifique cv. Seibel 14660</t>
  </si>
  <si>
    <t>Vitis x interspécifique cv. Seibel 14662</t>
  </si>
  <si>
    <t>Vitis x interspécifique cv. Seibel 14664</t>
  </si>
  <si>
    <t>Vitis x interspécifique cv. Seibel 14665</t>
  </si>
  <si>
    <t>Vitis x interspécifique cv. Seibel 14676</t>
  </si>
  <si>
    <t>Vitis x interspécifique cv. Seibel 14709</t>
  </si>
  <si>
    <t>Vitis x interspécifique cv. Seibel 14747</t>
  </si>
  <si>
    <t>Vitis x interspécifique cv. Seibel 14866</t>
  </si>
  <si>
    <t>Vitis x interspécifique cv. Seibel 14911</t>
  </si>
  <si>
    <t>Vitis x interspécifique cv. Seibel 14937</t>
  </si>
  <si>
    <t>Vitis x interspécifique cv. Seibel 14994</t>
  </si>
  <si>
    <t>Vitis x interspécifique cv. Seibel 14995</t>
  </si>
  <si>
    <t>Vitis x interspécifique cv. Seibel 150</t>
  </si>
  <si>
    <t>Vitis x interspécifique cv. Seibel 15024</t>
  </si>
  <si>
    <t>Vitis x interspécifique cv. Seibel 15027</t>
  </si>
  <si>
    <t>Vitis x interspécifique cv. Seibel 15051</t>
  </si>
  <si>
    <t>Vitis x interspécifique cv. Seibel 15062</t>
  </si>
  <si>
    <t>Vitis x interspécifique cv. Seibel 15074</t>
  </si>
  <si>
    <t>Vitis x interspécifique cv. Seibel 15170</t>
  </si>
  <si>
    <t>Vitis x interspécifique cv. Seibel 15245</t>
  </si>
  <si>
    <t>Vitis x interspécifique cv. Seibel 156</t>
  </si>
  <si>
    <t>Vitis x interspécifique cv. Seibel 1588</t>
  </si>
  <si>
    <t>Vitis x interspécifique cv. Seibel 15964</t>
  </si>
  <si>
    <t>Vitis x interspécifique cv. Seibel 16092</t>
  </si>
  <si>
    <t>Vitis x interspécifique cv. Seibel 16137</t>
  </si>
  <si>
    <t>Vitis x interspécifique cv. Seibel 16147</t>
  </si>
  <si>
    <t>Vitis x interspécifique cv. Seibel 16161</t>
  </si>
  <si>
    <t>Vitis x interspécifique cv. Seibel 16191</t>
  </si>
  <si>
    <t>Vitis x interspécifique cv. Seibel 16196</t>
  </si>
  <si>
    <t>Vitis x interspécifique cv. Seibel 16199</t>
  </si>
  <si>
    <t>Vitis x interspécifique cv. Seibel 16273</t>
  </si>
  <si>
    <t>Vitis x interspécifique cv. Seibel 181</t>
  </si>
  <si>
    <t>Vitis x interspécifique cv. Seibel 182</t>
  </si>
  <si>
    <t>Vitis x interspécifique cv. Seibel 2</t>
  </si>
  <si>
    <t>Vitis x interspécifique cv. Seibel 200</t>
  </si>
  <si>
    <t>Vitis x interspécifique cv. Seibel 2003</t>
  </si>
  <si>
    <t>Vitis x interspécifique cv. Seibel 2006</t>
  </si>
  <si>
    <t>Vitis x interspécifique cv. Seibel 2010</t>
  </si>
  <si>
    <t>Vitis x interspécifique cv. Seibel 2029</t>
  </si>
  <si>
    <t>Vitis x interspécifique cv. Seibel 2044</t>
  </si>
  <si>
    <t>Vitis x interspécifique cv. Seibel 206</t>
  </si>
  <si>
    <t>Vitis x interspécifique cv. Seibel 209</t>
  </si>
  <si>
    <t>Vitis x interspécifique cv. Seibel 210</t>
  </si>
  <si>
    <t>Vitis x interspécifique cv. Seibel 2120</t>
  </si>
  <si>
    <t>Vitis x interspécifique cv. Seibel 2453</t>
  </si>
  <si>
    <t>Vitis x interspécifique cv. Seibel 25</t>
  </si>
  <si>
    <t>Vitis x interspécifique cv. Seibel 2509</t>
  </si>
  <si>
    <t>Vitis x interspécifique cv. Seibel 2524</t>
  </si>
  <si>
    <t>Vitis x interspécifique cv. Seibel 2525</t>
  </si>
  <si>
    <t>Vitis x interspécifique cv. Seibel 2573</t>
  </si>
  <si>
    <t>Vitis x interspécifique cv. Seibel 2576</t>
  </si>
  <si>
    <t>Vitis x interspécifique cv. Seibel 2578</t>
  </si>
  <si>
    <t>Vitis x interspécifique cv. Seibel 2582</t>
  </si>
  <si>
    <t>Vitis x interspécifique cv. Seibel 2591</t>
  </si>
  <si>
    <t>Vitis x interspécifique cv. Seibel 2605</t>
  </si>
  <si>
    <t>Vitis x interspécifique cv. Seibel 2632</t>
  </si>
  <si>
    <t>Vitis x interspécifique cv. Seibel 2655</t>
  </si>
  <si>
    <t>Vitis x interspécifique cv. Seibel 2660</t>
  </si>
  <si>
    <t>Vitis x interspécifique cv. Seibel 2666</t>
  </si>
  <si>
    <t>Vitis x interspécifique cv. Seibel 2686</t>
  </si>
  <si>
    <t>Vitis x interspécifique cv. Seibel 270</t>
  </si>
  <si>
    <t>Vitis x interspécifique cv. Seibel 2838</t>
  </si>
  <si>
    <t>Vitis x interspécifique cv. Seibel 2859</t>
  </si>
  <si>
    <t>Vitis x interspécifique cv. Seibel 29</t>
  </si>
  <si>
    <t>Vitis x interspécifique cv. Seibel 3021</t>
  </si>
  <si>
    <t>Vitis x interspécifique cv. Seibel 36</t>
  </si>
  <si>
    <t>Vitis x interspécifique cv. Seibel 38</t>
  </si>
  <si>
    <t>Vitis x interspécifique cv. Seibel 4</t>
  </si>
  <si>
    <t>Vitis x interspécifique cv. Seibel 405</t>
  </si>
  <si>
    <t>Vitis x interspécifique cv. Seibel 41</t>
  </si>
  <si>
    <t>Vitis x interspécifique cv. Seibel 4111</t>
  </si>
  <si>
    <t>Vitis x interspécifique cv. Seibel 4121</t>
  </si>
  <si>
    <t>Vitis x interspécifique cv. Seibel 4132</t>
  </si>
  <si>
    <t>Vitis x interspécifique cv. Seibel 4464</t>
  </si>
  <si>
    <t>Vitis x interspécifique cv. Seibel 4499</t>
  </si>
  <si>
    <t>Vitis x interspécifique cv. Seibel 4504</t>
  </si>
  <si>
    <t>Vitis x interspécifique cv. Seibel 4559</t>
  </si>
  <si>
    <t>Vitis x interspécifique cv. Seibel 4589</t>
  </si>
  <si>
    <t>Vitis x interspécifique cv. Seibel 4603</t>
  </si>
  <si>
    <t>Vitis x interspécifique cv. Seibel 4605</t>
  </si>
  <si>
    <t>Vitis x interspécifique cv. Seibel 4614</t>
  </si>
  <si>
    <t>Vitis x interspécifique cv. Seibel 4615</t>
  </si>
  <si>
    <t>Vitis x interspécifique cv. Seibel 4629</t>
  </si>
  <si>
    <t>Vitis x interspécifique cv. Seibel 4633</t>
  </si>
  <si>
    <t>Vitis x interspécifique cv. Seibel 4636</t>
  </si>
  <si>
    <t>Vitis x interspécifique cv. Seibel 4638</t>
  </si>
  <si>
    <t>Vitis x interspécifique cv. Seibel 4644</t>
  </si>
  <si>
    <t>Vitis x interspécifique cv. Seibel 4648</t>
  </si>
  <si>
    <t>Vitis x interspécifique cv. Seibel 4669</t>
  </si>
  <si>
    <t>Vitis x interspécifique cv. Seibel 4672</t>
  </si>
  <si>
    <t>Vitis x interspécifique cv. Seibel 4677</t>
  </si>
  <si>
    <t>Vitis x interspécifique cv. Seibel 4681</t>
  </si>
  <si>
    <t>Vitis x interspécifique cv. Seibel 4697</t>
  </si>
  <si>
    <t>Vitis x interspécifique cv. Seibel 47</t>
  </si>
  <si>
    <t>Vitis x interspécifique cv. Seibel 4706</t>
  </si>
  <si>
    <t>Vitis x interspécifique cv. Seibel 4707</t>
  </si>
  <si>
    <t>Vitis x interspécifique cv. Seibel 4709</t>
  </si>
  <si>
    <t>Vitis x interspécifique cv. Seibel 4725</t>
  </si>
  <si>
    <t>Vitis x interspécifique cv. Seibel 4762</t>
  </si>
  <si>
    <t>Vitis x interspécifique cv. Seibel 4877 = 21 de Gléon</t>
  </si>
  <si>
    <t>Vitis x interspécifique cv. Seibel 491</t>
  </si>
  <si>
    <t>Vitis x interspécifique cv. Seibel 4955</t>
  </si>
  <si>
    <t>Vitis x interspécifique cv. Seibel 4964</t>
  </si>
  <si>
    <t>Vitis x interspécifique cv. Seibel 4982</t>
  </si>
  <si>
    <t>Vitis x interspécifique cv. Seibel 4987</t>
  </si>
  <si>
    <t>Vitis x interspécifique cv. Seibel 4989</t>
  </si>
  <si>
    <t>Vitis x interspécifique cv. Seibel 499</t>
  </si>
  <si>
    <t>Vitis x interspécifique cv. Seibel 4990</t>
  </si>
  <si>
    <t>Vitis x interspécifique cv. Seibel 4991</t>
  </si>
  <si>
    <t>Vitis x interspécifique cv. Seibel 4995</t>
  </si>
  <si>
    <t>Vitis x interspécifique cv. Seibel 5001</t>
  </si>
  <si>
    <t>Vitis x interspécifique cv. Seibel 5024</t>
  </si>
  <si>
    <t>Vitis x interspécifique cv. Seibel 5030</t>
  </si>
  <si>
    <t>Vitis x interspécifique cv. Seibel 5033</t>
  </si>
  <si>
    <t>Vitis x interspécifique cv. Seibel 5049</t>
  </si>
  <si>
    <t>Vitis x interspécifique cv. Seibel 5054</t>
  </si>
  <si>
    <t>Vitis x interspécifique cv. Seibel 5056</t>
  </si>
  <si>
    <t>Vitis x interspécifique cv. Seibel 5061</t>
  </si>
  <si>
    <t>Vitis x interspécifique cv. Seibel 5110</t>
  </si>
  <si>
    <t>Vitis x interspécifique cv. Seibel 5118</t>
  </si>
  <si>
    <t>Vitis x interspécifique cv. Seibel 5123</t>
  </si>
  <si>
    <t>Vitis x interspécifique cv. Seibel 5124</t>
  </si>
  <si>
    <t>Vitis x interspécifique cv. Seibel 5135</t>
  </si>
  <si>
    <t>Vitis x interspécifique cv. Seibel 5136</t>
  </si>
  <si>
    <t>Vitis x interspécifique cv. Seibel 5145</t>
  </si>
  <si>
    <t>Vitis x interspécifique cv. Seibel 5149</t>
  </si>
  <si>
    <t>Vitis x interspécifique cv. Seibel 5163</t>
  </si>
  <si>
    <t>Vitis x interspécifique cv. Seibel 5170</t>
  </si>
  <si>
    <t>Vitis x interspécifique cv. Seibel 5178</t>
  </si>
  <si>
    <t>Vitis x interspécifique cv. Seibel 5181</t>
  </si>
  <si>
    <t>Vitis x interspécifique cv. Seibel 5182</t>
  </si>
  <si>
    <t>Vitis x interspécifique cv. Seibel 5188</t>
  </si>
  <si>
    <t>Vitis x interspécifique cv. Seibel 5191</t>
  </si>
  <si>
    <t>Vitis x interspécifique cv. Seibel 5195</t>
  </si>
  <si>
    <t>Vitis x interspécifique cv. Seibel 5202</t>
  </si>
  <si>
    <t>Vitis x interspécifique cv. Seibel 5204</t>
  </si>
  <si>
    <t>Vitis x interspécifique cv. Seibel 5205</t>
  </si>
  <si>
    <t>Vitis x interspécifique cv. Seibel 5213</t>
  </si>
  <si>
    <t>Vitis x interspécifique cv. Seibel 5225</t>
  </si>
  <si>
    <t>Vitis x interspécifique cv. Seibel 5231</t>
  </si>
  <si>
    <t>Vitis x interspécifique cv. Seibel 5241</t>
  </si>
  <si>
    <t>Vitis x interspécifique cv. Seibel 5257</t>
  </si>
  <si>
    <t>Vitis x interspécifique cv. Seibel 5259</t>
  </si>
  <si>
    <t>Vitis x interspécifique cv. Seibel 5272</t>
  </si>
  <si>
    <t>Vitis x interspécifique cv. Seibel 5274</t>
  </si>
  <si>
    <t>Vitis x interspécifique cv. Seibel 5275</t>
  </si>
  <si>
    <t>Vitis x interspécifique cv. Seibel 5292</t>
  </si>
  <si>
    <t>Vitis x interspécifique cv. Seibel 5296</t>
  </si>
  <si>
    <t>Vitis x interspécifique cv. Seibel 5299</t>
  </si>
  <si>
    <t>Vitis x interspécifique cv. Seibel 5302</t>
  </si>
  <si>
    <t>Vitis x interspécifique cv. Seibel 5308</t>
  </si>
  <si>
    <t>Vitis x interspécifique cv. Seibel 5310</t>
  </si>
  <si>
    <t>Vitis x interspécifique cv. Seibel 5313</t>
  </si>
  <si>
    <t>Vitis x interspécifique cv. Seibel 5316</t>
  </si>
  <si>
    <t>Vitis x interspécifique cv. Seibel 5319</t>
  </si>
  <si>
    <t>Vitis x interspécifique cv. Seibel 5322</t>
  </si>
  <si>
    <t>Vitis x interspécifique cv. Seibel 5326</t>
  </si>
  <si>
    <t>Vitis x interspécifique cv. Seibel 5329</t>
  </si>
  <si>
    <t>Vitis x interspécifique cv. Seibel 5335</t>
  </si>
  <si>
    <t>Vitis x interspécifique cv. Seibel 5339</t>
  </si>
  <si>
    <t>Vitis x interspécifique cv. Seibel 5351</t>
  </si>
  <si>
    <t>Vitis x interspécifique cv. Seibel 5356</t>
  </si>
  <si>
    <t>Vitis x interspécifique cv. Seibel 5362</t>
  </si>
  <si>
    <t>Vitis x interspécifique cv. Seibel 5371</t>
  </si>
  <si>
    <t>Vitis x interspécifique cv. Seibel 5391</t>
  </si>
  <si>
    <t>Vitis x interspécifique cv. Seibel 54</t>
  </si>
  <si>
    <t>Vitis x interspécifique cv. Seibel 5405</t>
  </si>
  <si>
    <t>Vitis x interspécifique cv. Seibel 5408</t>
  </si>
  <si>
    <t>Vitis x interspécifique cv. Seibel 5409</t>
  </si>
  <si>
    <t>Vitis x interspécifique cv. Seibel 5410</t>
  </si>
  <si>
    <t>Vitis x interspécifique cv. Seibel 5412</t>
  </si>
  <si>
    <t>Vitis x interspécifique cv. Seibel 5431</t>
  </si>
  <si>
    <t>Vitis x interspécifique cv. Seibel 5437</t>
  </si>
  <si>
    <t>Vitis x interspécifique cv. Seibel 5450</t>
  </si>
  <si>
    <t>Vitis x interspécifique cv. Seibel 5466</t>
  </si>
  <si>
    <t>Vitis x interspécifique cv. Seibel 5474</t>
  </si>
  <si>
    <t>Vitis x interspécifique cv. Seibel 5484</t>
  </si>
  <si>
    <t>Vitis x interspécifique cv. Seibel 5485</t>
  </si>
  <si>
    <t>Vitis x interspécifique cv. Seibel 5486</t>
  </si>
  <si>
    <t>Vitis x interspécifique cv. Seibel 5487</t>
  </si>
  <si>
    <t>Vitis x interspécifique cv. Seibel 5504</t>
  </si>
  <si>
    <t>Vitis x interspécifique cv. Seibel 5539</t>
  </si>
  <si>
    <t>Vitis x interspécifique cv. Seibel 5551</t>
  </si>
  <si>
    <t>Vitis x interspécifique cv. Seibel 5560</t>
  </si>
  <si>
    <t>Vitis x interspécifique cv. Seibel 5561</t>
  </si>
  <si>
    <t>Vitis x interspécifique cv. Seibel 5574</t>
  </si>
  <si>
    <t>Vitis x interspécifique cv. Seibel 5580</t>
  </si>
  <si>
    <t>Vitis x interspécifique cv. Seibel 5586</t>
  </si>
  <si>
    <t>Vitis x interspécifique cv. Seibel 5593</t>
  </si>
  <si>
    <t>Vitis x interspécifique cv. Seibel 5624</t>
  </si>
  <si>
    <t>Vitis x interspécifique cv. Seibel 5632</t>
  </si>
  <si>
    <t>Vitis x interspécifique cv. Seibel 5652</t>
  </si>
  <si>
    <t>Vitis x interspécifique cv. Seibel 5653</t>
  </si>
  <si>
    <t>Vitis x interspécifique cv. Seibel 5656</t>
  </si>
  <si>
    <t>Vitis x interspécifique cv. Seibel 5658</t>
  </si>
  <si>
    <t>Vitis x interspécifique cv. Seibel 5663</t>
  </si>
  <si>
    <t>Vitis x interspécifique cv. Seibel 5683</t>
  </si>
  <si>
    <t>Vitis x interspécifique cv. Seibel 5689</t>
  </si>
  <si>
    <t>Vitis x interspécifique cv. Seibel 5717</t>
  </si>
  <si>
    <t>Vitis x interspécifique cv. Seibel 5744</t>
  </si>
  <si>
    <t>Vitis x interspécifique cv. Seibel 5757</t>
  </si>
  <si>
    <t>Vitis x interspécifique cv. Seibel 5763</t>
  </si>
  <si>
    <t>Vitis x interspécifique cv. Seibel 5773</t>
  </si>
  <si>
    <t>Vitis x interspécifique cv. Seibel 5775</t>
  </si>
  <si>
    <t>Vitis x interspécifique cv. Seibel 5778</t>
  </si>
  <si>
    <t>Vitis x interspécifique cv. Seibel 5785</t>
  </si>
  <si>
    <t>Vitis x interspécifique cv. Seibel 5810</t>
  </si>
  <si>
    <t>Vitis x interspécifique cv. Seibel 5813</t>
  </si>
  <si>
    <t>Vitis x interspécifique cv. Seibel 5815</t>
  </si>
  <si>
    <t>Vitis x interspécifique cv. Seibel 5819</t>
  </si>
  <si>
    <t>Vitis x interspécifique cv. Seibel 5820</t>
  </si>
  <si>
    <t>Vitis x interspécifique cv. Seibel 5826</t>
  </si>
  <si>
    <t>Vitis x interspécifique cv. Seibel 5839</t>
  </si>
  <si>
    <t>Vitis x interspécifique cv. Seibel 5854</t>
  </si>
  <si>
    <t>Vitis x interspécifique cv. Seibel 5860</t>
  </si>
  <si>
    <t>Vitis x interspécifique cv. Seibel 5883</t>
  </si>
  <si>
    <t>Vitis x interspécifique cv. Seibel 5889</t>
  </si>
  <si>
    <t>Vitis x interspécifique cv. Seibel 5890</t>
  </si>
  <si>
    <t>Vitis x interspécifique cv. Seibel 5891</t>
  </si>
  <si>
    <t>Vitis x interspécifique cv. Seibel 5897</t>
  </si>
  <si>
    <t>Vitis x interspécifique cv. Seibel 5900</t>
  </si>
  <si>
    <t>Vitis x interspécifique cv. Seibel 5903</t>
  </si>
  <si>
    <t>Vitis x interspécifique cv. Seibel 5907</t>
  </si>
  <si>
    <t>Vitis x interspécifique cv. Seibel 5908</t>
  </si>
  <si>
    <t>Vitis x interspécifique cv. Seibel 5912</t>
  </si>
  <si>
    <t>Vitis x interspécifique cv. Seibel 5915</t>
  </si>
  <si>
    <t>Vitis x interspécifique cv. Seibel 5916</t>
  </si>
  <si>
    <t>Vitis x interspécifique cv. Seibel 5917</t>
  </si>
  <si>
    <t>Vitis x interspécifique cv. Seibel 5937</t>
  </si>
  <si>
    <t>Vitis x interspécifique cv. Seibel 5946</t>
  </si>
  <si>
    <t>Vitis x interspécifique cv. Seibel 5952</t>
  </si>
  <si>
    <t>Vitis x interspécifique cv. Seibel 5966</t>
  </si>
  <si>
    <t>Vitis x interspécifique cv. Seibel 5979</t>
  </si>
  <si>
    <t>Vitis x interspécifique cv. Seibel 600</t>
  </si>
  <si>
    <t>Vitis x interspécifique cv. Seibel 6003</t>
  </si>
  <si>
    <t>Vitis x interspécifique cv. Seibel 6004</t>
  </si>
  <si>
    <t>Vitis x interspécifique cv. Seibel 6010</t>
  </si>
  <si>
    <t>Vitis x interspécifique cv. Seibel 6011</t>
  </si>
  <si>
    <t>Vitis x interspécifique cv. Seibel 6013</t>
  </si>
  <si>
    <t>Vitis x interspécifique cv. Seibel 6022</t>
  </si>
  <si>
    <t>Vitis x interspécifique cv. Seibel 6027</t>
  </si>
  <si>
    <t>Vitis x interspécifique cv. Seibel 6029</t>
  </si>
  <si>
    <t>Vitis x interspécifique cv. Seibel 6036</t>
  </si>
  <si>
    <t>Vitis x interspécifique cv. Seibel 6042</t>
  </si>
  <si>
    <t>Vitis x interspécifique cv. Seibel 6045</t>
  </si>
  <si>
    <t>Vitis x interspécifique cv. Seibel 6062</t>
  </si>
  <si>
    <t>Vitis x interspécifique cv. Seibel 6064</t>
  </si>
  <si>
    <t>Vitis x interspécifique cv. Seibel 6080</t>
  </si>
  <si>
    <t>Vitis x interspécifique cv. Seibel 6086</t>
  </si>
  <si>
    <t>Vitis x interspécifique cv. Seibel 6088</t>
  </si>
  <si>
    <t>Vitis x interspécifique cv. Seibel 6090</t>
  </si>
  <si>
    <t>Vitis x interspécifique cv. Seibel 6092</t>
  </si>
  <si>
    <t>Vitis x interspécifique cv. Seibel 6093</t>
  </si>
  <si>
    <t>Vitis x interspécifique cv. Seibel 6094</t>
  </si>
  <si>
    <t>Vitis x interspécifique cv. Seibel 6096</t>
  </si>
  <si>
    <t>Vitis x interspécifique cv. Seibel 6102</t>
  </si>
  <si>
    <t>Vitis x interspécifique cv. Seibel 6106</t>
  </si>
  <si>
    <t>Vitis x interspécifique cv. Seibel 6111</t>
  </si>
  <si>
    <t>Vitis x interspécifique cv. Seibel 6115</t>
  </si>
  <si>
    <t>Vitis x interspécifique cv. Seibel 6126</t>
  </si>
  <si>
    <t>Vitis x interspécifique cv. Seibel 6132</t>
  </si>
  <si>
    <t>Vitis x interspécifique cv. Seibel 6143</t>
  </si>
  <si>
    <t>Vitis x interspécifique cv. Seibel 6151</t>
  </si>
  <si>
    <t>Vitis x interspécifique cv. Seibel 6155</t>
  </si>
  <si>
    <t>Vitis x interspécifique cv. Seibel 6158</t>
  </si>
  <si>
    <t>Vitis x interspécifique cv. Seibel 6165</t>
  </si>
  <si>
    <t>Vitis x interspécifique cv. Seibel 6168</t>
  </si>
  <si>
    <t>Vitis x interspécifique cv. Seibel 6170</t>
  </si>
  <si>
    <t>Vitis x interspécifique cv. Seibel 6179</t>
  </si>
  <si>
    <t>Vitis x interspécifique cv. Seibel 6186</t>
  </si>
  <si>
    <t>Vitis x interspécifique cv. Seibel 6209</t>
  </si>
  <si>
    <t>Vitis x interspécifique cv. Seibel 6213</t>
  </si>
  <si>
    <t>Vitis x interspécifique cv. Seibel 6214</t>
  </si>
  <si>
    <t>Vitis x interspécifique cv. Seibel 6229</t>
  </si>
  <si>
    <t>Vitis x interspécifique cv. Seibel 6233</t>
  </si>
  <si>
    <t>Vitis x interspécifique cv. Seibel 6269</t>
  </si>
  <si>
    <t>Vitis x interspécifique cv. Seibel 6278</t>
  </si>
  <si>
    <t>Vitis x interspécifique cv. Seibel 6288</t>
  </si>
  <si>
    <t>Vitis x interspécifique cv. Seibel 6289</t>
  </si>
  <si>
    <t>Vitis x interspécifique cv. Seibel 6293</t>
  </si>
  <si>
    <t>Vitis x interspécifique cv. Seibel 63</t>
  </si>
  <si>
    <t>Vitis x interspécifique cv. Seibel 6318</t>
  </si>
  <si>
    <t>Vitis x interspécifique cv. Seibel 6339</t>
  </si>
  <si>
    <t>Vitis x interspécifique cv. Seibel 6350</t>
  </si>
  <si>
    <t>Vitis x interspécifique cv. Seibel 6403</t>
  </si>
  <si>
    <t>Vitis x interspécifique cv. Seibel 6419</t>
  </si>
  <si>
    <t>Vitis x interspécifique cv. Seibel 6423</t>
  </si>
  <si>
    <t>Vitis x interspécifique cv. Seibel 6425</t>
  </si>
  <si>
    <t>Vitis x interspécifique cv. Seibel 6426</t>
  </si>
  <si>
    <t>Vitis x interspécifique cv. Seibel 6439</t>
  </si>
  <si>
    <t>Vitis x interspécifique cv. Seibel 6455</t>
  </si>
  <si>
    <t>Vitis x interspécifique cv. Seibel 6460</t>
  </si>
  <si>
    <t>Vitis x interspécifique cv. Seibel 6468</t>
  </si>
  <si>
    <t>Vitis x interspécifique cv. Seibel 6478</t>
  </si>
  <si>
    <t>Vitis x interspécifique cv. Seibel 6484</t>
  </si>
  <si>
    <t>Vitis x interspécifique cv. Seibel 6488</t>
  </si>
  <si>
    <t>Vitis x interspécifique cv. Seibel 6491</t>
  </si>
  <si>
    <t>Vitis x interspécifique cv. Seibel 6496</t>
  </si>
  <si>
    <t>Vitis x interspécifique cv. Seibel 6500</t>
  </si>
  <si>
    <t>Vitis x interspécifique cv. Seibel 6572</t>
  </si>
  <si>
    <t>Vitis x interspécifique cv. Seibel 6578</t>
  </si>
  <si>
    <t>Vitis x interspécifique cv. Seibel 6605</t>
  </si>
  <si>
    <t>Vitis x interspécifique cv. Seibel 6606</t>
  </si>
  <si>
    <t>Vitis x interspécifique cv. Seibel 6623</t>
  </si>
  <si>
    <t>Vitis x interspécifique cv. Seibel 670</t>
  </si>
  <si>
    <t>Vitis x interspécifique cv. Seibel 6702</t>
  </si>
  <si>
    <t>Vitis x interspécifique cv. Seibel 6711</t>
  </si>
  <si>
    <t>Vitis x interspécifique cv. Seibel 6717</t>
  </si>
  <si>
    <t>Vitis x interspécifique cv. Seibel 6720</t>
  </si>
  <si>
    <t>Vitis x interspécifique cv. Seibel 6732</t>
  </si>
  <si>
    <t>Vitis x interspécifique cv. Seibel 6733</t>
  </si>
  <si>
    <t>Vitis x interspécifique cv. Seibel 6735</t>
  </si>
  <si>
    <t>Vitis x interspécifique cv. Seibel 6738</t>
  </si>
  <si>
    <t>Vitis x interspécifique cv. Seibel 6739</t>
  </si>
  <si>
    <t>Vitis x interspécifique cv. Seibel 6740</t>
  </si>
  <si>
    <t>Vitis x interspécifique cv. Seibel 6746</t>
  </si>
  <si>
    <t>Vitis x interspécifique cv. Seibel 6751</t>
  </si>
  <si>
    <t>Vitis x interspécifique cv. Seibel 6758</t>
  </si>
  <si>
    <t>Vitis x interspécifique cv. Seibel 6778</t>
  </si>
  <si>
    <t>Vitis x interspécifique cv. Seibel 6779</t>
  </si>
  <si>
    <t>Vitis x interspécifique cv. Seibel 6780</t>
  </si>
  <si>
    <t>Vitis x interspécifique cv. Seibel 6824</t>
  </si>
  <si>
    <t>Vitis x interspécifique cv. Seibel 6830</t>
  </si>
  <si>
    <t>Vitis x interspécifique cv. Seibel 6862</t>
  </si>
  <si>
    <t>Vitis x interspécifique cv. Seibel 6876</t>
  </si>
  <si>
    <t>Vitis x interspécifique cv. Seibel 6906</t>
  </si>
  <si>
    <t>Vitis x interspécifique cv. Seibel 6968</t>
  </si>
  <si>
    <t>Vitis x interspécifique cv. Seibel 6976</t>
  </si>
  <si>
    <t>Vitis x interspécifique cv. Seibel 6980</t>
  </si>
  <si>
    <t>Vitis x interspécifique cv. Seibel 70</t>
  </si>
  <si>
    <t>Vitis x interspécifique cv. Seibel 7000</t>
  </si>
  <si>
    <t>Vitis x interspécifique cv. Seibel 7001</t>
  </si>
  <si>
    <t>Vitis x interspécifique cv. Seibel 7005</t>
  </si>
  <si>
    <t>Vitis x interspécifique cv. Seibel 7011</t>
  </si>
  <si>
    <t>Vitis x interspécifique cv. Seibel 7016</t>
  </si>
  <si>
    <t>Vitis x interspécifique cv. Seibel 7022</t>
  </si>
  <si>
    <t>Vitis x interspécifique cv. Seibel 7033</t>
  </si>
  <si>
    <t>Vitis x interspécifique cv. Seibel 7036</t>
  </si>
  <si>
    <t>Vitis x interspécifique cv. Seibel 7042</t>
  </si>
  <si>
    <t>Vitis x interspécifique cv. Seibel 7044</t>
  </si>
  <si>
    <t>Vitis x interspécifique cv. Seibel 7046</t>
  </si>
  <si>
    <t>Vitis x interspécifique cv. Seibel 7047</t>
  </si>
  <si>
    <t>Vitis x interspécifique cv. Seibel 7052</t>
  </si>
  <si>
    <t>Vitis x interspécifique cv. Seibel 7056</t>
  </si>
  <si>
    <t>Vitis x interspécifique cv. Seibel 7071</t>
  </si>
  <si>
    <t>Vitis x interspécifique cv. Seibel 7080</t>
  </si>
  <si>
    <t>Vitis x interspécifique cv. Seibel 7082</t>
  </si>
  <si>
    <t>Vitis x interspécifique cv. Seibel 7085</t>
  </si>
  <si>
    <t>Vitis x interspécifique cv. Seibel 7090</t>
  </si>
  <si>
    <t>Vitis x interspécifique cv. Seibel 7093</t>
  </si>
  <si>
    <t>Vitis x interspécifique cv. Seibel 7099</t>
  </si>
  <si>
    <t>Vitis x interspécifique cv. Seibel 71</t>
  </si>
  <si>
    <t>Vitis x interspécifique cv. Seibel 7100</t>
  </si>
  <si>
    <t>Vitis x interspécifique cv. Seibel 7122 faux</t>
  </si>
  <si>
    <t>Vitis x interspécifique cv. Seibel 7123</t>
  </si>
  <si>
    <t>Vitis x interspécifique cv. Seibel 7130</t>
  </si>
  <si>
    <t>Vitis x interspécifique cv. Seibel 7135</t>
  </si>
  <si>
    <t>Vitis x interspécifique cv. Seibel 7136</t>
  </si>
  <si>
    <t>Vitis x interspécifique cv. Seibel 7140</t>
  </si>
  <si>
    <t>Vitis x interspécifique cv. Seibel 7144</t>
  </si>
  <si>
    <t>Vitis x interspécifique cv. Seibel 7145</t>
  </si>
  <si>
    <t>Vitis x interspécifique cv. Seibel 7157</t>
  </si>
  <si>
    <t>Vitis x interspécifique cv. Seibel 7162</t>
  </si>
  <si>
    <t>Vitis x interspécifique cv. Seibel 7181</t>
  </si>
  <si>
    <t>Vitis x interspécifique cv. Seibel 720</t>
  </si>
  <si>
    <t>Vitis x interspécifique cv. Seibel 7226</t>
  </si>
  <si>
    <t>Vitis x interspécifique cv. Seibel 7228</t>
  </si>
  <si>
    <t>Vitis x interspécifique cv. Seibel 7229</t>
  </si>
  <si>
    <t>Vitis x interspécifique cv. Seibel 7291</t>
  </si>
  <si>
    <t>Vitis x interspécifique cv. Seibel 7303</t>
  </si>
  <si>
    <t>Vitis x interspécifique cv. Seibel 7311</t>
  </si>
  <si>
    <t>Vitis x interspécifique cv. Seibel 7312</t>
  </si>
  <si>
    <t>Vitis x interspécifique cv. Seibel 7315</t>
  </si>
  <si>
    <t>Vitis x interspécifique cv. Seibel 7319</t>
  </si>
  <si>
    <t>Vitis x interspécifique cv. Seibel 7324</t>
  </si>
  <si>
    <t>Vitis x interspécifique cv. Seibel 7332</t>
  </si>
  <si>
    <t>Vitis x interspécifique cv. Seibel 7338</t>
  </si>
  <si>
    <t>Vitis x interspécifique cv. Seibel 7347</t>
  </si>
  <si>
    <t>Vitis x interspécifique cv. Seibel 7349</t>
  </si>
  <si>
    <t>Vitis x interspécifique cv. Seibel 7369</t>
  </si>
  <si>
    <t>Vitis x interspécifique cv. Seibel 7374</t>
  </si>
  <si>
    <t>Vitis x interspécifique cv. Seibel 7380</t>
  </si>
  <si>
    <t>Vitis x interspécifique cv. Seibel 7381</t>
  </si>
  <si>
    <t>Vitis x interspécifique cv. Seibel 7511</t>
  </si>
  <si>
    <t>Vitis x interspécifique cv. Seibel 7523</t>
  </si>
  <si>
    <t>Vitis x interspécifique cv. Seibel 7524</t>
  </si>
  <si>
    <t>Vitis x interspécifique cv. Seibel 753</t>
  </si>
  <si>
    <t>Vitis x interspécifique cv. Seibel 7530</t>
  </si>
  <si>
    <t>Vitis x interspécifique cv. Seibel 7545</t>
  </si>
  <si>
    <t>Vitis x interspécifique cv. Seibel 7566</t>
  </si>
  <si>
    <t>Vitis x interspécifique cv. Seibel 7568</t>
  </si>
  <si>
    <t>Vitis x interspécifique cv. Seibel 7574</t>
  </si>
  <si>
    <t>Vitis x interspécifique cv. Seibel 7584</t>
  </si>
  <si>
    <t>Vitis x interspécifique cv. Seibel 7587</t>
  </si>
  <si>
    <t>Vitis x interspécifique cv. Seibel 7598</t>
  </si>
  <si>
    <t>Vitis x interspécifique cv. Seibel 7603</t>
  </si>
  <si>
    <t>Vitis x interspécifique cv. Seibel 7606</t>
  </si>
  <si>
    <t>Vitis x interspécifique cv. Seibel 7608</t>
  </si>
  <si>
    <t>Vitis x interspécifique cv. Seibel 7609</t>
  </si>
  <si>
    <t>Vitis x interspécifique cv. Seibel 7617</t>
  </si>
  <si>
    <t>Vitis x interspécifique cv. Seibel 7620</t>
  </si>
  <si>
    <t>Vitis x interspécifique cv. Seibel 7622</t>
  </si>
  <si>
    <t>Vitis x interspécifique cv. Seibel 7632</t>
  </si>
  <si>
    <t>Vitis x interspécifique cv. Seibel 7635</t>
  </si>
  <si>
    <t>Vitis x interspécifique cv. Seibel 7668</t>
  </si>
  <si>
    <t>Vitis x interspécifique cv. Seibel 7672</t>
  </si>
  <si>
    <t>Vitis x interspécifique cv. Seibel 7673</t>
  </si>
  <si>
    <t>Vitis x interspécifique cv. Seibel 7721</t>
  </si>
  <si>
    <t>Vitis x interspécifique cv. Seibel 7787</t>
  </si>
  <si>
    <t>Vitis x interspécifique cv. Seibel 7791</t>
  </si>
  <si>
    <t>Vitis x interspécifique cv. Seibel 78</t>
  </si>
  <si>
    <t>Vitis x interspécifique cv. Seibel 7808</t>
  </si>
  <si>
    <t>Vitis x interspécifique cv. Seibel 782</t>
  </si>
  <si>
    <t>Vitis x interspécifique cv. Seibel 7822</t>
  </si>
  <si>
    <t>Vitis x interspécifique cv. Seibel 7828</t>
  </si>
  <si>
    <t>Vitis x interspécifique cv. Seibel 7833</t>
  </si>
  <si>
    <t>Vitis x interspécifique cv. Seibel 7871</t>
  </si>
  <si>
    <t>Vitis x interspécifique cv. Seibel 7882</t>
  </si>
  <si>
    <t>Vitis x interspécifique cv. Seibel 7892</t>
  </si>
  <si>
    <t>Vitis x interspécifique cv. Seibel 7905</t>
  </si>
  <si>
    <t>Vitis x interspécifique cv. Seibel 7963</t>
  </si>
  <si>
    <t>Vitis x interspécifique cv. Seibel 7984</t>
  </si>
  <si>
    <t>Vitis x interspécifique cv. Seibel 8</t>
  </si>
  <si>
    <t>Vitis x interspécifique cv. Seibel 8101</t>
  </si>
  <si>
    <t>Vitis x interspécifique cv. Seibel 8116</t>
  </si>
  <si>
    <t>Vitis x interspécifique cv. Seibel 8120</t>
  </si>
  <si>
    <t>Vitis x interspécifique cv. Seibel 8134</t>
  </si>
  <si>
    <t>Vitis x interspécifique cv. Seibel 82</t>
  </si>
  <si>
    <t>Vitis x interspécifique cv. Seibel 8203</t>
  </si>
  <si>
    <t>Vitis x interspécifique cv. Seibel 8206</t>
  </si>
  <si>
    <t>Vitis x interspécifique cv. Seibel 8209</t>
  </si>
  <si>
    <t>Vitis x interspécifique cv. Seibel 8213</t>
  </si>
  <si>
    <t>Vitis x interspécifique cv. Seibel 8214</t>
  </si>
  <si>
    <t>Vitis x interspécifique cv. Seibel 8216</t>
  </si>
  <si>
    <t>Vitis x interspécifique cv. Seibel 8217</t>
  </si>
  <si>
    <t>Vitis x interspécifique cv. Seibel 8218</t>
  </si>
  <si>
    <t>Vitis x interspécifique cv. Seibel 8219</t>
  </si>
  <si>
    <t>Vitis x interspécifique cv. Seibel 8220</t>
  </si>
  <si>
    <t>Vitis x interspécifique cv. Seibel 8223</t>
  </si>
  <si>
    <t>Vitis x interspécifique cv. Seibel 8224</t>
  </si>
  <si>
    <t>Vitis x interspécifique cv. Seibel 8225</t>
  </si>
  <si>
    <t>Vitis x interspécifique cv. Seibel 8229</t>
  </si>
  <si>
    <t>Vitis x interspécifique cv. Seibel 8231</t>
  </si>
  <si>
    <t>Vitis x interspécifique cv. Seibel 8238</t>
  </si>
  <si>
    <t>Vitis x interspécifique cv. Seibel 8239</t>
  </si>
  <si>
    <t>Vitis x interspécifique cv. Seibel 8243</t>
  </si>
  <si>
    <t>Vitis x interspécifique cv. Seibel 8259</t>
  </si>
  <si>
    <t>Vitis x interspécifique cv. Seibel 8265</t>
  </si>
  <si>
    <t>Vitis x interspécifique cv. Seibel 8336</t>
  </si>
  <si>
    <t>Vitis x interspécifique cv. Seibel 8337</t>
  </si>
  <si>
    <t>Vitis x interspécifique cv. Seibel 8343</t>
  </si>
  <si>
    <t>Vitis x interspécifique cv. Seibel 8355</t>
  </si>
  <si>
    <t>Vitis x interspécifique cv. Seibel 8361</t>
  </si>
  <si>
    <t>Vitis x interspécifique cv. Seibel 8365</t>
  </si>
  <si>
    <t>Vitis x interspécifique cv. Seibel 8376</t>
  </si>
  <si>
    <t>Vitis x interspécifique cv. Seibel 8380</t>
  </si>
  <si>
    <t>Vitis x interspécifique cv. Seibel 8382</t>
  </si>
  <si>
    <t>Vitis x interspécifique cv. Seibel 8390</t>
  </si>
  <si>
    <t>Vitis x interspécifique cv. Seibel 8392</t>
  </si>
  <si>
    <t>Vitis x interspécifique cv. Seibel 8397</t>
  </si>
  <si>
    <t>Vitis x interspécifique cv. Seibel 8402</t>
  </si>
  <si>
    <t>Vitis x interspécifique cv. Seibel 8407</t>
  </si>
  <si>
    <t>Vitis x interspécifique cv. Seibel 8418</t>
  </si>
  <si>
    <t>Vitis x interspécifique cv. Seibel 8447</t>
  </si>
  <si>
    <t>Vitis x interspécifique cv. Seibel 85</t>
  </si>
  <si>
    <t>Vitis x interspécifique cv. Seibel 8515</t>
  </si>
  <si>
    <t>Vitis x interspécifique cv. Seibel 8541</t>
  </si>
  <si>
    <t>Vitis x interspécifique cv. Seibel 8602</t>
  </si>
  <si>
    <t>Vitis x interspécifique cv. Seibel 8611</t>
  </si>
  <si>
    <t>Vitis x interspécifique cv. Seibel 8616</t>
  </si>
  <si>
    <t>Vitis x interspécifique cv. Seibel 8620</t>
  </si>
  <si>
    <t>Vitis x interspécifique cv. Seibel 8647</t>
  </si>
  <si>
    <t>Vitis x interspécifique cv. Seibel 867</t>
  </si>
  <si>
    <t>Vitis x interspécifique cv. Seibel 8675</t>
  </si>
  <si>
    <t>Vitis x interspécifique cv. Seibel 8678</t>
  </si>
  <si>
    <t>Vitis x interspécifique cv. Seibel 87</t>
  </si>
  <si>
    <t>Vitis x interspécifique cv. Seibel 8704</t>
  </si>
  <si>
    <t>Vitis x interspécifique cv. Seibel 8710</t>
  </si>
  <si>
    <t>Vitis x interspécifique cv. Seibel 8712</t>
  </si>
  <si>
    <t>Vitis x interspécifique cv. Seibel 8713</t>
  </si>
  <si>
    <t>Vitis x interspécifique cv. Seibel 8716</t>
  </si>
  <si>
    <t>Vitis x interspécifique cv. Seibel 8717</t>
  </si>
  <si>
    <t>Vitis x interspécifique cv. Seibel 8718</t>
  </si>
  <si>
    <t>Vitis x interspécifique cv. Seibel 8719</t>
  </si>
  <si>
    <t>Vitis x interspécifique cv. Seibel 8724</t>
  </si>
  <si>
    <t>Vitis x interspécifique cv. Seibel 8731</t>
  </si>
  <si>
    <t>Vitis x interspécifique cv. Seibel 8744</t>
  </si>
  <si>
    <t>Vitis x interspécifique cv. Seibel 8748</t>
  </si>
  <si>
    <t>Vitis x interspécifique cv. Seibel 8753</t>
  </si>
  <si>
    <t>Vitis x interspécifique cv. Seibel 8764</t>
  </si>
  <si>
    <t>Vitis x interspécifique cv. Seibel 877</t>
  </si>
  <si>
    <t>Vitis x interspécifique cv. Seibel 8786</t>
  </si>
  <si>
    <t>Vitis x interspécifique cv. Seibel 880</t>
  </si>
  <si>
    <t>Vitis x interspécifique cv. Seibel 8818</t>
  </si>
  <si>
    <t>Vitis x interspécifique cv. Seibel 8820</t>
  </si>
  <si>
    <t>Vitis x interspécifique cv. Seibel 8824</t>
  </si>
  <si>
    <t>Vitis x interspécifique cv. Seibel 8831</t>
  </si>
  <si>
    <t>Vitis x interspécifique cv. Seibel 8902</t>
  </si>
  <si>
    <t>Vitis x interspécifique cv. Seibel 8906</t>
  </si>
  <si>
    <t>Vitis x interspécifique cv. Seibel 8907</t>
  </si>
  <si>
    <t>Vitis x interspécifique cv. Seibel 8916</t>
  </si>
  <si>
    <t>Vitis x interspécifique cv. Seibel 8917</t>
  </si>
  <si>
    <t>Vitis x interspécifique cv. Seibel 8943</t>
  </si>
  <si>
    <t>Vitis x interspécifique cv. Seibel 8954</t>
  </si>
  <si>
    <t>Vitis x interspécifique cv. Seibel 8974</t>
  </si>
  <si>
    <t>Vitis x interspécifique cv. Seibel 9008</t>
  </si>
  <si>
    <t>Vitis x interspécifique cv. Seibel 9045</t>
  </si>
  <si>
    <t>Vitis x interspécifique cv. Seibel 9095</t>
  </si>
  <si>
    <t>Vitis x interspécifique cv. Seibel 9110</t>
  </si>
  <si>
    <t>Vitis x interspécifique cv. Seibel 9116</t>
  </si>
  <si>
    <t>Vitis x interspécifique cv. Seibel 9123</t>
  </si>
  <si>
    <t>Vitis x interspécifique cv. Seibel 9175</t>
  </si>
  <si>
    <t>Vitis x interspécifique cv. Seibel 9246</t>
  </si>
  <si>
    <t>Vitis x interspécifique cv. Seibel 9249</t>
  </si>
  <si>
    <t>Vitis x interspécifique cv. Seibel 9413</t>
  </si>
  <si>
    <t>Vitis x interspécifique cv. Seibel 9458</t>
  </si>
  <si>
    <t>Vitis x interspécifique cv. Seibel 9569</t>
  </si>
  <si>
    <t>Vitis x interspécifique cv. Seibel 9780</t>
  </si>
  <si>
    <t>Vitis x interspécifique cv. Seibel 9872</t>
  </si>
  <si>
    <t>Vitis x interspécifique cv. Seibel 9875/8</t>
  </si>
  <si>
    <t>Vitis x interspécifique cv. Seibel 9932</t>
  </si>
  <si>
    <t>Vitis x interspécifique cv. Seinoir = Seibel 8745</t>
  </si>
  <si>
    <t>Vitis x interspécifique cv. Semis de 41 B (Malleu)</t>
  </si>
  <si>
    <t>Vitis x interspécifique cv. Seyval = Seyve-Villard 5-276</t>
  </si>
  <si>
    <t>Vitis x interspécifique cv. Seyve Villard 23-23</t>
  </si>
  <si>
    <t>Vitis x interspécifique cv. Seyve-Villard 10-271</t>
  </si>
  <si>
    <t>Vitis x interspécifique cv. Seyve-Villard 10-300</t>
  </si>
  <si>
    <t>Vitis x interspécifique cv. Seyve-Villard 10-319</t>
  </si>
  <si>
    <t>Vitis x interspécifique cv. Seyve-Villard 10-347</t>
  </si>
  <si>
    <t>Vitis x interspécifique cv. Seyve-Villard 11-318</t>
  </si>
  <si>
    <t>Vitis x interspécifique cv. Seyve-Villard 12-129</t>
  </si>
  <si>
    <t>Vitis x interspécifique cv. Seyve-Villard 12-132</t>
  </si>
  <si>
    <t>Vitis x interspécifique cv. Seyve-Villard 12-259</t>
  </si>
  <si>
    <t>Vitis x interspécifique cv. Seyve-Villard 12-267</t>
  </si>
  <si>
    <t>Vitis x interspécifique cv. Seyve-Villard 12-286</t>
  </si>
  <si>
    <t>Vitis x interspécifique cv. Seyve-Villard 12-303</t>
  </si>
  <si>
    <t>Vitis x interspécifique cv. Seyve-Villard 12-308</t>
  </si>
  <si>
    <t>Vitis x interspécifique cv. Seyve-Villard 12-327</t>
  </si>
  <si>
    <t>Vitis x interspécifique cv. Seyve-Villard 12-328</t>
  </si>
  <si>
    <t>Vitis x interspécifique cv. Seyve-Villard 12-331</t>
  </si>
  <si>
    <t>Vitis x interspécifique cv. Seyve-Villard 12-347</t>
  </si>
  <si>
    <t>Vitis x interspécifique cv. Seyve-Villard 12-358</t>
  </si>
  <si>
    <t>Vitis x interspécifique cv. Seyve-Villard 12-364</t>
  </si>
  <si>
    <t>Vitis x interspécifique cv. Seyve-Villard 12-390</t>
  </si>
  <si>
    <t>Vitis x interspécifique cv. Seyve-Villard 12-391</t>
  </si>
  <si>
    <t>Vitis x interspécifique cv. Seyve-Villard 12-395</t>
  </si>
  <si>
    <t>Vitis x interspécifique cv. Seyve-Villard 12-397</t>
  </si>
  <si>
    <t>Vitis x interspécifique cv. Seyve-Villard 12-401</t>
  </si>
  <si>
    <t>Vitis x interspécifique cv. Seyve-Villard 12-413</t>
  </si>
  <si>
    <t>Vitis x interspécifique cv. Seyve-Villard 12-417</t>
  </si>
  <si>
    <t>Vitis x interspécifique cv. Seyve-Villard 12-426</t>
  </si>
  <si>
    <t>Vitis x interspécifique cv. Seyve-Villard 12-474</t>
  </si>
  <si>
    <t>Vitis x interspécifique cv. Seyve-Villard 12-481</t>
  </si>
  <si>
    <t>Vitis x interspécifique cv. Seyve-Villard 12-622</t>
  </si>
  <si>
    <t>Vitis x interspécifique cv. Seyve-Villard 12-734</t>
  </si>
  <si>
    <t>Vitis x interspécifique cv. Seyve-Villard 12-789</t>
  </si>
  <si>
    <t>Vitis x interspécifique cv. Seyve-Villard 13-359</t>
  </si>
  <si>
    <t>Vitis x interspécifique cv. Seyve-Villard 14-270</t>
  </si>
  <si>
    <t>Vitis x interspécifique cv. Seyve-Villard 14-281</t>
  </si>
  <si>
    <t>Vitis x interspécifique cv. Seyve-Villard 14-287</t>
  </si>
  <si>
    <t>Vitis x interspécifique cv. Seyve-Villard 14-472</t>
  </si>
  <si>
    <t>Vitis x interspécifique cv. Seyve-Villard 15-151</t>
  </si>
  <si>
    <t>Vitis x interspécifique cv. Seyve-Villard 15-174</t>
  </si>
  <si>
    <t>Vitis x interspécifique cv. Seyve-Villard 15-403</t>
  </si>
  <si>
    <t>Vitis x interspécifique cv. Seyve-Villard 15-505</t>
  </si>
  <si>
    <t>Vitis x interspécifique cv. Seyve-Villard 16-207</t>
  </si>
  <si>
    <t>Vitis x interspécifique cv. Seyve-Villard 1-72</t>
  </si>
  <si>
    <t>Vitis x interspécifique cv. Seyve-Villard 18-118</t>
  </si>
  <si>
    <t>Vitis x interspécifique cv. Seyve-Villard 18-304</t>
  </si>
  <si>
    <t>Vitis x interspécifique cv. Seyve-Villard 18-307</t>
  </si>
  <si>
    <t>Vitis x interspécifique cv. Seyve-Villard 18-402</t>
  </si>
  <si>
    <t>Vitis x interspécifique cv. Seyve-Villard 18-422</t>
  </si>
  <si>
    <t>Vitis x interspécifique cv. Seyve-Villard 18-425</t>
  </si>
  <si>
    <t>Vitis x interspécifique cv. Seyve-Villard 19-159</t>
  </si>
  <si>
    <t>Vitis x interspécifique cv. Seyve-Villard 19-228</t>
  </si>
  <si>
    <t>Vitis x interspécifique cv. Seyve-Villard 19-233</t>
  </si>
  <si>
    <t>Vitis x interspécifique cv. Seyve-Villard 19-275</t>
  </si>
  <si>
    <t>Vitis x interspécifique cv. Seyve-Villard 19-409</t>
  </si>
  <si>
    <t>Vitis x interspécifique cv. Seyve-Villard 19-410</t>
  </si>
  <si>
    <t>Vitis x interspécifique cv. Seyve-Villard 19-421</t>
  </si>
  <si>
    <t>Vitis x interspécifique cv. Seyve-Villard 19-439</t>
  </si>
  <si>
    <t>Vitis x interspécifique cv. Seyve-Villard 22-130</t>
  </si>
  <si>
    <t>Vitis x interspécifique cv. Seyve-Villard 22-140</t>
  </si>
  <si>
    <t>Vitis x interspécifique cv. Seyve-Villard 22-228</t>
  </si>
  <si>
    <t>Vitis x interspécifique cv. Seyve-Villard 22-25</t>
  </si>
  <si>
    <t>Vitis x interspécifique cv. Seyve-Villard 23-10</t>
  </si>
  <si>
    <t>Vitis x interspécifique cv. Seyve-Villard 23-118</t>
  </si>
  <si>
    <t>Vitis x interspécifique cv. Seyve-Villard 23120</t>
  </si>
  <si>
    <t>Vitis x interspécifique cv. Seyve-Villard 23-18</t>
  </si>
  <si>
    <t>Vitis x interspécifique cv. Seyve-Villard 23-251</t>
  </si>
  <si>
    <t>Vitis x interspécifique cv. Seyve-Villard 23-286</t>
  </si>
  <si>
    <t>Vitis x interspécifique cv. Seyve-Villard 23-296</t>
  </si>
  <si>
    <t>Vitis x interspécifique cv. Seyve-Villard 23-314</t>
  </si>
  <si>
    <t>Vitis x interspécifique cv. Seyve-Villard 23-346</t>
  </si>
  <si>
    <t>Vitis x interspécifique cv. Seyve-Villard 23-350</t>
  </si>
  <si>
    <t>Vitis x interspécifique cv. Seyve-Villard 23-353</t>
  </si>
  <si>
    <t>Vitis x interspécifique cv. Seyve-Villard 23-356</t>
  </si>
  <si>
    <t>Vitis x interspécifique cv. Seyve-Villard 23-359</t>
  </si>
  <si>
    <t>Vitis x interspécifique cv. Seyve-Villard 23-36</t>
  </si>
  <si>
    <t>Vitis x interspécifique cv. Seyve-Villard 23-369</t>
  </si>
  <si>
    <t>Vitis x interspécifique cv. Seyve-Villard 23-400</t>
  </si>
  <si>
    <t>Vitis x interspécifique cv. Seyve-Villard 23-421</t>
  </si>
  <si>
    <t>Vitis x interspécifique cv. Seyve-Villard 23-501</t>
  </si>
  <si>
    <t>Vitis x interspécifique cv. Seyve-Villard 23-502</t>
  </si>
  <si>
    <t>Vitis x interspécifique cv. Seyve-Villard 23-504</t>
  </si>
  <si>
    <t>Vitis x interspécifique cv. Seyve-Villard 23-510</t>
  </si>
  <si>
    <t>Vitis x interspécifique cv. Seyve-Villard 23-512</t>
  </si>
  <si>
    <t>Vitis x interspécifique cv. Seyve-Villard 23-519</t>
  </si>
  <si>
    <t>Vitis x interspécifique cv. Seyve-Villard 23-545</t>
  </si>
  <si>
    <t>Vitis x interspécifique cv. Seyve-Villard 23-564</t>
  </si>
  <si>
    <t>Vitis x interspécifique cv. Seyve-Villard 23-841</t>
  </si>
  <si>
    <t>Vitis x interspécifique cv. Seyve-Villard 23-898</t>
  </si>
  <si>
    <t>Vitis x interspécifique cv. Seyve-Villard 24-280</t>
  </si>
  <si>
    <t>Vitis x interspécifique cv. Seyve-Villard 24-282</t>
  </si>
  <si>
    <t>Vitis x interspécifique cv. Seyve-Villard 24-397</t>
  </si>
  <si>
    <t>Vitis x interspécifique cv. Seyve-Villard 24-418</t>
  </si>
  <si>
    <t>Vitis x interspécifique cv. Seyve-Villard 24-520</t>
  </si>
  <si>
    <t>Vitis x interspécifique cv. Seyve-Villard 24-531</t>
  </si>
  <si>
    <t>Vitis x interspécifique cv. Seyve-Villard 24-535</t>
  </si>
  <si>
    <t>Vitis x interspécifique cv. Seyve-Villard 24-614</t>
  </si>
  <si>
    <t>Vitis x interspécifique cv. Seyve-Villard 26-166</t>
  </si>
  <si>
    <t>Vitis x interspécifique cv. Seyve-Villard 26-205</t>
  </si>
  <si>
    <t>Vitis x interspécifique cv. Seyve-Villard 26-482</t>
  </si>
  <si>
    <t>Vitis x interspécifique cv. Seyve-Villard 26-490</t>
  </si>
  <si>
    <t>Vitis x interspécifique cv. Seyve-Villard 26-924</t>
  </si>
  <si>
    <t>Vitis x interspécifique cv. Seyve-Villard 27-236</t>
  </si>
  <si>
    <t>Vitis x interspécifique cv. Seyve-Villard 27-350</t>
  </si>
  <si>
    <t>Vitis x interspécifique cv. Seyve-Villard 27-531</t>
  </si>
  <si>
    <t>Vitis x interspécifique cv. Seyve-Villard 27-91</t>
  </si>
  <si>
    <t>Vitis x interspécifique cv. Seyve-Villard 28-415</t>
  </si>
  <si>
    <t>Vitis x interspécifique cv. Seyve-Villard 28-497</t>
  </si>
  <si>
    <t>Vitis x interspécifique cv. Seyve-Villard 28-527</t>
  </si>
  <si>
    <t>Vitis x interspécifique cv. Seyve-Villard 28-86</t>
  </si>
  <si>
    <t>Vitis x interspécifique cv. Seyve-Villard 29-399</t>
  </si>
  <si>
    <t>Vitis x interspécifique cv. Seyve-Villard 30-5</t>
  </si>
  <si>
    <t>Vitis x interspécifique cv. Seyve-Villard 30-56</t>
  </si>
  <si>
    <t>Vitis x interspécifique cv. Seyve-Villard 31-358</t>
  </si>
  <si>
    <t>Vitis x interspécifique cv. Seyve-Villard 3-160</t>
  </si>
  <si>
    <t>Vitis x interspécifique cv. Seyve-Villard 33-412</t>
  </si>
  <si>
    <t>Vitis x interspécifique cv. Seyve-Villard 34-211</t>
  </si>
  <si>
    <t>Vitis x interspécifique cv. Seyve-Villard 34-273</t>
  </si>
  <si>
    <t>Vitis x interspécifique cv. Seyve-Villard 36-152</t>
  </si>
  <si>
    <t>Vitis x interspécifique cv. Seyve-Villard 39-229</t>
  </si>
  <si>
    <t>Vitis x interspécifique cv. Seyve-Villard 39-522</t>
  </si>
  <si>
    <t>Vitis x interspécifique cv. Seyve-Villard 39-639</t>
  </si>
  <si>
    <t>Vitis x interspécifique cv. Seyve-Villard 41-471</t>
  </si>
  <si>
    <t>Vitis x interspécifique cv. Seyve-Villard 43-438</t>
  </si>
  <si>
    <t>Vitis x interspécifique cv. Seyve-Villard 45-440</t>
  </si>
  <si>
    <t>Vitis x interspécifique cv. Seyve-Villard 46-215</t>
  </si>
  <si>
    <t>Vitis x interspécifique cv. Seyve-Villard 46-434</t>
  </si>
  <si>
    <t>Vitis x interspécifique cv. Seyve-Villard 5-247</t>
  </si>
  <si>
    <t>Vitis x interspécifique cv. Seyve-Villard 7-111</t>
  </si>
  <si>
    <t>Vitis x interspécifique cv. Seyve-Villard 7-135</t>
  </si>
  <si>
    <t>Vitis x interspécifique cv. Seyve-Villard 7-216</t>
  </si>
  <si>
    <t>Vitis x interspécifique cv. Seyve-Villard 7-235</t>
  </si>
  <si>
    <t>Vitis x interspécifique cv. Siegfried rèbe</t>
  </si>
  <si>
    <t>Vitis x interspécifique cv. Sioux</t>
  </si>
  <si>
    <t>Vitis x interspécifique cv. Sirius</t>
  </si>
  <si>
    <t>Vitis x interspécifique cv. Solaris</t>
  </si>
  <si>
    <t>Vitis x interspécifique cv. Solonis</t>
  </si>
  <si>
    <t>Vitis x interspécifique cv. Solonis x Goldriesling</t>
  </si>
  <si>
    <t>Vitis x interspécifique cv. Sori = 353 Geisenheim</t>
  </si>
  <si>
    <t>Vitis x interspécifique cv. SO4 = Sélection Oppenheim 4</t>
  </si>
  <si>
    <t>Vitis x interspécifique cv. Staufer</t>
  </si>
  <si>
    <t>Vitis x interspécifique cv. Sulima</t>
  </si>
  <si>
    <t>Vitis x interspécifique cv. Super 99 Richter</t>
  </si>
  <si>
    <t>Vitis x interspécifique cv. Superbe</t>
  </si>
  <si>
    <t>Vitis x interspécifique cv. Surfin blanc</t>
  </si>
  <si>
    <t>Vitis x interspécifique cv. Sylvestre Warre</t>
  </si>
  <si>
    <t>Vitis x interspécifique cv. Takao</t>
  </si>
  <si>
    <t>Vitis x interspécifique cv. Tank = Couderc 4401</t>
  </si>
  <si>
    <t>Vitis x interspécifique cv. Téhère doré = Tissier Ravat 578</t>
  </si>
  <si>
    <t>Vitis x interspécifique cv. Teleki 10 A</t>
  </si>
  <si>
    <t>Vitis x interspécifique cv. Teresa Pirovano = Pirovano 192</t>
  </si>
  <si>
    <t>Vitis x interspécifique cv. Termidoro = Pirovano 33</t>
  </si>
  <si>
    <t>Vitis x interspécifique cv. Terzi 1</t>
  </si>
  <si>
    <t>Vitis x interspécifique cv. Terzi 108-6</t>
  </si>
  <si>
    <t>Vitis x interspécifique cv. Terzi 111-4</t>
  </si>
  <si>
    <t>Vitis x interspécifique cv. Terzi 1-6</t>
  </si>
  <si>
    <t>Vitis x interspécifique cv. Terzi 6-26</t>
  </si>
  <si>
    <t>Vitis x interspécifique cv. Terzi 6-6</t>
  </si>
  <si>
    <t>Vitis x interspécifique cv. Terzi 72-6</t>
  </si>
  <si>
    <t>Vitis x interspécifique cv. Terzi 78-13</t>
  </si>
  <si>
    <t>Vitis x interspécifique cv. Tinctarel n° 2 = Galibert 182-15</t>
  </si>
  <si>
    <t>Vitis x interspécifique cv. Tinctarel N°1 = Galibert 182-14</t>
  </si>
  <si>
    <t>Vitis x interspécifique cv. Tôtmur = Baco 2-16</t>
  </si>
  <si>
    <t>Vitis x interspécifique cv. Tréblanc</t>
  </si>
  <si>
    <t>Vitis x interspécifique cv. Triomphe d'Alsace = Kühlmann 319-3</t>
  </si>
  <si>
    <t>Vitis x interspécifique cv. Union Village</t>
  </si>
  <si>
    <t>Vitis x interspécifique cv. Uvade blanche n° 1 = Galibert 221-32</t>
  </si>
  <si>
    <t>Vitis x interspécifique cv. Uvade blanche n° 3 = Galibert 223-61</t>
  </si>
  <si>
    <t>Vitis x interspécifique cv. Uvade blanche n°2 = Galibert 223-59</t>
  </si>
  <si>
    <t>Vitis x interspécifique cv. Uvade blanche n°4 = Galibert 223-77</t>
  </si>
  <si>
    <t>Vitis x interspécifique cv. Uvanère</t>
  </si>
  <si>
    <t>Vitis x interspécifique cv. Uvette blanche n°1 = Galibert 239-41</t>
  </si>
  <si>
    <t>Vitis x interspécifique cv. Uvette blanche n°2 = Galibert 239-44</t>
  </si>
  <si>
    <t>Vitis x interspécifique cv. Uvette dorée n°1 = Galibert 230-91</t>
  </si>
  <si>
    <t>Vitis x interspécifique cv. Uvette dorée n°2 = Galibert 238-70</t>
  </si>
  <si>
    <t>Vitis x interspécifique cv. Uvine</t>
  </si>
  <si>
    <t>Vitis x interspécifique cv. V 15</t>
  </si>
  <si>
    <t>Vitis x interspécifique cv. Valérien = Seyve-Villard 23-410</t>
  </si>
  <si>
    <t>Vitis x interspécifique cv. Varousset = Seyve-Villard 23-657</t>
  </si>
  <si>
    <t>Vitis x interspécifique cv. Venango</t>
  </si>
  <si>
    <t>Vitis x interspécifique cv. Vialla</t>
  </si>
  <si>
    <t>Vitis x interspécifique cv. Victoire = Kühlmann 272-1</t>
  </si>
  <si>
    <t>Vitis x interspécifique cv. Vidal 254</t>
  </si>
  <si>
    <t>Vitis x interspécifique cv. Vidal 256</t>
  </si>
  <si>
    <t>Vitis x interspécifique cv. Vidal 286</t>
  </si>
  <si>
    <t>Vitis x interspécifique cv. Villard blanc = Seyve-Villard 12-375</t>
  </si>
  <si>
    <t>Vitis x interspécifique cv. Villard noir = Seyve-Villard 18-315</t>
  </si>
  <si>
    <t>Vitis x interspécifique cv. vinifera x aestivalis</t>
  </si>
  <si>
    <t>Vitis x interspécifique cv. vinifera x aestivalis x labrusca</t>
  </si>
  <si>
    <t>Vitis x interspécifique cv. vinifera x berlandieri</t>
  </si>
  <si>
    <t>Vitis x interspécifique cv. vinifera x californica</t>
  </si>
  <si>
    <t>Vitis x interspécifique cv. Vosgien</t>
  </si>
  <si>
    <t>Vitis x interspécifique cv. Wilhelma 1</t>
  </si>
  <si>
    <t>Vitis x interspécifique cv. Wilson grape = Kühlmann 252-1</t>
  </si>
  <si>
    <t>Vitis x interspécifique cv. 10-11</t>
  </si>
  <si>
    <t>Vitis x interspécifique cv. 101-14 MGT = Millardet et de Grasset 101-14</t>
  </si>
  <si>
    <t>Vitis x interspécifique cv. 102 EM</t>
  </si>
  <si>
    <t>Vitis x interspécifique cv. 10-5</t>
  </si>
  <si>
    <t>Vitis x interspécifique cv. 110 R = Richter 110</t>
  </si>
  <si>
    <t>Vitis x interspécifique cv. 1103 Pa = Paulsen 1103</t>
  </si>
  <si>
    <t>Vitis x interspécifique cv. 125 AA = Kober 125 AA</t>
  </si>
  <si>
    <t>Vitis x interspécifique cv. 136 EM</t>
  </si>
  <si>
    <t>Vitis x interspécifique cv. 140 Ru = Ruggeri 140</t>
  </si>
  <si>
    <t>Vitis x interspécifique cv. 142 EM</t>
  </si>
  <si>
    <t>Vitis x interspécifique cv. 1447 Pa = Paulsen 1447</t>
  </si>
  <si>
    <t>Vitis x interspécifique cv. 161-49 C = Couderc 161-49</t>
  </si>
  <si>
    <t>Vitis x interspécifique cv. 1616 C = Couderc 1616</t>
  </si>
  <si>
    <t>Vitis x interspécifique cv. 196-17 Cl = Castel 196-17</t>
  </si>
  <si>
    <t>Vitis x interspécifique cv. 216-3 Cl = Castel 216-3</t>
  </si>
  <si>
    <t>Vitis x interspécifique cv. 33 EM</t>
  </si>
  <si>
    <t>Vitis x interspécifique cv. 3309 C = Couderc 3309</t>
  </si>
  <si>
    <t>Vitis x interspécifique cv. 333 EM = 333 Ecole de Montpellier</t>
  </si>
  <si>
    <t>Vitis x interspécifique cv. 34 EM = 34 Ecole de Montpellier</t>
  </si>
  <si>
    <t>Vitis x interspécifique cv. 4010 Cl = Castel 4010</t>
  </si>
  <si>
    <t>Vitis x interspécifique cv. 41 B = Millardet et de Grasset 41 B</t>
  </si>
  <si>
    <t>Vitis x interspécifique cv. 420 A = Millardet et de Grasset 420 A</t>
  </si>
  <si>
    <t>Vitis x interspécifique cv. 420 Foex</t>
  </si>
  <si>
    <t>Vitis x interspécifique cv. 44-53 Ma = Malègue 44-53</t>
  </si>
  <si>
    <t>Vitis x interspécifique cv. 45 EM</t>
  </si>
  <si>
    <t>Vitis x interspécifique cv. 5 BB = Téléki sélection Kober 5 BB</t>
  </si>
  <si>
    <t>Vitis x interspécifique cv. 5 BB Evin</t>
  </si>
  <si>
    <t>Vitis x interspécifique cv. 5 BB Grimaud</t>
  </si>
  <si>
    <t>Vitis x interspécifique cv. 5 BB Tramier 2</t>
  </si>
  <si>
    <t>Vitis x interspécifique cv. 5 BB Trilobé</t>
  </si>
  <si>
    <t>Vitis x interspécifique cv. 5 C = Téléki 5 C</t>
  </si>
  <si>
    <t>Vitis x interspécifique cv. 503 Barr</t>
  </si>
  <si>
    <t>Vitis x interspécifique cv. 59 B</t>
  </si>
  <si>
    <t>Vitis x interspécifique cv. 6-23</t>
  </si>
  <si>
    <t>Vitis x interspécifique cv. 7-13</t>
  </si>
  <si>
    <t>Vitis x interspécifique cv. 7-16</t>
  </si>
  <si>
    <t>Vitis x interspécifique cv. 8 B = Téléki B</t>
  </si>
  <si>
    <t>Vitis x interspécifique cv. 8 B clone A</t>
  </si>
  <si>
    <t>Vitis x interspécifique cv. 8 B Faux</t>
  </si>
  <si>
    <t>Vitis x interspécifique cv. 8 B Femelle</t>
  </si>
  <si>
    <t>Vitis x interspécifique cv. 8 B Ferrari</t>
  </si>
  <si>
    <t>Vitis x interspécifique cv. 8-5</t>
  </si>
  <si>
    <t>Vitis x interspécifique cv. 99 R = Richter 99</t>
  </si>
  <si>
    <t>Vitis yanshanensis J.X.Chen</t>
  </si>
  <si>
    <t>Zea L.</t>
  </si>
  <si>
    <t>Zea mays L.</t>
  </si>
  <si>
    <t>Zinnia elegans</t>
  </si>
  <si>
    <t>2013-2014</t>
  </si>
  <si>
    <t>Dublianski</t>
  </si>
  <si>
    <t>Gaspard</t>
  </si>
  <si>
    <t>Gesunder</t>
  </si>
  <si>
    <t>Gorczanski</t>
  </si>
  <si>
    <t>Lembkes</t>
  </si>
  <si>
    <t>Major</t>
  </si>
  <si>
    <t>Markus</t>
  </si>
  <si>
    <t>Matador</t>
  </si>
  <si>
    <t>Moldavia</t>
  </si>
  <si>
    <t>Oleski</t>
  </si>
  <si>
    <t>Orléans</t>
  </si>
  <si>
    <t>Polux</t>
  </si>
  <si>
    <t>Pradel</t>
  </si>
  <si>
    <t>Prerouska</t>
  </si>
  <si>
    <t>Ramses</t>
  </si>
  <si>
    <t>Rapol</t>
  </si>
  <si>
    <t>Rochechouard</t>
  </si>
  <si>
    <t>Sinus</t>
  </si>
  <si>
    <t>Titus</t>
  </si>
  <si>
    <t>Tonus</t>
  </si>
  <si>
    <t>Victor</t>
  </si>
  <si>
    <t>Zeruca</t>
  </si>
  <si>
    <t>Askari</t>
  </si>
  <si>
    <t>Aztec</t>
  </si>
  <si>
    <t>Belinda</t>
  </si>
  <si>
    <t>Beryl</t>
  </si>
  <si>
    <t>Brink</t>
  </si>
  <si>
    <t>Constable</t>
  </si>
  <si>
    <t>Doral</t>
  </si>
  <si>
    <t>Emil</t>
  </si>
  <si>
    <t>Expander</t>
  </si>
  <si>
    <t>Janpol</t>
  </si>
  <si>
    <t>Korina</t>
  </si>
  <si>
    <t>Kurander</t>
  </si>
  <si>
    <t>Lesira</t>
  </si>
  <si>
    <t>Ligora</t>
  </si>
  <si>
    <t>Primor</t>
  </si>
  <si>
    <t>Rafal</t>
  </si>
  <si>
    <t>Start</t>
  </si>
  <si>
    <t>Valdor</t>
  </si>
  <si>
    <t>Adriana</t>
  </si>
  <si>
    <t>Akamar</t>
  </si>
  <si>
    <t>Alesi</t>
  </si>
  <si>
    <t>Aligator</t>
  </si>
  <si>
    <t>Amber</t>
  </si>
  <si>
    <t>Ariana</t>
  </si>
  <si>
    <t>Atlantic</t>
  </si>
  <si>
    <t>Aurum</t>
  </si>
  <si>
    <t>Bellini</t>
  </si>
  <si>
    <t>Boston</t>
  </si>
  <si>
    <t>Caddy</t>
  </si>
  <si>
    <t>Campala</t>
  </si>
  <si>
    <t>Canberra</t>
  </si>
  <si>
    <t>Cancan</t>
  </si>
  <si>
    <t>Capitol</t>
  </si>
  <si>
    <t>Capricorn</t>
  </si>
  <si>
    <t>CAPVERT</t>
  </si>
  <si>
    <t>Ceres</t>
  </si>
  <si>
    <t>Chelsi</t>
  </si>
  <si>
    <t>Cheops</t>
  </si>
  <si>
    <t>Courage</t>
  </si>
  <si>
    <t>Darmor</t>
  </si>
  <si>
    <t>Doublol</t>
  </si>
  <si>
    <t>Ecrin</t>
  </si>
  <si>
    <t>Eleonore</t>
  </si>
  <si>
    <t>Escort</t>
  </si>
  <si>
    <t>Evri</t>
  </si>
  <si>
    <t>Frederic</t>
  </si>
  <si>
    <t>Goeland</t>
  </si>
  <si>
    <t>Grizzly</t>
  </si>
  <si>
    <t>Ibex</t>
  </si>
  <si>
    <t>Idol</t>
  </si>
  <si>
    <t>Inca</t>
  </si>
  <si>
    <t>Jetton</t>
  </si>
  <si>
    <t>Kadore</t>
  </si>
  <si>
    <t>Kosto</t>
  </si>
  <si>
    <t>Lewis</t>
  </si>
  <si>
    <t>Liberator</t>
  </si>
  <si>
    <t>Licorne</t>
  </si>
  <si>
    <t>Lioness</t>
  </si>
  <si>
    <t>Liporta</t>
  </si>
  <si>
    <t>Lirabon</t>
  </si>
  <si>
    <t>Lirajet</t>
  </si>
  <si>
    <t>Madrigal</t>
  </si>
  <si>
    <t>Makila</t>
  </si>
  <si>
    <t>Mar</t>
  </si>
  <si>
    <t>Milena</t>
  </si>
  <si>
    <t>Montego</t>
  </si>
  <si>
    <t>Navajo</t>
  </si>
  <si>
    <t>Oase</t>
  </si>
  <si>
    <t>Olymp</t>
  </si>
  <si>
    <t>PAYROL</t>
  </si>
  <si>
    <t>Pollen</t>
  </si>
  <si>
    <t>Potomac</t>
  </si>
  <si>
    <t>Prince</t>
  </si>
  <si>
    <t>Recital</t>
  </si>
  <si>
    <t>Remy</t>
  </si>
  <si>
    <t>Rocket</t>
  </si>
  <si>
    <t>Roxet</t>
  </si>
  <si>
    <t>Sahara</t>
  </si>
  <si>
    <t>Salomont</t>
  </si>
  <si>
    <t>Shogun</t>
  </si>
  <si>
    <t>TAROX</t>
  </si>
  <si>
    <t>Tenor</t>
  </si>
  <si>
    <t>TOR</t>
  </si>
  <si>
    <t>Tradition</t>
  </si>
  <si>
    <t>Twister</t>
  </si>
  <si>
    <t>Zorro</t>
  </si>
  <si>
    <t>Kromerska1-DS1</t>
  </si>
  <si>
    <t>Madora2-DS3</t>
  </si>
  <si>
    <t>Madora3-DS1</t>
  </si>
  <si>
    <t>Olimpiade2-DS2</t>
  </si>
  <si>
    <t>Regal2-DS1</t>
  </si>
  <si>
    <t>Sarepta</t>
  </si>
  <si>
    <t>Bristol</t>
  </si>
  <si>
    <t>Tosca</t>
  </si>
  <si>
    <t>Aviso</t>
  </si>
  <si>
    <t>Jupiter</t>
  </si>
  <si>
    <t>Quinta</t>
  </si>
  <si>
    <t>ESASTRID</t>
  </si>
  <si>
    <t>Mohican</t>
  </si>
  <si>
    <t>ESC1132</t>
  </si>
  <si>
    <t>ADRIANA</t>
  </si>
  <si>
    <t>AMILLIA</t>
  </si>
  <si>
    <t>ANGELINA</t>
  </si>
  <si>
    <t>COOPER</t>
  </si>
  <si>
    <t>LADOGA</t>
  </si>
  <si>
    <t>MANITOBA</t>
  </si>
  <si>
    <t>OKAPI</t>
  </si>
  <si>
    <t>ONTARIO</t>
  </si>
  <si>
    <t>PAMELA</t>
  </si>
  <si>
    <t>TASMAN</t>
  </si>
  <si>
    <t>Maccarena</t>
  </si>
  <si>
    <t>RAGT-01</t>
  </si>
  <si>
    <t>RAGT-02</t>
  </si>
  <si>
    <t>RAGT-03</t>
  </si>
  <si>
    <t>RAGT-04</t>
  </si>
  <si>
    <t>RAGT-05</t>
  </si>
  <si>
    <t>RAGT-06</t>
  </si>
  <si>
    <t>RAGT-07</t>
  </si>
  <si>
    <t>RAGT-08</t>
  </si>
  <si>
    <t>RAGT-09</t>
  </si>
  <si>
    <t>RAGT-10</t>
  </si>
  <si>
    <t>SYN01</t>
  </si>
  <si>
    <t>SYN02</t>
  </si>
  <si>
    <t>SYN03</t>
  </si>
  <si>
    <t>SYN04</t>
  </si>
  <si>
    <t>SYN05</t>
  </si>
  <si>
    <t>SYN06</t>
  </si>
  <si>
    <t>SYN07</t>
  </si>
  <si>
    <t>SYN08</t>
  </si>
  <si>
    <t>SYN09</t>
  </si>
  <si>
    <t>SYN10</t>
  </si>
  <si>
    <t>RAGT-13</t>
  </si>
  <si>
    <t>RAGT-14</t>
  </si>
  <si>
    <t>RAGT-15</t>
  </si>
  <si>
    <t>SYNG11</t>
  </si>
  <si>
    <t>SYNG12</t>
  </si>
  <si>
    <t>RAPSO_002</t>
  </si>
  <si>
    <t>RAPSO_006</t>
  </si>
  <si>
    <t>RAPSO_008</t>
  </si>
  <si>
    <t>RAPSO_009</t>
  </si>
  <si>
    <t>RAPSO_011</t>
  </si>
  <si>
    <t>RAPSO_013</t>
  </si>
  <si>
    <t>RAPSO_014</t>
  </si>
  <si>
    <t>RAPSO_015</t>
  </si>
  <si>
    <t>RAPSO_017</t>
  </si>
  <si>
    <t>RAPSO_023</t>
  </si>
  <si>
    <t>RAPSO_027</t>
  </si>
  <si>
    <t>RAPSO_029</t>
  </si>
  <si>
    <t>RAPSO_030</t>
  </si>
  <si>
    <t>RAPSO_033</t>
  </si>
  <si>
    <t>RAPSO_035</t>
  </si>
  <si>
    <t>RAPSO_038</t>
  </si>
  <si>
    <t>RAPSO_040</t>
  </si>
  <si>
    <t>RAPSO_041</t>
  </si>
  <si>
    <t>RAPSO_043</t>
  </si>
  <si>
    <t>RAPSO_045</t>
  </si>
  <si>
    <t>RAPSO_046</t>
  </si>
  <si>
    <t>RAPSO_050</t>
  </si>
  <si>
    <t>RAPSO_051</t>
  </si>
  <si>
    <t>RAPSO_053</t>
  </si>
  <si>
    <t>RAPSO_054</t>
  </si>
  <si>
    <t>RAPSO_057</t>
  </si>
  <si>
    <t>RAPSO_062</t>
  </si>
  <si>
    <t>RAPSO_063</t>
  </si>
  <si>
    <t>RAPSO_064</t>
  </si>
  <si>
    <t>RAPSO_067</t>
  </si>
  <si>
    <t>RAPSO_068</t>
  </si>
  <si>
    <t>RAPSO_070</t>
  </si>
  <si>
    <t>RAPSO_072</t>
  </si>
  <si>
    <t>RAPSO_073</t>
  </si>
  <si>
    <t>RAPSO_075</t>
  </si>
  <si>
    <t>RAPSO_076</t>
  </si>
  <si>
    <t>RAPSO_077</t>
  </si>
  <si>
    <t>RAPSO_080</t>
  </si>
  <si>
    <t>RAPSO_081</t>
  </si>
  <si>
    <t>RAPSO_084</t>
  </si>
  <si>
    <t>RAPSO_085</t>
  </si>
  <si>
    <t>RAPSO_091</t>
  </si>
  <si>
    <t>RAPSO_098</t>
  </si>
  <si>
    <t>RAPSO_099</t>
  </si>
  <si>
    <t>RAPSO_102</t>
  </si>
  <si>
    <t>RAPSO_105</t>
  </si>
  <si>
    <t>RAPSO_108</t>
  </si>
  <si>
    <t>RAPSO_112</t>
  </si>
  <si>
    <t>RAPSO_115</t>
  </si>
  <si>
    <t>RAPSO_122</t>
  </si>
  <si>
    <t>RAPSO_124</t>
  </si>
  <si>
    <t>RAPSO_125</t>
  </si>
  <si>
    <t>RAPSO_128</t>
  </si>
  <si>
    <t>RAPSO_130</t>
  </si>
  <si>
    <t>RAPSO_131</t>
  </si>
  <si>
    <t>RAPSO_132</t>
  </si>
  <si>
    <t>RAPSO_135</t>
  </si>
  <si>
    <t>RAPSO_138</t>
  </si>
  <si>
    <t>RAPSO_139</t>
  </si>
  <si>
    <t>RAPSO_140</t>
  </si>
  <si>
    <t>RAPSO_144</t>
  </si>
  <si>
    <t>RAPSO_146</t>
  </si>
  <si>
    <t>RAPSO_148</t>
  </si>
  <si>
    <t>RAPSO_152</t>
  </si>
  <si>
    <t>RAPSO_154</t>
  </si>
  <si>
    <t>RAPSO_155</t>
  </si>
  <si>
    <t>RAPSO_156</t>
  </si>
  <si>
    <t>RAPSO_158</t>
  </si>
  <si>
    <t>RAPSO_160</t>
  </si>
  <si>
    <t>RAPSO_162</t>
  </si>
  <si>
    <t>RAPSO_165</t>
  </si>
  <si>
    <t>RAPSO_167</t>
  </si>
  <si>
    <t>RAPSO_168</t>
  </si>
  <si>
    <t>RAPSO_171</t>
  </si>
  <si>
    <t>RAPSO_174</t>
  </si>
  <si>
    <t>RAPSO_175</t>
  </si>
  <si>
    <t>RAPSO_176</t>
  </si>
  <si>
    <t>RAPSO_178</t>
  </si>
  <si>
    <t>RAPSO_180</t>
  </si>
  <si>
    <t>RAPSO_181</t>
  </si>
  <si>
    <t>RAPSO_187</t>
  </si>
  <si>
    <t>RAPSO_190</t>
  </si>
  <si>
    <t>RAPSO_193</t>
  </si>
  <si>
    <t>RAPSO_199</t>
  </si>
  <si>
    <t>RAPSO_202</t>
  </si>
  <si>
    <t>RAPSO_203</t>
  </si>
  <si>
    <t>RAPSO_207</t>
  </si>
  <si>
    <t>RAPSO_208</t>
  </si>
  <si>
    <t>RAPSO_209</t>
  </si>
  <si>
    <t>RAPSO_213</t>
  </si>
  <si>
    <t>RAPSO_215</t>
  </si>
  <si>
    <t>RAPSO_216</t>
  </si>
  <si>
    <t>RAPSO_219</t>
  </si>
  <si>
    <t>RAPSO_220</t>
  </si>
  <si>
    <t>RAPSO_222</t>
  </si>
  <si>
    <t>RAPSO_226</t>
  </si>
  <si>
    <t>RAPSO_227</t>
  </si>
  <si>
    <t>RAPSO_230</t>
  </si>
  <si>
    <t>RAPSO_231</t>
  </si>
  <si>
    <t>RAPSO_232</t>
  </si>
  <si>
    <t>RAPSO_234</t>
  </si>
  <si>
    <t>RAPSO_235</t>
  </si>
  <si>
    <t>RAPSO_238</t>
  </si>
  <si>
    <t>RAPSO_243</t>
  </si>
  <si>
    <t>RAPSO_245</t>
  </si>
  <si>
    <t>RAPSO_246</t>
  </si>
  <si>
    <t>RAPSO_248</t>
  </si>
  <si>
    <t>RAPSO_251</t>
  </si>
  <si>
    <t>RAPSO_253</t>
  </si>
  <si>
    <t>RAPSO_254</t>
  </si>
  <si>
    <t>RAPSO_256</t>
  </si>
  <si>
    <t>RAPSO_258</t>
  </si>
  <si>
    <t>RAPSO_259</t>
  </si>
  <si>
    <t>RAPSO_260</t>
  </si>
  <si>
    <t>RAPSO_261</t>
  </si>
  <si>
    <t>RAPSO_263</t>
  </si>
  <si>
    <t>RAPSO_265</t>
  </si>
  <si>
    <t>RAPSO_266</t>
  </si>
  <si>
    <t>RAPSO_267</t>
  </si>
  <si>
    <t>RAPSO_270</t>
  </si>
  <si>
    <t>RAPSO_271</t>
  </si>
  <si>
    <t>RAPSO_273</t>
  </si>
  <si>
    <t>RAPSO_277</t>
  </si>
  <si>
    <t>RAPSO_278</t>
  </si>
  <si>
    <t>RAPSO_281</t>
  </si>
  <si>
    <t>RAPSO_282</t>
  </si>
  <si>
    <t>RAPSO_292</t>
  </si>
  <si>
    <t>RAPSO_335</t>
  </si>
  <si>
    <t>RAPSO_342</t>
  </si>
  <si>
    <t>RAPSO_343</t>
  </si>
  <si>
    <t>RAPSO_349</t>
  </si>
  <si>
    <t>RAPSO_356</t>
  </si>
  <si>
    <t>RAPSO_363</t>
  </si>
  <si>
    <t>RAPSO_368</t>
  </si>
  <si>
    <t>RAPSO_375</t>
  </si>
  <si>
    <t>RAPSO_382</t>
  </si>
  <si>
    <t>RAPSO_387</t>
  </si>
  <si>
    <t>RAPSO_395</t>
  </si>
  <si>
    <t>RAPSO_402</t>
  </si>
  <si>
    <t>RAPSO_406</t>
  </si>
  <si>
    <t>RAPSO_411</t>
  </si>
  <si>
    <t>RAPSO_415</t>
  </si>
  <si>
    <t>RAPSO_418</t>
  </si>
  <si>
    <t>RAPSO_419</t>
  </si>
  <si>
    <t>RAPSO_430</t>
  </si>
  <si>
    <t>RAPSO_437</t>
  </si>
  <si>
    <t>RAPSO_456</t>
  </si>
  <si>
    <t>BRA_005</t>
  </si>
  <si>
    <t>BRA_006</t>
  </si>
  <si>
    <t>BRA_007</t>
  </si>
  <si>
    <t>BRA_008</t>
  </si>
  <si>
    <t>BRA_009</t>
  </si>
  <si>
    <t>BRA_010</t>
  </si>
  <si>
    <t>BRA_011</t>
  </si>
  <si>
    <t>MP001</t>
  </si>
  <si>
    <t>MP003</t>
  </si>
  <si>
    <t>RAPSO_294</t>
  </si>
  <si>
    <t>RAPSO_295</t>
  </si>
  <si>
    <t>RAPSO_296</t>
  </si>
  <si>
    <t>RAPSO_297</t>
  </si>
  <si>
    <t>RAPSO_298</t>
  </si>
  <si>
    <t>RAPSO_299</t>
  </si>
  <si>
    <t>RAPSO_300</t>
  </si>
  <si>
    <t>RAPSO_301</t>
  </si>
  <si>
    <t>RAPSO_302</t>
  </si>
  <si>
    <t>RAPSO_303</t>
  </si>
  <si>
    <t>RAPSO_304</t>
  </si>
  <si>
    <t>RAPSO_305</t>
  </si>
  <si>
    <t>RAPSO_306</t>
  </si>
  <si>
    <t>RAPSO_307</t>
  </si>
  <si>
    <t>RAPSO_308</t>
  </si>
  <si>
    <t>RAPSO_309</t>
  </si>
  <si>
    <t>RAPSO_310</t>
  </si>
  <si>
    <t>RAPSO_311</t>
  </si>
  <si>
    <t>RAPSO_312</t>
  </si>
  <si>
    <t>RAPSO_313</t>
  </si>
  <si>
    <t>RAPSO_314</t>
  </si>
  <si>
    <t>RAPSO_315</t>
  </si>
  <si>
    <t>RAPSO_316</t>
  </si>
  <si>
    <t>RAPSO_317</t>
  </si>
  <si>
    <t>RAPSO_318</t>
  </si>
  <si>
    <t>RAPSO_319</t>
  </si>
  <si>
    <t>RAPSO_320</t>
  </si>
  <si>
    <t>RAPSO_321</t>
  </si>
  <si>
    <t>RAPSO_322</t>
  </si>
  <si>
    <t>RAPSO_323</t>
  </si>
  <si>
    <t>RAPSO_324</t>
  </si>
  <si>
    <t>RAPSO_325</t>
  </si>
  <si>
    <t>RAPSO_326</t>
  </si>
  <si>
    <t>RAPSO_327</t>
  </si>
  <si>
    <t>RAPSO_328</t>
  </si>
  <si>
    <t>RAPSO_329</t>
  </si>
  <si>
    <t>RAPSO_330</t>
  </si>
  <si>
    <t>RAPSO_331</t>
  </si>
  <si>
    <t>RAPSO_332</t>
  </si>
  <si>
    <t>RAPSO_333</t>
  </si>
  <si>
    <t>RAPSO_334</t>
  </si>
  <si>
    <t>RAPSO_470</t>
  </si>
  <si>
    <t>RAPSO_471</t>
  </si>
  <si>
    <t>RAPSO_472</t>
  </si>
  <si>
    <t>RAPSO_473</t>
  </si>
  <si>
    <t>RAPSO_476</t>
  </si>
  <si>
    <t>RAPSO_477</t>
  </si>
  <si>
    <t>RAPSO_478</t>
  </si>
  <si>
    <t>RAPSO_479</t>
  </si>
  <si>
    <t>RAPSO_480</t>
  </si>
  <si>
    <t>Alsace 1360</t>
  </si>
  <si>
    <t>Fertodi elit</t>
  </si>
  <si>
    <t>Goldgelber Zarter Butter</t>
  </si>
  <si>
    <t>Gross Luzewiter</t>
  </si>
  <si>
    <t>Lembke</t>
  </si>
  <si>
    <t>Olquell Gulzover</t>
  </si>
  <si>
    <t>QuedLinburger Platzfester</t>
  </si>
  <si>
    <t>Bienvenu - R33</t>
  </si>
  <si>
    <t>Wira-INRA</t>
  </si>
  <si>
    <t>Bolko - POH 285</t>
  </si>
  <si>
    <t>NSL 96-25</t>
  </si>
  <si>
    <t>SW Gospel</t>
  </si>
  <si>
    <t xml:space="preserve">MANSHOLTS </t>
  </si>
  <si>
    <t xml:space="preserve">BLAGODATNYI </t>
  </si>
  <si>
    <t xml:space="preserve">CETMEKI </t>
  </si>
  <si>
    <t xml:space="preserve">DEBRUDER DIPPES </t>
  </si>
  <si>
    <t xml:space="preserve">EZSTERHAZY N.ST </t>
  </si>
  <si>
    <t xml:space="preserve">HOCHZUCHT REPOLE </t>
  </si>
  <si>
    <t xml:space="preserve">KOMBI </t>
  </si>
  <si>
    <t xml:space="preserve">KORMOVOI SKRIVERSKYI </t>
  </si>
  <si>
    <t xml:space="preserve">LJUBLANA </t>
  </si>
  <si>
    <t xml:space="preserve">MYTNINSKYI-2 </t>
  </si>
  <si>
    <t xml:space="preserve">NIEDERARNBACHER </t>
  </si>
  <si>
    <t xml:space="preserve">NOVOCHARTORYISKYI </t>
  </si>
  <si>
    <t xml:space="preserve">RANGI </t>
  </si>
  <si>
    <t xml:space="preserve">SNITYNSKYI </t>
  </si>
  <si>
    <t xml:space="preserve">KRASNODARSKYI </t>
  </si>
  <si>
    <t>ES-AGATHA</t>
  </si>
  <si>
    <t>ES-ALEGRIA</t>
  </si>
  <si>
    <t>ES-ALIENOR</t>
  </si>
  <si>
    <t>ES-CENTAURE</t>
  </si>
  <si>
    <t>ES-CUBIC</t>
  </si>
  <si>
    <t>ES-ANTONIA</t>
  </si>
  <si>
    <t>ES-BRAVA</t>
  </si>
  <si>
    <t>ES-VENUS</t>
  </si>
  <si>
    <t>ES-VIPER</t>
  </si>
  <si>
    <t>RAPSO_Compl_01 (euralis)</t>
  </si>
  <si>
    <t>RAPSO_Compl_02 (euralis)</t>
  </si>
  <si>
    <t>LE 1</t>
  </si>
  <si>
    <t>LE 2</t>
  </si>
  <si>
    <t>ALPAGA</t>
  </si>
  <si>
    <t>Fertilisation limitante (Dose)</t>
  </si>
  <si>
    <t>Fertilisation optimale (Dose)</t>
  </si>
  <si>
    <t>Prot_Yield</t>
  </si>
  <si>
    <t>Oil_Yield</t>
  </si>
  <si>
    <t>CROP</t>
  </si>
  <si>
    <t>Crop</t>
  </si>
  <si>
    <t>Mondonville</t>
  </si>
  <si>
    <t>FRA_31_MOND</t>
  </si>
  <si>
    <t>Seed_Impurities</t>
  </si>
  <si>
    <t>Glucosinolates</t>
  </si>
  <si>
    <t>panel_biogemma14</t>
  </si>
  <si>
    <t>P14BGA</t>
  </si>
  <si>
    <t>BGA</t>
  </si>
  <si>
    <t>Alsace_1360</t>
  </si>
  <si>
    <t>Fertodi_elit</t>
  </si>
  <si>
    <t>Goldgelber_Zarter_Butter</t>
  </si>
  <si>
    <t>Gross_Luzewiter</t>
  </si>
  <si>
    <t>Nain_de_Hambourg</t>
  </si>
  <si>
    <t>Olquell_Gulzover</t>
  </si>
  <si>
    <t>QuedLinburger_Platzfester</t>
  </si>
  <si>
    <t>Bienvenu_-_R33</t>
  </si>
  <si>
    <t>Bolko_-_POH_285</t>
  </si>
  <si>
    <t>NSL_96-25</t>
  </si>
  <si>
    <t>SW_Gospel</t>
  </si>
  <si>
    <t>RAPSO_Compl_01_(euralis)</t>
  </si>
  <si>
    <t>RAPSO_Compl_02_(euralis)</t>
  </si>
  <si>
    <t>LE_1</t>
  </si>
  <si>
    <t>LE_2</t>
  </si>
  <si>
    <t>KRASNODARSKYI</t>
  </si>
  <si>
    <t>RANGI</t>
  </si>
  <si>
    <t>NOVOCHARTORYISKYI</t>
  </si>
  <si>
    <t>MYTNINSKYI-2</t>
  </si>
  <si>
    <t>LJUBLANA</t>
  </si>
  <si>
    <t>KORMOVOI_SKRIVERSKYI</t>
  </si>
  <si>
    <t>KOMBI</t>
  </si>
  <si>
    <t>HOCHZUCHT_REPOLE</t>
  </si>
  <si>
    <t>EZSTERHAZY_N.ST</t>
  </si>
  <si>
    <t>DEBRUDER_DIPPES</t>
  </si>
  <si>
    <t>CETMEKI</t>
  </si>
  <si>
    <t>BLAGODATNYI</t>
  </si>
  <si>
    <t>MANSHOLTS</t>
  </si>
  <si>
    <t>temoin_1</t>
  </si>
  <si>
    <t>temoin_2</t>
  </si>
  <si>
    <t>NIEDERARNBACHER</t>
  </si>
  <si>
    <t>SNITYNSKYI</t>
  </si>
  <si>
    <t>PLANTDENS</t>
  </si>
  <si>
    <t>Plant_Density</t>
  </si>
  <si>
    <t xml:space="preserve">Number of viable plants counted per surface unit. </t>
  </si>
  <si>
    <t>Plant nb.m-²</t>
  </si>
  <si>
    <t>Count the number of plants on linear sections defined in each sowing line at the exception of the border lines.  PLANTDENS = (Total nb of plants counted) / (Ls x Nc x E). Where Ls = length of a linear section in m (1 m or more when plant density is variable within a plot),                                                                                                                    Nc = nb of sowing lines chosen for plant counting, E = inter-line spacing.</t>
  </si>
  <si>
    <t>REGSTAND</t>
  </si>
  <si>
    <t>Regularity_Stand</t>
  </si>
  <si>
    <t>Scoring of the regularity of the plant stand.</t>
  </si>
  <si>
    <t>Note</t>
  </si>
  <si>
    <t>Visual notations (scale 0 - 9). 0 = NA, 1 = high irregular, 3 = irregular, 5 = moderately regular, 7 = regular, 9 = perfectly regular.</t>
  </si>
  <si>
    <t>PLOTHARVEST</t>
  </si>
  <si>
    <t>Plot_Harvest_Weight</t>
  </si>
  <si>
    <t>Weight (kg) of raw materials harvested by plot.</t>
  </si>
  <si>
    <t xml:space="preserve">A measurement of the amount (in kg) of raw material that was harvested per plot as determined by on-board weighing on the harvester. </t>
  </si>
  <si>
    <t>HI</t>
  </si>
  <si>
    <t>Harvest_Index</t>
  </si>
  <si>
    <t>Proportion of seed biomass respect to the total plant biomass (including shoot and root).</t>
  </si>
  <si>
    <t>Collect plants over 1 m2, separate the plants into 3 fractions as follows: shoots + pods, seeds and roots. Samples are dried at 70°C for 48 hrs and then immediately weighted to get the dry weight of each fraction.                                                                                                        HI = (Seed DW / Total DW ) x 100</t>
  </si>
  <si>
    <t>NHI</t>
  </si>
  <si>
    <t>Nitrogen_Harvest_Index</t>
  </si>
  <si>
    <t>Proportion of N accumulated in seed to N accumulated in the total plant (including shoot and root).</t>
  </si>
  <si>
    <t>Samples from HI assay are analysed for N_%DW in the different fractions.                                                                                                                               NHI = (N_%DW_Seed / N_%DW_Plant) x 100</t>
  </si>
  <si>
    <t>Oil yield per ha.</t>
  </si>
  <si>
    <t>q.ha-1</t>
  </si>
  <si>
    <t xml:space="preserve"> OY = (O x SY) </t>
  </si>
  <si>
    <t>PLOTSURF</t>
  </si>
  <si>
    <t>Plot_Surface</t>
  </si>
  <si>
    <t>Surface of the elementary experimental plot.</t>
  </si>
  <si>
    <t>Surface is determined by the experimental design.                                                              PLOTSURF = L x N x E. Where L = length of the sowing line, N = Nb of sowing lines, E = inter-line spacing.</t>
  </si>
  <si>
    <t>PODSHAT</t>
  </si>
  <si>
    <t>Pod_shattering</t>
  </si>
  <si>
    <t>Scoring of pods open just before harvest.</t>
  </si>
  <si>
    <t>Visual notations (scale 0 - 9). 0 = NA, 1 = high PODSHAT &gt; 90%, 3 = 60-90%, 5 = 30-60%, 7 = 10-30%, 9 = &lt; 10%.</t>
  </si>
  <si>
    <t>Protein yield per ha.</t>
  </si>
  <si>
    <t xml:space="preserve"> PrY = (Pr x SY) </t>
  </si>
  <si>
    <t>Seed_Nb_Surface</t>
  </si>
  <si>
    <t>Number of seeds per square meter.</t>
  </si>
  <si>
    <t>Seed nb.m-²</t>
  </si>
  <si>
    <t xml:space="preserve"> SN = (SY / TSW) x 10000</t>
  </si>
  <si>
    <t xml:space="preserve">Seed_Yield_q/ha  </t>
  </si>
  <si>
    <t>Weight (q) of seeds that was harvested per ha calculated with moisture and impurity contents at 0% each.</t>
  </si>
  <si>
    <t xml:space="preserve"> SY = (PLOTHARVEST / PLOTSURF) x (((100 - SEEDH2O_HARV or LAB)/100) x ((100 - SEEDIMPUR)/100)) x 100</t>
  </si>
  <si>
    <t>SYNORM</t>
  </si>
  <si>
    <t xml:space="preserve">Seed_Yield_Normalized_q/ha  </t>
  </si>
  <si>
    <t>Weight (q) of seeds that was harvested per ha with moisture and impurity contents standardized with commercial values at 9% (SEEDH2ONorm) and 2% (SEEDIMPURNorm) respectively.</t>
  </si>
  <si>
    <t xml:space="preserve"> SYNORM = (PLOTHARVEST / PLOTSURF) x (((100 - SEEDH2O_HARV or LAB)/(100 - SEEDH2ONorm)) x ((100 - SEEDIMPUR)/(100 - SEEDIMPURNorm))) x 100</t>
  </si>
  <si>
    <t>1000_Seed_Weight</t>
  </si>
  <si>
    <t>Determination of the weight of 1000 well-developed mature and dry seeds after harvest.</t>
  </si>
  <si>
    <t>Plant_Size</t>
  </si>
  <si>
    <t>Height of plants in an experimental plot.</t>
  </si>
  <si>
    <t xml:space="preserve">Height is measured from ground to the top of the plants using a dipstick graduated in cm.                                                              </t>
  </si>
  <si>
    <t>GRWSTG_C1</t>
  </si>
  <si>
    <t>Growth_Stage_C1</t>
  </si>
  <si>
    <t>Bolting date when the first inter-node appears, corresponds to growth stage C1 (CETIOM) or 31 (BBCH scale).</t>
  </si>
  <si>
    <t>Nb of calendar days from the 1st of January (+ or - if stage occurs in December).</t>
  </si>
  <si>
    <t xml:space="preserve">Visual notations of the day when growth stage is reached by 50% of the plants in a given plot. </t>
  </si>
  <si>
    <t>GRWSTG_F1</t>
  </si>
  <si>
    <t>Growth_Stage_F1</t>
  </si>
  <si>
    <t>First flowers are open, corresponds to growth stage F1 (CETIOM) or 60 (BBCH scale).</t>
  </si>
  <si>
    <t>Nb of calendar days from the 1st of January.</t>
  </si>
  <si>
    <t>GRWSTG_F2</t>
  </si>
  <si>
    <t>Growth_Stage_F2</t>
  </si>
  <si>
    <t>10% of the flowers are open on the main inflorescence, elongation of the main inflorescence. Corresponds to growth stage F2 (CETIOM) or 61 (BBCH scale).</t>
  </si>
  <si>
    <t>GRWSTG_FLO</t>
  </si>
  <si>
    <t>Growth_Stage_Flowering</t>
  </si>
  <si>
    <t>Additional flowering stages according to the BBCH scale (62-65).</t>
  </si>
  <si>
    <t xml:space="preserve">When GRWSTG_F1 or GWRSTG_F2 are not observed, it is possible to note additional stages according to the BBCH scale such as : 62 = 20% of flowers are open on the main inflorescence, 63 = 30% of flowers are open on the main inflorescence, 64 = 40% of flowers are open on the main inflorescence, 65 = 50% of flowers are open on the main inflorescence (full flowering). Visual notations of the day when growth stage is reached by 50% of the plants in a given plot. </t>
  </si>
  <si>
    <t>GRWSTG_ENDFLO</t>
  </si>
  <si>
    <t>Growth_Stage_End_Flowering</t>
  </si>
  <si>
    <t>End of flowering on the main inflorescence, corresponds to growth stage 69 (BBCH scale).</t>
  </si>
  <si>
    <t>GRWSTG_G1</t>
  </si>
  <si>
    <t>Growth_Stage_G1</t>
  </si>
  <si>
    <t>10% of the pods have reached their final size, flowering of secondary inflorescences. Corresponds to growth stage G1 (CETIOM) or 71 (BBCH scale).</t>
  </si>
  <si>
    <t>GRWSTG_G4</t>
  </si>
  <si>
    <t>Growth_Stage_G4</t>
  </si>
  <si>
    <t>30% of the pods have reached their final size, flowering of secondary inflorescences. Corresponds to growth stage G4 (CETIOM) or 73 (BBCH scale).</t>
  </si>
  <si>
    <t>GRWSTG_PODDEV</t>
  </si>
  <si>
    <t>Growth_Stage_Pod_Development</t>
  </si>
  <si>
    <t>Additional stages for pod development according to the BBCH scale (72-79).</t>
  </si>
  <si>
    <t xml:space="preserve">When GRWSTG_G1 or GWRSTG_G4 are not observed, it is possible to note additional stages according to the BBCH scale such as : 72 = 20% of the pods have reached their final size, 74 = 40%, 75 = 50%, 76 = 60%, 77 = 70%, 78 = 80%, 79 = almost all pods. Visual notations of the day when growth stage is reached by 50% of the plants in a given plot. </t>
  </si>
  <si>
    <t>GRWSTG_G5</t>
  </si>
  <si>
    <t>Growth_Stage_G5</t>
  </si>
  <si>
    <t>10% of the seeds have reached maturity, seeds are brown and hard. Corresponds to growth stage G5 (CETIOM) or 81 (BBCH scale).</t>
  </si>
  <si>
    <t>GRWSTG_PODMATURITY</t>
  </si>
  <si>
    <t>Growth_Stage_Pod_Maturity</t>
  </si>
  <si>
    <t>Additional stages for pod maturity according to the BBCH scale (82-99).</t>
  </si>
  <si>
    <t xml:space="preserve">When GRWSTG_G5 is not observed, it is possible to note additional stages according to the BBCH scale such as : 82 = 20% of the pods have reached maturity and seeds are brown and hard, 83 = 30%, 84 = 40%, 85 = 50%, 86 = 60%, 87 = 70%, 88 = 80%, 89 = pod maturity is complete. Visual notations of the day when growth stage is reached by 50% of the plants in a given plot. </t>
  </si>
  <si>
    <t>EMERG</t>
  </si>
  <si>
    <t>Plant_Emergence</t>
  </si>
  <si>
    <t xml:space="preserve">Percentage of seeds that emerge. </t>
  </si>
  <si>
    <t>Plant counting on a line.                                                                                     EMERG = (Number of plants obtained / Number of seeds sown) x 100</t>
  </si>
  <si>
    <t>ERUCIC</t>
  </si>
  <si>
    <t>Erucic_Acid</t>
  </si>
  <si>
    <t>Content of erucic acid in seeds determined by NIRS.</t>
  </si>
  <si>
    <t>% total fatty acids</t>
  </si>
  <si>
    <t>NIRS assay. XXX calibration.</t>
  </si>
  <si>
    <t>PALMITIC</t>
  </si>
  <si>
    <t xml:space="preserve">Palmitic_Acid </t>
  </si>
  <si>
    <t>Content of palmitic acid in seeds determined by NIRS.</t>
  </si>
  <si>
    <t>STEARIC</t>
  </si>
  <si>
    <t>Stearic_Acid</t>
  </si>
  <si>
    <t>Content of stearic acid in seeds determined by NIRS.</t>
  </si>
  <si>
    <t>OLEIC</t>
  </si>
  <si>
    <t xml:space="preserve">Oleic_Acid </t>
  </si>
  <si>
    <t>Content of oleic acid in seeds determined by NIRS.</t>
  </si>
  <si>
    <t>LINOLEIC</t>
  </si>
  <si>
    <t xml:space="preserve">Linoleic_Acid </t>
  </si>
  <si>
    <t>Content of linoleic acid in seedsdetermined by NIRS.</t>
  </si>
  <si>
    <t>LINOLENIC</t>
  </si>
  <si>
    <t xml:space="preserve">Linolenic_Acid </t>
  </si>
  <si>
    <t>Content of linolenic acid in seeds determined by NIRS.</t>
  </si>
  <si>
    <t>Oil_%</t>
  </si>
  <si>
    <t>Content of oil in seeds determined by NIRS.</t>
  </si>
  <si>
    <t>% of Seed Dry Weight</t>
  </si>
  <si>
    <t>Pr</t>
  </si>
  <si>
    <t>Protein_%</t>
  </si>
  <si>
    <t>Content of proteins in seeds determined by NIRS.</t>
  </si>
  <si>
    <t>GLS</t>
  </si>
  <si>
    <t>Content of glucosinolates in seeds determined by NIRS.</t>
  </si>
  <si>
    <t>μmol.g-1MS</t>
  </si>
  <si>
    <t>SEEDH2O_NIRS</t>
  </si>
  <si>
    <t>Seed_Moisture_NIRS</t>
  </si>
  <si>
    <t>Moisture content in a sample of seeds determined by NIRS.</t>
  </si>
  <si>
    <t>PRMEAL</t>
  </si>
  <si>
    <t>Protein_Meal_%</t>
  </si>
  <si>
    <t>Content of proteins in the meal determined by NIRS.</t>
  </si>
  <si>
    <t>SEEDH2O_HARV</t>
  </si>
  <si>
    <t>Seed_Moisture_Harvest</t>
  </si>
  <si>
    <t>Moisture content in a sample of seeds determined by humiditer.</t>
  </si>
  <si>
    <t>Humidimeter. Rapeseed calibration.</t>
  </si>
  <si>
    <t>SEEDH2O_LAB</t>
  </si>
  <si>
    <t>Seed_Moisture_Lab</t>
  </si>
  <si>
    <t>Moisture content in a sample of cleaned seeds determined by weighing.</t>
  </si>
  <si>
    <t xml:space="preserve">Differential weighing. A sample of around 5 grammes of cleaned dry mature seeds is weighted before and after drying at 103°C for  15 hours in order to determine the fresh weight (FWg) and the dry weight (DWg) respectively.                                             SEEDH2O_LAB = ((FWg – DWg) / FWg) x 100 </t>
  </si>
  <si>
    <t>SEEDIMPUR</t>
  </si>
  <si>
    <t>Percentage of impurities in a sample of seeds determined by weighing.</t>
  </si>
  <si>
    <t xml:space="preserve">Differential weighing. A sample of around 200 grammes of dry mature seeds is weighted before and after cleaning using a column in order to determine the gross weight (GWg) and the net weight (NWg) respectively.                                                                         SEEDIMPUR = ((GWg – NWg) / GWg) x 100 </t>
  </si>
  <si>
    <t>BIOTIC</t>
  </si>
  <si>
    <t>Biotic_Stress</t>
  </si>
  <si>
    <t>Biotic attack during the crop cycle.</t>
  </si>
  <si>
    <t>Comment about all relevant biotic stresses.</t>
  </si>
  <si>
    <t xml:space="preserve">Visual observations. </t>
  </si>
  <si>
    <t>Crop problems during the cycle.</t>
  </si>
  <si>
    <t>Comment about all relevant pbs during the cycle.</t>
  </si>
  <si>
    <t>CLIMATIC</t>
  </si>
  <si>
    <t>Climatic_Stress</t>
  </si>
  <si>
    <t>Climatic incidents during the crop cycle</t>
  </si>
  <si>
    <t>Comment about all relevant abiotic stresses.</t>
  </si>
  <si>
    <t>LODGING</t>
  </si>
  <si>
    <t>Plant_Lodging</t>
  </si>
  <si>
    <t>Scoring of the plant lodging of the plot.</t>
  </si>
  <si>
    <t>Visual notation is attributed to the plants for each plot, taking into account the surface and the intensity of lodging   
 LODGING  =  0 : NA                                                                                                            1 : No lodging                                                                                                                       2 : Culture leaning, without impact                                                                     5 : Average loding, low impact                                                                                    7 : High lodging, serious impact                                                                              9 : Total lodging, compromised harvest</t>
  </si>
  <si>
    <t>The seed sample for SEEDH2O_LAB determination is used for seed counting (NBSEED_sample) using a precision counter.                                                                            TSW = (SEEDH2O_LAB / NBSEED_sample) x 1000</t>
  </si>
  <si>
    <t>PLANTSIZE</t>
  </si>
  <si>
    <t>PLANTDENS_value</t>
  </si>
  <si>
    <t>PLANTDENS_date</t>
  </si>
  <si>
    <t>REGSTAND_value</t>
  </si>
  <si>
    <t>REGSTAND_date</t>
  </si>
  <si>
    <t>PLOTHARVEST_value</t>
  </si>
  <si>
    <t>PLOTHARVEST_date</t>
  </si>
  <si>
    <t>HI_value</t>
  </si>
  <si>
    <t>HI_date</t>
  </si>
  <si>
    <t>NHI_value</t>
  </si>
  <si>
    <t>NHI_date</t>
  </si>
  <si>
    <t>PLOTSURF_value</t>
  </si>
  <si>
    <t>PLOTSURF_date</t>
  </si>
  <si>
    <t>PODSHAT_value</t>
  </si>
  <si>
    <t>PODSHAT_date</t>
  </si>
  <si>
    <t>SY-date</t>
  </si>
  <si>
    <t>SYNORM_value</t>
  </si>
  <si>
    <t>SYNORM_date</t>
  </si>
  <si>
    <t>PLANTSIZE_value</t>
  </si>
  <si>
    <t>PLANTSIZE_date</t>
  </si>
  <si>
    <t>GRWSTG_C1_date</t>
  </si>
  <si>
    <t>GRWSTG_C1_value</t>
  </si>
  <si>
    <t>GRWSTG_F1_value</t>
  </si>
  <si>
    <t>GRWSTG_F1_date</t>
  </si>
  <si>
    <t>GRWSTG_F2_value</t>
  </si>
  <si>
    <t>GRWSTG_F2_date</t>
  </si>
  <si>
    <t>GRWSTG_FLO_value</t>
  </si>
  <si>
    <t>GRWSTG_FLO_date</t>
  </si>
  <si>
    <t>GRWSTG_ENDFLO_value</t>
  </si>
  <si>
    <t>GRWSTG_ENDFLO_date</t>
  </si>
  <si>
    <t>GRWSTG_G1_value</t>
  </si>
  <si>
    <t>GRWSTG_G1_date</t>
  </si>
  <si>
    <t>GRWSTG_G4_value</t>
  </si>
  <si>
    <t>GRWSTG_G4_date</t>
  </si>
  <si>
    <t>GRWSTG_PODDEV_value</t>
  </si>
  <si>
    <t>GRWSTG_PODDEV_date</t>
  </si>
  <si>
    <t>GRWSTG_G5_date</t>
  </si>
  <si>
    <t>GRWSTG_G5_value</t>
  </si>
  <si>
    <t>GRWSTG_PODMATURITY_value</t>
  </si>
  <si>
    <t>GRWSTG_PODMATURITY_date</t>
  </si>
  <si>
    <t>EMERG_value</t>
  </si>
  <si>
    <t>EMERG_date</t>
  </si>
  <si>
    <t>ERUCIC_value</t>
  </si>
  <si>
    <t>ERUCIC_date</t>
  </si>
  <si>
    <t>PALMITIC_value</t>
  </si>
  <si>
    <t>PALMITIC-date</t>
  </si>
  <si>
    <t>STEARIC_value</t>
  </si>
  <si>
    <t>STEARIC_date</t>
  </si>
  <si>
    <t>OLEIC_value</t>
  </si>
  <si>
    <t>OLEIC_date</t>
  </si>
  <si>
    <t>LINOLEIC_value</t>
  </si>
  <si>
    <t>LINOLEIC_date</t>
  </si>
  <si>
    <t>LINOLENIC_value</t>
  </si>
  <si>
    <t>LINOLENIC_date</t>
  </si>
  <si>
    <t>Pr_value</t>
  </si>
  <si>
    <t>Pr_date</t>
  </si>
  <si>
    <t>GLS_value</t>
  </si>
  <si>
    <t>GLS_date</t>
  </si>
  <si>
    <t>SEEDH2O_NIRS_value</t>
  </si>
  <si>
    <t>SEEDH2O_NIRS_date</t>
  </si>
  <si>
    <t>PRMEAL_value</t>
  </si>
  <si>
    <t>PRMEAL_date</t>
  </si>
  <si>
    <t>SEEDH2O_HARV_value</t>
  </si>
  <si>
    <t>SEEDH2O_HARV_date</t>
  </si>
  <si>
    <t>SEEDH2O_LAB_value</t>
  </si>
  <si>
    <t>SEEDH2O_LAB_date</t>
  </si>
  <si>
    <t>SEEDIMPUR_value</t>
  </si>
  <si>
    <t>SEEDIMPUR_date</t>
  </si>
  <si>
    <t>LODGING_value</t>
  </si>
  <si>
    <t>LODGING_date</t>
  </si>
  <si>
    <t>2013-09-19</t>
  </si>
  <si>
    <t>2014-06-20</t>
  </si>
  <si>
    <t>43°47'55.2" N</t>
  </si>
  <si>
    <t>1°14'32.5" E</t>
  </si>
  <si>
    <t>Aucamville (82)</t>
  </si>
  <si>
    <t>Research Engineer</t>
  </si>
  <si>
    <t>Heudelot</t>
  </si>
  <si>
    <t>Xavier</t>
  </si>
  <si>
    <t>xavier.heudelot@biogemma.com</t>
  </si>
  <si>
    <t>05/62/13/88/49</t>
  </si>
  <si>
    <t>Laboratoire 2</t>
  </si>
  <si>
    <t>Phenotyping platform manager</t>
  </si>
  <si>
    <t>GEORGE</t>
  </si>
  <si>
    <t>Pierre</t>
  </si>
  <si>
    <t>pierre.george@biogemma.com</t>
  </si>
  <si>
    <t>05/62/13/88/43
06/74/83/29/56</t>
  </si>
  <si>
    <t>Fertilisation 1</t>
  </si>
  <si>
    <t>50 U d'azote sur tout le champ (perlurée 152 kg)</t>
  </si>
  <si>
    <t>Fertilisation 2</t>
  </si>
  <si>
    <r>
      <t>70 U d'azote sur la modalité N</t>
    </r>
    <r>
      <rPr>
        <sz val="9"/>
        <rFont val="Geneva"/>
      </rPr>
      <t>⁺ (perlurée 152 kg)</t>
    </r>
  </si>
  <si>
    <t>Fertilisation 3</t>
  </si>
  <si>
    <t>20 U d'azote et 70 de souffre sur tout l'essai (sulfo ammoniaque 200 kg)</t>
  </si>
  <si>
    <t>Fertilisation 4</t>
  </si>
  <si>
    <t>rep</t>
  </si>
  <si>
    <t>répétition</t>
  </si>
  <si>
    <t>Nom de la demande</t>
  </si>
  <si>
    <t>Station Aucamvillr</t>
  </si>
  <si>
    <t>Pas de temps</t>
  </si>
  <si>
    <t>Journalier</t>
  </si>
  <si>
    <t>Date de début</t>
  </si>
  <si>
    <t>24/1013</t>
  </si>
  <si>
    <t>Date de fin</t>
  </si>
  <si>
    <t>___Temperature___</t>
  </si>
  <si>
    <t>Mean</t>
  </si>
  <si>
    <t>température moyenne  de la journée</t>
  </si>
  <si>
    <t>°C</t>
  </si>
  <si>
    <t>High</t>
  </si>
  <si>
    <t>température la plus élevée  de la journée</t>
  </si>
  <si>
    <t>Low</t>
  </si>
  <si>
    <t>température la plus basse  de la journée</t>
  </si>
  <si>
    <t>RH</t>
  </si>
  <si>
    <t>humidité relative moyenne de la journée</t>
  </si>
  <si>
    <t>Solar</t>
  </si>
  <si>
    <t>W/m2</t>
  </si>
  <si>
    <t>rayonnement moyen de la journée</t>
  </si>
  <si>
    <t>wat/m2</t>
  </si>
  <si>
    <t>Wind</t>
  </si>
  <si>
    <t>Speed</t>
  </si>
  <si>
    <t>vitesse du vent moyen de la journée</t>
  </si>
  <si>
    <t>km/h</t>
  </si>
  <si>
    <t>Rain-</t>
  </si>
  <si>
    <t>Fall</t>
  </si>
  <si>
    <t>précipitation de la journée</t>
  </si>
  <si>
    <t>mm</t>
  </si>
  <si>
    <t>ET</t>
  </si>
  <si>
    <t>Ref</t>
  </si>
  <si>
    <t xml:space="preserve">évapotranspiration de référence </t>
  </si>
  <si>
    <t>évapotranspiration calculée en fonction du coef choisi pour  la culture,</t>
  </si>
  <si>
    <t>Irrig</t>
  </si>
  <si>
    <t>ation</t>
  </si>
  <si>
    <t>perte en eau  de la journée</t>
  </si>
  <si>
    <t>Net</t>
  </si>
  <si>
    <t>Water</t>
  </si>
  <si>
    <t>cumul de la perte d'eau depuis le début du calcul d'ETP</t>
  </si>
  <si>
    <t>Cum</t>
  </si>
  <si>
    <t>Zone 1</t>
  </si>
  <si>
    <t>Zone 2</t>
  </si>
  <si>
    <t>Label</t>
  </si>
  <si>
    <t>sonde 1_30</t>
  </si>
  <si>
    <t>sonde 2_30</t>
  </si>
  <si>
    <t>sonde 3_60</t>
  </si>
  <si>
    <t>sonde 4_60</t>
  </si>
  <si>
    <t>sonde 2_60</t>
  </si>
  <si>
    <t>temperature 1</t>
  </si>
  <si>
    <t>temperature 2</t>
  </si>
  <si>
    <t>Libellé d'échantillon</t>
  </si>
  <si>
    <t>Argile (&lt; 2 µm)</t>
  </si>
  <si>
    <t>Calcaire total (CaCO3)</t>
  </si>
  <si>
    <t>Calcium (CaO) échangeable</t>
  </si>
  <si>
    <t>Capacité d'Echange Cationique (méthode Metson) (CEC)</t>
  </si>
  <si>
    <t>Carbone organique</t>
  </si>
  <si>
    <t>Limons fins (2 à 20 µm)</t>
  </si>
  <si>
    <t>Limons grossiers (20 à 50 µm)</t>
  </si>
  <si>
    <t>Magnésium (MgO) échangeable</t>
  </si>
  <si>
    <t>Matières Organiques</t>
  </si>
  <si>
    <t>pH eau</t>
  </si>
  <si>
    <t>pH KCl</t>
  </si>
  <si>
    <t>Phosphore méthode Olsen (P2O5)</t>
  </si>
  <si>
    <t>Potassium échangeable (K2O)</t>
  </si>
  <si>
    <t>Sables fins (50 à 200 µm)</t>
  </si>
  <si>
    <t>Sables grossiers (200 à 2000 µm)</t>
  </si>
  <si>
    <t>Heure</t>
  </si>
  <si>
    <t>degC</t>
  </si>
  <si>
    <t>NF X 31-107 modifiée</t>
  </si>
  <si>
    <t>NF ISO 10693</t>
  </si>
  <si>
    <t>NF X 31-120</t>
  </si>
  <si>
    <t>NF X 31-130</t>
  </si>
  <si>
    <t>NF ISO 14235</t>
  </si>
  <si>
    <t>NF ISO 10390</t>
  </si>
  <si>
    <t>NF ISO 11263</t>
  </si>
  <si>
    <t>Resultat1</t>
  </si>
  <si>
    <t>Unité</t>
  </si>
  <si>
    <t>ANALYSE-PHY-CHI-3</t>
  </si>
  <si>
    <t>338</t>
  </si>
  <si>
    <t>g/kg</t>
  </si>
  <si>
    <t>4.1</t>
  </si>
  <si>
    <t>2496</t>
  </si>
  <si>
    <t>mg/kg</t>
  </si>
  <si>
    <t>12.21</t>
  </si>
  <si>
    <t>meq/100g</t>
  </si>
  <si>
    <t>2.63</t>
  </si>
  <si>
    <t>198</t>
  </si>
  <si>
    <t>221</t>
  </si>
  <si>
    <t>365</t>
  </si>
  <si>
    <t>4.55</t>
  </si>
  <si>
    <t>7.25</t>
  </si>
  <si>
    <t/>
  </si>
  <si>
    <t>5.67</t>
  </si>
  <si>
    <t>38</t>
  </si>
  <si>
    <t>156</t>
  </si>
  <si>
    <t>105</t>
  </si>
  <si>
    <t>138</t>
  </si>
  <si>
    <t>ANALYSE-PHY-CHI-2</t>
  </si>
  <si>
    <t>209</t>
  </si>
  <si>
    <t>1419</t>
  </si>
  <si>
    <t>7.31</t>
  </si>
  <si>
    <t>3.87</t>
  </si>
  <si>
    <t>210</t>
  </si>
  <si>
    <t>272</t>
  </si>
  <si>
    <t>135</t>
  </si>
  <si>
    <t>6.70</t>
  </si>
  <si>
    <t>6.82</t>
  </si>
  <si>
    <t>5.47</t>
  </si>
  <si>
    <t>57</t>
  </si>
  <si>
    <t>151</t>
  </si>
  <si>
    <t>119</t>
  </si>
  <si>
    <t>190</t>
  </si>
  <si>
    <t>ANALYSE-PHY-CHI-1</t>
  </si>
  <si>
    <t>179</t>
  </si>
  <si>
    <t>1204</t>
  </si>
  <si>
    <t>6.88</t>
  </si>
  <si>
    <t>6.90</t>
  </si>
  <si>
    <t>216</t>
  </si>
  <si>
    <t>288</t>
  </si>
  <si>
    <t>99</t>
  </si>
  <si>
    <t>11.94</t>
  </si>
  <si>
    <t>6.55</t>
  </si>
  <si>
    <t>5.54</t>
  </si>
  <si>
    <t>75</t>
  </si>
  <si>
    <t>200</t>
  </si>
  <si>
    <t>127</t>
  </si>
  <si>
    <t>189</t>
  </si>
  <si>
    <t>#+INF</t>
  </si>
  <si>
    <t>#-INF</t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</si>
  <si>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</si>
  <si>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</si>
  <si>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</si>
  <si>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</si>
  <si>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t>et les analyses par SAS pour l'échantillon 1/5</t>
  </si>
  <si>
    <t xml:space="preserve">A partir des INN3, une distinction est faite entre les feuilles et le tiges pour les pesées </t>
  </si>
  <si>
    <t>Deux échantillons différents sont identifiés : 1/5 des plantes et 4/5 des plantes</t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</si>
  <si>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</si>
  <si>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</si>
  <si>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</si>
  <si>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t>De "Parcelle" à "Genotype" = données générales sur l'essai</t>
  </si>
  <si>
    <t>DK Exstorm</t>
  </si>
  <si>
    <t>N-</t>
  </si>
  <si>
    <t>INN4</t>
  </si>
  <si>
    <t>N+</t>
  </si>
  <si>
    <t>G2</t>
  </si>
  <si>
    <t>INN3</t>
  </si>
  <si>
    <t>G3</t>
  </si>
  <si>
    <t>INN2</t>
  </si>
  <si>
    <t>INN1</t>
  </si>
  <si>
    <t>Tiges</t>
  </si>
  <si>
    <t>Feuilles</t>
  </si>
  <si>
    <t>MS Tige (g)</t>
  </si>
  <si>
    <t>MS Feuilles (g)</t>
  </si>
  <si>
    <t>MF Tige (g)</t>
  </si>
  <si>
    <t>MF Feuilles (g)</t>
  </si>
  <si>
    <t>Nbr</t>
  </si>
  <si>
    <t>MF (g)</t>
  </si>
  <si>
    <t>Stade</t>
  </si>
  <si>
    <t>Genotype</t>
  </si>
  <si>
    <t>Modalite</t>
  </si>
  <si>
    <t>Manip</t>
  </si>
  <si>
    <t>N % DUMAS Spécial Ferti</t>
  </si>
  <si>
    <t>1/5</t>
  </si>
  <si>
    <t>4/5</t>
  </si>
  <si>
    <t>B</t>
  </si>
  <si>
    <t>Panel</t>
  </si>
  <si>
    <t>Complément</t>
  </si>
  <si>
    <t>Alpaga</t>
  </si>
  <si>
    <t>INN 1 et 2</t>
  </si>
  <si>
    <t>INN 3 et 4</t>
  </si>
  <si>
    <t>Action</t>
  </si>
  <si>
    <t>Produits</t>
  </si>
  <si>
    <t>Cibles</t>
  </si>
  <si>
    <t>Détails</t>
  </si>
  <si>
    <t>Herbicides</t>
  </si>
  <si>
    <t>Colza 1000</t>
  </si>
  <si>
    <t>2 L</t>
  </si>
  <si>
    <t>Semis colza</t>
  </si>
  <si>
    <t>45 grains/m², 5 rangs par parcelle, écartement de 32 cm et longueur récoltée de 6 m</t>
  </si>
  <si>
    <t>Sultan</t>
  </si>
  <si>
    <t>1 L</t>
  </si>
  <si>
    <t>Insecticides</t>
  </si>
  <si>
    <t>Satel</t>
  </si>
  <si>
    <t>Charançons de la tige et bourgeon terminal</t>
  </si>
  <si>
    <t>0,1 L</t>
  </si>
  <si>
    <t>Mise en place de la station météo</t>
  </si>
  <si>
    <t>Mise en place des sondes humiditées</t>
  </si>
  <si>
    <t>vers 15h (12)</t>
  </si>
  <si>
    <t>Prélèvement sol</t>
  </si>
  <si>
    <t>Minéralisation azote</t>
  </si>
  <si>
    <t>Récupération données pour bilan N</t>
  </si>
  <si>
    <t>Poids frais et reliquat azote</t>
  </si>
  <si>
    <t>Perlurée</t>
  </si>
  <si>
    <t>Sulfonitrate</t>
  </si>
  <si>
    <t>Souffre</t>
  </si>
  <si>
    <t>Récupération GP1 endommagé</t>
  </si>
  <si>
    <t>Re-mise en place GP1 endommagé</t>
  </si>
  <si>
    <t>vers 11h (12)</t>
  </si>
  <si>
    <t>Fongicides</t>
  </si>
  <si>
    <t>Sunorg pro</t>
  </si>
  <si>
    <t>Oïdium</t>
  </si>
  <si>
    <t>0,8 L</t>
  </si>
  <si>
    <t>Karaté</t>
  </si>
  <si>
    <t>Récupération station et GP1</t>
  </si>
  <si>
    <t>vers 15h</t>
  </si>
  <si>
    <t>Début récolte</t>
  </si>
  <si>
    <t>Vers 14h</t>
  </si>
  <si>
    <t>Fin récolte</t>
  </si>
  <si>
    <t>Meteo_data</t>
  </si>
  <si>
    <t>Soil_data</t>
  </si>
  <si>
    <t>INN_data</t>
  </si>
  <si>
    <t>Parcellaire_data</t>
  </si>
  <si>
    <t>ITK_data</t>
  </si>
  <si>
    <t>Excel</t>
  </si>
  <si>
    <t>See tab</t>
  </si>
  <si>
    <t>NA</t>
  </si>
  <si>
    <t>DKEXSTORM</t>
  </si>
  <si>
    <t>-</t>
  </si>
  <si>
    <t>% Humidité</t>
  </si>
  <si>
    <t>MS Aér (g)</t>
  </si>
  <si>
    <t>MF Aér</t>
  </si>
  <si>
    <t>MS (g)</t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</si>
  <si>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</si>
  <si>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MS Totale (t)</t>
  </si>
  <si>
    <t>%N critique</t>
  </si>
  <si>
    <t>Total</t>
  </si>
  <si>
    <t>Qté N Total</t>
  </si>
  <si>
    <t>% Azote MS (1/5)</t>
  </si>
  <si>
    <t>INN</t>
  </si>
  <si>
    <t>Temoin_1</t>
  </si>
  <si>
    <t>Temoin_2</t>
  </si>
  <si>
    <t>submersion</t>
  </si>
  <si>
    <t>Étiquettes de lignes</t>
  </si>
  <si>
    <t>(vide)</t>
  </si>
  <si>
    <t>Total général</t>
  </si>
  <si>
    <t>Étiquettes de colonnes</t>
  </si>
  <si>
    <t>Moyenne de O_value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</si>
</sst>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dd/mm/yy"/>
    <numFmt numFmtId="165" formatCode="d/mm/yyyy;@"/>
    <numFmt numFmtId="166" formatCode="0.0"/>
    <numFmt numFmtId="167" formatCode="0.0000"/>
    <numFmt numFmtId="168" formatCode="m/d/yyyy;@"/>
  </numFmts>
  <fonts count="76">
    <font>
      <sz val="9"/>
      <name val="Geneva"/>
      <family val="2"/>
      <charset val="1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"/>
    </font>
    <font>
      <u/>
      <sz val="11"/>
      <color indexed="12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238"/>
    </font>
    <font>
      <b/>
      <sz val="8"/>
      <name val="Arial"/>
      <family val="2"/>
      <charset val="1"/>
    </font>
    <font>
      <b/>
      <sz val="10"/>
      <name val="Arial"/>
      <family val="2"/>
      <charset val="1"/>
    </font>
    <font>
      <b/>
      <sz val="10"/>
      <color indexed="10"/>
      <name val="Arial"/>
      <family val="2"/>
      <charset val="1"/>
    </font>
    <font>
      <b/>
      <sz val="10"/>
      <color indexed="12"/>
      <name val="Arial"/>
      <family val="2"/>
      <charset val="1"/>
    </font>
    <font>
      <sz val="10"/>
      <color indexed="40"/>
      <name val="Arial"/>
      <family val="2"/>
      <charset val="1"/>
    </font>
    <font>
      <sz val="10"/>
      <color indexed="49"/>
      <name val="Arial"/>
      <family val="2"/>
      <charset val="1"/>
    </font>
    <font>
      <b/>
      <sz val="10"/>
      <color indexed="8"/>
      <name val="Arial"/>
      <family val="2"/>
      <charset val="1"/>
    </font>
    <font>
      <b/>
      <sz val="9"/>
      <name val="Geneva"/>
      <family val="2"/>
      <charset val="1"/>
    </font>
    <font>
      <b/>
      <sz val="9"/>
      <color indexed="10"/>
      <name val="Geneva"/>
      <family val="2"/>
      <charset val="1"/>
    </font>
    <font>
      <sz val="10"/>
      <color indexed="12"/>
      <name val="Arial"/>
      <family val="2"/>
      <charset val="1"/>
    </font>
    <font>
      <sz val="10"/>
      <color indexed="8"/>
      <name val="Arial"/>
      <family val="2"/>
      <charset val="1"/>
    </font>
    <font>
      <b/>
      <sz val="9"/>
      <color indexed="8"/>
      <name val="Tahoma"/>
      <family val="2"/>
      <charset val="1"/>
    </font>
    <font>
      <sz val="9"/>
      <color indexed="8"/>
      <name val="Tahoma"/>
      <family val="2"/>
      <charset val="1"/>
    </font>
    <font>
      <i/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indexed="16"/>
      <name val="Arial"/>
      <family val="2"/>
      <charset val="1"/>
    </font>
    <font>
      <sz val="9"/>
      <name val="Geneva"/>
      <family val="2"/>
    </font>
    <font>
      <sz val="10"/>
      <color indexed="8"/>
      <name val="Arial"/>
      <family val="2"/>
    </font>
    <font>
      <sz val="9"/>
      <name val="Arial"/>
      <family val="2"/>
      <charset val="1"/>
    </font>
    <font>
      <sz val="10"/>
      <name val="Arial"/>
      <family val="2"/>
    </font>
    <font>
      <sz val="9"/>
      <name val="Arial"/>
      <family val="2"/>
    </font>
    <font>
      <sz val="10"/>
      <color indexed="56"/>
      <name val="Arial"/>
      <family val="2"/>
      <charset val="1"/>
    </font>
    <font>
      <sz val="9"/>
      <name val="Geneva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62"/>
      <name val="Geneva"/>
      <family val="2"/>
    </font>
    <font>
      <b/>
      <sz val="9"/>
      <name val="Geneva"/>
      <family val="2"/>
    </font>
    <font>
      <sz val="9"/>
      <name val="Geneva"/>
      <family val="2"/>
      <charset val="238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b/>
      <sz val="9"/>
      <color indexed="10"/>
      <name val="Geneva"/>
      <family val="2"/>
    </font>
    <font>
      <sz val="9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Tahoma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Geneva"/>
    </font>
    <font>
      <b/>
      <sz val="20"/>
      <name val="Geneva"/>
    </font>
    <font>
      <b/>
      <sz val="18"/>
      <name val="Arial"/>
      <family val="2"/>
    </font>
    <font>
      <b/>
      <sz val="2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FF0000"/>
      <name val="Arial"/>
      <family val="2"/>
      <charset val="1"/>
    </font>
    <font>
      <sz val="9"/>
      <color rgb="FFFF0000"/>
      <name val="Geneva"/>
      <family val="2"/>
      <charset val="1"/>
    </font>
    <font>
      <sz val="9"/>
      <color rgb="FFFF0000"/>
      <name val="Arial"/>
      <family val="2"/>
      <charset val="1"/>
    </font>
    <font>
      <b/>
      <sz val="12"/>
      <name val="Geneva"/>
    </font>
  </fonts>
  <fills count="37">
    <fill>
      <patternFill patternType="none"/>
    </fill>
    <fill>
      <patternFill patternType="gray125"/>
    </fill>
    <fill>
      <patternFill patternType="solid">
        <fgColor indexed="43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7"/>
      </patternFill>
    </fill>
    <fill>
      <patternFill patternType="solid">
        <fgColor indexed="26"/>
        <bgColor indexed="47"/>
      </patternFill>
    </fill>
    <fill>
      <patternFill patternType="solid">
        <fgColor indexed="22"/>
        <bgColor indexed="4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10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8"/>
      </top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63"/>
      </left>
      <right style="hair">
        <color indexed="63"/>
      </right>
      <top style="hair">
        <color indexed="63"/>
      </top>
      <bottom style="hair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63"/>
      </left>
      <right/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63"/>
      </left>
      <right style="hair">
        <color indexed="63"/>
      </right>
      <top/>
      <bottom style="hair">
        <color indexed="63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indexed="64"/>
      </right>
      <top style="thick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indexed="64"/>
      </top>
      <bottom style="thick">
        <color rgb="FF007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70C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70C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ck">
        <color indexed="64"/>
      </left>
      <right style="thick">
        <color rgb="FF0070C0"/>
      </right>
      <top style="thick">
        <color indexed="64"/>
      </top>
      <bottom/>
      <diagonal/>
    </border>
    <border>
      <left style="thick">
        <color rgb="FF0070C0"/>
      </left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</borders>
  <cellStyleXfs count="108">
    <xf numFmtId="0" fontId="0" fillId="0" borderId="0"/>
    <xf numFmtId="0" fontId="2" fillId="0" borderId="0" applyNumberFormat="0" applyFill="0" applyBorder="0" applyProtection="0"/>
    <xf numFmtId="0" fontId="2" fillId="0" borderId="0" applyNumberFormat="0" applyFill="0" applyBorder="0" applyProtection="0"/>
    <xf numFmtId="0" fontId="3" fillId="0" borderId="0" applyNumberFormat="0" applyFill="0" applyBorder="0" applyProtection="0"/>
    <xf numFmtId="0" fontId="2" fillId="0" borderId="0" applyNumberFormat="0" applyFill="0" applyBorder="0" applyProtection="0"/>
    <xf numFmtId="0" fontId="4" fillId="0" borderId="0"/>
    <xf numFmtId="0" fontId="29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6" fillId="0" borderId="0"/>
    <xf numFmtId="0" fontId="26" fillId="0" borderId="0" applyNumberFormat="0" applyFont="0" applyFill="0" applyBorder="0" applyAlignment="0" applyProtection="0"/>
    <xf numFmtId="0" fontId="23" fillId="0" borderId="0"/>
    <xf numFmtId="0" fontId="42" fillId="8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6" borderId="0" applyNumberFormat="0" applyBorder="0" applyAlignment="0" applyProtection="0"/>
    <xf numFmtId="0" fontId="42" fillId="11" borderId="0" applyNumberFormat="0" applyBorder="0" applyAlignment="0" applyProtection="0"/>
    <xf numFmtId="0" fontId="42" fillId="11" borderId="0" applyNumberFormat="0" applyBorder="0" applyAlignment="0" applyProtection="0"/>
    <xf numFmtId="0" fontId="42" fillId="14" borderId="0" applyNumberFormat="0" applyBorder="0" applyAlignment="0" applyProtection="0"/>
    <xf numFmtId="0" fontId="42" fillId="14" borderId="0" applyNumberFormat="0" applyBorder="0" applyAlignment="0" applyProtection="0"/>
    <xf numFmtId="0" fontId="42" fillId="17" borderId="0" applyNumberFormat="0" applyBorder="0" applyAlignment="0" applyProtection="0"/>
    <xf numFmtId="0" fontId="42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5" borderId="0" applyNumberFormat="0" applyBorder="0" applyAlignment="0" applyProtection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6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3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4" borderId="0" applyNumberFormat="0" applyBorder="0" applyAlignment="0" applyProtection="0"/>
    <xf numFmtId="0" fontId="43" fillId="19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0" borderId="0" applyNumberFormat="0" applyBorder="0" applyAlignment="0" applyProtection="0"/>
    <xf numFmtId="0" fontId="43" fillId="25" borderId="0" applyNumberFormat="0" applyBorder="0" applyAlignment="0" applyProtection="0"/>
    <xf numFmtId="0" fontId="43" fillId="25" borderId="0" applyNumberFormat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26" borderId="22" applyNumberFormat="0" applyAlignment="0" applyProtection="0"/>
    <xf numFmtId="0" fontId="45" fillId="26" borderId="22" applyNumberFormat="0" applyAlignment="0" applyProtection="0"/>
    <xf numFmtId="0" fontId="46" fillId="0" borderId="23" applyNumberFormat="0" applyFill="0" applyAlignment="0" applyProtection="0"/>
    <xf numFmtId="0" fontId="46" fillId="0" borderId="23" applyNumberFormat="0" applyFill="0" applyAlignment="0" applyProtection="0"/>
    <xf numFmtId="0" fontId="42" fillId="27" borderId="24" applyNumberFormat="0" applyFont="0" applyAlignment="0" applyProtection="0"/>
    <xf numFmtId="0" fontId="26" fillId="27" borderId="24" applyNumberFormat="0" applyFont="0" applyAlignment="0" applyProtection="0"/>
    <xf numFmtId="0" fontId="47" fillId="13" borderId="22" applyNumberFormat="0" applyAlignment="0" applyProtection="0"/>
    <xf numFmtId="0" fontId="47" fillId="13" borderId="22" applyNumberFormat="0" applyAlignment="0" applyProtection="0"/>
    <xf numFmtId="0" fontId="48" fillId="9" borderId="0" applyNumberFormat="0" applyBorder="0" applyAlignment="0" applyProtection="0"/>
    <xf numFmtId="0" fontId="48" fillId="9" borderId="0" applyNumberFormat="0" applyBorder="0" applyAlignment="0" applyProtection="0"/>
    <xf numFmtId="43" fontId="26" fillId="0" borderId="0" applyFont="0" applyFill="0" applyBorder="0" applyAlignment="0" applyProtection="0"/>
    <xf numFmtId="0" fontId="49" fillId="28" borderId="0" applyNumberFormat="0" applyBorder="0" applyAlignment="0" applyProtection="0"/>
    <xf numFmtId="0" fontId="49" fillId="28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 applyNumberFormat="0" applyFont="0" applyFill="0" applyBorder="0" applyAlignment="0" applyProtection="0"/>
    <xf numFmtId="0" fontId="50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52" fillId="26" borderId="5" applyNumberFormat="0" applyAlignment="0" applyProtection="0"/>
    <xf numFmtId="0" fontId="52" fillId="26" borderId="5" applyNumberFormat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5" applyNumberFormat="0" applyFill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26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28" applyNumberFormat="0" applyFill="0" applyAlignment="0" applyProtection="0"/>
    <xf numFmtId="0" fontId="58" fillId="0" borderId="28" applyNumberFormat="0" applyFill="0" applyAlignment="0" applyProtection="0"/>
    <xf numFmtId="0" fontId="59" fillId="29" borderId="29" applyNumberFormat="0" applyAlignment="0" applyProtection="0"/>
    <xf numFmtId="0" fontId="59" fillId="29" borderId="29" applyNumberFormat="0" applyAlignment="0" applyProtection="0"/>
  </cellStyleXfs>
  <cellXfs count="400">
    <xf numFmtId="0" fontId="0" fillId="0" borderId="0" xfId="0"/>
    <xf numFmtId="0" fontId="4" fillId="0" borderId="0" xfId="0" applyFont="1" applyAlignment="1">
      <alignment horizontal="left"/>
    </xf>
    <xf numFmtId="0" fontId="7" fillId="0" borderId="0" xfId="6" applyFont="1" applyAlignment="1">
      <alignment horizontal="left"/>
    </xf>
    <xf numFmtId="164" fontId="7" fillId="0" borderId="0" xfId="6" applyNumberFormat="1" applyFont="1" applyAlignment="1">
      <alignment horizontal="left"/>
    </xf>
    <xf numFmtId="0" fontId="8" fillId="0" borderId="0" xfId="6" applyFont="1" applyAlignment="1">
      <alignment horizontal="left"/>
    </xf>
    <xf numFmtId="0" fontId="4" fillId="0" borderId="0" xfId="9" applyFont="1" applyAlignment="1">
      <alignment horizontal="left"/>
    </xf>
    <xf numFmtId="164" fontId="8" fillId="0" borderId="0" xfId="6" applyNumberFormat="1" applyFont="1" applyAlignment="1">
      <alignment horizontal="left"/>
    </xf>
    <xf numFmtId="0" fontId="4" fillId="0" borderId="0" xfId="6" applyFont="1" applyAlignment="1">
      <alignment horizontal="left"/>
    </xf>
    <xf numFmtId="0" fontId="4" fillId="0" borderId="0" xfId="9" applyFont="1" applyBorder="1" applyAlignment="1">
      <alignment horizontal="left"/>
    </xf>
    <xf numFmtId="0" fontId="12" fillId="0" borderId="0" xfId="9" applyFont="1" applyBorder="1" applyAlignment="1">
      <alignment horizontal="left"/>
    </xf>
    <xf numFmtId="0" fontId="8" fillId="0" borderId="0" xfId="9" applyFont="1" applyAlignment="1">
      <alignment horizontal="left"/>
    </xf>
    <xf numFmtId="0" fontId="10" fillId="0" borderId="0" xfId="9" applyFont="1" applyAlignment="1">
      <alignment horizontal="left"/>
    </xf>
    <xf numFmtId="0" fontId="9" fillId="0" borderId="0" xfId="9" applyFont="1" applyFill="1" applyAlignment="1">
      <alignment horizontal="left"/>
    </xf>
    <xf numFmtId="0" fontId="8" fillId="2" borderId="1" xfId="9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49" fontId="13" fillId="2" borderId="1" xfId="0" applyNumberFormat="1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8" fillId="0" borderId="1" xfId="9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4" fillId="0" borderId="1" xfId="5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5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center" vertical="center" wrapText="1"/>
    </xf>
    <xf numFmtId="0" fontId="4" fillId="0" borderId="1" xfId="9" applyFont="1" applyBorder="1" applyAlignment="1">
      <alignment horizontal="left" vertical="center" wrapText="1"/>
    </xf>
    <xf numFmtId="0" fontId="4" fillId="0" borderId="7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vertical="center" wrapText="1"/>
    </xf>
    <xf numFmtId="0" fontId="4" fillId="0" borderId="0" xfId="9" applyFont="1" applyBorder="1" applyAlignment="1">
      <alignment horizontal="left" wrapText="1"/>
    </xf>
    <xf numFmtId="0" fontId="4" fillId="0" borderId="8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9" fillId="0" borderId="8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2" borderId="1" xfId="9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8" fillId="0" borderId="2" xfId="9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2" xfId="9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0" borderId="1" xfId="9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left" wrapText="1"/>
    </xf>
    <xf numFmtId="0" fontId="4" fillId="0" borderId="0" xfId="9" applyFont="1" applyBorder="1" applyAlignment="1">
      <alignment horizontal="left" vertical="center"/>
    </xf>
    <xf numFmtId="0" fontId="9" fillId="0" borderId="0" xfId="9" applyFont="1" applyFill="1" applyBorder="1" applyAlignment="1">
      <alignment horizontal="left"/>
    </xf>
    <xf numFmtId="0" fontId="9" fillId="2" borderId="1" xfId="9" applyFont="1" applyFill="1" applyBorder="1" applyAlignment="1">
      <alignment horizontal="left"/>
    </xf>
    <xf numFmtId="0" fontId="13" fillId="2" borderId="1" xfId="9" applyFont="1" applyFill="1" applyBorder="1" applyAlignment="1">
      <alignment horizontal="left"/>
    </xf>
    <xf numFmtId="0" fontId="16" fillId="0" borderId="1" xfId="9" applyFont="1" applyBorder="1" applyAlignment="1">
      <alignment horizontal="left" vertical="center" wrapText="1"/>
    </xf>
    <xf numFmtId="0" fontId="4" fillId="0" borderId="1" xfId="9" applyFont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/>
    </xf>
    <xf numFmtId="0" fontId="8" fillId="0" borderId="0" xfId="9" applyFont="1" applyBorder="1" applyAlignment="1">
      <alignment horizontal="left" vertical="center" wrapText="1"/>
    </xf>
    <xf numFmtId="0" fontId="9" fillId="0" borderId="0" xfId="9" applyFont="1" applyBorder="1" applyAlignment="1">
      <alignment horizontal="left" vertical="center" wrapText="1"/>
    </xf>
    <xf numFmtId="0" fontId="8" fillId="0" borderId="0" xfId="9" applyFont="1" applyBorder="1" applyAlignment="1">
      <alignment horizontal="left" vertical="center"/>
    </xf>
    <xf numFmtId="0" fontId="8" fillId="0" borderId="0" xfId="9" applyFont="1" applyFill="1" applyBorder="1" applyAlignment="1">
      <alignment horizontal="left" vertical="center"/>
    </xf>
    <xf numFmtId="0" fontId="9" fillId="2" borderId="1" xfId="0" applyFont="1" applyFill="1" applyBorder="1" applyAlignment="1" applyProtection="1">
      <alignment horizontal="left"/>
    </xf>
    <xf numFmtId="0" fontId="13" fillId="2" borderId="1" xfId="0" applyFont="1" applyFill="1" applyBorder="1" applyAlignment="1" applyProtection="1">
      <alignment horizontal="left"/>
    </xf>
    <xf numFmtId="0" fontId="13" fillId="2" borderId="7" xfId="0" applyFont="1" applyFill="1" applyBorder="1" applyAlignment="1" applyProtection="1">
      <alignment horizontal="left"/>
    </xf>
    <xf numFmtId="0" fontId="4" fillId="0" borderId="5" xfId="0" applyFont="1" applyBorder="1" applyAlignment="1">
      <alignment horizontal="left" wrapText="1"/>
    </xf>
    <xf numFmtId="0" fontId="8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2" fillId="0" borderId="7" xfId="1" applyNumberFormat="1" applyFont="1" applyFill="1" applyBorder="1" applyAlignment="1" applyProtection="1">
      <alignment horizontal="left" vertical="center" wrapText="1"/>
    </xf>
    <xf numFmtId="0" fontId="9" fillId="2" borderId="1" xfId="10" applyFont="1" applyFill="1" applyBorder="1" applyAlignment="1">
      <alignment horizontal="left"/>
    </xf>
    <xf numFmtId="0" fontId="8" fillId="2" borderId="1" xfId="10" applyFont="1" applyFill="1" applyBorder="1" applyAlignment="1">
      <alignment horizontal="left"/>
    </xf>
    <xf numFmtId="0" fontId="4" fillId="0" borderId="1" xfId="1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8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49" fontId="9" fillId="2" borderId="1" xfId="0" applyNumberFormat="1" applyFont="1" applyFill="1" applyBorder="1" applyAlignment="1" applyProtection="1">
      <alignment horizontal="left"/>
    </xf>
    <xf numFmtId="49" fontId="13" fillId="2" borderId="1" xfId="0" applyNumberFormat="1" applyFont="1" applyFill="1" applyBorder="1" applyAlignment="1" applyProtection="1">
      <alignment horizontal="left"/>
    </xf>
    <xf numFmtId="0" fontId="10" fillId="2" borderId="1" xfId="0" applyFont="1" applyFill="1" applyBorder="1" applyAlignment="1" applyProtection="1">
      <alignment horizontal="left"/>
      <protection locked="0"/>
    </xf>
    <xf numFmtId="0" fontId="13" fillId="2" borderId="6" xfId="0" applyFont="1" applyFill="1" applyBorder="1" applyAlignment="1">
      <alignment horizontal="left"/>
    </xf>
    <xf numFmtId="49" fontId="20" fillId="0" borderId="1" xfId="0" applyNumberFormat="1" applyFont="1" applyFill="1" applyBorder="1" applyAlignment="1" applyProtection="1">
      <alignment horizontal="left" vertical="center" wrapText="1"/>
    </xf>
    <xf numFmtId="49" fontId="20" fillId="0" borderId="1" xfId="0" applyNumberFormat="1" applyFont="1" applyFill="1" applyBorder="1" applyAlignment="1" applyProtection="1">
      <alignment horizontal="left" wrapText="1"/>
    </xf>
    <xf numFmtId="0" fontId="4" fillId="0" borderId="0" xfId="0" applyFont="1" applyFill="1" applyBorder="1" applyAlignment="1">
      <alignment horizontal="left"/>
    </xf>
    <xf numFmtId="0" fontId="20" fillId="0" borderId="1" xfId="9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/>
    </xf>
    <xf numFmtId="0" fontId="8" fillId="0" borderId="0" xfId="0" applyFont="1"/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2" fillId="0" borderId="1" xfId="3" applyNumberFormat="1" applyFont="1" applyFill="1" applyBorder="1" applyAlignment="1" applyProtection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2" borderId="1" xfId="0" applyFont="1" applyFill="1" applyBorder="1"/>
    <xf numFmtId="0" fontId="4" fillId="0" borderId="1" xfId="0" applyFont="1" applyFill="1" applyBorder="1" applyAlignment="1" applyProtection="1">
      <alignment horizontal="center"/>
      <protection locked="0"/>
    </xf>
    <xf numFmtId="0" fontId="22" fillId="3" borderId="11" xfId="0" applyFont="1" applyFill="1" applyBorder="1" applyAlignment="1">
      <alignment vertical="center"/>
    </xf>
    <xf numFmtId="0" fontId="0" fillId="0" borderId="12" xfId="0" applyFill="1" applyBorder="1"/>
    <xf numFmtId="0" fontId="17" fillId="4" borderId="12" xfId="0" applyFont="1" applyFill="1" applyBorder="1"/>
    <xf numFmtId="0" fontId="9" fillId="3" borderId="13" xfId="0" applyFont="1" applyFill="1" applyBorder="1" applyAlignment="1">
      <alignment horizontal="center" vertical="center"/>
    </xf>
    <xf numFmtId="0" fontId="13" fillId="0" borderId="14" xfId="9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7" fillId="3" borderId="15" xfId="0" applyFont="1" applyFill="1" applyBorder="1" applyAlignment="1">
      <alignment vertical="center"/>
    </xf>
    <xf numFmtId="0" fontId="0" fillId="0" borderId="12" xfId="0" applyBorder="1"/>
    <xf numFmtId="0" fontId="9" fillId="3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Fill="1" applyBorder="1"/>
    <xf numFmtId="0" fontId="13" fillId="0" borderId="1" xfId="9" applyFont="1" applyFill="1" applyBorder="1" applyAlignment="1">
      <alignment horizontal="center"/>
    </xf>
    <xf numFmtId="0" fontId="17" fillId="3" borderId="11" xfId="0" applyFont="1" applyFill="1" applyBorder="1" applyAlignment="1">
      <alignment vertical="center"/>
    </xf>
    <xf numFmtId="0" fontId="13" fillId="0" borderId="14" xfId="9" applyFont="1" applyBorder="1" applyAlignment="1">
      <alignment horizontal="center" vertical="center"/>
    </xf>
    <xf numFmtId="0" fontId="17" fillId="3" borderId="16" xfId="0" applyFont="1" applyFill="1" applyBorder="1" applyAlignment="1">
      <alignment vertical="center"/>
    </xf>
    <xf numFmtId="0" fontId="4" fillId="0" borderId="0" xfId="0" applyFont="1" applyAlignment="1" applyProtection="1">
      <protection locked="0"/>
    </xf>
    <xf numFmtId="0" fontId="8" fillId="0" borderId="0" xfId="0" applyFont="1" applyAlignment="1" applyProtection="1"/>
    <xf numFmtId="0" fontId="4" fillId="5" borderId="11" xfId="0" applyFont="1" applyFill="1" applyBorder="1" applyAlignment="1">
      <alignment vertical="center"/>
    </xf>
    <xf numFmtId="0" fontId="4" fillId="0" borderId="0" xfId="0" applyFont="1" applyProtection="1">
      <protection locked="0"/>
    </xf>
    <xf numFmtId="0" fontId="8" fillId="5" borderId="13" xfId="0" applyFont="1" applyFill="1" applyBorder="1" applyAlignment="1">
      <alignment horizontal="center" vertical="center"/>
    </xf>
    <xf numFmtId="0" fontId="8" fillId="0" borderId="0" xfId="0" applyFont="1" applyProtection="1"/>
    <xf numFmtId="0" fontId="23" fillId="3" borderId="16" xfId="0" applyFont="1" applyFill="1" applyBorder="1" applyAlignment="1">
      <alignment vertical="center"/>
    </xf>
    <xf numFmtId="0" fontId="4" fillId="5" borderId="16" xfId="0" applyFont="1" applyFill="1" applyBorder="1" applyAlignment="1">
      <alignment vertical="center"/>
    </xf>
    <xf numFmtId="0" fontId="24" fillId="3" borderId="11" xfId="0" applyFont="1" applyFill="1" applyBorder="1" applyAlignment="1">
      <alignment vertical="center"/>
    </xf>
    <xf numFmtId="0" fontId="24" fillId="0" borderId="12" xfId="0" applyFont="1" applyFill="1" applyBorder="1"/>
    <xf numFmtId="0" fontId="25" fillId="0" borderId="0" xfId="0" applyFont="1" applyAlignment="1">
      <alignment horizontal="right"/>
    </xf>
    <xf numFmtId="0" fontId="25" fillId="0" borderId="0" xfId="0" applyFont="1"/>
    <xf numFmtId="0" fontId="26" fillId="0" borderId="0" xfId="0" applyFont="1" applyAlignment="1" applyProtection="1">
      <protection locked="0"/>
    </xf>
    <xf numFmtId="0" fontId="25" fillId="0" borderId="0" xfId="0" applyFont="1" applyFill="1"/>
    <xf numFmtId="0" fontId="27" fillId="0" borderId="0" xfId="0" applyFont="1"/>
    <xf numFmtId="0" fontId="22" fillId="6" borderId="12" xfId="5" applyFont="1" applyFill="1" applyBorder="1"/>
    <xf numFmtId="0" fontId="28" fillId="0" borderId="12" xfId="5" applyFont="1" applyFill="1" applyBorder="1"/>
    <xf numFmtId="0" fontId="4" fillId="0" borderId="12" xfId="5" applyBorder="1"/>
    <xf numFmtId="0" fontId="4" fillId="0" borderId="0" xfId="5"/>
    <xf numFmtId="0" fontId="9" fillId="6" borderId="1" xfId="5" applyFont="1" applyFill="1" applyBorder="1"/>
    <xf numFmtId="0" fontId="8" fillId="0" borderId="1" xfId="5" applyFont="1" applyFill="1" applyBorder="1"/>
    <xf numFmtId="0" fontId="8" fillId="0" borderId="1" xfId="5" applyFont="1" applyBorder="1"/>
    <xf numFmtId="0" fontId="0" fillId="7" borderId="12" xfId="0" applyFill="1" applyBorder="1"/>
    <xf numFmtId="0" fontId="15" fillId="7" borderId="1" xfId="0" applyFont="1" applyFill="1" applyBorder="1"/>
    <xf numFmtId="0" fontId="14" fillId="0" borderId="0" xfId="0" applyFont="1"/>
    <xf numFmtId="0" fontId="0" fillId="0" borderId="0" xfId="0" applyFont="1"/>
    <xf numFmtId="0" fontId="23" fillId="0" borderId="0" xfId="0" applyFont="1"/>
    <xf numFmtId="165" fontId="25" fillId="0" borderId="0" xfId="0" applyNumberFormat="1" applyFont="1" applyAlignment="1">
      <alignment horizontal="right"/>
    </xf>
    <xf numFmtId="0" fontId="1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/>
    </xf>
    <xf numFmtId="0" fontId="13" fillId="0" borderId="2" xfId="9" applyFont="1" applyFill="1" applyBorder="1" applyAlignment="1">
      <alignment horizontal="center" vertical="center" wrapText="1"/>
    </xf>
    <xf numFmtId="0" fontId="13" fillId="0" borderId="14" xfId="9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 wrapText="1"/>
    </xf>
    <xf numFmtId="0" fontId="32" fillId="0" borderId="17" xfId="0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5" fontId="0" fillId="0" borderId="12" xfId="0" applyNumberFormat="1" applyFill="1" applyBorder="1" applyAlignment="1">
      <alignment horizontal="center" vertical="center"/>
    </xf>
    <xf numFmtId="0" fontId="0" fillId="0" borderId="17" xfId="6" applyFont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/>
    </xf>
    <xf numFmtId="0" fontId="26" fillId="0" borderId="2" xfId="9" applyFont="1" applyFill="1" applyBorder="1" applyAlignment="1">
      <alignment horizontal="center" vertical="center" wrapText="1"/>
    </xf>
    <xf numFmtId="0" fontId="26" fillId="0" borderId="14" xfId="9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 wrapText="1"/>
    </xf>
    <xf numFmtId="0" fontId="33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17" fillId="3" borderId="20" xfId="0" applyFont="1" applyFill="1" applyBorder="1" applyAlignment="1">
      <alignment vertical="center"/>
    </xf>
    <xf numFmtId="0" fontId="0" fillId="0" borderId="21" xfId="0" applyFill="1" applyBorder="1"/>
    <xf numFmtId="0" fontId="0" fillId="0" borderId="0" xfId="0" applyFill="1" applyBorder="1"/>
    <xf numFmtId="49" fontId="0" fillId="0" borderId="0" xfId="0" applyNumberFormat="1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9" fillId="0" borderId="0" xfId="0" applyFont="1"/>
    <xf numFmtId="0" fontId="38" fillId="0" borderId="0" xfId="0" applyFont="1"/>
    <xf numFmtId="0" fontId="39" fillId="0" borderId="0" xfId="0" applyFont="1" applyAlignment="1"/>
    <xf numFmtId="0" fontId="36" fillId="0" borderId="0" xfId="0" applyFont="1" applyAlignment="1"/>
    <xf numFmtId="0" fontId="38" fillId="0" borderId="0" xfId="0" applyFont="1" applyAlignment="1"/>
    <xf numFmtId="0" fontId="0" fillId="0" borderId="0" xfId="0" applyFont="1" applyProtection="1">
      <protection locked="0"/>
    </xf>
    <xf numFmtId="0" fontId="2" fillId="0" borderId="0" xfId="1" applyNumberFormat="1" applyFill="1" applyBorder="1" applyAlignment="1" applyProtection="1">
      <protection locked="0"/>
    </xf>
    <xf numFmtId="0" fontId="0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0" fillId="0" borderId="0" xfId="0" applyFont="1"/>
    <xf numFmtId="14" fontId="0" fillId="0" borderId="0" xfId="0" applyNumberFormat="1"/>
    <xf numFmtId="0" fontId="26" fillId="0" borderId="0" xfId="12" applyNumberFormat="1" applyFont="1" applyFill="1" applyBorder="1" applyAlignment="1">
      <alignment horizontal="center"/>
    </xf>
    <xf numFmtId="0" fontId="23" fillId="0" borderId="0" xfId="13" applyAlignment="1">
      <alignment horizontal="center"/>
    </xf>
    <xf numFmtId="0" fontId="23" fillId="0" borderId="0" xfId="13"/>
    <xf numFmtId="14" fontId="26" fillId="0" borderId="0" xfId="12" applyNumberFormat="1" applyFont="1" applyFill="1" applyBorder="1" applyAlignment="1">
      <alignment horizontal="center"/>
    </xf>
    <xf numFmtId="0" fontId="23" fillId="0" borderId="0" xfId="13" applyBorder="1" applyAlignment="1">
      <alignment horizontal="center"/>
    </xf>
    <xf numFmtId="0" fontId="32" fillId="0" borderId="0" xfId="13" applyFont="1" applyBorder="1" applyAlignment="1">
      <alignment horizontal="center"/>
    </xf>
    <xf numFmtId="0" fontId="32" fillId="0" borderId="0" xfId="13" applyFont="1" applyFill="1" applyBorder="1" applyAlignment="1">
      <alignment horizontal="center"/>
    </xf>
    <xf numFmtId="14" fontId="23" fillId="0" borderId="0" xfId="13" applyNumberFormat="1" applyAlignment="1">
      <alignment horizontal="center"/>
    </xf>
    <xf numFmtId="166" fontId="23" fillId="0" borderId="0" xfId="13" applyNumberFormat="1" applyAlignment="1">
      <alignment horizontal="center"/>
    </xf>
    <xf numFmtId="0" fontId="1" fillId="0" borderId="0" xfId="87" applyFont="1" applyBorder="1" applyAlignment="1"/>
    <xf numFmtId="0" fontId="1" fillId="0" borderId="0" xfId="87" applyBorder="1" applyAlignment="1"/>
    <xf numFmtId="0" fontId="1" fillId="0" borderId="0" xfId="87"/>
    <xf numFmtId="0" fontId="1" fillId="0" borderId="0" xfId="87" applyAlignment="1">
      <alignment horizontal="center"/>
    </xf>
    <xf numFmtId="0" fontId="1" fillId="0" borderId="30" xfId="87" applyFont="1" applyBorder="1" applyAlignment="1">
      <alignment horizontal="center"/>
    </xf>
    <xf numFmtId="0" fontId="1" fillId="0" borderId="31" xfId="87" applyFont="1" applyBorder="1" applyAlignment="1">
      <alignment horizontal="center"/>
    </xf>
    <xf numFmtId="0" fontId="1" fillId="0" borderId="31" xfId="87" applyBorder="1" applyAlignment="1">
      <alignment horizontal="center"/>
    </xf>
    <xf numFmtId="0" fontId="1" fillId="0" borderId="32" xfId="87" applyBorder="1" applyAlignment="1">
      <alignment horizontal="center"/>
    </xf>
    <xf numFmtId="0" fontId="60" fillId="0" borderId="0" xfId="13" applyFont="1" applyAlignment="1"/>
    <xf numFmtId="0" fontId="1" fillId="0" borderId="33" xfId="87" applyBorder="1" applyAlignment="1">
      <alignment horizontal="center"/>
    </xf>
    <xf numFmtId="0" fontId="1" fillId="0" borderId="0" xfId="87" applyBorder="1" applyAlignment="1">
      <alignment horizontal="center"/>
    </xf>
    <xf numFmtId="0" fontId="1" fillId="0" borderId="34" xfId="87" applyBorder="1" applyAlignment="1">
      <alignment horizontal="center"/>
    </xf>
    <xf numFmtId="0" fontId="1" fillId="0" borderId="35" xfId="87" applyBorder="1" applyAlignment="1">
      <alignment horizontal="center"/>
    </xf>
    <xf numFmtId="0" fontId="1" fillId="0" borderId="36" xfId="87" applyBorder="1" applyAlignment="1">
      <alignment horizontal="center"/>
    </xf>
    <xf numFmtId="0" fontId="1" fillId="0" borderId="37" xfId="87" applyBorder="1" applyAlignment="1">
      <alignment horizontal="center"/>
    </xf>
    <xf numFmtId="14" fontId="1" fillId="0" borderId="0" xfId="87" applyNumberFormat="1" applyAlignment="1">
      <alignment horizontal="center"/>
    </xf>
    <xf numFmtId="21" fontId="1" fillId="0" borderId="0" xfId="87" applyNumberFormat="1" applyAlignment="1">
      <alignment horizontal="center"/>
    </xf>
    <xf numFmtId="0" fontId="1" fillId="0" borderId="30" xfId="87" applyBorder="1"/>
    <xf numFmtId="0" fontId="1" fillId="0" borderId="31" xfId="87" applyBorder="1"/>
    <xf numFmtId="0" fontId="1" fillId="0" borderId="32" xfId="87" applyBorder="1"/>
    <xf numFmtId="0" fontId="1" fillId="0" borderId="33" xfId="87" applyBorder="1"/>
    <xf numFmtId="0" fontId="1" fillId="0" borderId="0" xfId="87" applyBorder="1"/>
    <xf numFmtId="0" fontId="1" fillId="0" borderId="34" xfId="87" applyBorder="1"/>
    <xf numFmtId="0" fontId="1" fillId="32" borderId="0" xfId="87" applyFill="1" applyBorder="1" applyAlignment="1">
      <alignment horizontal="center"/>
    </xf>
    <xf numFmtId="14" fontId="1" fillId="32" borderId="0" xfId="87" applyNumberFormat="1" applyFill="1" applyAlignment="1">
      <alignment horizontal="center"/>
    </xf>
    <xf numFmtId="21" fontId="1" fillId="32" borderId="0" xfId="87" applyNumberFormat="1" applyFill="1" applyAlignment="1">
      <alignment horizontal="center"/>
    </xf>
    <xf numFmtId="0" fontId="1" fillId="32" borderId="33" xfId="87" applyFill="1" applyBorder="1" applyAlignment="1">
      <alignment horizontal="center"/>
    </xf>
    <xf numFmtId="0" fontId="1" fillId="32" borderId="34" xfId="87" applyFill="1" applyBorder="1" applyAlignment="1">
      <alignment horizontal="center"/>
    </xf>
    <xf numFmtId="0" fontId="1" fillId="32" borderId="36" xfId="87" applyFill="1" applyBorder="1" applyAlignment="1">
      <alignment horizontal="center"/>
    </xf>
    <xf numFmtId="0" fontId="26" fillId="0" borderId="0" xfId="77"/>
    <xf numFmtId="0" fontId="26" fillId="0" borderId="0" xfId="77" applyFont="1"/>
    <xf numFmtId="0" fontId="61" fillId="0" borderId="0" xfId="77" applyFont="1"/>
    <xf numFmtId="1" fontId="26" fillId="0" borderId="0" xfId="77" applyNumberFormat="1"/>
    <xf numFmtId="167" fontId="23" fillId="0" borderId="17" xfId="13" applyNumberFormat="1" applyBorder="1" applyAlignment="1">
      <alignment horizontal="center"/>
    </xf>
    <xf numFmtId="0" fontId="26" fillId="0" borderId="38" xfId="77" applyBorder="1" applyAlignment="1">
      <alignment horizontal="center"/>
    </xf>
    <xf numFmtId="0" fontId="26" fillId="0" borderId="38" xfId="77" applyFont="1" applyBorder="1" applyAlignment="1">
      <alignment horizontal="center"/>
    </xf>
    <xf numFmtId="14" fontId="26" fillId="0" borderId="38" xfId="77" applyNumberFormat="1" applyFont="1" applyBorder="1" applyAlignment="1">
      <alignment horizontal="center"/>
    </xf>
    <xf numFmtId="167" fontId="23" fillId="0" borderId="17" xfId="13" applyNumberFormat="1" applyFill="1" applyBorder="1" applyAlignment="1">
      <alignment horizontal="center"/>
    </xf>
    <xf numFmtId="0" fontId="61" fillId="33" borderId="41" xfId="77" applyFont="1" applyFill="1" applyBorder="1" applyAlignment="1">
      <alignment horizontal="center"/>
    </xf>
    <xf numFmtId="0" fontId="61" fillId="33" borderId="38" xfId="77" applyFont="1" applyFill="1" applyBorder="1" applyAlignment="1">
      <alignment horizontal="center"/>
    </xf>
    <xf numFmtId="0" fontId="26" fillId="0" borderId="0" xfId="77" applyAlignment="1">
      <alignment horizontal="center"/>
    </xf>
    <xf numFmtId="0" fontId="40" fillId="0" borderId="0" xfId="13" applyFont="1"/>
    <xf numFmtId="0" fontId="63" fillId="0" borderId="0" xfId="13" applyFont="1" applyFill="1" applyAlignment="1">
      <alignment horizontal="center"/>
    </xf>
    <xf numFmtId="0" fontId="26" fillId="34" borderId="43" xfId="13" applyFont="1" applyFill="1" applyBorder="1" applyAlignment="1">
      <alignment horizontal="center" vertical="center"/>
    </xf>
    <xf numFmtId="0" fontId="64" fillId="30" borderId="44" xfId="13" applyFont="1" applyFill="1" applyBorder="1" applyAlignment="1">
      <alignment horizontal="center" vertical="center"/>
    </xf>
    <xf numFmtId="0" fontId="64" fillId="30" borderId="45" xfId="13" applyFont="1" applyFill="1" applyBorder="1" applyAlignment="1">
      <alignment horizontal="center" vertical="center"/>
    </xf>
    <xf numFmtId="0" fontId="64" fillId="32" borderId="46" xfId="13" applyFont="1" applyFill="1" applyBorder="1" applyAlignment="1">
      <alignment horizontal="center" vertical="center"/>
    </xf>
    <xf numFmtId="0" fontId="65" fillId="34" borderId="37" xfId="13" applyFont="1" applyFill="1" applyBorder="1" applyAlignment="1">
      <alignment horizontal="center" vertical="center"/>
    </xf>
    <xf numFmtId="0" fontId="65" fillId="0" borderId="47" xfId="13" applyFont="1" applyFill="1" applyBorder="1" applyAlignment="1">
      <alignment horizontal="center" vertical="center"/>
    </xf>
    <xf numFmtId="0" fontId="65" fillId="34" borderId="35" xfId="13" applyFont="1" applyFill="1" applyBorder="1" applyAlignment="1">
      <alignment horizontal="center" vertical="center"/>
    </xf>
    <xf numFmtId="0" fontId="64" fillId="35" borderId="44" xfId="13" applyFont="1" applyFill="1" applyBorder="1" applyAlignment="1">
      <alignment horizontal="center" vertical="center"/>
    </xf>
    <xf numFmtId="0" fontId="64" fillId="35" borderId="45" xfId="13" applyFont="1" applyFill="1" applyBorder="1" applyAlignment="1">
      <alignment horizontal="center" vertical="center"/>
    </xf>
    <xf numFmtId="0" fontId="64" fillId="36" borderId="48" xfId="13" applyFont="1" applyFill="1" applyBorder="1" applyAlignment="1">
      <alignment horizontal="center" vertical="center"/>
    </xf>
    <xf numFmtId="0" fontId="26" fillId="34" borderId="49" xfId="13" applyFont="1" applyFill="1" applyBorder="1" applyAlignment="1">
      <alignment horizontal="center" vertical="center"/>
    </xf>
    <xf numFmtId="0" fontId="26" fillId="0" borderId="0" xfId="13" applyFont="1" applyFill="1"/>
    <xf numFmtId="0" fontId="64" fillId="36" borderId="50" xfId="13" applyFont="1" applyFill="1" applyBorder="1" applyAlignment="1">
      <alignment horizontal="center" vertical="center"/>
    </xf>
    <xf numFmtId="0" fontId="64" fillId="30" borderId="17" xfId="13" applyFont="1" applyFill="1" applyBorder="1" applyAlignment="1">
      <alignment horizontal="center" vertical="center"/>
    </xf>
    <xf numFmtId="0" fontId="64" fillId="32" borderId="51" xfId="13" applyFont="1" applyFill="1" applyBorder="1" applyAlignment="1">
      <alignment horizontal="center" vertical="center"/>
    </xf>
    <xf numFmtId="0" fontId="64" fillId="36" borderId="52" xfId="13" applyFont="1" applyFill="1" applyBorder="1" applyAlignment="1">
      <alignment horizontal="center" vertical="center"/>
    </xf>
    <xf numFmtId="0" fontId="64" fillId="30" borderId="53" xfId="13" applyFont="1" applyFill="1" applyBorder="1" applyAlignment="1">
      <alignment horizontal="center" vertical="center"/>
    </xf>
    <xf numFmtId="0" fontId="65" fillId="34" borderId="49" xfId="13" applyFont="1" applyFill="1" applyBorder="1" applyAlignment="1">
      <alignment horizontal="center" vertical="center"/>
    </xf>
    <xf numFmtId="0" fontId="65" fillId="0" borderId="17" xfId="13" applyFont="1" applyFill="1" applyBorder="1" applyAlignment="1">
      <alignment horizontal="center" vertical="center"/>
    </xf>
    <xf numFmtId="0" fontId="65" fillId="34" borderId="43" xfId="13" applyFont="1" applyFill="1" applyBorder="1" applyAlignment="1">
      <alignment horizontal="center" vertical="center"/>
    </xf>
    <xf numFmtId="0" fontId="64" fillId="35" borderId="54" xfId="13" applyFont="1" applyFill="1" applyBorder="1" applyAlignment="1">
      <alignment horizontal="center" vertical="center"/>
    </xf>
    <xf numFmtId="0" fontId="64" fillId="35" borderId="17" xfId="13" applyFont="1" applyFill="1" applyBorder="1" applyAlignment="1">
      <alignment horizontal="center" vertical="center"/>
    </xf>
    <xf numFmtId="0" fontId="64" fillId="35" borderId="53" xfId="13" applyFont="1" applyFill="1" applyBorder="1" applyAlignment="1">
      <alignment horizontal="center" vertical="center"/>
    </xf>
    <xf numFmtId="0" fontId="64" fillId="30" borderId="54" xfId="13" applyFont="1" applyFill="1" applyBorder="1" applyAlignment="1">
      <alignment horizontal="center" vertical="center"/>
    </xf>
    <xf numFmtId="0" fontId="64" fillId="30" borderId="55" xfId="13" applyFont="1" applyFill="1" applyBorder="1" applyAlignment="1">
      <alignment horizontal="center" vertical="center"/>
    </xf>
    <xf numFmtId="0" fontId="64" fillId="30" borderId="56" xfId="13" applyFont="1" applyFill="1" applyBorder="1" applyAlignment="1">
      <alignment horizontal="center" vertical="center"/>
    </xf>
    <xf numFmtId="0" fontId="64" fillId="32" borderId="57" xfId="13" applyFont="1" applyFill="1" applyBorder="1" applyAlignment="1">
      <alignment horizontal="center" vertical="center"/>
    </xf>
    <xf numFmtId="0" fontId="64" fillId="30" borderId="58" xfId="13" applyFont="1" applyFill="1" applyBorder="1" applyAlignment="1">
      <alignment horizontal="center" vertical="center"/>
    </xf>
    <xf numFmtId="0" fontId="64" fillId="35" borderId="55" xfId="13" applyFont="1" applyFill="1" applyBorder="1" applyAlignment="1">
      <alignment horizontal="center" vertical="center"/>
    </xf>
    <xf numFmtId="0" fontId="64" fillId="35" borderId="56" xfId="13" applyFont="1" applyFill="1" applyBorder="1" applyAlignment="1">
      <alignment horizontal="center" vertical="center"/>
    </xf>
    <xf numFmtId="0" fontId="64" fillId="36" borderId="59" xfId="13" applyFont="1" applyFill="1" applyBorder="1" applyAlignment="1">
      <alignment horizontal="center" vertical="center"/>
    </xf>
    <xf numFmtId="0" fontId="64" fillId="35" borderId="58" xfId="13" applyFont="1" applyFill="1" applyBorder="1" applyAlignment="1">
      <alignment horizontal="center" vertical="center"/>
    </xf>
    <xf numFmtId="0" fontId="64" fillId="32" borderId="60" xfId="13" applyFont="1" applyFill="1" applyBorder="1" applyAlignment="1">
      <alignment horizontal="center" vertical="center"/>
    </xf>
    <xf numFmtId="0" fontId="64" fillId="35" borderId="61" xfId="13" applyFont="1" applyFill="1" applyBorder="1" applyAlignment="1">
      <alignment horizontal="center" vertical="center"/>
    </xf>
    <xf numFmtId="0" fontId="64" fillId="30" borderId="61" xfId="13" applyFont="1" applyFill="1" applyBorder="1" applyAlignment="1">
      <alignment horizontal="center" vertical="center"/>
    </xf>
    <xf numFmtId="0" fontId="64" fillId="32" borderId="62" xfId="13" applyFont="1" applyFill="1" applyBorder="1" applyAlignment="1">
      <alignment horizontal="center" vertical="center"/>
    </xf>
    <xf numFmtId="0" fontId="64" fillId="35" borderId="63" xfId="13" applyFont="1" applyFill="1" applyBorder="1" applyAlignment="1">
      <alignment horizontal="center" vertical="center"/>
    </xf>
    <xf numFmtId="0" fontId="64" fillId="35" borderId="64" xfId="13" applyFont="1" applyFill="1" applyBorder="1" applyAlignment="1">
      <alignment horizontal="center" vertical="center"/>
    </xf>
    <xf numFmtId="0" fontId="64" fillId="35" borderId="65" xfId="13" applyFont="1" applyFill="1" applyBorder="1" applyAlignment="1">
      <alignment horizontal="center" vertical="center"/>
    </xf>
    <xf numFmtId="0" fontId="64" fillId="35" borderId="49" xfId="13" applyFont="1" applyFill="1" applyBorder="1" applyAlignment="1">
      <alignment horizontal="center" vertical="center"/>
    </xf>
    <xf numFmtId="0" fontId="64" fillId="35" borderId="66" xfId="13" applyFont="1" applyFill="1" applyBorder="1" applyAlignment="1">
      <alignment horizontal="center" vertical="center"/>
    </xf>
    <xf numFmtId="0" fontId="64" fillId="35" borderId="67" xfId="13" applyFont="1" applyFill="1" applyBorder="1" applyAlignment="1">
      <alignment horizontal="center" vertical="center"/>
    </xf>
    <xf numFmtId="0" fontId="64" fillId="35" borderId="68" xfId="13" applyFont="1" applyFill="1" applyBorder="1" applyAlignment="1">
      <alignment horizontal="center" vertical="center"/>
    </xf>
    <xf numFmtId="0" fontId="65" fillId="34" borderId="55" xfId="13" applyFont="1" applyFill="1" applyBorder="1" applyAlignment="1">
      <alignment horizontal="center" vertical="center"/>
    </xf>
    <xf numFmtId="0" fontId="65" fillId="0" borderId="56" xfId="13" applyFont="1" applyFill="1" applyBorder="1" applyAlignment="1">
      <alignment horizontal="center" vertical="center"/>
    </xf>
    <xf numFmtId="0" fontId="65" fillId="34" borderId="58" xfId="13" applyFont="1" applyFill="1" applyBorder="1" applyAlignment="1">
      <alignment horizontal="center" vertical="center"/>
    </xf>
    <xf numFmtId="0" fontId="26" fillId="34" borderId="17" xfId="13" applyFont="1" applyFill="1" applyBorder="1" applyAlignment="1">
      <alignment horizontal="center" vertical="center"/>
    </xf>
    <xf numFmtId="0" fontId="26" fillId="34" borderId="47" xfId="13" applyFont="1" applyFill="1" applyBorder="1" applyAlignment="1">
      <alignment horizontal="center" vertical="center"/>
    </xf>
    <xf numFmtId="0" fontId="26" fillId="0" borderId="69" xfId="13" applyFont="1" applyFill="1" applyBorder="1"/>
    <xf numFmtId="0" fontId="26" fillId="0" borderId="0" xfId="13" applyFont="1" applyFill="1" applyBorder="1"/>
    <xf numFmtId="0" fontId="26" fillId="0" borderId="70" xfId="13" applyFont="1" applyFill="1" applyBorder="1"/>
    <xf numFmtId="0" fontId="26" fillId="0" borderId="71" xfId="13" applyFont="1" applyFill="1" applyBorder="1"/>
    <xf numFmtId="0" fontId="26" fillId="0" borderId="72" xfId="13" applyFont="1" applyFill="1" applyBorder="1"/>
    <xf numFmtId="0" fontId="26" fillId="0" borderId="73" xfId="13" applyFont="1" applyFill="1" applyBorder="1"/>
    <xf numFmtId="0" fontId="26" fillId="0" borderId="74" xfId="13" applyFont="1" applyFill="1" applyBorder="1"/>
    <xf numFmtId="0" fontId="67" fillId="0" borderId="17" xfId="13" applyFont="1" applyBorder="1" applyAlignment="1">
      <alignment horizontal="center"/>
    </xf>
    <xf numFmtId="0" fontId="68" fillId="32" borderId="76" xfId="13" applyFont="1" applyFill="1" applyBorder="1" applyAlignment="1">
      <alignment horizontal="center" vertical="center" textRotation="90"/>
    </xf>
    <xf numFmtId="0" fontId="69" fillId="0" borderId="0" xfId="13" applyFont="1" applyFill="1" applyAlignment="1">
      <alignment vertical="center"/>
    </xf>
    <xf numFmtId="0" fontId="65" fillId="0" borderId="79" xfId="13" applyFont="1" applyFill="1" applyBorder="1"/>
    <xf numFmtId="0" fontId="26" fillId="0" borderId="79" xfId="13" applyFont="1" applyFill="1" applyBorder="1"/>
    <xf numFmtId="0" fontId="68" fillId="36" borderId="80" xfId="13" applyFont="1" applyFill="1" applyBorder="1" applyAlignment="1">
      <alignment horizontal="center" vertical="center" textRotation="90"/>
    </xf>
    <xf numFmtId="0" fontId="69" fillId="0" borderId="0" xfId="13" applyFont="1" applyFill="1" applyAlignment="1">
      <alignment horizontal="center" vertical="center"/>
    </xf>
    <xf numFmtId="0" fontId="70" fillId="33" borderId="17" xfId="13" applyFont="1" applyFill="1" applyBorder="1" applyAlignment="1">
      <alignment horizontal="center"/>
    </xf>
    <xf numFmtId="14" fontId="71" fillId="31" borderId="17" xfId="13" applyNumberFormat="1" applyFont="1" applyFill="1" applyBorder="1" applyAlignment="1">
      <alignment horizontal="center"/>
    </xf>
    <xf numFmtId="14" fontId="71" fillId="0" borderId="17" xfId="13" applyNumberFormat="1" applyFont="1" applyBorder="1" applyAlignment="1">
      <alignment horizontal="center"/>
    </xf>
    <xf numFmtId="0" fontId="71" fillId="0" borderId="17" xfId="13" applyFont="1" applyBorder="1" applyAlignment="1">
      <alignment horizontal="center"/>
    </xf>
    <xf numFmtId="0" fontId="71" fillId="0" borderId="17" xfId="13" applyFont="1" applyFill="1" applyBorder="1" applyAlignment="1">
      <alignment horizontal="center"/>
    </xf>
    <xf numFmtId="14" fontId="23" fillId="0" borderId="0" xfId="13" applyNumberFormat="1"/>
    <xf numFmtId="0" fontId="27" fillId="0" borderId="0" xfId="13" applyFont="1"/>
    <xf numFmtId="0" fontId="13" fillId="35" borderId="14" xfId="9" applyFont="1" applyFill="1" applyBorder="1" applyAlignment="1">
      <alignment horizontal="center"/>
    </xf>
    <xf numFmtId="0" fontId="0" fillId="35" borderId="12" xfId="0" applyFill="1" applyBorder="1"/>
    <xf numFmtId="0" fontId="0" fillId="0" borderId="0" xfId="0" applyFill="1"/>
    <xf numFmtId="2" fontId="0" fillId="0" borderId="0" xfId="0" applyNumberFormat="1" applyFill="1"/>
    <xf numFmtId="1" fontId="0" fillId="0" borderId="0" xfId="0" applyNumberFormat="1" applyFill="1"/>
    <xf numFmtId="168" fontId="0" fillId="0" borderId="0" xfId="0" applyNumberFormat="1"/>
    <xf numFmtId="3" fontId="0" fillId="0" borderId="0" xfId="0" applyNumberFormat="1"/>
    <xf numFmtId="0" fontId="0" fillId="0" borderId="0" xfId="0" applyNumberFormat="1"/>
    <xf numFmtId="0" fontId="26" fillId="0" borderId="39" xfId="77" applyBorder="1" applyAlignment="1">
      <alignment horizontal="center"/>
    </xf>
    <xf numFmtId="0" fontId="72" fillId="3" borderId="0" xfId="0" applyFont="1" applyFill="1" applyBorder="1" applyAlignment="1">
      <alignment vertical="center"/>
    </xf>
    <xf numFmtId="0" fontId="73" fillId="0" borderId="0" xfId="0" applyFont="1"/>
    <xf numFmtId="0" fontId="72" fillId="4" borderId="12" xfId="0" applyFont="1" applyFill="1" applyBorder="1"/>
    <xf numFmtId="0" fontId="73" fillId="0" borderId="12" xfId="0" applyFont="1" applyFill="1" applyBorder="1"/>
    <xf numFmtId="0" fontId="73" fillId="0" borderId="0" xfId="0" applyFont="1" applyFill="1"/>
    <xf numFmtId="165" fontId="74" fillId="0" borderId="0" xfId="0" applyNumberFormat="1" applyFont="1" applyAlignment="1">
      <alignment horizontal="right"/>
    </xf>
    <xf numFmtId="2" fontId="73" fillId="0" borderId="0" xfId="0" applyNumberFormat="1" applyFont="1" applyFill="1"/>
    <xf numFmtId="1" fontId="73" fillId="0" borderId="0" xfId="0" applyNumberFormat="1" applyFont="1" applyFill="1"/>
    <xf numFmtId="168" fontId="73" fillId="0" borderId="0" xfId="0" applyNumberFormat="1" applyFont="1"/>
    <xf numFmtId="0" fontId="73" fillId="0" borderId="0" xfId="0" applyNumberFormat="1" applyFont="1"/>
    <xf numFmtId="0" fontId="74" fillId="0" borderId="0" xfId="0" applyFont="1" applyAlignment="1">
      <alignment horizontal="right"/>
    </xf>
    <xf numFmtId="0" fontId="74" fillId="0" borderId="0" xfId="0" applyFont="1"/>
    <xf numFmtId="3" fontId="73" fillId="0" borderId="0" xfId="0" applyNumberFormat="1" applyFont="1"/>
    <xf numFmtId="0" fontId="61" fillId="33" borderId="87" xfId="77" applyFont="1" applyFill="1" applyBorder="1" applyAlignment="1">
      <alignment horizontal="center"/>
    </xf>
    <xf numFmtId="0" fontId="26" fillId="0" borderId="88" xfId="77" applyBorder="1" applyAlignment="1">
      <alignment horizontal="center"/>
    </xf>
    <xf numFmtId="0" fontId="26" fillId="0" borderId="17" xfId="77" applyBorder="1" applyAlignment="1">
      <alignment horizontal="center"/>
    </xf>
    <xf numFmtId="0" fontId="61" fillId="33" borderId="90" xfId="77" applyFont="1" applyFill="1" applyBorder="1" applyAlignment="1">
      <alignment horizontal="center"/>
    </xf>
    <xf numFmtId="0" fontId="26" fillId="0" borderId="90" xfId="77" applyBorder="1" applyAlignment="1">
      <alignment horizontal="center"/>
    </xf>
    <xf numFmtId="2" fontId="26" fillId="0" borderId="38" xfId="77" applyNumberFormat="1" applyBorder="1" applyAlignment="1">
      <alignment horizontal="center"/>
    </xf>
    <xf numFmtId="0" fontId="61" fillId="33" borderId="97" xfId="77" applyFont="1" applyFill="1" applyBorder="1" applyAlignment="1">
      <alignment horizontal="center"/>
    </xf>
    <xf numFmtId="2" fontId="26" fillId="0" borderId="40" xfId="77" applyNumberFormat="1" applyBorder="1" applyAlignment="1">
      <alignment horizontal="center"/>
    </xf>
    <xf numFmtId="0" fontId="61" fillId="33" borderId="98" xfId="77" applyFont="1" applyFill="1" applyBorder="1" applyAlignment="1">
      <alignment horizontal="center"/>
    </xf>
    <xf numFmtId="0" fontId="61" fillId="33" borderId="99" xfId="77" applyFont="1" applyFill="1" applyBorder="1" applyAlignment="1">
      <alignment horizontal="center"/>
    </xf>
    <xf numFmtId="0" fontId="26" fillId="0" borderId="98" xfId="77" applyBorder="1" applyAlignment="1">
      <alignment horizontal="center"/>
    </xf>
    <xf numFmtId="0" fontId="61" fillId="33" borderId="85" xfId="77" applyFont="1" applyFill="1" applyBorder="1" applyAlignment="1">
      <alignment horizontal="center"/>
    </xf>
    <xf numFmtId="0" fontId="23" fillId="0" borderId="17" xfId="13" applyBorder="1"/>
    <xf numFmtId="0" fontId="61" fillId="33" borderId="17" xfId="77" applyFont="1" applyFill="1" applyBorder="1" applyAlignment="1">
      <alignment horizontal="center"/>
    </xf>
    <xf numFmtId="0" fontId="61" fillId="32" borderId="17" xfId="77" applyFont="1" applyFill="1" applyBorder="1" applyAlignment="1">
      <alignment horizontal="center"/>
    </xf>
    <xf numFmtId="0" fontId="26" fillId="0" borderId="38" xfId="77" applyNumberFormat="1" applyBorder="1" applyAlignment="1">
      <alignment horizontal="center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0" xfId="9" applyFont="1" applyBorder="1" applyAlignment="1">
      <alignment horizontal="left"/>
    </xf>
    <xf numFmtId="0" fontId="8" fillId="0" borderId="1" xfId="9" applyFont="1" applyBorder="1" applyAlignment="1">
      <alignment horizontal="left" vertical="center"/>
    </xf>
    <xf numFmtId="0" fontId="9" fillId="0" borderId="2" xfId="9" applyFont="1" applyBorder="1" applyAlignment="1">
      <alignment horizontal="left"/>
    </xf>
    <xf numFmtId="0" fontId="8" fillId="0" borderId="3" xfId="9" applyFont="1" applyBorder="1" applyAlignment="1">
      <alignment horizontal="left"/>
    </xf>
    <xf numFmtId="0" fontId="10" fillId="0" borderId="4" xfId="9" applyFont="1" applyBorder="1" applyAlignment="1">
      <alignment horizontal="left"/>
    </xf>
    <xf numFmtId="0" fontId="13" fillId="0" borderId="1" xfId="9" applyFont="1" applyBorder="1" applyAlignment="1">
      <alignment horizontal="left" vertical="center" wrapText="1"/>
    </xf>
    <xf numFmtId="0" fontId="8" fillId="0" borderId="1" xfId="9" applyFont="1" applyFill="1" applyBorder="1" applyAlignment="1">
      <alignment horizontal="left" vertical="center" wrapText="1"/>
    </xf>
    <xf numFmtId="0" fontId="4" fillId="0" borderId="1" xfId="9" applyFont="1" applyFill="1" applyBorder="1" applyAlignment="1">
      <alignment horizontal="left" vertical="center" wrapText="1"/>
    </xf>
    <xf numFmtId="0" fontId="32" fillId="0" borderId="0" xfId="13" applyFont="1" applyBorder="1" applyAlignment="1">
      <alignment horizontal="center"/>
    </xf>
    <xf numFmtId="0" fontId="23" fillId="0" borderId="0" xfId="13" applyBorder="1" applyAlignment="1">
      <alignment horizontal="center" vertical="center"/>
    </xf>
    <xf numFmtId="0" fontId="23" fillId="0" borderId="0" xfId="13" applyAlignment="1">
      <alignment horizontal="center"/>
    </xf>
    <xf numFmtId="0" fontId="1" fillId="30" borderId="17" xfId="87" applyFill="1" applyBorder="1" applyAlignment="1">
      <alignment horizontal="center"/>
    </xf>
    <xf numFmtId="0" fontId="1" fillId="31" borderId="17" xfId="87" applyFont="1" applyFill="1" applyBorder="1" applyAlignment="1">
      <alignment horizontal="center"/>
    </xf>
    <xf numFmtId="0" fontId="1" fillId="31" borderId="17" xfId="87" applyFill="1" applyBorder="1" applyAlignment="1">
      <alignment horizontal="center"/>
    </xf>
    <xf numFmtId="49" fontId="62" fillId="31" borderId="93" xfId="77" applyNumberFormat="1" applyFont="1" applyFill="1" applyBorder="1" applyAlignment="1">
      <alignment horizontal="center"/>
    </xf>
    <xf numFmtId="49" fontId="62" fillId="31" borderId="42" xfId="77" applyNumberFormat="1" applyFont="1" applyFill="1" applyBorder="1" applyAlignment="1">
      <alignment horizontal="center"/>
    </xf>
    <xf numFmtId="49" fontId="62" fillId="31" borderId="91" xfId="77" applyNumberFormat="1" applyFont="1" applyFill="1" applyBorder="1" applyAlignment="1">
      <alignment horizontal="center"/>
    </xf>
    <xf numFmtId="49" fontId="62" fillId="31" borderId="39" xfId="77" applyNumberFormat="1" applyFont="1" applyFill="1" applyBorder="1" applyAlignment="1">
      <alignment horizontal="center"/>
    </xf>
    <xf numFmtId="0" fontId="23" fillId="0" borderId="17" xfId="13" applyBorder="1" applyAlignment="1">
      <alignment horizontal="center"/>
    </xf>
    <xf numFmtId="0" fontId="75" fillId="31" borderId="86" xfId="13" applyFont="1" applyFill="1" applyBorder="1" applyAlignment="1">
      <alignment horizontal="center"/>
    </xf>
    <xf numFmtId="0" fontId="75" fillId="31" borderId="92" xfId="13" applyFont="1" applyFill="1" applyBorder="1" applyAlignment="1">
      <alignment horizontal="center"/>
    </xf>
    <xf numFmtId="0" fontId="34" fillId="31" borderId="17" xfId="13" applyFont="1" applyFill="1" applyBorder="1" applyAlignment="1">
      <alignment horizontal="center"/>
    </xf>
    <xf numFmtId="0" fontId="34" fillId="31" borderId="43" xfId="13" applyFont="1" applyFill="1" applyBorder="1" applyAlignment="1">
      <alignment horizontal="center"/>
    </xf>
    <xf numFmtId="0" fontId="26" fillId="0" borderId="43" xfId="77" applyBorder="1" applyAlignment="1">
      <alignment horizontal="center"/>
    </xf>
    <xf numFmtId="0" fontId="26" fillId="0" borderId="49" xfId="77" applyBorder="1" applyAlignment="1">
      <alignment horizontal="center"/>
    </xf>
    <xf numFmtId="0" fontId="26" fillId="0" borderId="94" xfId="77" applyBorder="1" applyAlignment="1">
      <alignment horizontal="center"/>
    </xf>
    <xf numFmtId="0" fontId="26" fillId="0" borderId="39" xfId="77" applyBorder="1" applyAlignment="1">
      <alignment horizontal="center"/>
    </xf>
    <xf numFmtId="0" fontId="26" fillId="0" borderId="83" xfId="77" applyBorder="1" applyAlignment="1">
      <alignment horizontal="center"/>
    </xf>
    <xf numFmtId="0" fontId="26" fillId="0" borderId="84" xfId="77" applyBorder="1" applyAlignment="1">
      <alignment horizontal="center"/>
    </xf>
    <xf numFmtId="0" fontId="26" fillId="0" borderId="95" xfId="77" applyBorder="1" applyAlignment="1">
      <alignment horizontal="center"/>
    </xf>
    <xf numFmtId="0" fontId="26" fillId="0" borderId="89" xfId="77" applyBorder="1" applyAlignment="1">
      <alignment horizontal="center"/>
    </xf>
    <xf numFmtId="0" fontId="26" fillId="0" borderId="96" xfId="77" applyBorder="1" applyAlignment="1">
      <alignment horizontal="center"/>
    </xf>
    <xf numFmtId="0" fontId="66" fillId="0" borderId="43" xfId="13" applyFont="1" applyBorder="1" applyAlignment="1">
      <alignment horizontal="left"/>
    </xf>
    <xf numFmtId="0" fontId="66" fillId="0" borderId="75" xfId="13" applyFont="1" applyBorder="1" applyAlignment="1">
      <alignment horizontal="left"/>
    </xf>
    <xf numFmtId="0" fontId="66" fillId="0" borderId="49" xfId="13" applyFont="1" applyBorder="1" applyAlignment="1">
      <alignment horizontal="left"/>
    </xf>
    <xf numFmtId="0" fontId="66" fillId="0" borderId="17" xfId="13" applyFont="1" applyBorder="1" applyAlignment="1">
      <alignment horizontal="center"/>
    </xf>
    <xf numFmtId="0" fontId="64" fillId="0" borderId="77" xfId="13" applyFont="1" applyFill="1" applyBorder="1" applyAlignment="1">
      <alignment horizontal="center" vertical="center"/>
    </xf>
    <xf numFmtId="0" fontId="64" fillId="0" borderId="78" xfId="13" applyFont="1" applyFill="1" applyBorder="1" applyAlignment="1">
      <alignment horizontal="center" vertical="center"/>
    </xf>
    <xf numFmtId="0" fontId="64" fillId="0" borderId="81" xfId="13" applyFont="1" applyFill="1" applyBorder="1" applyAlignment="1">
      <alignment horizontal="center" vertical="center"/>
    </xf>
    <xf numFmtId="0" fontId="64" fillId="0" borderId="79" xfId="13" applyFont="1" applyFill="1" applyBorder="1" applyAlignment="1">
      <alignment horizontal="center" vertical="center"/>
    </xf>
    <xf numFmtId="0" fontId="64" fillId="0" borderId="82" xfId="13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08">
    <cellStyle name="20 % - Accent1 2" xfId="14"/>
    <cellStyle name="20 % - Accent1 3" xfId="15"/>
    <cellStyle name="20 % - Accent2 2" xfId="16"/>
    <cellStyle name="20 % - Accent2 3" xfId="17"/>
    <cellStyle name="20 % - Accent3 2" xfId="18"/>
    <cellStyle name="20 % - Accent3 3" xfId="19"/>
    <cellStyle name="20 % - Accent4 2" xfId="20"/>
    <cellStyle name="20 % - Accent4 3" xfId="21"/>
    <cellStyle name="20 % - Accent5 2" xfId="22"/>
    <cellStyle name="20 % - Accent5 3" xfId="23"/>
    <cellStyle name="20 % - Accent6 2" xfId="24"/>
    <cellStyle name="20 % - Accent6 3" xfId="25"/>
    <cellStyle name="40 % - Accent1 2" xfId="26"/>
    <cellStyle name="40 % - Accent1 3" xfId="27"/>
    <cellStyle name="40 % - Accent2 2" xfId="28"/>
    <cellStyle name="40 % - Accent2 3" xfId="29"/>
    <cellStyle name="40 % - Accent3 2" xfId="30"/>
    <cellStyle name="40 % - Accent3 3" xfId="31"/>
    <cellStyle name="40 % - Accent4 2" xfId="32"/>
    <cellStyle name="40 % - Accent4 3" xfId="33"/>
    <cellStyle name="40 % - Accent5 2" xfId="34"/>
    <cellStyle name="40 % - Accent5 3" xfId="35"/>
    <cellStyle name="40 % - Accent6 2" xfId="36"/>
    <cellStyle name="40 % - Accent6 3" xfId="37"/>
    <cellStyle name="60 % - Accent1 2" xfId="38"/>
    <cellStyle name="60 % - Accent1 3" xfId="39"/>
    <cellStyle name="60 % - Accent2 2" xfId="40"/>
    <cellStyle name="60 % - Accent2 3" xfId="41"/>
    <cellStyle name="60 % - Accent3 2" xfId="42"/>
    <cellStyle name="60 % - Accent3 3" xfId="43"/>
    <cellStyle name="60 % - Accent4 2" xfId="44"/>
    <cellStyle name="60 % - Accent4 3" xfId="45"/>
    <cellStyle name="60 % - Accent5 2" xfId="46"/>
    <cellStyle name="60 % - Accent5 3" xfId="47"/>
    <cellStyle name="60 % - Accent6 2" xfId="48"/>
    <cellStyle name="60 % - Accent6 3" xfId="49"/>
    <cellStyle name="Accent1 2" xfId="50"/>
    <cellStyle name="Accent1 3" xfId="51"/>
    <cellStyle name="Accent2 2" xfId="52"/>
    <cellStyle name="Accent2 3" xfId="53"/>
    <cellStyle name="Accent3 2" xfId="54"/>
    <cellStyle name="Accent3 3" xfId="55"/>
    <cellStyle name="Accent4 2" xfId="56"/>
    <cellStyle name="Accent4 3" xfId="57"/>
    <cellStyle name="Accent5 2" xfId="58"/>
    <cellStyle name="Accent5 3" xfId="59"/>
    <cellStyle name="Accent6 2" xfId="60"/>
    <cellStyle name="Accent6 3" xfId="61"/>
    <cellStyle name="Avertissement 2" xfId="62"/>
    <cellStyle name="Avertissement 3" xfId="63"/>
    <cellStyle name="Calcul 2" xfId="64"/>
    <cellStyle name="Calcul 3" xfId="65"/>
    <cellStyle name="Cellule liée 2" xfId="66"/>
    <cellStyle name="Cellule liée 3" xfId="67"/>
    <cellStyle name="Commentaire 2" xfId="68"/>
    <cellStyle name="Commentaire 3" xfId="69"/>
    <cellStyle name="Entrée 2" xfId="70"/>
    <cellStyle name="Entrée 3" xfId="71"/>
    <cellStyle name="Insatisfaisant 2" xfId="72"/>
    <cellStyle name="Insatisfaisant 3" xfId="73"/>
    <cellStyle name="Lien hypertexte" xfId="1" builtinId="8"/>
    <cellStyle name="Lien hypertexte 2" xfId="2"/>
    <cellStyle name="Lien hypertexte 3" xfId="3"/>
    <cellStyle name="Lien hypertexte 4" xfId="4"/>
    <cellStyle name="Milliers 2" xfId="74"/>
    <cellStyle name="Neutre 2" xfId="75"/>
    <cellStyle name="Neutre 3" xfId="76"/>
    <cellStyle name="Normal" xfId="0" builtinId="0"/>
    <cellStyle name="Normal 10" xfId="5"/>
    <cellStyle name="Normal 2" xfId="6"/>
    <cellStyle name="Normal 2 2" xfId="77"/>
    <cellStyle name="Normal 2 2 2" xfId="78"/>
    <cellStyle name="Normal 2 2 3" xfId="79"/>
    <cellStyle name="Normal 2 2 3 2" xfId="80"/>
    <cellStyle name="Normal 2 2 4" xfId="81"/>
    <cellStyle name="Normal 2 3" xfId="82"/>
    <cellStyle name="Normal 3" xfId="7"/>
    <cellStyle name="Normal 3 2" xfId="8"/>
    <cellStyle name="Normal 3 3" xfId="83"/>
    <cellStyle name="Normal 4" xfId="9"/>
    <cellStyle name="Normal 4 2" xfId="84"/>
    <cellStyle name="Normal 4 3" xfId="85"/>
    <cellStyle name="Normal 5" xfId="10"/>
    <cellStyle name="Normal 6" xfId="13"/>
    <cellStyle name="Normal 7" xfId="12"/>
    <cellStyle name="Normal 8" xfId="86"/>
    <cellStyle name="Normal 8 2" xfId="87"/>
    <cellStyle name="Normalny 2" xfId="11"/>
    <cellStyle name="Satisfaisant 2" xfId="88"/>
    <cellStyle name="Satisfaisant 3" xfId="89"/>
    <cellStyle name="Sortie 2" xfId="90"/>
    <cellStyle name="Sortie 3" xfId="91"/>
    <cellStyle name="Texte explicatif 2" xfId="92"/>
    <cellStyle name="Texte explicatif 3" xfId="93"/>
    <cellStyle name="Titre 2" xfId="94"/>
    <cellStyle name="Titre 3" xfId="95"/>
    <cellStyle name="Titre 1 2" xfId="96"/>
    <cellStyle name="Titre 1 3" xfId="97"/>
    <cellStyle name="Titre 2 2" xfId="98"/>
    <cellStyle name="Titre 2 3" xfId="99"/>
    <cellStyle name="Titre 3 2" xfId="100"/>
    <cellStyle name="Titre 3 3" xfId="101"/>
    <cellStyle name="Titre 4 2" xfId="102"/>
    <cellStyle name="Titre 4 3" xfId="103"/>
    <cellStyle name="Total 2" xfId="104"/>
    <cellStyle name="Total 3" xfId="105"/>
    <cellStyle name="Vérification 2" xfId="106"/>
    <cellStyle name="Vérification 3" xfId="107"/>
  </cellStyles>
  <dxfs count="6"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B0F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FAC090"/>
      <rgbColor rgb="00808080"/>
      <rgbColor rgb="009999FF"/>
      <rgbColor rgb="00993366"/>
      <rgbColor rgb="00FCD5B5"/>
      <rgbColor rgb="00DCE6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00B0F0"/>
      <rgbColor rgb="0099CC00"/>
      <rgbColor rgb="00FFCC00"/>
      <rgbColor rgb="00FF9900"/>
      <rgbColor rgb="00FF6600"/>
      <rgbColor rgb="00666699"/>
      <rgbColor rgb="00969696"/>
      <rgbColor rgb="0017375E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79525504"/>
        <c:axId val="148569088"/>
      </c:scatterChart>
      <c:valAx>
        <c:axId val="179525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569088"/>
        <c:crosses val="autoZero"/>
        <c:crossBetween val="midCat"/>
      </c:valAx>
      <c:valAx>
        <c:axId val="148569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95255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Feuil4!$H$13</c:f>
              <c:strCache>
                <c:ptCount val="1"/>
              </c:strCache>
            </c:strRef>
          </c:tx>
          <c:spPr>
            <a:ln w="28575">
              <a:noFill/>
            </a:ln>
          </c:spPr>
          <c:xVal>
            <c:numRef>
              <c:f>Feuil4!$B$5:$B$75</c:f>
              <c:numCache>
                <c:formatCode>General</c:formatCode>
                <c:ptCount val="71"/>
                <c:pt idx="0">
                  <c:v>50.387</c:v>
                </c:pt>
                <c:pt idx="1">
                  <c:v>49.631</c:v>
                </c:pt>
                <c:pt idx="2">
                  <c:v>50.753</c:v>
                </c:pt>
                <c:pt idx="3">
                  <c:v>48.665500000000002</c:v>
                </c:pt>
                <c:pt idx="4">
                  <c:v>52.1295</c:v>
                </c:pt>
                <c:pt idx="5">
                  <c:v>47.814499999999995</c:v>
                </c:pt>
                <c:pt idx="6">
                  <c:v>50.013500000000001</c:v>
                </c:pt>
                <c:pt idx="7">
                  <c:v>50.061500000000002</c:v>
                </c:pt>
                <c:pt idx="8">
                  <c:v>48.839500000000001</c:v>
                </c:pt>
                <c:pt idx="9">
                  <c:v>47.372</c:v>
                </c:pt>
                <c:pt idx="10">
                  <c:v>50.7605</c:v>
                </c:pt>
                <c:pt idx="11">
                  <c:v>51.503500000000003</c:v>
                </c:pt>
                <c:pt idx="12">
                  <c:v>50.396999999999998</c:v>
                </c:pt>
                <c:pt idx="13">
                  <c:v>49.070999999999998</c:v>
                </c:pt>
                <c:pt idx="14">
                  <c:v>49.382000000000005</c:v>
                </c:pt>
                <c:pt idx="15">
                  <c:v>46.210999999999999</c:v>
                </c:pt>
                <c:pt idx="16">
                  <c:v>50.966499999999996</c:v>
                </c:pt>
                <c:pt idx="17">
                  <c:v>51.501000000000005</c:v>
                </c:pt>
                <c:pt idx="18">
                  <c:v>49.537500000000001</c:v>
                </c:pt>
                <c:pt idx="19">
                  <c:v>48.573</c:v>
                </c:pt>
                <c:pt idx="20">
                  <c:v>50.655500000000004</c:v>
                </c:pt>
                <c:pt idx="21">
                  <c:v>49.081000000000003</c:v>
                </c:pt>
                <c:pt idx="22">
                  <c:v>50.207000000000001</c:v>
                </c:pt>
                <c:pt idx="23">
                  <c:v>53.856999999999999</c:v>
                </c:pt>
                <c:pt idx="24">
                  <c:v>48.663499999999999</c:v>
                </c:pt>
                <c:pt idx="25">
                  <c:v>47.100499999999997</c:v>
                </c:pt>
                <c:pt idx="26">
                  <c:v>49.0505</c:v>
                </c:pt>
                <c:pt idx="27">
                  <c:v>47.713499999999996</c:v>
                </c:pt>
                <c:pt idx="28">
                  <c:v>47.581500000000005</c:v>
                </c:pt>
                <c:pt idx="29">
                  <c:v>47.490499999999997</c:v>
                </c:pt>
                <c:pt idx="30">
                  <c:v>48.332000000000001</c:v>
                </c:pt>
                <c:pt idx="31">
                  <c:v>46.552499999999995</c:v>
                </c:pt>
                <c:pt idx="32">
                  <c:v>51.153500000000001</c:v>
                </c:pt>
                <c:pt idx="33">
                  <c:v>50.712999999999994</c:v>
                </c:pt>
                <c:pt idx="34">
                  <c:v>47.214500000000001</c:v>
                </c:pt>
                <c:pt idx="35">
                  <c:v>50.326500000000003</c:v>
                </c:pt>
                <c:pt idx="36">
                  <c:v>50.670500000000004</c:v>
                </c:pt>
                <c:pt idx="37">
                  <c:v>49.413499999999999</c:v>
                </c:pt>
                <c:pt idx="38">
                  <c:v>50.9435</c:v>
                </c:pt>
                <c:pt idx="39">
                  <c:v>50.009500000000003</c:v>
                </c:pt>
                <c:pt idx="40">
                  <c:v>52.464500000000001</c:v>
                </c:pt>
                <c:pt idx="41">
                  <c:v>48.198999999999998</c:v>
                </c:pt>
                <c:pt idx="42">
                  <c:v>47.58</c:v>
                </c:pt>
                <c:pt idx="43">
                  <c:v>50.982500000000002</c:v>
                </c:pt>
                <c:pt idx="44">
                  <c:v>51.1965</c:v>
                </c:pt>
                <c:pt idx="45">
                  <c:v>49.007000000000005</c:v>
                </c:pt>
                <c:pt idx="46">
                  <c:v>48.323</c:v>
                </c:pt>
                <c:pt idx="47">
                  <c:v>50.6355</c:v>
                </c:pt>
                <c:pt idx="48">
                  <c:v>52.375500000000002</c:v>
                </c:pt>
                <c:pt idx="49">
                  <c:v>48.289000000000001</c:v>
                </c:pt>
                <c:pt idx="50">
                  <c:v>50.015000000000001</c:v>
                </c:pt>
                <c:pt idx="51">
                  <c:v>51.632499999999993</c:v>
                </c:pt>
                <c:pt idx="52">
                  <c:v>49.930999999999997</c:v>
                </c:pt>
                <c:pt idx="53">
                  <c:v>52.778500000000001</c:v>
                </c:pt>
                <c:pt idx="54">
                  <c:v>50.183999999999997</c:v>
                </c:pt>
                <c:pt idx="55">
                  <c:v>51.244999999999997</c:v>
                </c:pt>
                <c:pt idx="56">
                  <c:v>50.4435</c:v>
                </c:pt>
                <c:pt idx="57">
                  <c:v>50.472499999999997</c:v>
                </c:pt>
                <c:pt idx="58">
                  <c:v>49.68</c:v>
                </c:pt>
                <c:pt idx="59">
                  <c:v>51.5715</c:v>
                </c:pt>
                <c:pt idx="60">
                  <c:v>51.584000000000003</c:v>
                </c:pt>
                <c:pt idx="61">
                  <c:v>49.8065</c:v>
                </c:pt>
                <c:pt idx="62">
                  <c:v>50.771999999999998</c:v>
                </c:pt>
                <c:pt idx="63">
                  <c:v>48.580500000000001</c:v>
                </c:pt>
                <c:pt idx="64">
                  <c:v>51.6935</c:v>
                </c:pt>
                <c:pt idx="65">
                  <c:v>51.826499999999996</c:v>
                </c:pt>
                <c:pt idx="66">
                  <c:v>46.588499999999996</c:v>
                </c:pt>
                <c:pt idx="67">
                  <c:v>49.802999999999997</c:v>
                </c:pt>
                <c:pt idx="68">
                  <c:v>53.124000000000002</c:v>
                </c:pt>
                <c:pt idx="69">
                  <c:v>51.945500000000003</c:v>
                </c:pt>
                <c:pt idx="70">
                  <c:v>49.754999999999995</c:v>
                </c:pt>
              </c:numCache>
            </c:numRef>
          </c:xVal>
          <c:yVal>
            <c:numRef>
              <c:f>Feuil4!$C$5:$C$75</c:f>
              <c:numCache>
                <c:formatCode>General</c:formatCode>
                <c:ptCount val="71"/>
                <c:pt idx="0">
                  <c:v>45.622999999999998</c:v>
                </c:pt>
                <c:pt idx="1">
                  <c:v>48.052999999999997</c:v>
                </c:pt>
                <c:pt idx="2">
                  <c:v>48.194000000000003</c:v>
                </c:pt>
                <c:pt idx="3">
                  <c:v>44.718999999999994</c:v>
                </c:pt>
                <c:pt idx="4">
                  <c:v>48.314999999999998</c:v>
                </c:pt>
                <c:pt idx="5">
                  <c:v>43.593500000000006</c:v>
                </c:pt>
                <c:pt idx="6">
                  <c:v>45.227000000000004</c:v>
                </c:pt>
                <c:pt idx="7">
                  <c:v>46.915500000000002</c:v>
                </c:pt>
                <c:pt idx="8">
                  <c:v>48.403500000000001</c:v>
                </c:pt>
                <c:pt idx="9">
                  <c:v>45.35</c:v>
                </c:pt>
                <c:pt idx="10">
                  <c:v>49.072000000000003</c:v>
                </c:pt>
                <c:pt idx="11">
                  <c:v>50.412999999999997</c:v>
                </c:pt>
                <c:pt idx="12">
                  <c:v>45.854500000000002</c:v>
                </c:pt>
                <c:pt idx="13">
                  <c:v>48.079499999999996</c:v>
                </c:pt>
                <c:pt idx="14">
                  <c:v>48.442499999999995</c:v>
                </c:pt>
                <c:pt idx="15">
                  <c:v>45.375</c:v>
                </c:pt>
                <c:pt idx="16">
                  <c:v>49.82</c:v>
                </c:pt>
                <c:pt idx="17">
                  <c:v>48.522999999999996</c:v>
                </c:pt>
                <c:pt idx="18">
                  <c:v>47.307000000000002</c:v>
                </c:pt>
                <c:pt idx="19">
                  <c:v>46.386499999999998</c:v>
                </c:pt>
                <c:pt idx="20">
                  <c:v>46.870999999999995</c:v>
                </c:pt>
                <c:pt idx="21">
                  <c:v>48.186499999999995</c:v>
                </c:pt>
                <c:pt idx="22">
                  <c:v>48.1755</c:v>
                </c:pt>
                <c:pt idx="23">
                  <c:v>49.1355</c:v>
                </c:pt>
                <c:pt idx="24">
                  <c:v>43.414000000000001</c:v>
                </c:pt>
                <c:pt idx="25">
                  <c:v>46.352499999999999</c:v>
                </c:pt>
                <c:pt idx="26">
                  <c:v>47.718999999999994</c:v>
                </c:pt>
                <c:pt idx="27">
                  <c:v>47.025499999999994</c:v>
                </c:pt>
                <c:pt idx="28">
                  <c:v>43.823499999999996</c:v>
                </c:pt>
                <c:pt idx="29">
                  <c:v>43.634500000000003</c:v>
                </c:pt>
                <c:pt idx="30">
                  <c:v>44.694500000000005</c:v>
                </c:pt>
                <c:pt idx="31">
                  <c:v>44.116999999999997</c:v>
                </c:pt>
                <c:pt idx="32">
                  <c:v>48.509</c:v>
                </c:pt>
                <c:pt idx="33">
                  <c:v>46.31</c:v>
                </c:pt>
                <c:pt idx="34">
                  <c:v>43.052999999999997</c:v>
                </c:pt>
                <c:pt idx="35">
                  <c:v>48.185499999999998</c:v>
                </c:pt>
                <c:pt idx="36">
                  <c:v>47.980499999999999</c:v>
                </c:pt>
                <c:pt idx="37">
                  <c:v>45.790999999999997</c:v>
                </c:pt>
                <c:pt idx="38">
                  <c:v>45.882000000000005</c:v>
                </c:pt>
                <c:pt idx="39">
                  <c:v>47.3825</c:v>
                </c:pt>
                <c:pt idx="40">
                  <c:v>48.453499999999998</c:v>
                </c:pt>
                <c:pt idx="41">
                  <c:v>44.850499999999997</c:v>
                </c:pt>
                <c:pt idx="42">
                  <c:v>49.135000000000005</c:v>
                </c:pt>
                <c:pt idx="43">
                  <c:v>48.044499999999999</c:v>
                </c:pt>
                <c:pt idx="44">
                  <c:v>48.209000000000003</c:v>
                </c:pt>
                <c:pt idx="45">
                  <c:v>44.4345</c:v>
                </c:pt>
                <c:pt idx="46">
                  <c:v>49.405999999999999</c:v>
                </c:pt>
                <c:pt idx="47">
                  <c:v>46.311</c:v>
                </c:pt>
                <c:pt idx="48">
                  <c:v>46.474999999999994</c:v>
                </c:pt>
                <c:pt idx="49">
                  <c:v>43.9435</c:v>
                </c:pt>
                <c:pt idx="50">
                  <c:v>42.058999999999997</c:v>
                </c:pt>
                <c:pt idx="51">
                  <c:v>48.29</c:v>
                </c:pt>
                <c:pt idx="52">
                  <c:v>45.1355</c:v>
                </c:pt>
                <c:pt idx="53">
                  <c:v>48.889499999999998</c:v>
                </c:pt>
                <c:pt idx="54">
                  <c:v>47.64</c:v>
                </c:pt>
                <c:pt idx="55">
                  <c:v>45.886499999999998</c:v>
                </c:pt>
                <c:pt idx="56">
                  <c:v>47.908000000000001</c:v>
                </c:pt>
                <c:pt idx="57">
                  <c:v>44.566499999999998</c:v>
                </c:pt>
                <c:pt idx="58">
                  <c:v>44.383499999999998</c:v>
                </c:pt>
                <c:pt idx="59">
                  <c:v>46.042000000000002</c:v>
                </c:pt>
                <c:pt idx="60">
                  <c:v>46.278500000000001</c:v>
                </c:pt>
                <c:pt idx="61">
                  <c:v>44.557500000000005</c:v>
                </c:pt>
                <c:pt idx="62">
                  <c:v>49.383000000000003</c:v>
                </c:pt>
                <c:pt idx="63">
                  <c:v>47.902500000000003</c:v>
                </c:pt>
                <c:pt idx="64">
                  <c:v>48.314999999999998</c:v>
                </c:pt>
                <c:pt idx="65">
                  <c:v>48.767499999999998</c:v>
                </c:pt>
                <c:pt idx="66">
                  <c:v>46.994500000000002</c:v>
                </c:pt>
                <c:pt idx="67">
                  <c:v>46.394999999999996</c:v>
                </c:pt>
                <c:pt idx="68">
                  <c:v>48.751999999999995</c:v>
                </c:pt>
                <c:pt idx="69">
                  <c:v>47.887999999999998</c:v>
                </c:pt>
                <c:pt idx="70">
                  <c:v>41.509500000000003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49344"/>
        <c:axId val="175047808"/>
      </c:scatterChart>
      <c:valAx>
        <c:axId val="175049344"/>
        <c:scaling>
          <c:orientation val="minMax"/>
          <c:max val="54"/>
          <c:min val="46"/>
        </c:scaling>
        <c:delete val="0"/>
        <c:axPos val="b"/>
        <c:numFmt formatCode="General" sourceLinked="1"/>
        <c:majorTickMark val="out"/>
        <c:minorTickMark val="none"/>
        <c:tickLblPos val="nextTo"/>
        <c:crossAx val="175047808"/>
        <c:crosses val="autoZero"/>
        <c:crossBetween val="midCat"/>
      </c:valAx>
      <c:valAx>
        <c:axId val="175047808"/>
        <c:scaling>
          <c:orientation val="minMax"/>
          <c:max val="55"/>
          <c:min val="35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0493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Feuil1!$P$3:$P$71</c:f>
              <c:numCache>
                <c:formatCode>General</c:formatCode>
                <c:ptCount val="69"/>
                <c:pt idx="0">
                  <c:v>50.387</c:v>
                </c:pt>
                <c:pt idx="1">
                  <c:v>49.631</c:v>
                </c:pt>
                <c:pt idx="2">
                  <c:v>50.753</c:v>
                </c:pt>
                <c:pt idx="3">
                  <c:v>48.665500000000002</c:v>
                </c:pt>
                <c:pt idx="4">
                  <c:v>52.1295</c:v>
                </c:pt>
                <c:pt idx="5">
                  <c:v>47.814499999999995</c:v>
                </c:pt>
                <c:pt idx="6">
                  <c:v>50.013500000000001</c:v>
                </c:pt>
                <c:pt idx="7">
                  <c:v>50.061500000000002</c:v>
                </c:pt>
                <c:pt idx="8">
                  <c:v>48.839500000000001</c:v>
                </c:pt>
                <c:pt idx="9">
                  <c:v>47.372</c:v>
                </c:pt>
                <c:pt idx="10">
                  <c:v>50.7605</c:v>
                </c:pt>
                <c:pt idx="11">
                  <c:v>51.503500000000003</c:v>
                </c:pt>
                <c:pt idx="12">
                  <c:v>50.396999999999998</c:v>
                </c:pt>
                <c:pt idx="13">
                  <c:v>49.070999999999998</c:v>
                </c:pt>
                <c:pt idx="14">
                  <c:v>49.382000000000005</c:v>
                </c:pt>
                <c:pt idx="15">
                  <c:v>46.210999999999999</c:v>
                </c:pt>
                <c:pt idx="16">
                  <c:v>50.966499999999996</c:v>
                </c:pt>
                <c:pt idx="17">
                  <c:v>51.501000000000005</c:v>
                </c:pt>
                <c:pt idx="18">
                  <c:v>49.537500000000001</c:v>
                </c:pt>
                <c:pt idx="19">
                  <c:v>48.573</c:v>
                </c:pt>
                <c:pt idx="20">
                  <c:v>50.655500000000004</c:v>
                </c:pt>
                <c:pt idx="21">
                  <c:v>49.081000000000003</c:v>
                </c:pt>
                <c:pt idx="22">
                  <c:v>50.207000000000001</c:v>
                </c:pt>
                <c:pt idx="23">
                  <c:v>53.856999999999999</c:v>
                </c:pt>
                <c:pt idx="24">
                  <c:v>48.663499999999999</c:v>
                </c:pt>
                <c:pt idx="25">
                  <c:v>47.100499999999997</c:v>
                </c:pt>
                <c:pt idx="26">
                  <c:v>49.0505</c:v>
                </c:pt>
                <c:pt idx="27">
                  <c:v>47.713499999999996</c:v>
                </c:pt>
                <c:pt idx="28">
                  <c:v>47.581500000000005</c:v>
                </c:pt>
                <c:pt idx="29">
                  <c:v>47.490499999999997</c:v>
                </c:pt>
                <c:pt idx="30">
                  <c:v>48.332000000000001</c:v>
                </c:pt>
                <c:pt idx="31">
                  <c:v>46.552499999999995</c:v>
                </c:pt>
                <c:pt idx="32">
                  <c:v>51.153500000000001</c:v>
                </c:pt>
                <c:pt idx="33">
                  <c:v>50.712999999999994</c:v>
                </c:pt>
                <c:pt idx="34">
                  <c:v>47.214500000000001</c:v>
                </c:pt>
                <c:pt idx="35">
                  <c:v>50.326500000000003</c:v>
                </c:pt>
                <c:pt idx="36">
                  <c:v>50.670500000000004</c:v>
                </c:pt>
                <c:pt idx="37">
                  <c:v>50.9435</c:v>
                </c:pt>
                <c:pt idx="38">
                  <c:v>50.009500000000003</c:v>
                </c:pt>
                <c:pt idx="39">
                  <c:v>52.464500000000001</c:v>
                </c:pt>
                <c:pt idx="40">
                  <c:v>48.198999999999998</c:v>
                </c:pt>
                <c:pt idx="41">
                  <c:v>47.58</c:v>
                </c:pt>
                <c:pt idx="42">
                  <c:v>50.982500000000002</c:v>
                </c:pt>
                <c:pt idx="43">
                  <c:v>51.1965</c:v>
                </c:pt>
                <c:pt idx="44">
                  <c:v>49.007000000000005</c:v>
                </c:pt>
                <c:pt idx="45">
                  <c:v>48.323</c:v>
                </c:pt>
                <c:pt idx="46">
                  <c:v>50.6355</c:v>
                </c:pt>
                <c:pt idx="47">
                  <c:v>52.375500000000002</c:v>
                </c:pt>
                <c:pt idx="48">
                  <c:v>48.289000000000001</c:v>
                </c:pt>
                <c:pt idx="49">
                  <c:v>51.632499999999993</c:v>
                </c:pt>
                <c:pt idx="50">
                  <c:v>49.930999999999997</c:v>
                </c:pt>
                <c:pt idx="51">
                  <c:v>52.778500000000001</c:v>
                </c:pt>
                <c:pt idx="52">
                  <c:v>50.183999999999997</c:v>
                </c:pt>
                <c:pt idx="53">
                  <c:v>51.244999999999997</c:v>
                </c:pt>
                <c:pt idx="54">
                  <c:v>50.4435</c:v>
                </c:pt>
                <c:pt idx="55">
                  <c:v>50.472499999999997</c:v>
                </c:pt>
                <c:pt idx="56">
                  <c:v>49.68</c:v>
                </c:pt>
                <c:pt idx="57">
                  <c:v>51.5715</c:v>
                </c:pt>
                <c:pt idx="58">
                  <c:v>51.584000000000003</c:v>
                </c:pt>
                <c:pt idx="59">
                  <c:v>49.8065</c:v>
                </c:pt>
                <c:pt idx="60">
                  <c:v>50.771999999999998</c:v>
                </c:pt>
                <c:pt idx="61">
                  <c:v>48.580500000000001</c:v>
                </c:pt>
                <c:pt idx="62">
                  <c:v>51.6935</c:v>
                </c:pt>
                <c:pt idx="63">
                  <c:v>51.826499999999996</c:v>
                </c:pt>
                <c:pt idx="64">
                  <c:v>46.588499999999996</c:v>
                </c:pt>
                <c:pt idx="65">
                  <c:v>49.802999999999997</c:v>
                </c:pt>
                <c:pt idx="66">
                  <c:v>53.124000000000002</c:v>
                </c:pt>
                <c:pt idx="67">
                  <c:v>51.945500000000003</c:v>
                </c:pt>
                <c:pt idx="68">
                  <c:v>49.754999999999995</c:v>
                </c:pt>
              </c:numCache>
            </c:numRef>
          </c:xVal>
          <c:yVal>
            <c:numRef>
              <c:f>Feuil1!$Q$3:$Q$71</c:f>
              <c:numCache>
                <c:formatCode>General</c:formatCode>
                <c:ptCount val="69"/>
                <c:pt idx="0">
                  <c:v>45.622999999999998</c:v>
                </c:pt>
                <c:pt idx="1">
                  <c:v>48.052999999999997</c:v>
                </c:pt>
                <c:pt idx="2">
                  <c:v>48.194000000000003</c:v>
                </c:pt>
                <c:pt idx="3">
                  <c:v>44.718999999999994</c:v>
                </c:pt>
                <c:pt idx="4">
                  <c:v>48.314999999999998</c:v>
                </c:pt>
                <c:pt idx="5">
                  <c:v>43.593500000000006</c:v>
                </c:pt>
                <c:pt idx="6">
                  <c:v>45.227000000000004</c:v>
                </c:pt>
                <c:pt idx="7">
                  <c:v>46.915500000000002</c:v>
                </c:pt>
                <c:pt idx="8">
                  <c:v>48.403500000000001</c:v>
                </c:pt>
                <c:pt idx="9">
                  <c:v>45.35</c:v>
                </c:pt>
                <c:pt idx="10">
                  <c:v>49.072000000000003</c:v>
                </c:pt>
                <c:pt idx="11">
                  <c:v>50.412999999999997</c:v>
                </c:pt>
                <c:pt idx="12">
                  <c:v>45.854500000000002</c:v>
                </c:pt>
                <c:pt idx="13">
                  <c:v>48.079499999999996</c:v>
                </c:pt>
                <c:pt idx="14">
                  <c:v>48.442499999999995</c:v>
                </c:pt>
                <c:pt idx="15">
                  <c:v>45.375</c:v>
                </c:pt>
                <c:pt idx="16">
                  <c:v>49.82</c:v>
                </c:pt>
                <c:pt idx="17">
                  <c:v>48.522999999999996</c:v>
                </c:pt>
                <c:pt idx="18">
                  <c:v>47.307000000000002</c:v>
                </c:pt>
                <c:pt idx="19">
                  <c:v>46.386499999999998</c:v>
                </c:pt>
                <c:pt idx="20">
                  <c:v>46.870999999999995</c:v>
                </c:pt>
                <c:pt idx="21">
                  <c:v>48.186499999999995</c:v>
                </c:pt>
                <c:pt idx="22">
                  <c:v>48.1755</c:v>
                </c:pt>
                <c:pt idx="23">
                  <c:v>49.1355</c:v>
                </c:pt>
                <c:pt idx="24">
                  <c:v>43.414000000000001</c:v>
                </c:pt>
                <c:pt idx="25">
                  <c:v>46.352499999999999</c:v>
                </c:pt>
                <c:pt idx="26">
                  <c:v>47.718999999999994</c:v>
                </c:pt>
                <c:pt idx="27">
                  <c:v>47.025499999999994</c:v>
                </c:pt>
                <c:pt idx="28">
                  <c:v>43.823499999999996</c:v>
                </c:pt>
                <c:pt idx="29">
                  <c:v>43.634500000000003</c:v>
                </c:pt>
                <c:pt idx="30">
                  <c:v>44.694500000000005</c:v>
                </c:pt>
                <c:pt idx="31">
                  <c:v>44.116999999999997</c:v>
                </c:pt>
                <c:pt idx="32">
                  <c:v>48.509</c:v>
                </c:pt>
                <c:pt idx="33">
                  <c:v>46.31</c:v>
                </c:pt>
                <c:pt idx="34">
                  <c:v>43.052999999999997</c:v>
                </c:pt>
                <c:pt idx="35">
                  <c:v>48.185499999999998</c:v>
                </c:pt>
                <c:pt idx="36">
                  <c:v>47.980499999999999</c:v>
                </c:pt>
                <c:pt idx="37">
                  <c:v>45.882000000000005</c:v>
                </c:pt>
                <c:pt idx="38">
                  <c:v>47.3825</c:v>
                </c:pt>
                <c:pt idx="39">
                  <c:v>48.453499999999998</c:v>
                </c:pt>
                <c:pt idx="40">
                  <c:v>44.850499999999997</c:v>
                </c:pt>
                <c:pt idx="41">
                  <c:v>49.135000000000005</c:v>
                </c:pt>
                <c:pt idx="42">
                  <c:v>48.044499999999999</c:v>
                </c:pt>
                <c:pt idx="43">
                  <c:v>48.209000000000003</c:v>
                </c:pt>
                <c:pt idx="44">
                  <c:v>44.4345</c:v>
                </c:pt>
                <c:pt idx="45">
                  <c:v>49.405999999999999</c:v>
                </c:pt>
                <c:pt idx="46">
                  <c:v>46.311</c:v>
                </c:pt>
                <c:pt idx="47">
                  <c:v>46.474999999999994</c:v>
                </c:pt>
                <c:pt idx="48">
                  <c:v>43.9435</c:v>
                </c:pt>
                <c:pt idx="49">
                  <c:v>48.29</c:v>
                </c:pt>
                <c:pt idx="50">
                  <c:v>45.1355</c:v>
                </c:pt>
                <c:pt idx="51">
                  <c:v>48.889499999999998</c:v>
                </c:pt>
                <c:pt idx="52">
                  <c:v>47.64</c:v>
                </c:pt>
                <c:pt idx="53">
                  <c:v>45.886499999999998</c:v>
                </c:pt>
                <c:pt idx="54">
                  <c:v>47.908000000000001</c:v>
                </c:pt>
                <c:pt idx="55">
                  <c:v>44.566499999999998</c:v>
                </c:pt>
                <c:pt idx="56">
                  <c:v>44.383499999999998</c:v>
                </c:pt>
                <c:pt idx="57">
                  <c:v>46.042000000000002</c:v>
                </c:pt>
                <c:pt idx="58">
                  <c:v>46.278500000000001</c:v>
                </c:pt>
                <c:pt idx="59">
                  <c:v>44.557500000000005</c:v>
                </c:pt>
                <c:pt idx="60">
                  <c:v>49.383000000000003</c:v>
                </c:pt>
                <c:pt idx="61">
                  <c:v>47.902500000000003</c:v>
                </c:pt>
                <c:pt idx="62">
                  <c:v>48.314999999999998</c:v>
                </c:pt>
                <c:pt idx="63">
                  <c:v>48.767499999999998</c:v>
                </c:pt>
                <c:pt idx="64">
                  <c:v>46.994500000000002</c:v>
                </c:pt>
                <c:pt idx="65">
                  <c:v>46.394999999999996</c:v>
                </c:pt>
                <c:pt idx="66">
                  <c:v>48.751999999999995</c:v>
                </c:pt>
                <c:pt idx="67">
                  <c:v>47.887999999999998</c:v>
                </c:pt>
                <c:pt idx="68">
                  <c:v>41.509500000000003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87488"/>
        <c:axId val="148285696"/>
      </c:scatterChart>
      <c:valAx>
        <c:axId val="148287488"/>
        <c:scaling>
          <c:orientation val="minMax"/>
          <c:max val="56"/>
          <c:min val="45"/>
        </c:scaling>
        <c:delete val="0"/>
        <c:axPos val="b"/>
        <c:numFmt formatCode="General" sourceLinked="1"/>
        <c:majorTickMark val="out"/>
        <c:minorTickMark val="none"/>
        <c:tickLblPos val="nextTo"/>
        <c:crossAx val="148285696"/>
        <c:crosses val="autoZero"/>
        <c:crossBetween val="midCat"/>
      </c:valAx>
      <c:valAx>
        <c:axId val="148285696"/>
        <c:scaling>
          <c:orientation val="minMax"/>
          <c:max val="55"/>
          <c:min val="4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28748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Feuil1!$C$144:$C$285</c:f>
              <c:numCache>
                <c:formatCode>General</c:formatCode>
                <c:ptCount val="142"/>
                <c:pt idx="0">
                  <c:v>42.485999999999997</c:v>
                </c:pt>
                <c:pt idx="1">
                  <c:v>48.76</c:v>
                </c:pt>
                <c:pt idx="2">
                  <c:v>47.698999999999998</c:v>
                </c:pt>
                <c:pt idx="3">
                  <c:v>48.406999999999996</c:v>
                </c:pt>
                <c:pt idx="5">
                  <c:v>48.194000000000003</c:v>
                </c:pt>
                <c:pt idx="6">
                  <c:v>45.302999999999997</c:v>
                </c:pt>
                <c:pt idx="7">
                  <c:v>44.134999999999998</c:v>
                </c:pt>
                <c:pt idx="8">
                  <c:v>46.686999999999998</c:v>
                </c:pt>
                <c:pt idx="9">
                  <c:v>49.942999999999998</c:v>
                </c:pt>
                <c:pt idx="10">
                  <c:v>39.496000000000002</c:v>
                </c:pt>
                <c:pt idx="11">
                  <c:v>47.691000000000003</c:v>
                </c:pt>
                <c:pt idx="12">
                  <c:v>44.606000000000002</c:v>
                </c:pt>
                <c:pt idx="13">
                  <c:v>45.847999999999999</c:v>
                </c:pt>
                <c:pt idx="14">
                  <c:v>44.789000000000001</c:v>
                </c:pt>
                <c:pt idx="15">
                  <c:v>49.042000000000002</c:v>
                </c:pt>
                <c:pt idx="16">
                  <c:v>47.968000000000004</c:v>
                </c:pt>
                <c:pt idx="17">
                  <c:v>48.838999999999999</c:v>
                </c:pt>
                <c:pt idx="18">
                  <c:v>44.277000000000001</c:v>
                </c:pt>
                <c:pt idx="19">
                  <c:v>46.423000000000002</c:v>
                </c:pt>
                <c:pt idx="20">
                  <c:v>48.966000000000001</c:v>
                </c:pt>
                <c:pt idx="21">
                  <c:v>49.177999999999997</c:v>
                </c:pt>
                <c:pt idx="22">
                  <c:v>50.854999999999997</c:v>
                </c:pt>
                <c:pt idx="23">
                  <c:v>49.970999999999997</c:v>
                </c:pt>
                <c:pt idx="24">
                  <c:v>43.024999999999999</c:v>
                </c:pt>
                <c:pt idx="25">
                  <c:v>48.683999999999997</c:v>
                </c:pt>
                <c:pt idx="26">
                  <c:v>48.351999999999997</c:v>
                </c:pt>
                <c:pt idx="27">
                  <c:v>47.807000000000002</c:v>
                </c:pt>
                <c:pt idx="28">
                  <c:v>48.134</c:v>
                </c:pt>
                <c:pt idx="29">
                  <c:v>48.750999999999998</c:v>
                </c:pt>
                <c:pt idx="30">
                  <c:v>45.890999999999998</c:v>
                </c:pt>
                <c:pt idx="31">
                  <c:v>44.859000000000002</c:v>
                </c:pt>
                <c:pt idx="32">
                  <c:v>49.744</c:v>
                </c:pt>
                <c:pt idx="33">
                  <c:v>49.896000000000001</c:v>
                </c:pt>
                <c:pt idx="34">
                  <c:v>50.993000000000002</c:v>
                </c:pt>
                <c:pt idx="35">
                  <c:v>46.052999999999997</c:v>
                </c:pt>
                <c:pt idx="36">
                  <c:v>47.411999999999999</c:v>
                </c:pt>
                <c:pt idx="37">
                  <c:v>47.201999999999998</c:v>
                </c:pt>
                <c:pt idx="38">
                  <c:v>46.174999999999997</c:v>
                </c:pt>
                <c:pt idx="39">
                  <c:v>46.597999999999999</c:v>
                </c:pt>
                <c:pt idx="40">
                  <c:v>45.082000000000001</c:v>
                </c:pt>
                <c:pt idx="41">
                  <c:v>48.66</c:v>
                </c:pt>
                <c:pt idx="42">
                  <c:v>47.125999999999998</c:v>
                </c:pt>
                <c:pt idx="43">
                  <c:v>49.247</c:v>
                </c:pt>
                <c:pt idx="44">
                  <c:v>46.881999999999998</c:v>
                </c:pt>
                <c:pt idx="45">
                  <c:v>49.469000000000001</c:v>
                </c:pt>
                <c:pt idx="46">
                  <c:v>51.366999999999997</c:v>
                </c:pt>
                <c:pt idx="47">
                  <c:v>46.904000000000003</c:v>
                </c:pt>
                <c:pt idx="48">
                  <c:v>41.787999999999997</c:v>
                </c:pt>
                <c:pt idx="49">
                  <c:v>45.04</c:v>
                </c:pt>
                <c:pt idx="50">
                  <c:v>45.686</c:v>
                </c:pt>
                <c:pt idx="51">
                  <c:v>47.018999999999998</c:v>
                </c:pt>
                <c:pt idx="52">
                  <c:v>47.841999999999999</c:v>
                </c:pt>
                <c:pt idx="53">
                  <c:v>47.595999999999997</c:v>
                </c:pt>
                <c:pt idx="54">
                  <c:v>47.116999999999997</c:v>
                </c:pt>
                <c:pt idx="55">
                  <c:v>46.933999999999997</c:v>
                </c:pt>
                <c:pt idx="56">
                  <c:v>42.966000000000001</c:v>
                </c:pt>
                <c:pt idx="57">
                  <c:v>44.680999999999997</c:v>
                </c:pt>
                <c:pt idx="58">
                  <c:v>42.57</c:v>
                </c:pt>
                <c:pt idx="59">
                  <c:v>44.698999999999998</c:v>
                </c:pt>
                <c:pt idx="60">
                  <c:v>45.006</c:v>
                </c:pt>
                <c:pt idx="61">
                  <c:v>44.383000000000003</c:v>
                </c:pt>
                <c:pt idx="63">
                  <c:v>44.116999999999997</c:v>
                </c:pt>
                <c:pt idx="64">
                  <c:v>47.625999999999998</c:v>
                </c:pt>
                <c:pt idx="65">
                  <c:v>49.392000000000003</c:v>
                </c:pt>
                <c:pt idx="66">
                  <c:v>43.555</c:v>
                </c:pt>
                <c:pt idx="67">
                  <c:v>49.064999999999998</c:v>
                </c:pt>
                <c:pt idx="68">
                  <c:v>39.863999999999997</c:v>
                </c:pt>
                <c:pt idx="69">
                  <c:v>46.241999999999997</c:v>
                </c:pt>
                <c:pt idx="70">
                  <c:v>48.753999999999998</c:v>
                </c:pt>
                <c:pt idx="71">
                  <c:v>47.616999999999997</c:v>
                </c:pt>
                <c:pt idx="72">
                  <c:v>46.475000000000001</c:v>
                </c:pt>
                <c:pt idx="73">
                  <c:v>49.485999999999997</c:v>
                </c:pt>
                <c:pt idx="75">
                  <c:v>45.790999999999997</c:v>
                </c:pt>
                <c:pt idx="76">
                  <c:v>44.268000000000001</c:v>
                </c:pt>
                <c:pt idx="77">
                  <c:v>47.496000000000002</c:v>
                </c:pt>
                <c:pt idx="78">
                  <c:v>44.814999999999998</c:v>
                </c:pt>
                <c:pt idx="79">
                  <c:v>49.95</c:v>
                </c:pt>
                <c:pt idx="80">
                  <c:v>47.424999999999997</c:v>
                </c:pt>
                <c:pt idx="81">
                  <c:v>49.481999999999999</c:v>
                </c:pt>
                <c:pt idx="82">
                  <c:v>45.533999999999999</c:v>
                </c:pt>
                <c:pt idx="83">
                  <c:v>44.167000000000002</c:v>
                </c:pt>
                <c:pt idx="84">
                  <c:v>48.82</c:v>
                </c:pt>
                <c:pt idx="85">
                  <c:v>49.45</c:v>
                </c:pt>
                <c:pt idx="86">
                  <c:v>48.353999999999999</c:v>
                </c:pt>
                <c:pt idx="87">
                  <c:v>47.734999999999999</c:v>
                </c:pt>
                <c:pt idx="88">
                  <c:v>48.999000000000002</c:v>
                </c:pt>
                <c:pt idx="89">
                  <c:v>47.418999999999997</c:v>
                </c:pt>
                <c:pt idx="90">
                  <c:v>42.506999999999998</c:v>
                </c:pt>
                <c:pt idx="91">
                  <c:v>46.362000000000002</c:v>
                </c:pt>
                <c:pt idx="92">
                  <c:v>48.731999999999999</c:v>
                </c:pt>
                <c:pt idx="93">
                  <c:v>50.08</c:v>
                </c:pt>
                <c:pt idx="94">
                  <c:v>46.277000000000001</c:v>
                </c:pt>
                <c:pt idx="95">
                  <c:v>46.344999999999999</c:v>
                </c:pt>
                <c:pt idx="96">
                  <c:v>44.552999999999997</c:v>
                </c:pt>
                <c:pt idx="97">
                  <c:v>48.396999999999998</c:v>
                </c:pt>
                <c:pt idx="98">
                  <c:v>39.316000000000003</c:v>
                </c:pt>
                <c:pt idx="99">
                  <c:v>48.570999999999998</c:v>
                </c:pt>
                <c:pt idx="100">
                  <c:v>37.142000000000003</c:v>
                </c:pt>
                <c:pt idx="101">
                  <c:v>46.975999999999999</c:v>
                </c:pt>
                <c:pt idx="102">
                  <c:v>46.042000000000002</c:v>
                </c:pt>
                <c:pt idx="103">
                  <c:v>50.537999999999997</c:v>
                </c:pt>
                <c:pt idx="104">
                  <c:v>43.484999999999999</c:v>
                </c:pt>
                <c:pt idx="105">
                  <c:v>46.786000000000001</c:v>
                </c:pt>
                <c:pt idx="106">
                  <c:v>49.311999999999998</c:v>
                </c:pt>
                <c:pt idx="107">
                  <c:v>48.466999999999999</c:v>
                </c:pt>
                <c:pt idx="108">
                  <c:v>47.290999999999997</c:v>
                </c:pt>
                <c:pt idx="109">
                  <c:v>47.988999999999997</c:v>
                </c:pt>
                <c:pt idx="110">
                  <c:v>44.451000000000001</c:v>
                </c:pt>
                <c:pt idx="111">
                  <c:v>47.322000000000003</c:v>
                </c:pt>
                <c:pt idx="112">
                  <c:v>47.109000000000002</c:v>
                </c:pt>
                <c:pt idx="113">
                  <c:v>48.707000000000001</c:v>
                </c:pt>
                <c:pt idx="114">
                  <c:v>43.604999999999997</c:v>
                </c:pt>
                <c:pt idx="115">
                  <c:v>45.527999999999999</c:v>
                </c:pt>
                <c:pt idx="116">
                  <c:v>40.152999999999999</c:v>
                </c:pt>
                <c:pt idx="117">
                  <c:v>48.613999999999997</c:v>
                </c:pt>
                <c:pt idx="118">
                  <c:v>44.444000000000003</c:v>
                </c:pt>
                <c:pt idx="119">
                  <c:v>47.64</c:v>
                </c:pt>
                <c:pt idx="120">
                  <c:v>45.834000000000003</c:v>
                </c:pt>
                <c:pt idx="121">
                  <c:v>46.722999999999999</c:v>
                </c:pt>
                <c:pt idx="122">
                  <c:v>43.277000000000001</c:v>
                </c:pt>
                <c:pt idx="123">
                  <c:v>45.838000000000001</c:v>
                </c:pt>
                <c:pt idx="124">
                  <c:v>49.179000000000002</c:v>
                </c:pt>
                <c:pt idx="125">
                  <c:v>49.587000000000003</c:v>
                </c:pt>
                <c:pt idx="126">
                  <c:v>49.136000000000003</c:v>
                </c:pt>
                <c:pt idx="127">
                  <c:v>46.668999999999997</c:v>
                </c:pt>
                <c:pt idx="128">
                  <c:v>46.356000000000002</c:v>
                </c:pt>
                <c:pt idx="129">
                  <c:v>50.274000000000001</c:v>
                </c:pt>
                <c:pt idx="130">
                  <c:v>49.439</c:v>
                </c:pt>
                <c:pt idx="131">
                  <c:v>48.095999999999997</c:v>
                </c:pt>
                <c:pt idx="132">
                  <c:v>46.09</c:v>
                </c:pt>
                <c:pt idx="133">
                  <c:v>47.899000000000001</c:v>
                </c:pt>
                <c:pt idx="134">
                  <c:v>45.338000000000001</c:v>
                </c:pt>
                <c:pt idx="135">
                  <c:v>47.451999999999998</c:v>
                </c:pt>
                <c:pt idx="136">
                  <c:v>44.981999999999999</c:v>
                </c:pt>
                <c:pt idx="137">
                  <c:v>52.521999999999998</c:v>
                </c:pt>
                <c:pt idx="138">
                  <c:v>48.031999999999996</c:v>
                </c:pt>
                <c:pt idx="139">
                  <c:v>47.744</c:v>
                </c:pt>
                <c:pt idx="140">
                  <c:v>35.177</c:v>
                </c:pt>
                <c:pt idx="141">
                  <c:v>47.841999999999999</c:v>
                </c:pt>
              </c:numCache>
            </c:numRef>
          </c:xVal>
          <c:yVal>
            <c:numRef>
              <c:f>Feuil1!$C$2:$C$143</c:f>
              <c:numCache>
                <c:formatCode>General</c:formatCode>
                <c:ptCount val="142"/>
                <c:pt idx="1">
                  <c:v>50.387</c:v>
                </c:pt>
                <c:pt idx="2">
                  <c:v>51.313000000000002</c:v>
                </c:pt>
                <c:pt idx="3">
                  <c:v>47.948999999999998</c:v>
                </c:pt>
                <c:pt idx="4">
                  <c:v>52.177</c:v>
                </c:pt>
                <c:pt idx="5">
                  <c:v>49.329000000000001</c:v>
                </c:pt>
                <c:pt idx="6">
                  <c:v>49.694000000000003</c:v>
                </c:pt>
                <c:pt idx="7">
                  <c:v>47.637</c:v>
                </c:pt>
                <c:pt idx="8">
                  <c:v>53.145000000000003</c:v>
                </c:pt>
                <c:pt idx="9">
                  <c:v>51.113999999999997</c:v>
                </c:pt>
                <c:pt idx="10">
                  <c:v>48.408999999999999</c:v>
                </c:pt>
                <c:pt idx="11">
                  <c:v>47.22</c:v>
                </c:pt>
                <c:pt idx="12">
                  <c:v>49.945</c:v>
                </c:pt>
                <c:pt idx="13">
                  <c:v>50.082000000000001</c:v>
                </c:pt>
                <c:pt idx="14">
                  <c:v>49.484000000000002</c:v>
                </c:pt>
                <c:pt idx="15">
                  <c:v>50.639000000000003</c:v>
                </c:pt>
                <c:pt idx="16">
                  <c:v>50.723999999999997</c:v>
                </c:pt>
                <c:pt idx="17">
                  <c:v>46.954999999999998</c:v>
                </c:pt>
                <c:pt idx="18">
                  <c:v>47.506999999999998</c:v>
                </c:pt>
                <c:pt idx="19">
                  <c:v>47.237000000000002</c:v>
                </c:pt>
                <c:pt idx="20">
                  <c:v>50.685000000000002</c:v>
                </c:pt>
                <c:pt idx="21">
                  <c:v>50.835999999999999</c:v>
                </c:pt>
                <c:pt idx="22">
                  <c:v>52.357999999999997</c:v>
                </c:pt>
                <c:pt idx="23">
                  <c:v>50.649000000000001</c:v>
                </c:pt>
                <c:pt idx="24">
                  <c:v>51.189</c:v>
                </c:pt>
                <c:pt idx="25">
                  <c:v>49.604999999999997</c:v>
                </c:pt>
                <c:pt idx="26">
                  <c:v>50.040999999999997</c:v>
                </c:pt>
                <c:pt idx="27">
                  <c:v>48.100999999999999</c:v>
                </c:pt>
                <c:pt idx="28">
                  <c:v>50.005000000000003</c:v>
                </c:pt>
                <c:pt idx="29">
                  <c:v>48.759</c:v>
                </c:pt>
                <c:pt idx="30">
                  <c:v>46.37</c:v>
                </c:pt>
                <c:pt idx="31">
                  <c:v>46.052</c:v>
                </c:pt>
                <c:pt idx="32">
                  <c:v>50.773000000000003</c:v>
                </c:pt>
                <c:pt idx="33">
                  <c:v>51.16</c:v>
                </c:pt>
                <c:pt idx="34">
                  <c:v>51.682000000000002</c:v>
                </c:pt>
                <c:pt idx="35">
                  <c:v>51.32</c:v>
                </c:pt>
                <c:pt idx="36">
                  <c:v>49.889000000000003</c:v>
                </c:pt>
                <c:pt idx="37">
                  <c:v>49.186</c:v>
                </c:pt>
                <c:pt idx="38">
                  <c:v>48.127000000000002</c:v>
                </c:pt>
                <c:pt idx="39">
                  <c:v>49.018999999999998</c:v>
                </c:pt>
                <c:pt idx="40">
                  <c:v>50.908999999999999</c:v>
                </c:pt>
                <c:pt idx="41">
                  <c:v>50.402000000000001</c:v>
                </c:pt>
                <c:pt idx="42">
                  <c:v>49.457000000000001</c:v>
                </c:pt>
                <c:pt idx="43">
                  <c:v>48.704999999999998</c:v>
                </c:pt>
                <c:pt idx="44">
                  <c:v>52.158999999999999</c:v>
                </c:pt>
                <c:pt idx="45">
                  <c:v>48.255000000000003</c:v>
                </c:pt>
                <c:pt idx="46">
                  <c:v>52.402999999999999</c:v>
                </c:pt>
                <c:pt idx="47">
                  <c:v>55.311</c:v>
                </c:pt>
                <c:pt idx="48">
                  <c:v>48.579000000000001</c:v>
                </c:pt>
                <c:pt idx="49">
                  <c:v>48.747999999999998</c:v>
                </c:pt>
                <c:pt idx="50">
                  <c:v>47.664999999999999</c:v>
                </c:pt>
                <c:pt idx="51">
                  <c:v>46.536000000000001</c:v>
                </c:pt>
                <c:pt idx="52">
                  <c:v>49.417000000000002</c:v>
                </c:pt>
                <c:pt idx="53">
                  <c:v>48.683999999999997</c:v>
                </c:pt>
                <c:pt idx="54">
                  <c:v>47.564</c:v>
                </c:pt>
                <c:pt idx="55">
                  <c:v>47.863</c:v>
                </c:pt>
                <c:pt idx="56">
                  <c:v>46.972000000000001</c:v>
                </c:pt>
                <c:pt idx="57">
                  <c:v>48.191000000000003</c:v>
                </c:pt>
                <c:pt idx="58">
                  <c:v>47.866</c:v>
                </c:pt>
                <c:pt idx="59">
                  <c:v>47.115000000000002</c:v>
                </c:pt>
                <c:pt idx="60">
                  <c:v>48.363</c:v>
                </c:pt>
                <c:pt idx="61">
                  <c:v>48.301000000000002</c:v>
                </c:pt>
                <c:pt idx="62">
                  <c:v>46.311</c:v>
                </c:pt>
                <c:pt idx="63">
                  <c:v>46.793999999999997</c:v>
                </c:pt>
                <c:pt idx="64">
                  <c:v>51.478999999999999</c:v>
                </c:pt>
                <c:pt idx="65">
                  <c:v>50.828000000000003</c:v>
                </c:pt>
                <c:pt idx="66">
                  <c:v>50.473999999999997</c:v>
                </c:pt>
                <c:pt idx="67">
                  <c:v>50.951999999999998</c:v>
                </c:pt>
                <c:pt idx="68">
                  <c:v>47.305</c:v>
                </c:pt>
                <c:pt idx="69">
                  <c:v>47.124000000000002</c:v>
                </c:pt>
                <c:pt idx="70">
                  <c:v>50.904000000000003</c:v>
                </c:pt>
                <c:pt idx="71">
                  <c:v>49.749000000000002</c:v>
                </c:pt>
                <c:pt idx="72">
                  <c:v>50.786000000000001</c:v>
                </c:pt>
                <c:pt idx="73">
                  <c:v>50.555</c:v>
                </c:pt>
                <c:pt idx="74">
                  <c:v>50.292999999999999</c:v>
                </c:pt>
                <c:pt idx="75">
                  <c:v>48.533999999999999</c:v>
                </c:pt>
                <c:pt idx="76">
                  <c:v>50.853999999999999</c:v>
                </c:pt>
                <c:pt idx="77">
                  <c:v>51.033000000000001</c:v>
                </c:pt>
                <c:pt idx="78">
                  <c:v>51.15</c:v>
                </c:pt>
                <c:pt idx="79">
                  <c:v>48.869</c:v>
                </c:pt>
                <c:pt idx="80">
                  <c:v>52.750999999999998</c:v>
                </c:pt>
                <c:pt idx="81">
                  <c:v>52.177999999999997</c:v>
                </c:pt>
                <c:pt idx="82">
                  <c:v>48.517000000000003</c:v>
                </c:pt>
                <c:pt idx="83">
                  <c:v>47.881</c:v>
                </c:pt>
                <c:pt idx="84">
                  <c:v>48.777999999999999</c:v>
                </c:pt>
                <c:pt idx="85">
                  <c:v>46.381999999999998</c:v>
                </c:pt>
                <c:pt idx="86">
                  <c:v>50.960999999999999</c:v>
                </c:pt>
                <c:pt idx="87">
                  <c:v>51.003999999999998</c:v>
                </c:pt>
                <c:pt idx="88">
                  <c:v>51.220999999999997</c:v>
                </c:pt>
                <c:pt idx="89">
                  <c:v>51.171999999999997</c:v>
                </c:pt>
                <c:pt idx="90">
                  <c:v>49.768000000000001</c:v>
                </c:pt>
                <c:pt idx="91">
                  <c:v>48.246000000000002</c:v>
                </c:pt>
                <c:pt idx="92">
                  <c:v>48.404000000000003</c:v>
                </c:pt>
                <c:pt idx="93">
                  <c:v>48.241999999999997</c:v>
                </c:pt>
                <c:pt idx="94">
                  <c:v>50.777999999999999</c:v>
                </c:pt>
                <c:pt idx="95">
                  <c:v>50.493000000000002</c:v>
                </c:pt>
                <c:pt idx="96">
                  <c:v>52.65</c:v>
                </c:pt>
                <c:pt idx="97">
                  <c:v>52.100999999999999</c:v>
                </c:pt>
                <c:pt idx="98">
                  <c:v>47.210999999999999</c:v>
                </c:pt>
                <c:pt idx="99">
                  <c:v>49.366999999999997</c:v>
                </c:pt>
                <c:pt idx="100">
                  <c:v>49.957000000000001</c:v>
                </c:pt>
                <c:pt idx="101">
                  <c:v>50.073</c:v>
                </c:pt>
                <c:pt idx="102">
                  <c:v>53.223999999999997</c:v>
                </c:pt>
                <c:pt idx="103">
                  <c:v>50.040999999999997</c:v>
                </c:pt>
                <c:pt idx="104">
                  <c:v>51.192</c:v>
                </c:pt>
                <c:pt idx="105">
                  <c:v>48.67</c:v>
                </c:pt>
                <c:pt idx="106">
                  <c:v>52.465000000000003</c:v>
                </c:pt>
                <c:pt idx="107">
                  <c:v>53.091999999999999</c:v>
                </c:pt>
                <c:pt idx="108">
                  <c:v>49.091000000000001</c:v>
                </c:pt>
                <c:pt idx="109">
                  <c:v>51.277000000000001</c:v>
                </c:pt>
                <c:pt idx="110">
                  <c:v>50.488999999999997</c:v>
                </c:pt>
                <c:pt idx="111">
                  <c:v>52.000999999999998</c:v>
                </c:pt>
                <c:pt idx="112">
                  <c:v>50.277000000000001</c:v>
                </c:pt>
                <c:pt idx="113">
                  <c:v>50.61</c:v>
                </c:pt>
                <c:pt idx="114">
                  <c:v>50.308</c:v>
                </c:pt>
                <c:pt idx="115">
                  <c:v>50.637</c:v>
                </c:pt>
                <c:pt idx="116">
                  <c:v>50.183</c:v>
                </c:pt>
                <c:pt idx="117">
                  <c:v>49.177</c:v>
                </c:pt>
                <c:pt idx="118">
                  <c:v>51.213000000000001</c:v>
                </c:pt>
                <c:pt idx="119">
                  <c:v>51.93</c:v>
                </c:pt>
                <c:pt idx="120">
                  <c:v>50.619</c:v>
                </c:pt>
                <c:pt idx="121">
                  <c:v>52.548999999999999</c:v>
                </c:pt>
                <c:pt idx="122">
                  <c:v>49.027000000000001</c:v>
                </c:pt>
                <c:pt idx="123">
                  <c:v>50.585999999999999</c:v>
                </c:pt>
                <c:pt idx="124">
                  <c:v>52.192999999999998</c:v>
                </c:pt>
                <c:pt idx="125">
                  <c:v>49.350999999999999</c:v>
                </c:pt>
                <c:pt idx="126">
                  <c:v>51.648000000000003</c:v>
                </c:pt>
                <c:pt idx="127">
                  <c:v>45.512999999999998</c:v>
                </c:pt>
                <c:pt idx="128">
                  <c:v>51.142000000000003</c:v>
                </c:pt>
                <c:pt idx="129">
                  <c:v>52.244999999999997</c:v>
                </c:pt>
                <c:pt idx="130">
                  <c:v>51.540999999999997</c:v>
                </c:pt>
                <c:pt idx="131">
                  <c:v>52.112000000000002</c:v>
                </c:pt>
                <c:pt idx="132">
                  <c:v>44.655999999999999</c:v>
                </c:pt>
                <c:pt idx="133">
                  <c:v>48.521000000000001</c:v>
                </c:pt>
                <c:pt idx="134">
                  <c:v>49.987000000000002</c:v>
                </c:pt>
                <c:pt idx="135">
                  <c:v>49.619</c:v>
                </c:pt>
                <c:pt idx="136">
                  <c:v>52.252000000000002</c:v>
                </c:pt>
                <c:pt idx="137">
                  <c:v>53.996000000000002</c:v>
                </c:pt>
                <c:pt idx="138">
                  <c:v>50.999000000000002</c:v>
                </c:pt>
                <c:pt idx="139">
                  <c:v>52.892000000000003</c:v>
                </c:pt>
                <c:pt idx="140">
                  <c:v>50.747999999999998</c:v>
                </c:pt>
                <c:pt idx="141">
                  <c:v>48.762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50112"/>
        <c:axId val="105447424"/>
      </c:scatterChart>
      <c:valAx>
        <c:axId val="105450112"/>
        <c:scaling>
          <c:orientation val="minMax"/>
          <c:min val="35"/>
        </c:scaling>
        <c:delete val="0"/>
        <c:axPos val="b"/>
        <c:numFmt formatCode="General" sourceLinked="1"/>
        <c:majorTickMark val="out"/>
        <c:minorTickMark val="none"/>
        <c:tickLblPos val="nextTo"/>
        <c:crossAx val="105447424"/>
        <c:crosses val="autoZero"/>
        <c:crossBetween val="midCat"/>
      </c:valAx>
      <c:valAx>
        <c:axId val="105447424"/>
        <c:scaling>
          <c:orientation val="minMax"/>
          <c:max val="54"/>
          <c:min val="4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5450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714374</xdr:colOff>
      <xdr:row>1</xdr:row>
      <xdr:rowOff>349250</xdr:rowOff>
    </xdr:from>
    <xdr:to>
      <xdr:col>19</xdr:col>
      <xdr:colOff>31749</xdr:colOff>
      <xdr:row>3</xdr:row>
      <xdr:rowOff>15875</xdr:rowOff>
    </xdr:to>
    <xdr:sp macro="" textlink="">
      <xdr:nvSpPr>
        <xdr:cNvPr id="2" name="Rectangle 1"/>
        <xdr:cNvSpPr/>
      </xdr:nvSpPr>
      <xdr:spPr>
        <a:xfrm>
          <a:off x="7610474" y="511175"/>
          <a:ext cx="488950" cy="390525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34</xdr:col>
      <xdr:colOff>533400</xdr:colOff>
      <xdr:row>1</xdr:row>
      <xdr:rowOff>358775</xdr:rowOff>
    </xdr:from>
    <xdr:to>
      <xdr:col>36</xdr:col>
      <xdr:colOff>25400</xdr:colOff>
      <xdr:row>3</xdr:row>
      <xdr:rowOff>25400</xdr:rowOff>
    </xdr:to>
    <xdr:sp macro="" textlink="">
      <xdr:nvSpPr>
        <xdr:cNvPr id="3" name="Rectangle 2"/>
        <xdr:cNvSpPr/>
      </xdr:nvSpPr>
      <xdr:spPr>
        <a:xfrm>
          <a:off x="15382875" y="520700"/>
          <a:ext cx="482600" cy="390525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44</xdr:col>
      <xdr:colOff>542925</xdr:colOff>
      <xdr:row>2</xdr:row>
      <xdr:rowOff>352425</xdr:rowOff>
    </xdr:from>
    <xdr:to>
      <xdr:col>46</xdr:col>
      <xdr:colOff>34925</xdr:colOff>
      <xdr:row>4</xdr:row>
      <xdr:rowOff>19050</xdr:rowOff>
    </xdr:to>
    <xdr:sp macro="" textlink="">
      <xdr:nvSpPr>
        <xdr:cNvPr id="4" name="Rectangle 3"/>
        <xdr:cNvSpPr/>
      </xdr:nvSpPr>
      <xdr:spPr>
        <a:xfrm>
          <a:off x="19954875" y="876300"/>
          <a:ext cx="492125" cy="390525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42</xdr:col>
      <xdr:colOff>536575</xdr:colOff>
      <xdr:row>2</xdr:row>
      <xdr:rowOff>361950</xdr:rowOff>
    </xdr:from>
    <xdr:to>
      <xdr:col>44</xdr:col>
      <xdr:colOff>28575</xdr:colOff>
      <xdr:row>4</xdr:row>
      <xdr:rowOff>28575</xdr:rowOff>
    </xdr:to>
    <xdr:sp macro="" textlink="">
      <xdr:nvSpPr>
        <xdr:cNvPr id="5" name="Rectangle 4"/>
        <xdr:cNvSpPr/>
      </xdr:nvSpPr>
      <xdr:spPr>
        <a:xfrm>
          <a:off x="19043650" y="885825"/>
          <a:ext cx="482600" cy="390525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285749</xdr:colOff>
      <xdr:row>33</xdr:row>
      <xdr:rowOff>47625</xdr:rowOff>
    </xdr:from>
    <xdr:to>
      <xdr:col>3</xdr:col>
      <xdr:colOff>381000</xdr:colOff>
      <xdr:row>34</xdr:row>
      <xdr:rowOff>15875</xdr:rowOff>
    </xdr:to>
    <xdr:sp macro="" textlink="">
      <xdr:nvSpPr>
        <xdr:cNvPr id="6" name="Rectangle 5"/>
        <xdr:cNvSpPr/>
      </xdr:nvSpPr>
      <xdr:spPr>
        <a:xfrm>
          <a:off x="742949" y="10363200"/>
          <a:ext cx="790576" cy="301625"/>
        </a:xfrm>
        <a:prstGeom prst="rect">
          <a:avLst/>
        </a:prstGeom>
        <a:noFill/>
        <a:ln w="57150"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31751</xdr:colOff>
      <xdr:row>36</xdr:row>
      <xdr:rowOff>25400</xdr:rowOff>
    </xdr:from>
    <xdr:to>
      <xdr:col>3</xdr:col>
      <xdr:colOff>365126</xdr:colOff>
      <xdr:row>37</xdr:row>
      <xdr:rowOff>31750</xdr:rowOff>
    </xdr:to>
    <xdr:sp macro="" textlink="">
      <xdr:nvSpPr>
        <xdr:cNvPr id="7" name="Rectangle 6"/>
        <xdr:cNvSpPr/>
      </xdr:nvSpPr>
      <xdr:spPr>
        <a:xfrm>
          <a:off x="784226" y="10998200"/>
          <a:ext cx="733425" cy="339725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47625</xdr:colOff>
      <xdr:row>5</xdr:row>
      <xdr:rowOff>31750</xdr:rowOff>
    </xdr:to>
    <xdr:sp macro="" textlink="">
      <xdr:nvSpPr>
        <xdr:cNvPr id="8" name="Rectangle 7"/>
        <xdr:cNvSpPr/>
      </xdr:nvSpPr>
      <xdr:spPr>
        <a:xfrm>
          <a:off x="2752725" y="1247775"/>
          <a:ext cx="44767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11</xdr:col>
      <xdr:colOff>47625</xdr:colOff>
      <xdr:row>6</xdr:row>
      <xdr:rowOff>31750</xdr:rowOff>
    </xdr:to>
    <xdr:sp macro="" textlink="">
      <xdr:nvSpPr>
        <xdr:cNvPr id="9" name="Rectangle 8"/>
        <xdr:cNvSpPr/>
      </xdr:nvSpPr>
      <xdr:spPr>
        <a:xfrm>
          <a:off x="3952875" y="1609725"/>
          <a:ext cx="5048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29</xdr:col>
      <xdr:colOff>0</xdr:colOff>
      <xdr:row>12</xdr:row>
      <xdr:rowOff>0</xdr:rowOff>
    </xdr:from>
    <xdr:to>
      <xdr:col>30</xdr:col>
      <xdr:colOff>47625</xdr:colOff>
      <xdr:row>13</xdr:row>
      <xdr:rowOff>31750</xdr:rowOff>
    </xdr:to>
    <xdr:sp macro="" textlink="">
      <xdr:nvSpPr>
        <xdr:cNvPr id="10" name="Rectangle 9"/>
        <xdr:cNvSpPr/>
      </xdr:nvSpPr>
      <xdr:spPr>
        <a:xfrm>
          <a:off x="12639675" y="4143375"/>
          <a:ext cx="5048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30</xdr:col>
      <xdr:colOff>0</xdr:colOff>
      <xdr:row>14</xdr:row>
      <xdr:rowOff>0</xdr:rowOff>
    </xdr:from>
    <xdr:to>
      <xdr:col>31</xdr:col>
      <xdr:colOff>47625</xdr:colOff>
      <xdr:row>15</xdr:row>
      <xdr:rowOff>31750</xdr:rowOff>
    </xdr:to>
    <xdr:sp macro="" textlink="">
      <xdr:nvSpPr>
        <xdr:cNvPr id="11" name="Rectangle 10"/>
        <xdr:cNvSpPr/>
      </xdr:nvSpPr>
      <xdr:spPr>
        <a:xfrm>
          <a:off x="13096875" y="4867275"/>
          <a:ext cx="5048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59</xdr:col>
      <xdr:colOff>539750</xdr:colOff>
      <xdr:row>14</xdr:row>
      <xdr:rowOff>0</xdr:rowOff>
    </xdr:from>
    <xdr:to>
      <xdr:col>61</xdr:col>
      <xdr:colOff>31750</xdr:colOff>
      <xdr:row>15</xdr:row>
      <xdr:rowOff>31750</xdr:rowOff>
    </xdr:to>
    <xdr:sp macro="" textlink="">
      <xdr:nvSpPr>
        <xdr:cNvPr id="12" name="Rectangle 11"/>
        <xdr:cNvSpPr/>
      </xdr:nvSpPr>
      <xdr:spPr>
        <a:xfrm>
          <a:off x="26809700" y="4867275"/>
          <a:ext cx="4921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45</xdr:col>
      <xdr:colOff>523875</xdr:colOff>
      <xdr:row>10</xdr:row>
      <xdr:rowOff>349250</xdr:rowOff>
    </xdr:from>
    <xdr:to>
      <xdr:col>47</xdr:col>
      <xdr:colOff>15875</xdr:colOff>
      <xdr:row>12</xdr:row>
      <xdr:rowOff>15875</xdr:rowOff>
    </xdr:to>
    <xdr:sp macro="" textlink="">
      <xdr:nvSpPr>
        <xdr:cNvPr id="13" name="Rectangle 12"/>
        <xdr:cNvSpPr/>
      </xdr:nvSpPr>
      <xdr:spPr>
        <a:xfrm>
          <a:off x="20412075" y="3768725"/>
          <a:ext cx="473075" cy="390525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54</xdr:col>
      <xdr:colOff>0</xdr:colOff>
      <xdr:row>3</xdr:row>
      <xdr:rowOff>0</xdr:rowOff>
    </xdr:from>
    <xdr:to>
      <xdr:col>55</xdr:col>
      <xdr:colOff>47625</xdr:colOff>
      <xdr:row>4</xdr:row>
      <xdr:rowOff>31750</xdr:rowOff>
    </xdr:to>
    <xdr:sp macro="" textlink="">
      <xdr:nvSpPr>
        <xdr:cNvPr id="14" name="Rectangle 13"/>
        <xdr:cNvSpPr/>
      </xdr:nvSpPr>
      <xdr:spPr>
        <a:xfrm>
          <a:off x="24069675" y="885825"/>
          <a:ext cx="5048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0</xdr:colOff>
      <xdr:row>6</xdr:row>
      <xdr:rowOff>0</xdr:rowOff>
    </xdr:from>
    <xdr:to>
      <xdr:col>48</xdr:col>
      <xdr:colOff>47625</xdr:colOff>
      <xdr:row>7</xdr:row>
      <xdr:rowOff>31750</xdr:rowOff>
    </xdr:to>
    <xdr:sp macro="" textlink="">
      <xdr:nvSpPr>
        <xdr:cNvPr id="15" name="Rectangle 14"/>
        <xdr:cNvSpPr/>
      </xdr:nvSpPr>
      <xdr:spPr>
        <a:xfrm>
          <a:off x="20869275" y="1971675"/>
          <a:ext cx="504825" cy="393700"/>
        </a:xfrm>
        <a:prstGeom prst="rect">
          <a:avLst/>
        </a:prstGeom>
        <a:noFill/>
        <a:ln w="57150"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269875</xdr:colOff>
      <xdr:row>23</xdr:row>
      <xdr:rowOff>146050</xdr:rowOff>
    </xdr:from>
    <xdr:to>
      <xdr:col>24</xdr:col>
      <xdr:colOff>9525</xdr:colOff>
      <xdr:row>27</xdr:row>
      <xdr:rowOff>139700</xdr:rowOff>
    </xdr:to>
    <xdr:sp macro="" textlink="">
      <xdr:nvSpPr>
        <xdr:cNvPr id="16" name="ZoneTexte 15"/>
        <xdr:cNvSpPr txBox="1"/>
      </xdr:nvSpPr>
      <xdr:spPr>
        <a:xfrm>
          <a:off x="6051550" y="7461250"/>
          <a:ext cx="4311650" cy="1441450"/>
        </a:xfrm>
        <a:prstGeom prst="rect">
          <a:avLst/>
        </a:prstGeom>
        <a:solidFill>
          <a:schemeClr val="lt1"/>
        </a:solidFill>
        <a:ln w="1016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4400"/>
            <a:t>Répétition 1</a:t>
          </a:r>
        </a:p>
      </xdr:txBody>
    </xdr:sp>
    <xdr:clientData/>
  </xdr:twoCellAnchor>
  <xdr:twoCellAnchor>
    <xdr:from>
      <xdr:col>50</xdr:col>
      <xdr:colOff>219075</xdr:colOff>
      <xdr:row>23</xdr:row>
      <xdr:rowOff>34925</xdr:rowOff>
    </xdr:from>
    <xdr:to>
      <xdr:col>59</xdr:col>
      <xdr:colOff>419100</xdr:colOff>
      <xdr:row>27</xdr:row>
      <xdr:rowOff>47625</xdr:rowOff>
    </xdr:to>
    <xdr:sp macro="" textlink="">
      <xdr:nvSpPr>
        <xdr:cNvPr id="17" name="ZoneTexte 16"/>
        <xdr:cNvSpPr txBox="1"/>
      </xdr:nvSpPr>
      <xdr:spPr>
        <a:xfrm>
          <a:off x="22459950" y="7350125"/>
          <a:ext cx="4314825" cy="1460500"/>
        </a:xfrm>
        <a:prstGeom prst="rect">
          <a:avLst/>
        </a:prstGeom>
        <a:solidFill>
          <a:schemeClr val="lt1"/>
        </a:solidFill>
        <a:ln w="10160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4400"/>
            <a:t>Répétition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7</xdr:row>
      <xdr:rowOff>80962</xdr:rowOff>
    </xdr:from>
    <xdr:to>
      <xdr:col>12</xdr:col>
      <xdr:colOff>76200</xdr:colOff>
      <xdr:row>25</xdr:row>
      <xdr:rowOff>80962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7</xdr:row>
      <xdr:rowOff>14287</xdr:rowOff>
    </xdr:from>
    <xdr:to>
      <xdr:col>14</xdr:col>
      <xdr:colOff>485775</xdr:colOff>
      <xdr:row>25</xdr:row>
      <xdr:rowOff>14287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3</xdr:row>
      <xdr:rowOff>61912</xdr:rowOff>
    </xdr:from>
    <xdr:to>
      <xdr:col>25</xdr:col>
      <xdr:colOff>542925</xdr:colOff>
      <xdr:row>20</xdr:row>
      <xdr:rowOff>52387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7</xdr:row>
      <xdr:rowOff>138112</xdr:rowOff>
    </xdr:from>
    <xdr:to>
      <xdr:col>15</xdr:col>
      <xdr:colOff>304800</xdr:colOff>
      <xdr:row>24</xdr:row>
      <xdr:rowOff>128587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://urgi.versailles.inra.fr/Species/Wheat/Sequence-Repository" TargetMode="External"/><Relationship Id="rId1" Type="http://schemas.openxmlformats.org/officeDocument/2006/relationships/hyperlink" Target="mailto:jacques.dupond@e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pierre.george@biogemma.com" TargetMode="External"/><Relationship Id="rId1" Type="http://schemas.openxmlformats.org/officeDocument/2006/relationships/hyperlink" Target="mailto:xavier.heudelot@biogemma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95"/>
  <sheetViews>
    <sheetView topLeftCell="A49" zoomScale="90" zoomScaleNormal="90" workbookViewId="0">
      <selection activeCell="E69" sqref="E69:H70"/>
    </sheetView>
  </sheetViews>
  <sheetFormatPr baseColWidth="10" defaultRowHeight="12.75"/>
  <cols>
    <col min="1" max="1" width="31.140625" style="1" customWidth="1"/>
    <col min="2" max="2" width="28.42578125" style="1" customWidth="1"/>
    <col min="3" max="3" width="35" style="1" customWidth="1"/>
    <col min="4" max="4" width="36.28515625" style="1" customWidth="1"/>
    <col min="5" max="5" width="31" style="1" customWidth="1"/>
    <col min="6" max="6" width="26.5703125" style="1" customWidth="1"/>
    <col min="7" max="7" width="24.85546875" style="1" customWidth="1"/>
    <col min="8" max="8" width="37.7109375" style="1" customWidth="1"/>
    <col min="9" max="9" width="21.140625" style="1" customWidth="1"/>
    <col min="10" max="10" width="19" style="1" customWidth="1"/>
    <col min="11" max="11" width="18" style="1" customWidth="1"/>
    <col min="12" max="12" width="20.7109375" style="1" customWidth="1"/>
    <col min="13" max="13" width="23.85546875" style="1" customWidth="1"/>
    <col min="14" max="14" width="27.7109375" style="1" customWidth="1"/>
    <col min="15" max="15" width="28" style="1" customWidth="1"/>
    <col min="16" max="16" width="15.28515625" style="1" customWidth="1"/>
    <col min="17" max="17" width="17.42578125" style="1" customWidth="1"/>
    <col min="18" max="18" width="26.42578125" style="1" customWidth="1"/>
    <col min="19" max="19" width="15.5703125" style="1" customWidth="1"/>
    <col min="20" max="20" width="13.5703125" style="1" customWidth="1"/>
    <col min="21" max="21" width="15.85546875" style="1" customWidth="1"/>
    <col min="22" max="23" width="12.5703125" style="1" customWidth="1"/>
    <col min="24" max="24" width="11.42578125" style="1"/>
    <col min="25" max="25" width="12.5703125" style="1" customWidth="1"/>
    <col min="26" max="16384" width="11.42578125" style="1"/>
  </cols>
  <sheetData>
    <row r="1" spans="1:256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</row>
    <row r="2" spans="1:256">
      <c r="A2" s="2" t="s">
        <v>2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</row>
    <row r="3" spans="1:256">
      <c r="A3" s="2" t="s">
        <v>3</v>
      </c>
      <c r="B3" s="3" t="s">
        <v>4</v>
      </c>
      <c r="C3" s="4"/>
      <c r="D3" s="5"/>
      <c r="E3" s="5"/>
      <c r="F3" s="5"/>
      <c r="G3" s="5"/>
      <c r="H3" s="5"/>
      <c r="I3" s="5"/>
      <c r="J3" s="5"/>
      <c r="K3" s="5"/>
      <c r="L3" s="5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</row>
    <row r="4" spans="1:256">
      <c r="A4" s="4"/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</row>
    <row r="5" spans="1:256">
      <c r="A5" s="357" t="s">
        <v>5</v>
      </c>
      <c r="B5" s="357"/>
      <c r="C5" s="357"/>
      <c r="D5" s="357"/>
      <c r="E5" s="357"/>
      <c r="F5" s="8"/>
      <c r="G5" s="8"/>
      <c r="H5" s="8"/>
      <c r="I5" s="8"/>
      <c r="J5" s="5"/>
      <c r="K5" s="5"/>
      <c r="L5" s="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>
      <c r="A6" s="5"/>
      <c r="B6" s="5"/>
      <c r="C6" s="5"/>
      <c r="D6" s="5"/>
      <c r="E6" s="5"/>
      <c r="F6" s="8"/>
      <c r="G6" s="8"/>
      <c r="H6" s="8"/>
      <c r="I6" s="8"/>
      <c r="J6" s="5"/>
      <c r="K6" s="5"/>
      <c r="L6" s="5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>
      <c r="A7" s="358" t="s">
        <v>6</v>
      </c>
      <c r="B7" s="359" t="s">
        <v>7</v>
      </c>
      <c r="C7" s="359"/>
      <c r="D7" s="359"/>
      <c r="E7" s="359"/>
      <c r="F7" s="8"/>
      <c r="G7" s="8"/>
      <c r="H7" s="8"/>
      <c r="I7" s="8"/>
      <c r="J7" s="5"/>
      <c r="K7" s="5"/>
      <c r="L7" s="5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</row>
    <row r="8" spans="1:256">
      <c r="A8" s="358"/>
      <c r="B8" s="360" t="s">
        <v>8</v>
      </c>
      <c r="C8" s="360"/>
      <c r="D8" s="360"/>
      <c r="E8" s="360"/>
      <c r="F8" s="8"/>
      <c r="G8" s="8"/>
      <c r="H8" s="8"/>
      <c r="I8" s="8"/>
      <c r="J8" s="5"/>
      <c r="K8" s="5"/>
      <c r="L8" s="5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</row>
    <row r="9" spans="1:256">
      <c r="A9" s="358"/>
      <c r="B9" s="361" t="s">
        <v>9</v>
      </c>
      <c r="C9" s="361"/>
      <c r="D9" s="361"/>
      <c r="E9" s="361"/>
      <c r="F9" s="9"/>
      <c r="G9" s="9"/>
      <c r="H9" s="9"/>
      <c r="I9" s="8"/>
      <c r="J9" s="5"/>
      <c r="K9" s="5"/>
      <c r="L9" s="5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</row>
    <row r="10" spans="1:256">
      <c r="A10" s="5"/>
      <c r="B10" s="5"/>
      <c r="C10" s="5"/>
      <c r="D10" s="5"/>
      <c r="E10" s="5"/>
      <c r="F10" s="8"/>
      <c r="G10" s="8"/>
      <c r="H10" s="8"/>
      <c r="I10" s="8"/>
      <c r="J10" s="5"/>
      <c r="K10" s="5"/>
      <c r="L10" s="5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</row>
    <row r="11" spans="1:256">
      <c r="A11" s="10" t="s">
        <v>10</v>
      </c>
      <c r="B11" s="5"/>
      <c r="C11" s="5"/>
      <c r="D11" s="5"/>
      <c r="E11" s="5"/>
      <c r="F11" s="8"/>
      <c r="G11" s="8"/>
      <c r="H11" s="8"/>
      <c r="I11" s="8"/>
      <c r="J11" s="5"/>
      <c r="K11" s="5"/>
      <c r="L11" s="5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</row>
    <row r="12" spans="1:256">
      <c r="A12" s="10"/>
      <c r="B12" s="5"/>
      <c r="C12" s="5"/>
      <c r="D12" s="5"/>
      <c r="E12" s="5"/>
      <c r="F12" s="8"/>
      <c r="G12" s="8"/>
      <c r="H12" s="8"/>
      <c r="I12" s="8"/>
      <c r="J12" s="5"/>
      <c r="K12" s="5"/>
      <c r="L12" s="5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</row>
    <row r="13" spans="1:256">
      <c r="A13" s="11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</row>
    <row r="14" spans="1:256">
      <c r="A14" s="12" t="s">
        <v>11</v>
      </c>
      <c r="B14" s="10" t="s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</row>
    <row r="15" spans="1:256">
      <c r="A15" s="13"/>
      <c r="B15" s="14" t="s">
        <v>13</v>
      </c>
      <c r="C15" s="14" t="s">
        <v>14</v>
      </c>
      <c r="D15" s="15" t="s">
        <v>15</v>
      </c>
      <c r="E15" s="15" t="s">
        <v>16</v>
      </c>
      <c r="F15" s="15" t="s">
        <v>17</v>
      </c>
      <c r="G15" s="15" t="s">
        <v>18</v>
      </c>
      <c r="H15" s="15" t="s">
        <v>19</v>
      </c>
      <c r="I15" s="16" t="s">
        <v>20</v>
      </c>
      <c r="J15" s="17" t="s">
        <v>21</v>
      </c>
      <c r="K15" s="17" t="s">
        <v>22</v>
      </c>
      <c r="L15" s="15" t="s">
        <v>23</v>
      </c>
      <c r="M15" s="15" t="s">
        <v>24</v>
      </c>
      <c r="N15" s="15" t="s">
        <v>25</v>
      </c>
      <c r="O15" s="15" t="s">
        <v>26</v>
      </c>
      <c r="P15" s="15" t="s">
        <v>27</v>
      </c>
      <c r="Q15" s="15" t="s">
        <v>28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</row>
    <row r="16" spans="1:256" s="25" customFormat="1" ht="70.5" customHeight="1">
      <c r="A16" s="18" t="s">
        <v>29</v>
      </c>
      <c r="B16" s="19" t="s">
        <v>30</v>
      </c>
      <c r="C16" s="19" t="s">
        <v>31</v>
      </c>
      <c r="D16" s="20" t="s">
        <v>32</v>
      </c>
      <c r="E16" s="20" t="s">
        <v>33</v>
      </c>
      <c r="F16" s="21" t="s">
        <v>34</v>
      </c>
      <c r="G16" s="19" t="s">
        <v>35</v>
      </c>
      <c r="H16" s="22" t="s">
        <v>36</v>
      </c>
      <c r="I16" s="23" t="s">
        <v>37</v>
      </c>
      <c r="J16" s="23" t="s">
        <v>38</v>
      </c>
      <c r="K16" s="23" t="s">
        <v>39</v>
      </c>
      <c r="L16" s="23" t="s">
        <v>40</v>
      </c>
      <c r="M16" s="23" t="s">
        <v>41</v>
      </c>
      <c r="N16" s="24" t="s">
        <v>42</v>
      </c>
      <c r="O16" s="23" t="s">
        <v>43</v>
      </c>
      <c r="P16" s="23" t="s">
        <v>44</v>
      </c>
      <c r="Q16" s="23" t="s">
        <v>45</v>
      </c>
    </row>
    <row r="17" spans="1:256" ht="25.5">
      <c r="A17" s="26" t="s">
        <v>46</v>
      </c>
      <c r="B17" s="27" t="s">
        <v>47</v>
      </c>
      <c r="C17" s="27" t="s">
        <v>48</v>
      </c>
      <c r="D17" s="28" t="s">
        <v>49</v>
      </c>
      <c r="E17" s="28" t="s">
        <v>50</v>
      </c>
      <c r="F17" s="28" t="s">
        <v>51</v>
      </c>
      <c r="G17" s="27" t="s">
        <v>52</v>
      </c>
      <c r="H17" s="29">
        <v>2012</v>
      </c>
      <c r="I17" s="28" t="s">
        <v>53</v>
      </c>
      <c r="J17" s="30" t="s">
        <v>54</v>
      </c>
      <c r="K17" s="30" t="s">
        <v>55</v>
      </c>
      <c r="L17" s="30"/>
      <c r="M17" s="30"/>
      <c r="N17" s="31" t="s">
        <v>56</v>
      </c>
      <c r="O17" s="30"/>
      <c r="P17" s="30" t="s">
        <v>57</v>
      </c>
      <c r="Q17" s="30" t="s">
        <v>58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</row>
    <row r="18" spans="1:256" s="35" customFormat="1" ht="38.25">
      <c r="A18" s="26" t="s">
        <v>59</v>
      </c>
      <c r="B18" s="32" t="s">
        <v>60</v>
      </c>
      <c r="C18" s="32" t="s">
        <v>60</v>
      </c>
      <c r="D18" s="32" t="s">
        <v>61</v>
      </c>
      <c r="E18" s="32" t="s">
        <v>61</v>
      </c>
      <c r="F18" s="32" t="s">
        <v>60</v>
      </c>
      <c r="G18" s="32" t="s">
        <v>60</v>
      </c>
      <c r="H18" s="33" t="s">
        <v>60</v>
      </c>
      <c r="I18" s="32" t="s">
        <v>62</v>
      </c>
      <c r="J18" s="32" t="s">
        <v>60</v>
      </c>
      <c r="K18" s="32" t="s">
        <v>60</v>
      </c>
      <c r="L18" s="34" t="s">
        <v>60</v>
      </c>
      <c r="M18" s="34" t="s">
        <v>60</v>
      </c>
      <c r="N18" s="34" t="s">
        <v>60</v>
      </c>
      <c r="O18" s="34" t="s">
        <v>60</v>
      </c>
      <c r="P18" s="34" t="s">
        <v>60</v>
      </c>
      <c r="Q18" s="34" t="s">
        <v>60</v>
      </c>
    </row>
    <row r="19" spans="1:256">
      <c r="A19" s="36"/>
      <c r="B19" s="37"/>
      <c r="C19" s="37"/>
      <c r="D19" s="37"/>
      <c r="E19" s="37"/>
      <c r="F19" s="37"/>
      <c r="G19" s="37"/>
      <c r="H19" s="37"/>
      <c r="I19" s="38"/>
      <c r="J19" s="38"/>
      <c r="K19" s="38"/>
      <c r="L19" s="38"/>
      <c r="M19" s="38"/>
      <c r="N19" s="38"/>
      <c r="O19" s="38"/>
      <c r="P19" s="8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>
      <c r="A20" s="39"/>
      <c r="B20" s="40"/>
      <c r="C20" s="40"/>
      <c r="D20" s="40"/>
      <c r="E20" s="40"/>
      <c r="F20" s="4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44" customFormat="1" ht="12.75" customHeight="1">
      <c r="A21" s="41" t="s">
        <v>63</v>
      </c>
      <c r="B21" s="42" t="s">
        <v>64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 spans="1:256">
      <c r="A22" s="45"/>
      <c r="B22" s="14" t="s">
        <v>65</v>
      </c>
      <c r="C22" s="15" t="s">
        <v>66</v>
      </c>
      <c r="D22" s="15" t="s">
        <v>67</v>
      </c>
      <c r="E22" s="15" t="s">
        <v>68</v>
      </c>
      <c r="F22" s="46" t="s">
        <v>69</v>
      </c>
      <c r="G22" s="46" t="s">
        <v>70</v>
      </c>
      <c r="H22" s="47" t="s">
        <v>71</v>
      </c>
      <c r="I22" s="15" t="s">
        <v>72</v>
      </c>
      <c r="J22" s="15" t="s">
        <v>73</v>
      </c>
      <c r="K22" s="15" t="s">
        <v>74</v>
      </c>
      <c r="L22" s="15" t="s">
        <v>75</v>
      </c>
      <c r="M22" s="15" t="s">
        <v>76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63.75">
      <c r="A23" s="48" t="s">
        <v>29</v>
      </c>
      <c r="B23" s="19" t="s">
        <v>77</v>
      </c>
      <c r="C23" s="23" t="s">
        <v>78</v>
      </c>
      <c r="D23" s="23" t="s">
        <v>79</v>
      </c>
      <c r="E23" s="23" t="s">
        <v>80</v>
      </c>
      <c r="F23" s="49" t="s">
        <v>81</v>
      </c>
      <c r="G23" s="49" t="s">
        <v>82</v>
      </c>
      <c r="H23" s="49" t="s">
        <v>83</v>
      </c>
      <c r="I23" s="23" t="s">
        <v>84</v>
      </c>
      <c r="J23" s="23" t="s">
        <v>85</v>
      </c>
      <c r="K23" s="23" t="s">
        <v>86</v>
      </c>
      <c r="L23" s="20" t="s">
        <v>87</v>
      </c>
      <c r="M23" s="23" t="s">
        <v>88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>
      <c r="A24" s="50" t="s">
        <v>89</v>
      </c>
      <c r="B24" s="27" t="s">
        <v>90</v>
      </c>
      <c r="C24" s="30"/>
      <c r="D24" s="30"/>
      <c r="E24" s="30"/>
      <c r="F24" s="51"/>
      <c r="G24" s="51"/>
      <c r="H24" s="51" t="s">
        <v>91</v>
      </c>
      <c r="I24" s="30" t="s">
        <v>92</v>
      </c>
      <c r="J24" s="30" t="s">
        <v>93</v>
      </c>
      <c r="K24" s="30"/>
      <c r="L24" s="30"/>
      <c r="M24" s="30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ht="51">
      <c r="A25" s="26" t="s">
        <v>59</v>
      </c>
      <c r="B25" s="32" t="s">
        <v>60</v>
      </c>
      <c r="C25" s="32" t="s">
        <v>62</v>
      </c>
      <c r="D25" s="32" t="s">
        <v>62</v>
      </c>
      <c r="E25" s="52" t="s">
        <v>62</v>
      </c>
      <c r="F25" s="53" t="s">
        <v>60</v>
      </c>
      <c r="G25" s="53" t="s">
        <v>60</v>
      </c>
      <c r="H25" s="53" t="s">
        <v>60</v>
      </c>
      <c r="I25" s="32" t="s">
        <v>94</v>
      </c>
      <c r="J25" s="52" t="s">
        <v>60</v>
      </c>
      <c r="K25" s="52" t="s">
        <v>60</v>
      </c>
      <c r="L25" s="32" t="s">
        <v>60</v>
      </c>
      <c r="M25" s="32" t="s">
        <v>60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>
      <c r="A26" s="36"/>
      <c r="B26" s="43"/>
      <c r="C26" s="40"/>
      <c r="D26" s="54"/>
      <c r="E26" s="40"/>
      <c r="F26" s="40"/>
      <c r="G26" s="40"/>
      <c r="H26" s="40"/>
      <c r="I26" s="40"/>
      <c r="J26" s="40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>
      <c r="A27" s="8"/>
      <c r="B27" s="55"/>
      <c r="C27" s="8"/>
      <c r="D27" s="5"/>
      <c r="E27" s="5"/>
      <c r="F27" s="5"/>
      <c r="G27" s="5"/>
      <c r="H27" s="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>
      <c r="A28" s="56" t="s">
        <v>95</v>
      </c>
      <c r="B28" s="10" t="s">
        <v>96</v>
      </c>
      <c r="C28" s="8"/>
      <c r="D28" s="5"/>
      <c r="E28" s="5"/>
      <c r="F28" s="5"/>
      <c r="G28" s="5"/>
      <c r="H28" s="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>
      <c r="A29" s="45"/>
      <c r="B29" s="57" t="s">
        <v>97</v>
      </c>
      <c r="C29" s="57" t="s">
        <v>98</v>
      </c>
      <c r="D29" s="57" t="s">
        <v>99</v>
      </c>
      <c r="E29" s="58" t="s">
        <v>100</v>
      </c>
      <c r="F29" s="58" t="s">
        <v>101</v>
      </c>
      <c r="G29" s="57" t="s">
        <v>102</v>
      </c>
      <c r="H29" s="57" t="s">
        <v>103</v>
      </c>
      <c r="I29" s="58" t="s">
        <v>104</v>
      </c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ht="63.75" customHeight="1">
      <c r="A30" s="18" t="s">
        <v>29</v>
      </c>
      <c r="B30" s="20" t="s">
        <v>105</v>
      </c>
      <c r="C30" s="20" t="s">
        <v>106</v>
      </c>
      <c r="D30" s="20" t="s">
        <v>107</v>
      </c>
      <c r="E30" s="20" t="s">
        <v>108</v>
      </c>
      <c r="F30" s="20" t="s">
        <v>109</v>
      </c>
      <c r="G30" s="20" t="s">
        <v>110</v>
      </c>
      <c r="H30" s="20" t="s">
        <v>111</v>
      </c>
      <c r="I30" s="20" t="s">
        <v>112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ht="12.75" customHeight="1">
      <c r="A31" s="50" t="s">
        <v>89</v>
      </c>
      <c r="B31" s="32" t="s">
        <v>113</v>
      </c>
      <c r="C31" s="32" t="s">
        <v>114</v>
      </c>
      <c r="D31" s="32" t="s">
        <v>115</v>
      </c>
      <c r="E31" s="32" t="s">
        <v>116</v>
      </c>
      <c r="F31" s="32" t="s">
        <v>117</v>
      </c>
      <c r="G31" s="59" t="s">
        <v>118</v>
      </c>
      <c r="H31" s="32" t="s">
        <v>119</v>
      </c>
      <c r="I31" s="32" t="s">
        <v>120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>
      <c r="A32" s="26" t="s">
        <v>59</v>
      </c>
      <c r="B32" s="32" t="s">
        <v>60</v>
      </c>
      <c r="C32" s="32" t="s">
        <v>60</v>
      </c>
      <c r="D32" s="32" t="s">
        <v>60</v>
      </c>
      <c r="E32" s="60" t="s">
        <v>121</v>
      </c>
      <c r="F32" s="60" t="s">
        <v>122</v>
      </c>
      <c r="G32" s="32" t="s">
        <v>60</v>
      </c>
      <c r="H32" s="32" t="s">
        <v>60</v>
      </c>
      <c r="I32" s="32" t="s">
        <v>60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62" customFormat="1">
      <c r="A33" s="36"/>
      <c r="B33" s="61"/>
      <c r="C33" s="61"/>
      <c r="D33" s="61"/>
      <c r="E33" s="40"/>
      <c r="F33" s="40"/>
      <c r="G33" s="40"/>
      <c r="H33" s="40"/>
      <c r="I33" s="40"/>
    </row>
    <row r="34" spans="1:256">
      <c r="A34" s="63"/>
      <c r="B34" s="37"/>
      <c r="C34" s="37"/>
      <c r="D34" s="37"/>
      <c r="E34" s="8"/>
      <c r="F34" s="8"/>
      <c r="G34" s="37"/>
      <c r="H34" s="3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>
      <c r="A35" s="64" t="s">
        <v>123</v>
      </c>
      <c r="B35" s="65" t="s">
        <v>124</v>
      </c>
      <c r="C35" s="37"/>
      <c r="D35" s="37"/>
      <c r="E35" s="8"/>
      <c r="F35" s="8"/>
      <c r="G35" s="37"/>
      <c r="H35" s="3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>
      <c r="A36"/>
      <c r="B36" s="66" t="s">
        <v>125</v>
      </c>
      <c r="C36" s="37"/>
      <c r="D36" s="37"/>
      <c r="E36" s="8"/>
      <c r="F36" s="8"/>
      <c r="G36" s="37"/>
      <c r="H36" s="3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>
      <c r="A37" s="45"/>
      <c r="B37" s="67" t="s">
        <v>126</v>
      </c>
      <c r="C37" s="67" t="s">
        <v>127</v>
      </c>
      <c r="D37" s="68" t="s">
        <v>128</v>
      </c>
      <c r="E37" s="68" t="s">
        <v>29</v>
      </c>
      <c r="F37" s="68" t="s">
        <v>129</v>
      </c>
      <c r="G37" s="68" t="s">
        <v>130</v>
      </c>
      <c r="H37" s="69" t="s">
        <v>131</v>
      </c>
      <c r="I37" s="68" t="s">
        <v>74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ht="63.75" customHeight="1">
      <c r="A38" s="18" t="s">
        <v>29</v>
      </c>
      <c r="B38" s="23" t="s">
        <v>132</v>
      </c>
      <c r="C38" s="70" t="s">
        <v>133</v>
      </c>
      <c r="D38" s="20" t="s">
        <v>134</v>
      </c>
      <c r="E38" s="19" t="s">
        <v>135</v>
      </c>
      <c r="F38" s="20" t="s">
        <v>136</v>
      </c>
      <c r="G38" s="19" t="s">
        <v>137</v>
      </c>
      <c r="H38" s="71" t="s">
        <v>138</v>
      </c>
      <c r="I38" s="23" t="s">
        <v>139</v>
      </c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ht="12.75" customHeight="1">
      <c r="A39" s="50" t="s">
        <v>89</v>
      </c>
      <c r="B39" s="51" t="s">
        <v>140</v>
      </c>
      <c r="C39" s="72" t="s">
        <v>141</v>
      </c>
      <c r="D39" s="73" t="s">
        <v>142</v>
      </c>
      <c r="E39" s="32"/>
      <c r="F39" s="32" t="s">
        <v>143</v>
      </c>
      <c r="G39" s="32"/>
      <c r="H39" s="74"/>
      <c r="I39" s="32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>
      <c r="A40" s="26" t="s">
        <v>59</v>
      </c>
      <c r="B40" s="51" t="s">
        <v>60</v>
      </c>
      <c r="C40" s="32" t="s">
        <v>60</v>
      </c>
      <c r="D40" s="32" t="s">
        <v>60</v>
      </c>
      <c r="E40" s="32" t="s">
        <v>60</v>
      </c>
      <c r="F40" s="32" t="s">
        <v>60</v>
      </c>
      <c r="G40" s="32" t="s">
        <v>60</v>
      </c>
      <c r="H40" s="33" t="s">
        <v>60</v>
      </c>
      <c r="I40" s="32" t="s">
        <v>60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>
      <c r="A41" s="36"/>
      <c r="B41" s="37"/>
      <c r="C41" s="37"/>
      <c r="D41" s="37"/>
      <c r="E41" s="8"/>
      <c r="F41" s="8"/>
      <c r="G41" s="37"/>
      <c r="H41" s="37"/>
      <c r="I41" s="37"/>
      <c r="J41" s="37"/>
      <c r="K41" s="37"/>
      <c r="L41" s="37"/>
      <c r="M41" s="8"/>
      <c r="N41" s="37"/>
      <c r="O41" s="37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>
      <c r="A42" s="63"/>
      <c r="B42" s="37"/>
      <c r="C42" s="37"/>
      <c r="D42" s="37"/>
      <c r="E42" s="8"/>
      <c r="F42" s="8"/>
      <c r="G42" s="37"/>
      <c r="H42" s="37"/>
      <c r="I42" s="37"/>
      <c r="J42" s="37"/>
      <c r="K42" s="37"/>
      <c r="L42" s="37"/>
      <c r="M42" s="8"/>
      <c r="N42" s="37"/>
      <c r="O42" s="37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>
      <c r="A43" s="64" t="s">
        <v>144</v>
      </c>
      <c r="B43" s="65" t="s">
        <v>145</v>
      </c>
      <c r="C43" s="37"/>
      <c r="D43" s="37"/>
      <c r="E43" s="8"/>
      <c r="F43" s="37"/>
      <c r="G43" s="37"/>
      <c r="H43" s="37"/>
      <c r="I43" s="8"/>
      <c r="J43" s="37"/>
      <c r="K43" s="37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>
      <c r="A44" s="45"/>
      <c r="B44" s="75" t="s">
        <v>146</v>
      </c>
      <c r="C44" s="75" t="s">
        <v>147</v>
      </c>
      <c r="D44" s="75" t="s">
        <v>148</v>
      </c>
      <c r="E44" s="76" t="s">
        <v>149</v>
      </c>
      <c r="F44" s="75" t="s">
        <v>150</v>
      </c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ht="63.75" customHeight="1">
      <c r="A45" s="18" t="s">
        <v>29</v>
      </c>
      <c r="B45" s="20" t="s">
        <v>151</v>
      </c>
      <c r="C45" s="20" t="s">
        <v>152</v>
      </c>
      <c r="D45" s="20" t="s">
        <v>153</v>
      </c>
      <c r="E45" s="77" t="s">
        <v>154</v>
      </c>
      <c r="F45" s="20" t="s">
        <v>155</v>
      </c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ht="12.75" customHeight="1">
      <c r="A46" s="50" t="s">
        <v>89</v>
      </c>
      <c r="B46" s="78" t="s">
        <v>156</v>
      </c>
      <c r="C46" s="72" t="s">
        <v>157</v>
      </c>
      <c r="D46" s="72" t="s">
        <v>158</v>
      </c>
      <c r="E46" s="77"/>
      <c r="F46" s="72" t="s">
        <v>159</v>
      </c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>
      <c r="A47" s="26" t="s">
        <v>59</v>
      </c>
      <c r="B47" s="32" t="s">
        <v>60</v>
      </c>
      <c r="C47" s="32" t="s">
        <v>60</v>
      </c>
      <c r="D47" s="32" t="s">
        <v>60</v>
      </c>
      <c r="E47" s="77" t="s">
        <v>60</v>
      </c>
      <c r="F47" s="60" t="s">
        <v>60</v>
      </c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>
      <c r="A48" s="36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80" customFormat="1" ht="12.75" customHeight="1">
      <c r="A49" s="79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 spans="1:256" ht="12.75" customHeight="1">
      <c r="A50" s="81" t="s">
        <v>160</v>
      </c>
      <c r="B50" s="42" t="s">
        <v>161</v>
      </c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ht="12.75" customHeight="1">
      <c r="A51" s="79"/>
      <c r="B51" s="42" t="s">
        <v>162</v>
      </c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>
      <c r="A52" s="45"/>
      <c r="B52" s="14" t="s">
        <v>163</v>
      </c>
      <c r="C52" s="14" t="s">
        <v>164</v>
      </c>
      <c r="D52" s="14" t="s">
        <v>165</v>
      </c>
      <c r="E52" s="15" t="s">
        <v>166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ht="63.75" customHeight="1">
      <c r="A53" s="18" t="s">
        <v>29</v>
      </c>
      <c r="B53" s="20" t="s">
        <v>167</v>
      </c>
      <c r="C53" s="20" t="s">
        <v>168</v>
      </c>
      <c r="D53" s="20" t="s">
        <v>169</v>
      </c>
      <c r="E53" s="20" t="s">
        <v>170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ht="25.5">
      <c r="A54" s="50" t="s">
        <v>89</v>
      </c>
      <c r="B54" s="82" t="s">
        <v>171</v>
      </c>
      <c r="C54" s="82" t="s">
        <v>172</v>
      </c>
      <c r="D54" s="82" t="s">
        <v>173</v>
      </c>
      <c r="E54" s="78" t="s">
        <v>174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>
      <c r="A55" s="26" t="s">
        <v>59</v>
      </c>
      <c r="B55" s="32" t="s">
        <v>60</v>
      </c>
      <c r="C55" s="32" t="s">
        <v>60</v>
      </c>
      <c r="D55" s="32" t="s">
        <v>60</v>
      </c>
      <c r="E55" s="60" t="s">
        <v>60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44" customFormat="1">
      <c r="A56" s="36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 spans="1:256" ht="12.75" customHeight="1">
      <c r="A57" s="79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ht="12.75" customHeight="1">
      <c r="A58" s="81" t="s">
        <v>175</v>
      </c>
      <c r="B58" s="42" t="s">
        <v>176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ht="12.75" customHeight="1">
      <c r="A59" s="79"/>
      <c r="B59" s="42" t="s">
        <v>177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>
      <c r="A60" s="45"/>
      <c r="B60" s="67" t="s">
        <v>178</v>
      </c>
      <c r="C60" s="68" t="s">
        <v>179</v>
      </c>
      <c r="D60" s="68" t="s">
        <v>29</v>
      </c>
      <c r="E60" s="68" t="s">
        <v>180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ht="63.75" customHeight="1">
      <c r="A61" s="18" t="s">
        <v>29</v>
      </c>
      <c r="B61" s="20" t="s">
        <v>181</v>
      </c>
      <c r="C61" s="20" t="s">
        <v>182</v>
      </c>
      <c r="D61" s="20" t="s">
        <v>183</v>
      </c>
      <c r="E61" s="18" t="s">
        <v>184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ht="13.15" customHeight="1">
      <c r="A62" s="362" t="s">
        <v>89</v>
      </c>
      <c r="B62" s="20" t="s">
        <v>185</v>
      </c>
      <c r="C62" s="20" t="s">
        <v>186</v>
      </c>
      <c r="D62" s="20"/>
      <c r="E62" s="2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>
      <c r="A63" s="362"/>
      <c r="B63" s="82" t="s">
        <v>187</v>
      </c>
      <c r="C63" s="82" t="s">
        <v>187</v>
      </c>
      <c r="D63"/>
      <c r="E63" s="82" t="s">
        <v>185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>
      <c r="A64" s="26" t="s">
        <v>59</v>
      </c>
      <c r="B64" s="32" t="s">
        <v>60</v>
      </c>
      <c r="C64" s="32" t="s">
        <v>60</v>
      </c>
      <c r="D64" s="32" t="s">
        <v>60</v>
      </c>
      <c r="E64" s="60" t="s">
        <v>60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44" customFormat="1">
      <c r="A65" s="36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 spans="1:256" s="44" customFormat="1" ht="12.75" customHeight="1">
      <c r="A66" s="79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 spans="1:256" ht="12.75" customHeight="1">
      <c r="A67" s="81" t="s">
        <v>188</v>
      </c>
      <c r="B67" s="42" t="s">
        <v>189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>
      <c r="A68" s="45"/>
      <c r="B68" s="83" t="s">
        <v>150</v>
      </c>
      <c r="C68" s="84" t="s">
        <v>190</v>
      </c>
      <c r="D68" s="84" t="s">
        <v>191</v>
      </c>
      <c r="E68" s="85" t="s">
        <v>21</v>
      </c>
      <c r="F68" s="85" t="s">
        <v>22</v>
      </c>
      <c r="G68" s="85" t="s">
        <v>192</v>
      </c>
      <c r="H68" s="17" t="s">
        <v>193</v>
      </c>
      <c r="I68" s="86" t="s">
        <v>194</v>
      </c>
      <c r="J68" s="15" t="s">
        <v>195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ht="52.9" customHeight="1">
      <c r="A69" s="363" t="s">
        <v>29</v>
      </c>
      <c r="B69" s="364" t="s">
        <v>196</v>
      </c>
      <c r="C69" s="87" t="s">
        <v>197</v>
      </c>
      <c r="D69" s="87" t="s">
        <v>198</v>
      </c>
      <c r="E69" s="356" t="s">
        <v>199</v>
      </c>
      <c r="F69" s="356" t="s">
        <v>200</v>
      </c>
      <c r="G69" s="356" t="s">
        <v>201</v>
      </c>
      <c r="H69" s="356" t="s">
        <v>202</v>
      </c>
      <c r="I69" s="88" t="s">
        <v>203</v>
      </c>
      <c r="J69" s="87" t="s">
        <v>203</v>
      </c>
      <c r="K69" s="89"/>
      <c r="L69" s="8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ht="38.25">
      <c r="A70" s="363"/>
      <c r="B70" s="364"/>
      <c r="C70" s="90" t="s">
        <v>204</v>
      </c>
      <c r="D70" s="90" t="s">
        <v>205</v>
      </c>
      <c r="E70" s="356"/>
      <c r="F70" s="356"/>
      <c r="G70" s="356"/>
      <c r="H70" s="356"/>
      <c r="I70" s="90" t="s">
        <v>206</v>
      </c>
      <c r="J70" s="90" t="s">
        <v>207</v>
      </c>
      <c r="K70" s="40"/>
      <c r="L70" s="4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ht="25.5">
      <c r="A71" s="50" t="s">
        <v>89</v>
      </c>
      <c r="B71" s="72" t="s">
        <v>159</v>
      </c>
      <c r="C71" s="90" t="s">
        <v>208</v>
      </c>
      <c r="D71" s="90" t="s">
        <v>209</v>
      </c>
      <c r="E71" s="20">
        <v>1</v>
      </c>
      <c r="F71" s="51">
        <v>3</v>
      </c>
      <c r="G71" s="51"/>
      <c r="H71" s="51"/>
      <c r="I71" s="90" t="s">
        <v>210</v>
      </c>
      <c r="J71" s="90" t="s">
        <v>211</v>
      </c>
      <c r="K71" s="40"/>
      <c r="L71" s="40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>
      <c r="A72" s="26" t="s">
        <v>59</v>
      </c>
      <c r="B72" s="32" t="s">
        <v>60</v>
      </c>
      <c r="C72" s="32" t="s">
        <v>60</v>
      </c>
      <c r="D72" s="32" t="s">
        <v>60</v>
      </c>
      <c r="E72" s="60" t="s">
        <v>60</v>
      </c>
      <c r="F72" s="60" t="s">
        <v>60</v>
      </c>
      <c r="G72" s="51" t="s">
        <v>62</v>
      </c>
      <c r="H72" s="51" t="s">
        <v>62</v>
      </c>
      <c r="I72" s="91" t="s">
        <v>212</v>
      </c>
      <c r="J72" s="51" t="s">
        <v>213</v>
      </c>
      <c r="K72" s="40"/>
      <c r="L72" s="40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>
      <c r="A73" s="63"/>
      <c r="B73" s="37"/>
      <c r="C73" s="37"/>
      <c r="D73" s="37"/>
      <c r="E73" s="8"/>
      <c r="F73" s="40"/>
      <c r="G73" s="40"/>
      <c r="H73" s="40"/>
      <c r="I73" s="40"/>
      <c r="J73" s="40"/>
      <c r="K73" s="40"/>
      <c r="L73" s="40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>
      <c r="A74" s="36"/>
      <c r="B74" s="43"/>
      <c r="C74" s="40"/>
      <c r="D74" s="54"/>
      <c r="E74" s="40"/>
      <c r="F74" s="40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>
      <c r="A75" s="92" t="s">
        <v>214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96" customFormat="1">
      <c r="A76" s="93"/>
      <c r="B76" s="94" t="s">
        <v>215</v>
      </c>
      <c r="C76" s="95" t="s">
        <v>216</v>
      </c>
      <c r="D76" s="94" t="s">
        <v>217</v>
      </c>
      <c r="E76" s="95" t="s">
        <v>218</v>
      </c>
      <c r="F76" s="95" t="s">
        <v>219</v>
      </c>
      <c r="G76" s="95" t="s">
        <v>29</v>
      </c>
    </row>
    <row r="77" spans="1:256" s="100" customFormat="1" ht="25.5">
      <c r="A77" s="97" t="s">
        <v>29</v>
      </c>
      <c r="B77" s="98" t="s">
        <v>220</v>
      </c>
      <c r="C77" s="98" t="s">
        <v>221</v>
      </c>
      <c r="D77" s="98" t="s">
        <v>222</v>
      </c>
      <c r="E77" s="98" t="s">
        <v>223</v>
      </c>
      <c r="F77" s="99" t="s">
        <v>224</v>
      </c>
      <c r="G77" s="98" t="s">
        <v>225</v>
      </c>
    </row>
    <row r="78" spans="1:256" s="96" customFormat="1" ht="38.25">
      <c r="A78" s="101" t="s">
        <v>46</v>
      </c>
      <c r="B78" s="102" t="s">
        <v>226</v>
      </c>
      <c r="C78" s="103" t="s">
        <v>227</v>
      </c>
      <c r="D78" s="98" t="s">
        <v>228</v>
      </c>
      <c r="E78" s="53">
        <v>39</v>
      </c>
      <c r="F78" s="104">
        <v>40568</v>
      </c>
      <c r="G78" s="53"/>
    </row>
    <row r="79" spans="1:256" ht="38.25">
      <c r="A79" s="105" t="s">
        <v>59</v>
      </c>
      <c r="B79" s="98" t="s">
        <v>60</v>
      </c>
      <c r="C79" s="98" t="s">
        <v>60</v>
      </c>
      <c r="D79" s="98" t="s">
        <v>229</v>
      </c>
      <c r="E79" s="53" t="s">
        <v>62</v>
      </c>
      <c r="F79" s="53" t="s">
        <v>230</v>
      </c>
      <c r="G79" s="98" t="s">
        <v>60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>
      <c r="A80" s="106"/>
      <c r="B80" s="107"/>
      <c r="C80" s="107"/>
      <c r="D80" s="107"/>
      <c r="E80" s="108"/>
      <c r="F80" s="108"/>
      <c r="G80" s="107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>
      <c r="A81" s="39"/>
      <c r="B81" s="40"/>
      <c r="C81" s="40"/>
      <c r="D81" s="40"/>
      <c r="E81" s="40"/>
      <c r="F81" s="40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44" customFormat="1" ht="12.75" customHeight="1">
      <c r="A82" s="81" t="s">
        <v>231</v>
      </c>
      <c r="B82" s="42" t="s">
        <v>232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 spans="1:256">
      <c r="A83" s="45"/>
      <c r="B83" s="109" t="s">
        <v>233</v>
      </c>
      <c r="C83" s="109" t="s">
        <v>234</v>
      </c>
      <c r="D83" s="109" t="s">
        <v>235</v>
      </c>
      <c r="E83"/>
      <c r="F83"/>
      <c r="G83"/>
      <c r="H83"/>
      <c r="I83"/>
      <c r="J83"/>
    </row>
    <row r="84" spans="1:256" ht="38.25" customHeight="1">
      <c r="A84" s="48" t="s">
        <v>29</v>
      </c>
      <c r="B84" s="21" t="s">
        <v>236</v>
      </c>
      <c r="C84" s="21" t="s">
        <v>237</v>
      </c>
      <c r="D84" s="21" t="s">
        <v>238</v>
      </c>
      <c r="E84"/>
      <c r="F84"/>
      <c r="G84"/>
      <c r="H84"/>
      <c r="I84"/>
      <c r="J84"/>
    </row>
    <row r="85" spans="1:256">
      <c r="A85" s="50" t="s">
        <v>89</v>
      </c>
      <c r="B85" s="31">
        <v>1</v>
      </c>
      <c r="C85" s="110">
        <v>3</v>
      </c>
      <c r="D85" s="31" t="s">
        <v>239</v>
      </c>
      <c r="E85"/>
      <c r="F85"/>
      <c r="G85"/>
      <c r="H85"/>
      <c r="I85"/>
      <c r="J85"/>
    </row>
    <row r="86" spans="1:256" ht="140.25">
      <c r="A86" s="26" t="s">
        <v>59</v>
      </c>
      <c r="B86" s="49" t="s">
        <v>240</v>
      </c>
      <c r="C86" s="49" t="s">
        <v>241</v>
      </c>
      <c r="D86" s="49" t="s">
        <v>242</v>
      </c>
      <c r="E86"/>
      <c r="F86"/>
      <c r="G86"/>
      <c r="H86"/>
      <c r="I86"/>
      <c r="J86"/>
    </row>
    <row r="89" spans="1:256" ht="12.75" customHeight="1"/>
    <row r="90" spans="1:256" ht="12.75" customHeight="1"/>
    <row r="92" spans="1:256" ht="12.75" customHeight="1"/>
    <row r="93" spans="1:256" ht="12.75" customHeight="1"/>
    <row r="95" spans="1:256" ht="12.75" customHeight="1"/>
  </sheetData>
  <sheetProtection selectLockedCells="1" selectUnlockedCells="1"/>
  <mergeCells count="12">
    <mergeCell ref="H69:H70"/>
    <mergeCell ref="A5:E5"/>
    <mergeCell ref="A7:A9"/>
    <mergeCell ref="B7:E7"/>
    <mergeCell ref="B8:E8"/>
    <mergeCell ref="B9:E9"/>
    <mergeCell ref="A62:A63"/>
    <mergeCell ref="A69:A70"/>
    <mergeCell ref="B69:B70"/>
    <mergeCell ref="E69:E70"/>
    <mergeCell ref="F69:F70"/>
    <mergeCell ref="G69:G70"/>
  </mergeCells>
  <hyperlinks>
    <hyperlink ref="G31" r:id="rId1"/>
    <hyperlink ref="C78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W4"/>
  <sheetViews>
    <sheetView zoomScale="95" zoomScaleNormal="95" workbookViewId="0">
      <selection activeCell="N34" sqref="N34"/>
    </sheetView>
  </sheetViews>
  <sheetFormatPr baseColWidth="10" defaultColWidth="12.85546875" defaultRowHeight="12.75"/>
  <cols>
    <col min="1" max="1" width="18" style="111" bestFit="1" customWidth="1"/>
    <col min="2" max="2" width="10.5703125" style="111" customWidth="1"/>
    <col min="3" max="3" width="15.85546875" style="112" customWidth="1"/>
    <col min="4" max="4" width="13.85546875" style="112" customWidth="1"/>
    <col min="5" max="5" width="12.42578125" style="112" customWidth="1"/>
    <col min="6" max="6" width="15.85546875" style="112" customWidth="1"/>
    <col min="7" max="7" width="22.28515625" style="112" customWidth="1"/>
    <col min="8" max="8" width="6.28515625" style="112" customWidth="1"/>
    <col min="9" max="9" width="7.42578125" style="113" bestFit="1" customWidth="1"/>
    <col min="10" max="10" width="4" style="113" bestFit="1" customWidth="1"/>
    <col min="11" max="11" width="19.28515625" style="112" customWidth="1"/>
    <col min="12" max="13" width="12.42578125" style="112" customWidth="1"/>
    <col min="14" max="14" width="17" style="112" customWidth="1"/>
    <col min="15" max="15" width="8.7109375" style="112" customWidth="1"/>
    <col min="16" max="16" width="13.5703125" style="112" customWidth="1"/>
  </cols>
  <sheetData>
    <row r="1" spans="1:23">
      <c r="A1" s="114" t="s">
        <v>13</v>
      </c>
      <c r="B1" s="114" t="s">
        <v>14</v>
      </c>
      <c r="C1" s="115" t="s">
        <v>15</v>
      </c>
      <c r="D1" s="115" t="s">
        <v>16</v>
      </c>
      <c r="E1" s="115" t="s">
        <v>17</v>
      </c>
      <c r="F1" s="115" t="s">
        <v>18</v>
      </c>
      <c r="G1" s="115" t="s">
        <v>19</v>
      </c>
      <c r="H1" s="115" t="s">
        <v>20</v>
      </c>
      <c r="I1" s="116" t="s">
        <v>21</v>
      </c>
      <c r="J1" s="116" t="s">
        <v>22</v>
      </c>
      <c r="K1" s="115" t="s">
        <v>23</v>
      </c>
      <c r="L1" s="318" t="s">
        <v>24</v>
      </c>
      <c r="M1" s="115" t="s">
        <v>25</v>
      </c>
      <c r="N1" s="115" t="s">
        <v>26</v>
      </c>
      <c r="O1" s="115" t="s">
        <v>27</v>
      </c>
      <c r="P1" s="115" t="s">
        <v>28</v>
      </c>
    </row>
    <row r="2" spans="1:23">
      <c r="A2" s="111" t="s">
        <v>7863</v>
      </c>
      <c r="B2" s="111" t="s">
        <v>7864</v>
      </c>
      <c r="C2" s="180" t="s">
        <v>8121</v>
      </c>
      <c r="D2" s="180" t="s">
        <v>8122</v>
      </c>
      <c r="G2" s="112" t="s">
        <v>7447</v>
      </c>
      <c r="I2" s="113" t="s">
        <v>55</v>
      </c>
      <c r="J2" s="113" t="s">
        <v>54</v>
      </c>
      <c r="L2" s="319"/>
      <c r="N2" s="112" t="s">
        <v>243</v>
      </c>
    </row>
    <row r="3" spans="1:23">
      <c r="R3" s="181"/>
      <c r="S3" s="181"/>
      <c r="T3" s="182"/>
      <c r="U3" s="182"/>
      <c r="V3" s="182"/>
      <c r="W3" s="182"/>
    </row>
    <row r="4" spans="1:23">
      <c r="R4" s="183"/>
      <c r="S4" s="183"/>
      <c r="T4" s="183"/>
      <c r="U4" s="183"/>
      <c r="V4" s="183"/>
      <c r="W4" s="183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L2"/>
  <sheetViews>
    <sheetView workbookViewId="0">
      <selection activeCell="K3" sqref="K3"/>
    </sheetView>
  </sheetViews>
  <sheetFormatPr baseColWidth="10" defaultColWidth="10.7109375" defaultRowHeight="12.75"/>
  <cols>
    <col min="1" max="1" width="11.85546875" style="117" customWidth="1"/>
    <col min="2" max="2" width="9.140625" style="118" customWidth="1"/>
    <col min="3" max="3" width="11" style="118" customWidth="1"/>
    <col min="4" max="4" width="10.140625" style="118" customWidth="1"/>
    <col min="5" max="5" width="10.42578125" style="118" customWidth="1"/>
    <col min="6" max="6" width="6.5703125" style="118" customWidth="1"/>
    <col min="7" max="7" width="25.140625" style="117" customWidth="1"/>
    <col min="8" max="8" width="11.28515625" style="118" customWidth="1"/>
    <col min="9" max="9" width="12.140625" style="118" customWidth="1"/>
    <col min="10" max="10" width="10.42578125" style="118" customWidth="1"/>
    <col min="11" max="11" width="19.28515625" style="112" customWidth="1"/>
    <col min="12" max="12" width="22.42578125" style="112" customWidth="1"/>
  </cols>
  <sheetData>
    <row r="1" spans="1:12" s="92" customFormat="1">
      <c r="A1" s="119" t="s">
        <v>65</v>
      </c>
      <c r="B1" s="120" t="s">
        <v>66</v>
      </c>
      <c r="C1" s="120" t="s">
        <v>67</v>
      </c>
      <c r="D1" s="120" t="s">
        <v>68</v>
      </c>
      <c r="E1" s="120" t="s">
        <v>69</v>
      </c>
      <c r="F1" s="120" t="s">
        <v>70</v>
      </c>
      <c r="G1" s="119" t="s">
        <v>71</v>
      </c>
      <c r="H1" s="121" t="s">
        <v>72</v>
      </c>
      <c r="I1" s="121" t="s">
        <v>73</v>
      </c>
      <c r="J1" s="120" t="s">
        <v>74</v>
      </c>
      <c r="K1" s="122" t="s">
        <v>75</v>
      </c>
      <c r="L1" s="122" t="s">
        <v>76</v>
      </c>
    </row>
    <row r="2" spans="1:12">
      <c r="A2" s="117" t="s">
        <v>7859</v>
      </c>
      <c r="B2" s="183" t="s">
        <v>8123</v>
      </c>
      <c r="C2" s="183" t="s">
        <v>8124</v>
      </c>
      <c r="D2">
        <v>112</v>
      </c>
      <c r="G2" s="117" t="s">
        <v>7860</v>
      </c>
      <c r="J2" s="118" t="s">
        <v>7865</v>
      </c>
      <c r="K2" s="112" t="s">
        <v>8125</v>
      </c>
      <c r="L2" s="112" t="s">
        <v>8125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X10"/>
  <sheetViews>
    <sheetView zoomScale="95" zoomScaleNormal="95" workbookViewId="0">
      <selection activeCell="D39" sqref="D39"/>
    </sheetView>
  </sheetViews>
  <sheetFormatPr baseColWidth="10" defaultColWidth="10.7109375" defaultRowHeight="12.75"/>
  <cols>
    <col min="1" max="1" width="16.42578125" style="123" bestFit="1" customWidth="1"/>
    <col min="2" max="2" width="10.5703125" style="123" bestFit="1" customWidth="1"/>
    <col min="3" max="3" width="10.7109375" style="123" bestFit="1" customWidth="1"/>
    <col min="4" max="4" width="12.7109375" style="112" bestFit="1" customWidth="1"/>
    <col min="5" max="5" width="4.7109375" style="118" bestFit="1" customWidth="1"/>
    <col min="6" max="6" width="29.85546875" style="123" bestFit="1" customWidth="1"/>
    <col min="7" max="7" width="10.42578125" style="123" bestFit="1" customWidth="1"/>
    <col min="8" max="8" width="11.42578125" style="112" bestFit="1" customWidth="1"/>
  </cols>
  <sheetData>
    <row r="1" spans="1:24">
      <c r="A1" s="114" t="s">
        <v>97</v>
      </c>
      <c r="B1" s="114" t="s">
        <v>98</v>
      </c>
      <c r="C1" s="114" t="s">
        <v>99</v>
      </c>
      <c r="D1" s="115" t="s">
        <v>100</v>
      </c>
      <c r="E1" s="124" t="s">
        <v>101</v>
      </c>
      <c r="F1" s="114" t="s">
        <v>102</v>
      </c>
      <c r="G1" s="114" t="s">
        <v>103</v>
      </c>
      <c r="H1" s="115" t="s">
        <v>104</v>
      </c>
    </row>
    <row r="2" spans="1:24">
      <c r="A2" s="123" t="s">
        <v>8126</v>
      </c>
      <c r="B2" s="123" t="s">
        <v>8127</v>
      </c>
      <c r="C2" s="123" t="s">
        <v>8128</v>
      </c>
      <c r="D2" t="s">
        <v>8130</v>
      </c>
      <c r="E2"/>
      <c r="F2" s="123" t="s">
        <v>8129</v>
      </c>
      <c r="G2" s="123" t="s">
        <v>591</v>
      </c>
      <c r="H2" s="191" t="s">
        <v>8131</v>
      </c>
    </row>
    <row r="3" spans="1:24" ht="24">
      <c r="A3" s="123" t="s">
        <v>8132</v>
      </c>
      <c r="B3" s="123" t="s">
        <v>8133</v>
      </c>
      <c r="C3" s="123" t="s">
        <v>8134</v>
      </c>
      <c r="D3" s="194" t="s">
        <v>8136</v>
      </c>
      <c r="E3"/>
      <c r="F3" s="123" t="s">
        <v>8135</v>
      </c>
      <c r="G3" s="123" t="s">
        <v>591</v>
      </c>
      <c r="H3" s="191" t="s">
        <v>8131</v>
      </c>
    </row>
    <row r="8" spans="1:24">
      <c r="K8" s="184"/>
      <c r="L8" s="185"/>
      <c r="M8" s="185"/>
      <c r="N8" s="185"/>
      <c r="O8" s="182"/>
      <c r="P8" s="186"/>
      <c r="Q8" s="187"/>
      <c r="R8" s="188"/>
      <c r="S8" s="188"/>
      <c r="T8" s="188"/>
      <c r="U8" s="187"/>
      <c r="V8" s="188"/>
      <c r="W8" s="188"/>
      <c r="X8" s="187"/>
    </row>
    <row r="9" spans="1:24">
      <c r="L9" s="189"/>
      <c r="M9" s="189"/>
      <c r="N9" s="190"/>
      <c r="Q9" s="191"/>
      <c r="R9" s="191"/>
      <c r="S9" s="191"/>
      <c r="T9" s="192"/>
      <c r="U9" s="191"/>
      <c r="V9" s="191"/>
      <c r="W9" s="191"/>
      <c r="X9" s="193"/>
    </row>
    <row r="10" spans="1:24">
      <c r="K10" s="194"/>
      <c r="L10" s="189"/>
      <c r="M10" s="189"/>
      <c r="N10" s="190"/>
      <c r="O10" s="194"/>
      <c r="Q10" s="191"/>
      <c r="R10" s="191"/>
      <c r="S10" s="191"/>
      <c r="T10" s="192"/>
      <c r="U10" s="191"/>
      <c r="V10" s="191"/>
      <c r="W10" s="191"/>
      <c r="X10" s="193"/>
    </row>
  </sheetData>
  <sheetProtection selectLockedCells="1" selectUnlockedCells="1"/>
  <hyperlinks>
    <hyperlink ref="F2" r:id="rId1"/>
    <hyperlink ref="F3" r:id="rId2"/>
  </hyperlink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H48"/>
  <sheetViews>
    <sheetView zoomScale="70" zoomScaleNormal="70" workbookViewId="0">
      <selection activeCell="C71" sqref="C71"/>
    </sheetView>
  </sheetViews>
  <sheetFormatPr baseColWidth="10" defaultColWidth="12.7109375" defaultRowHeight="12.75"/>
  <cols>
    <col min="1" max="1" width="41.42578125" style="123" customWidth="1"/>
    <col min="2" max="2" width="30.28515625" style="123" bestFit="1" customWidth="1"/>
    <col min="3" max="3" width="28.140625" style="112" bestFit="1" customWidth="1"/>
    <col min="4" max="4" width="85.28515625" style="112" bestFit="1" customWidth="1"/>
    <col min="5" max="5" width="17.28515625" style="112" customWidth="1"/>
    <col min="6" max="6" width="49.5703125" style="112" customWidth="1"/>
    <col min="7" max="7" width="15.42578125" style="112" customWidth="1"/>
    <col min="8" max="8" width="10.42578125" style="112" customWidth="1"/>
    <col min="9" max="16384" width="12.7109375" style="126"/>
  </cols>
  <sheetData>
    <row r="1" spans="1:8" s="127" customFormat="1" ht="13.5" thickBot="1">
      <c r="A1" s="156" t="s">
        <v>126</v>
      </c>
      <c r="B1" s="156" t="s">
        <v>127</v>
      </c>
      <c r="C1" s="157" t="s">
        <v>128</v>
      </c>
      <c r="D1" s="158" t="s">
        <v>29</v>
      </c>
      <c r="E1" s="158" t="s">
        <v>129</v>
      </c>
      <c r="F1" s="158" t="s">
        <v>130</v>
      </c>
      <c r="G1" s="159" t="s">
        <v>131</v>
      </c>
      <c r="H1" s="159" t="s">
        <v>74</v>
      </c>
    </row>
    <row r="2" spans="1:8" s="138" customFormat="1" ht="90" thickBot="1">
      <c r="A2" s="167" t="s">
        <v>244</v>
      </c>
      <c r="B2" s="167" t="s">
        <v>7898</v>
      </c>
      <c r="C2" s="168" t="s">
        <v>7899</v>
      </c>
      <c r="D2" s="169" t="s">
        <v>7900</v>
      </c>
      <c r="E2" s="169" t="s">
        <v>7901</v>
      </c>
      <c r="F2" s="169" t="s">
        <v>7902</v>
      </c>
      <c r="G2" s="170"/>
      <c r="H2" s="170"/>
    </row>
    <row r="3" spans="1:8" ht="38.25">
      <c r="A3" s="160" t="s">
        <v>244</v>
      </c>
      <c r="B3" s="160" t="s">
        <v>7903</v>
      </c>
      <c r="C3" s="161" t="s">
        <v>7904</v>
      </c>
      <c r="D3" s="162" t="s">
        <v>7905</v>
      </c>
      <c r="E3" s="162" t="s">
        <v>7906</v>
      </c>
      <c r="F3" s="163" t="s">
        <v>7907</v>
      </c>
      <c r="G3" s="164"/>
      <c r="H3" s="164"/>
    </row>
    <row r="4" spans="1:8" ht="38.25">
      <c r="A4" s="160" t="s">
        <v>244</v>
      </c>
      <c r="B4" s="160" t="s">
        <v>7908</v>
      </c>
      <c r="C4" s="161" t="s">
        <v>7909</v>
      </c>
      <c r="D4" s="162" t="s">
        <v>7910</v>
      </c>
      <c r="E4" s="162" t="s">
        <v>246</v>
      </c>
      <c r="F4" s="163" t="s">
        <v>7911</v>
      </c>
      <c r="G4" s="164"/>
      <c r="H4" s="164"/>
    </row>
    <row r="5" spans="1:8" ht="63.75">
      <c r="A5" s="160" t="s">
        <v>244</v>
      </c>
      <c r="B5" s="160" t="s">
        <v>7912</v>
      </c>
      <c r="C5" s="161" t="s">
        <v>7913</v>
      </c>
      <c r="D5" s="162" t="s">
        <v>7914</v>
      </c>
      <c r="E5" s="162" t="s">
        <v>247</v>
      </c>
      <c r="F5" s="163" t="s">
        <v>7915</v>
      </c>
      <c r="G5" s="164"/>
      <c r="H5" s="164"/>
    </row>
    <row r="6" spans="1:8" ht="38.25">
      <c r="A6" s="160" t="s">
        <v>244</v>
      </c>
      <c r="B6" s="160" t="s">
        <v>7916</v>
      </c>
      <c r="C6" s="161" t="s">
        <v>7917</v>
      </c>
      <c r="D6" s="162" t="s">
        <v>7918</v>
      </c>
      <c r="E6" s="162" t="s">
        <v>247</v>
      </c>
      <c r="F6" s="163" t="s">
        <v>7919</v>
      </c>
      <c r="G6" s="164"/>
      <c r="H6" s="164"/>
    </row>
    <row r="7" spans="1:8">
      <c r="A7" s="160" t="s">
        <v>244</v>
      </c>
      <c r="B7" s="160" t="s">
        <v>254</v>
      </c>
      <c r="C7" s="161" t="s">
        <v>7856</v>
      </c>
      <c r="D7" s="162" t="s">
        <v>7920</v>
      </c>
      <c r="E7" s="162" t="s">
        <v>7921</v>
      </c>
      <c r="F7" s="163" t="s">
        <v>7922</v>
      </c>
      <c r="G7" s="164"/>
      <c r="H7" s="164"/>
    </row>
    <row r="8" spans="1:8" ht="38.25">
      <c r="A8" s="160" t="s">
        <v>244</v>
      </c>
      <c r="B8" s="160" t="s">
        <v>7923</v>
      </c>
      <c r="C8" s="161" t="s">
        <v>7924</v>
      </c>
      <c r="D8" s="162" t="s">
        <v>7925</v>
      </c>
      <c r="E8" s="162" t="s">
        <v>245</v>
      </c>
      <c r="F8" s="163" t="s">
        <v>7926</v>
      </c>
      <c r="G8" s="164"/>
      <c r="H8" s="164"/>
    </row>
    <row r="9" spans="1:8" ht="25.5">
      <c r="A9" s="160" t="s">
        <v>244</v>
      </c>
      <c r="B9" s="160" t="s">
        <v>7927</v>
      </c>
      <c r="C9" s="161" t="s">
        <v>7928</v>
      </c>
      <c r="D9" s="162" t="s">
        <v>7929</v>
      </c>
      <c r="E9" s="162" t="s">
        <v>7906</v>
      </c>
      <c r="F9" s="163" t="s">
        <v>7930</v>
      </c>
      <c r="G9" s="164"/>
      <c r="H9" s="164"/>
    </row>
    <row r="10" spans="1:8">
      <c r="A10" s="160" t="s">
        <v>244</v>
      </c>
      <c r="B10" s="160" t="s">
        <v>253</v>
      </c>
      <c r="C10" s="161" t="s">
        <v>7855</v>
      </c>
      <c r="D10" s="162" t="s">
        <v>7931</v>
      </c>
      <c r="E10" s="162" t="s">
        <v>7921</v>
      </c>
      <c r="F10" s="163" t="s">
        <v>7932</v>
      </c>
      <c r="G10" s="164"/>
      <c r="H10" s="164"/>
    </row>
    <row r="11" spans="1:8">
      <c r="A11" s="160" t="s">
        <v>244</v>
      </c>
      <c r="B11" s="160" t="s">
        <v>251</v>
      </c>
      <c r="C11" s="161" t="s">
        <v>7933</v>
      </c>
      <c r="D11" s="162" t="s">
        <v>7934</v>
      </c>
      <c r="E11" s="162" t="s">
        <v>7935</v>
      </c>
      <c r="F11" s="163" t="s">
        <v>7936</v>
      </c>
      <c r="G11" s="164"/>
      <c r="H11" s="164"/>
    </row>
    <row r="12" spans="1:8" ht="25.5">
      <c r="A12" s="160" t="s">
        <v>244</v>
      </c>
      <c r="B12" s="160" t="s">
        <v>248</v>
      </c>
      <c r="C12" s="161" t="s">
        <v>7937</v>
      </c>
      <c r="D12" s="162" t="s">
        <v>7938</v>
      </c>
      <c r="E12" s="162" t="s">
        <v>7921</v>
      </c>
      <c r="F12" s="163" t="s">
        <v>7939</v>
      </c>
      <c r="G12" s="164"/>
      <c r="H12" s="164"/>
    </row>
    <row r="13" spans="1:8" ht="38.25">
      <c r="A13" s="160" t="s">
        <v>244</v>
      </c>
      <c r="B13" s="160" t="s">
        <v>7940</v>
      </c>
      <c r="C13" s="161" t="s">
        <v>7941</v>
      </c>
      <c r="D13" s="162" t="s">
        <v>7942</v>
      </c>
      <c r="E13" s="162" t="s">
        <v>7921</v>
      </c>
      <c r="F13" s="163" t="s">
        <v>7943</v>
      </c>
      <c r="G13" s="164"/>
      <c r="H13" s="164"/>
    </row>
    <row r="14" spans="1:8" ht="60.75" customHeight="1">
      <c r="A14" s="160" t="s">
        <v>244</v>
      </c>
      <c r="B14" s="160" t="s">
        <v>249</v>
      </c>
      <c r="C14" s="161" t="s">
        <v>7944</v>
      </c>
      <c r="D14" s="162" t="s">
        <v>7945</v>
      </c>
      <c r="E14" s="162" t="s">
        <v>250</v>
      </c>
      <c r="F14" s="163" t="s">
        <v>8050</v>
      </c>
      <c r="G14" s="164"/>
      <c r="H14" s="164"/>
    </row>
    <row r="15" spans="1:8" ht="25.5">
      <c r="A15" s="160" t="s">
        <v>244</v>
      </c>
      <c r="B15" s="160" t="s">
        <v>8051</v>
      </c>
      <c r="C15" s="161" t="s">
        <v>7946</v>
      </c>
      <c r="D15" s="162" t="s">
        <v>7947</v>
      </c>
      <c r="E15" s="162" t="s">
        <v>143</v>
      </c>
      <c r="F15" s="163" t="s">
        <v>7948</v>
      </c>
      <c r="G15" s="164"/>
      <c r="H15" s="164"/>
    </row>
    <row r="16" spans="1:8" ht="60">
      <c r="A16" s="160" t="s">
        <v>244</v>
      </c>
      <c r="B16" s="160" t="s">
        <v>7949</v>
      </c>
      <c r="C16" s="161" t="s">
        <v>7950</v>
      </c>
      <c r="D16" s="162" t="s">
        <v>7951</v>
      </c>
      <c r="E16" s="162" t="s">
        <v>7952</v>
      </c>
      <c r="F16" s="163" t="s">
        <v>7953</v>
      </c>
      <c r="G16" s="164"/>
      <c r="H16" s="165"/>
    </row>
    <row r="17" spans="1:8" ht="36">
      <c r="A17" s="160" t="s">
        <v>244</v>
      </c>
      <c r="B17" s="160" t="s">
        <v>7954</v>
      </c>
      <c r="C17" s="161" t="s">
        <v>7955</v>
      </c>
      <c r="D17" s="162" t="s">
        <v>7956</v>
      </c>
      <c r="E17" s="162" t="s">
        <v>7957</v>
      </c>
      <c r="F17" s="163" t="s">
        <v>7953</v>
      </c>
      <c r="G17" s="164"/>
      <c r="H17" s="164"/>
    </row>
    <row r="18" spans="1:8" ht="36">
      <c r="A18" s="160" t="s">
        <v>244</v>
      </c>
      <c r="B18" s="160" t="s">
        <v>7958</v>
      </c>
      <c r="C18" s="161" t="s">
        <v>7959</v>
      </c>
      <c r="D18" s="162" t="s">
        <v>7960</v>
      </c>
      <c r="E18" s="162" t="s">
        <v>7957</v>
      </c>
      <c r="F18" s="163" t="s">
        <v>7953</v>
      </c>
      <c r="G18" s="164"/>
      <c r="H18" s="164"/>
    </row>
    <row r="19" spans="1:8" ht="114.75">
      <c r="A19" s="171" t="s">
        <v>244</v>
      </c>
      <c r="B19" s="171" t="s">
        <v>7961</v>
      </c>
      <c r="C19" s="172" t="s">
        <v>7962</v>
      </c>
      <c r="D19" s="173" t="s">
        <v>7963</v>
      </c>
      <c r="E19" s="173" t="s">
        <v>7957</v>
      </c>
      <c r="F19" s="174" t="s">
        <v>7964</v>
      </c>
      <c r="G19" s="175"/>
      <c r="H19" s="175"/>
    </row>
    <row r="20" spans="1:8" ht="36">
      <c r="A20" s="160" t="s">
        <v>244</v>
      </c>
      <c r="B20" s="160" t="s">
        <v>7965</v>
      </c>
      <c r="C20" s="161" t="s">
        <v>7966</v>
      </c>
      <c r="D20" s="166" t="s">
        <v>7967</v>
      </c>
      <c r="E20" s="162" t="s">
        <v>7957</v>
      </c>
      <c r="F20" s="163" t="s">
        <v>7953</v>
      </c>
      <c r="G20" s="164"/>
      <c r="H20" s="164"/>
    </row>
    <row r="21" spans="1:8" ht="36">
      <c r="A21" s="160" t="s">
        <v>244</v>
      </c>
      <c r="B21" s="160" t="s">
        <v>7968</v>
      </c>
      <c r="C21" s="161" t="s">
        <v>7969</v>
      </c>
      <c r="D21" s="162" t="s">
        <v>7970</v>
      </c>
      <c r="E21" s="162" t="s">
        <v>7957</v>
      </c>
      <c r="F21" s="163" t="s">
        <v>7953</v>
      </c>
      <c r="G21" s="164"/>
      <c r="H21" s="164"/>
    </row>
    <row r="22" spans="1:8" ht="36">
      <c r="A22" s="160" t="s">
        <v>244</v>
      </c>
      <c r="B22" s="160" t="s">
        <v>7971</v>
      </c>
      <c r="C22" s="161" t="s">
        <v>7972</v>
      </c>
      <c r="D22" s="162" t="s">
        <v>7973</v>
      </c>
      <c r="E22" s="162" t="s">
        <v>7957</v>
      </c>
      <c r="F22" s="163" t="s">
        <v>7953</v>
      </c>
      <c r="G22" s="164"/>
      <c r="H22" s="164"/>
    </row>
    <row r="23" spans="1:8" ht="76.5">
      <c r="A23" s="160" t="s">
        <v>244</v>
      </c>
      <c r="B23" s="160" t="s">
        <v>7974</v>
      </c>
      <c r="C23" s="161" t="s">
        <v>7975</v>
      </c>
      <c r="D23" s="162" t="s">
        <v>7976</v>
      </c>
      <c r="E23" s="162" t="s">
        <v>7957</v>
      </c>
      <c r="F23" s="163" t="s">
        <v>7977</v>
      </c>
      <c r="G23" s="164"/>
      <c r="H23" s="164"/>
    </row>
    <row r="24" spans="1:8" ht="36">
      <c r="A24" s="160" t="s">
        <v>244</v>
      </c>
      <c r="B24" s="160" t="s">
        <v>7978</v>
      </c>
      <c r="C24" s="161" t="s">
        <v>7979</v>
      </c>
      <c r="D24" s="162" t="s">
        <v>7980</v>
      </c>
      <c r="E24" s="162" t="s">
        <v>7957</v>
      </c>
      <c r="F24" s="163" t="s">
        <v>7953</v>
      </c>
      <c r="G24" s="164"/>
      <c r="H24" s="165"/>
    </row>
    <row r="25" spans="1:8" ht="89.25">
      <c r="A25" s="160" t="s">
        <v>244</v>
      </c>
      <c r="B25" s="160" t="s">
        <v>7981</v>
      </c>
      <c r="C25" s="161" t="s">
        <v>7982</v>
      </c>
      <c r="D25" s="162" t="s">
        <v>7983</v>
      </c>
      <c r="E25" s="162" t="s">
        <v>7957</v>
      </c>
      <c r="F25" s="163" t="s">
        <v>7984</v>
      </c>
      <c r="G25" s="164"/>
      <c r="H25" s="165"/>
    </row>
    <row r="26" spans="1:8" ht="38.25">
      <c r="A26" s="160" t="s">
        <v>244</v>
      </c>
      <c r="B26" s="160" t="s">
        <v>7985</v>
      </c>
      <c r="C26" s="161" t="s">
        <v>7986</v>
      </c>
      <c r="D26" s="162" t="s">
        <v>7987</v>
      </c>
      <c r="E26" s="162" t="s">
        <v>247</v>
      </c>
      <c r="F26" s="163" t="s">
        <v>7988</v>
      </c>
      <c r="G26" s="164"/>
      <c r="H26" s="165"/>
    </row>
    <row r="27" spans="1:8">
      <c r="A27" s="160" t="s">
        <v>244</v>
      </c>
      <c r="B27" s="160" t="s">
        <v>7989</v>
      </c>
      <c r="C27" s="161" t="s">
        <v>7990</v>
      </c>
      <c r="D27" s="162" t="s">
        <v>7991</v>
      </c>
      <c r="E27" s="162" t="s">
        <v>7992</v>
      </c>
      <c r="F27" s="163" t="s">
        <v>7993</v>
      </c>
      <c r="G27" s="164"/>
      <c r="H27" s="165"/>
    </row>
    <row r="28" spans="1:8">
      <c r="A28" s="160" t="s">
        <v>244</v>
      </c>
      <c r="B28" s="160" t="s">
        <v>7994</v>
      </c>
      <c r="C28" s="161" t="s">
        <v>7995</v>
      </c>
      <c r="D28" s="162" t="s">
        <v>7996</v>
      </c>
      <c r="E28" s="162" t="s">
        <v>7992</v>
      </c>
      <c r="F28" s="163" t="s">
        <v>7993</v>
      </c>
      <c r="G28" s="164"/>
      <c r="H28" s="165"/>
    </row>
    <row r="29" spans="1:8">
      <c r="A29" s="160" t="s">
        <v>244</v>
      </c>
      <c r="B29" s="160" t="s">
        <v>7997</v>
      </c>
      <c r="C29" s="161" t="s">
        <v>7998</v>
      </c>
      <c r="D29" s="162" t="s">
        <v>7999</v>
      </c>
      <c r="E29" s="162" t="s">
        <v>7992</v>
      </c>
      <c r="F29" s="163" t="s">
        <v>7993</v>
      </c>
      <c r="G29" s="164"/>
      <c r="H29" s="165"/>
    </row>
    <row r="30" spans="1:8">
      <c r="A30" s="160" t="s">
        <v>244</v>
      </c>
      <c r="B30" s="160" t="s">
        <v>8000</v>
      </c>
      <c r="C30" s="161" t="s">
        <v>8001</v>
      </c>
      <c r="D30" s="162" t="s">
        <v>8002</v>
      </c>
      <c r="E30" s="162" t="s">
        <v>7992</v>
      </c>
      <c r="F30" s="163" t="s">
        <v>7993</v>
      </c>
      <c r="G30" s="164"/>
      <c r="H30" s="165"/>
    </row>
    <row r="31" spans="1:8">
      <c r="A31" s="160" t="s">
        <v>244</v>
      </c>
      <c r="B31" s="160" t="s">
        <v>8003</v>
      </c>
      <c r="C31" s="161" t="s">
        <v>8004</v>
      </c>
      <c r="D31" s="162" t="s">
        <v>8005</v>
      </c>
      <c r="E31" s="162" t="s">
        <v>7992</v>
      </c>
      <c r="F31" s="163" t="s">
        <v>7993</v>
      </c>
      <c r="G31" s="164"/>
      <c r="H31" s="165"/>
    </row>
    <row r="32" spans="1:8">
      <c r="A32" s="160" t="s">
        <v>244</v>
      </c>
      <c r="B32" s="160" t="s">
        <v>8006</v>
      </c>
      <c r="C32" s="161" t="s">
        <v>8007</v>
      </c>
      <c r="D32" s="162" t="s">
        <v>8008</v>
      </c>
      <c r="E32" s="162" t="s">
        <v>7992</v>
      </c>
      <c r="F32" s="163" t="s">
        <v>7993</v>
      </c>
      <c r="G32" s="164"/>
      <c r="H32" s="165"/>
    </row>
    <row r="33" spans="1:8" ht="24">
      <c r="A33" s="160" t="s">
        <v>244</v>
      </c>
      <c r="B33" s="160" t="s">
        <v>252</v>
      </c>
      <c r="C33" s="161" t="s">
        <v>8009</v>
      </c>
      <c r="D33" s="162" t="s">
        <v>8010</v>
      </c>
      <c r="E33" s="162" t="s">
        <v>8011</v>
      </c>
      <c r="F33" s="163" t="s">
        <v>7993</v>
      </c>
      <c r="G33" s="164"/>
      <c r="H33" s="165"/>
    </row>
    <row r="34" spans="1:8" ht="24">
      <c r="A34" s="160" t="s">
        <v>244</v>
      </c>
      <c r="B34" s="160" t="s">
        <v>8012</v>
      </c>
      <c r="C34" s="161" t="s">
        <v>8013</v>
      </c>
      <c r="D34" s="162" t="s">
        <v>8014</v>
      </c>
      <c r="E34" s="162" t="s">
        <v>8011</v>
      </c>
      <c r="F34" s="163" t="s">
        <v>7993</v>
      </c>
      <c r="G34" s="164"/>
      <c r="H34" s="165"/>
    </row>
    <row r="35" spans="1:8">
      <c r="A35" s="160" t="s">
        <v>244</v>
      </c>
      <c r="B35" s="160" t="s">
        <v>8015</v>
      </c>
      <c r="C35" s="161" t="s">
        <v>7862</v>
      </c>
      <c r="D35" s="162" t="s">
        <v>8016</v>
      </c>
      <c r="E35" s="162" t="s">
        <v>8017</v>
      </c>
      <c r="F35" s="163" t="s">
        <v>7993</v>
      </c>
      <c r="G35" s="164"/>
      <c r="H35" s="165"/>
    </row>
    <row r="36" spans="1:8">
      <c r="A36" s="160" t="s">
        <v>244</v>
      </c>
      <c r="B36" s="160" t="s">
        <v>8018</v>
      </c>
      <c r="C36" s="161" t="s">
        <v>8019</v>
      </c>
      <c r="D36" s="162" t="s">
        <v>8020</v>
      </c>
      <c r="E36" s="162" t="s">
        <v>247</v>
      </c>
      <c r="F36" s="163" t="s">
        <v>7993</v>
      </c>
      <c r="G36" s="164"/>
      <c r="H36" s="164"/>
    </row>
    <row r="37" spans="1:8" ht="24">
      <c r="A37" s="160" t="s">
        <v>244</v>
      </c>
      <c r="B37" s="160" t="s">
        <v>8021</v>
      </c>
      <c r="C37" s="161" t="s">
        <v>8022</v>
      </c>
      <c r="D37" s="162" t="s">
        <v>8023</v>
      </c>
      <c r="E37" s="162" t="s">
        <v>8011</v>
      </c>
      <c r="F37" s="163" t="s">
        <v>7993</v>
      </c>
      <c r="G37" s="164"/>
      <c r="H37" s="164"/>
    </row>
    <row r="38" spans="1:8">
      <c r="A38" s="160" t="s">
        <v>244</v>
      </c>
      <c r="B38" s="160" t="s">
        <v>8024</v>
      </c>
      <c r="C38" s="161" t="s">
        <v>8025</v>
      </c>
      <c r="D38" s="162" t="s">
        <v>8026</v>
      </c>
      <c r="E38" s="162" t="s">
        <v>247</v>
      </c>
      <c r="F38" s="163" t="s">
        <v>8027</v>
      </c>
      <c r="G38" s="164"/>
      <c r="H38" s="164"/>
    </row>
    <row r="39" spans="1:8" ht="63.75">
      <c r="A39" s="160" t="s">
        <v>244</v>
      </c>
      <c r="B39" s="160" t="s">
        <v>8028</v>
      </c>
      <c r="C39" s="161" t="s">
        <v>8029</v>
      </c>
      <c r="D39" s="162" t="s">
        <v>8030</v>
      </c>
      <c r="E39" s="162" t="s">
        <v>247</v>
      </c>
      <c r="F39" s="163" t="s">
        <v>8031</v>
      </c>
      <c r="G39" s="164"/>
      <c r="H39" s="164"/>
    </row>
    <row r="40" spans="1:8" ht="63.75">
      <c r="A40" s="160" t="s">
        <v>244</v>
      </c>
      <c r="B40" s="160" t="s">
        <v>8032</v>
      </c>
      <c r="C40" s="161" t="s">
        <v>7861</v>
      </c>
      <c r="D40" s="162" t="s">
        <v>8033</v>
      </c>
      <c r="E40" s="162" t="s">
        <v>247</v>
      </c>
      <c r="F40" s="163" t="s">
        <v>8034</v>
      </c>
      <c r="G40" s="164"/>
      <c r="H40" s="164"/>
    </row>
    <row r="41" spans="1:8" ht="36">
      <c r="A41" s="160" t="s">
        <v>244</v>
      </c>
      <c r="B41" s="160" t="s">
        <v>8035</v>
      </c>
      <c r="C41" s="161" t="s">
        <v>8036</v>
      </c>
      <c r="D41" s="162" t="s">
        <v>8037</v>
      </c>
      <c r="E41" s="162" t="s">
        <v>8038</v>
      </c>
      <c r="F41" s="163" t="s">
        <v>8039</v>
      </c>
      <c r="G41" s="164"/>
      <c r="H41" s="164"/>
    </row>
    <row r="42" spans="1:8" ht="36">
      <c r="A42" s="160" t="s">
        <v>244</v>
      </c>
      <c r="B42" s="160" t="s">
        <v>7857</v>
      </c>
      <c r="C42" s="161" t="s">
        <v>7858</v>
      </c>
      <c r="D42" s="162" t="s">
        <v>8040</v>
      </c>
      <c r="E42" s="162" t="s">
        <v>8041</v>
      </c>
      <c r="F42" s="163" t="s">
        <v>8039</v>
      </c>
      <c r="G42" s="164"/>
      <c r="H42" s="164"/>
    </row>
    <row r="43" spans="1:8" ht="36">
      <c r="A43" s="160" t="s">
        <v>244</v>
      </c>
      <c r="B43" s="160" t="s">
        <v>8042</v>
      </c>
      <c r="C43" s="161" t="s">
        <v>8043</v>
      </c>
      <c r="D43" s="162" t="s">
        <v>8044</v>
      </c>
      <c r="E43" s="162" t="s">
        <v>8045</v>
      </c>
      <c r="F43" s="163" t="s">
        <v>8039</v>
      </c>
      <c r="G43" s="164"/>
      <c r="H43" s="164"/>
    </row>
    <row r="44" spans="1:8" ht="102">
      <c r="A44" s="160" t="s">
        <v>244</v>
      </c>
      <c r="B44" s="160" t="s">
        <v>8046</v>
      </c>
      <c r="C44" s="161" t="s">
        <v>8047</v>
      </c>
      <c r="D44" s="162" t="s">
        <v>8048</v>
      </c>
      <c r="E44" s="162" t="s">
        <v>7906</v>
      </c>
      <c r="F44" s="163" t="s">
        <v>8049</v>
      </c>
      <c r="G44" s="176"/>
      <c r="H44" s="176"/>
    </row>
    <row r="45" spans="1:8">
      <c r="A45" s="177"/>
      <c r="B45" s="177"/>
      <c r="C45" s="178"/>
      <c r="D45" s="178"/>
      <c r="E45" s="178"/>
      <c r="F45" s="178"/>
    </row>
    <row r="48" spans="1:8" ht="25.5" customHeight="1"/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0"/>
  </sheetPr>
  <dimension ref="A1:E213"/>
  <sheetViews>
    <sheetView zoomScale="95" zoomScaleNormal="95" workbookViewId="0">
      <selection activeCell="I14" sqref="I14"/>
    </sheetView>
  </sheetViews>
  <sheetFormatPr baseColWidth="10" defaultColWidth="12.7109375" defaultRowHeight="12.75"/>
  <cols>
    <col min="1" max="1" width="21.85546875" style="123" customWidth="1"/>
    <col min="2" max="2" width="24.42578125" style="123" customWidth="1"/>
    <col min="3" max="3" width="26" style="123" customWidth="1"/>
    <col min="4" max="4" width="18.5703125" style="128" customWidth="1"/>
    <col min="5" max="5" width="12.140625" style="123" bestFit="1" customWidth="1"/>
    <col min="6" max="16384" width="12.7109375" style="129"/>
  </cols>
  <sheetData>
    <row r="1" spans="1:5" s="131" customFormat="1" ht="13.5" thickBot="1">
      <c r="A1" s="114" t="s">
        <v>146</v>
      </c>
      <c r="B1" s="114" t="s">
        <v>147</v>
      </c>
      <c r="C1" s="114" t="s">
        <v>148</v>
      </c>
      <c r="D1" s="130" t="s">
        <v>149</v>
      </c>
      <c r="E1" s="114" t="s">
        <v>150</v>
      </c>
    </row>
    <row r="2" spans="1:5">
      <c r="A2" s="132" t="s">
        <v>255</v>
      </c>
      <c r="B2" s="125" t="s">
        <v>7866</v>
      </c>
      <c r="C2" s="125" t="s">
        <v>7812</v>
      </c>
      <c r="D2" s="133"/>
      <c r="E2" s="125" t="s">
        <v>7606</v>
      </c>
    </row>
    <row r="3" spans="1:5">
      <c r="A3" s="132" t="s">
        <v>255</v>
      </c>
      <c r="B3" s="123" t="s">
        <v>7448</v>
      </c>
      <c r="C3" s="123" t="s">
        <v>7448</v>
      </c>
      <c r="E3" s="123" t="s">
        <v>7607</v>
      </c>
    </row>
    <row r="4" spans="1:5">
      <c r="A4" s="132" t="s">
        <v>255</v>
      </c>
      <c r="B4" s="123" t="s">
        <v>7867</v>
      </c>
      <c r="C4" s="123" t="s">
        <v>7813</v>
      </c>
      <c r="E4" s="123" t="s">
        <v>7608</v>
      </c>
    </row>
    <row r="5" spans="1:5">
      <c r="A5" s="132" t="s">
        <v>255</v>
      </c>
      <c r="B5" s="123" t="s">
        <v>257</v>
      </c>
      <c r="C5" s="123" t="s">
        <v>257</v>
      </c>
      <c r="E5" s="123" t="s">
        <v>7609</v>
      </c>
    </row>
    <row r="6" spans="1:5">
      <c r="A6" s="132" t="s">
        <v>255</v>
      </c>
      <c r="B6" s="123" t="s">
        <v>7449</v>
      </c>
      <c r="C6" s="123" t="s">
        <v>7449</v>
      </c>
      <c r="E6" s="123" t="s">
        <v>7610</v>
      </c>
    </row>
    <row r="7" spans="1:5">
      <c r="A7" s="132" t="s">
        <v>255</v>
      </c>
      <c r="B7" s="123" t="s">
        <v>7450</v>
      </c>
      <c r="C7" s="123" t="s">
        <v>7450</v>
      </c>
      <c r="E7" s="123" t="s">
        <v>7611</v>
      </c>
    </row>
    <row r="8" spans="1:5">
      <c r="A8" s="132" t="s">
        <v>255</v>
      </c>
      <c r="B8" s="123" t="s">
        <v>7868</v>
      </c>
      <c r="C8" s="123" t="s">
        <v>7814</v>
      </c>
      <c r="E8" s="123" t="s">
        <v>7612</v>
      </c>
    </row>
    <row r="9" spans="1:5">
      <c r="A9" s="132" t="s">
        <v>255</v>
      </c>
      <c r="B9" s="123" t="s">
        <v>7451</v>
      </c>
      <c r="C9" s="123" t="s">
        <v>7451</v>
      </c>
      <c r="E9" s="123" t="s">
        <v>7613</v>
      </c>
    </row>
    <row r="10" spans="1:5">
      <c r="A10" s="132" t="s">
        <v>255</v>
      </c>
      <c r="B10" s="123" t="s">
        <v>7869</v>
      </c>
      <c r="C10" s="123" t="s">
        <v>7815</v>
      </c>
      <c r="E10" s="123" t="s">
        <v>7614</v>
      </c>
    </row>
    <row r="11" spans="1:5">
      <c r="A11" s="132" t="s">
        <v>255</v>
      </c>
      <c r="B11" s="123" t="s">
        <v>7816</v>
      </c>
      <c r="C11" s="123" t="s">
        <v>7816</v>
      </c>
      <c r="E11" s="123" t="s">
        <v>7615</v>
      </c>
    </row>
    <row r="12" spans="1:5">
      <c r="A12" s="132" t="s">
        <v>255</v>
      </c>
      <c r="B12" s="123" t="s">
        <v>7453</v>
      </c>
      <c r="C12" s="123" t="s">
        <v>7453</v>
      </c>
      <c r="E12" s="123" t="s">
        <v>7616</v>
      </c>
    </row>
    <row r="13" spans="1:5">
      <c r="A13" s="132" t="s">
        <v>255</v>
      </c>
      <c r="B13" s="123" t="s">
        <v>7454</v>
      </c>
      <c r="C13" s="123" t="s">
        <v>7454</v>
      </c>
      <c r="E13" s="123" t="s">
        <v>7617</v>
      </c>
    </row>
    <row r="14" spans="1:5">
      <c r="A14" s="132" t="s">
        <v>255</v>
      </c>
      <c r="B14" s="123" t="s">
        <v>7455</v>
      </c>
      <c r="C14" s="123" t="s">
        <v>7455</v>
      </c>
      <c r="E14" s="123" t="s">
        <v>7618</v>
      </c>
    </row>
    <row r="15" spans="1:5">
      <c r="A15" s="132" t="s">
        <v>255</v>
      </c>
      <c r="B15" s="123" t="s">
        <v>7456</v>
      </c>
      <c r="C15" s="123" t="s">
        <v>7456</v>
      </c>
      <c r="E15" s="123" t="s">
        <v>7619</v>
      </c>
    </row>
    <row r="16" spans="1:5">
      <c r="A16" s="132" t="s">
        <v>255</v>
      </c>
      <c r="B16" s="123" t="s">
        <v>7870</v>
      </c>
      <c r="C16" s="123" t="s">
        <v>263</v>
      </c>
      <c r="E16" s="123" t="s">
        <v>7620</v>
      </c>
    </row>
    <row r="17" spans="1:5">
      <c r="A17" s="132" t="s">
        <v>255</v>
      </c>
      <c r="B17" s="123" t="s">
        <v>7457</v>
      </c>
      <c r="C17" s="123" t="s">
        <v>7457</v>
      </c>
      <c r="E17" s="123" t="s">
        <v>7621</v>
      </c>
    </row>
    <row r="18" spans="1:5">
      <c r="A18" s="132" t="s">
        <v>255</v>
      </c>
      <c r="B18" s="123" t="s">
        <v>7871</v>
      </c>
      <c r="C18" s="123" t="s">
        <v>7817</v>
      </c>
      <c r="E18" s="123" t="s">
        <v>7622</v>
      </c>
    </row>
    <row r="19" spans="1:5">
      <c r="A19" s="132" t="s">
        <v>255</v>
      </c>
      <c r="B19" s="123" t="s">
        <v>7458</v>
      </c>
      <c r="C19" s="123" t="s">
        <v>7458</v>
      </c>
      <c r="E19" s="123" t="s">
        <v>7623</v>
      </c>
    </row>
    <row r="20" spans="1:5">
      <c r="A20" s="132" t="s">
        <v>255</v>
      </c>
      <c r="B20" s="123" t="s">
        <v>7459</v>
      </c>
      <c r="C20" s="123" t="s">
        <v>7459</v>
      </c>
      <c r="E20" s="123" t="s">
        <v>7624</v>
      </c>
    </row>
    <row r="21" spans="1:5">
      <c r="A21" s="132" t="s">
        <v>255</v>
      </c>
      <c r="B21" s="123" t="s">
        <v>7460</v>
      </c>
      <c r="C21" s="123" t="s">
        <v>7460</v>
      </c>
      <c r="E21" s="123" t="s">
        <v>7625</v>
      </c>
    </row>
    <row r="22" spans="1:5">
      <c r="A22" s="132" t="s">
        <v>255</v>
      </c>
      <c r="B22" s="123" t="s">
        <v>7461</v>
      </c>
      <c r="C22" s="123" t="s">
        <v>7461</v>
      </c>
      <c r="E22" s="123" t="s">
        <v>7626</v>
      </c>
    </row>
    <row r="23" spans="1:5">
      <c r="A23" s="132" t="s">
        <v>255</v>
      </c>
      <c r="B23" s="123" t="s">
        <v>7872</v>
      </c>
      <c r="C23" s="123" t="s">
        <v>7818</v>
      </c>
      <c r="E23" s="123" t="s">
        <v>7627</v>
      </c>
    </row>
    <row r="24" spans="1:5">
      <c r="A24" s="132" t="s">
        <v>255</v>
      </c>
      <c r="B24" s="123" t="s">
        <v>7462</v>
      </c>
      <c r="C24" s="123" t="s">
        <v>7462</v>
      </c>
      <c r="E24" s="123" t="s">
        <v>7628</v>
      </c>
    </row>
    <row r="25" spans="1:5">
      <c r="A25" s="132" t="s">
        <v>255</v>
      </c>
      <c r="B25" s="123" t="s">
        <v>7463</v>
      </c>
      <c r="C25" s="123" t="s">
        <v>7463</v>
      </c>
      <c r="E25" s="123" t="s">
        <v>7629</v>
      </c>
    </row>
    <row r="26" spans="1:5">
      <c r="A26" s="132" t="s">
        <v>255</v>
      </c>
      <c r="B26" s="123" t="s">
        <v>7464</v>
      </c>
      <c r="C26" s="123" t="s">
        <v>7464</v>
      </c>
      <c r="E26" s="123" t="s">
        <v>7630</v>
      </c>
    </row>
    <row r="27" spans="1:5">
      <c r="A27" s="132" t="s">
        <v>255</v>
      </c>
      <c r="B27" s="123" t="s">
        <v>7465</v>
      </c>
      <c r="C27" s="123" t="s">
        <v>7465</v>
      </c>
      <c r="E27" s="123" t="s">
        <v>7631</v>
      </c>
    </row>
    <row r="28" spans="1:5">
      <c r="A28" s="132" t="s">
        <v>255</v>
      </c>
      <c r="B28" s="123" t="s">
        <v>7466</v>
      </c>
      <c r="C28" s="123" t="s">
        <v>7466</v>
      </c>
      <c r="E28" s="123" t="s">
        <v>7632</v>
      </c>
    </row>
    <row r="29" spans="1:5">
      <c r="A29" s="132" t="s">
        <v>255</v>
      </c>
      <c r="B29" s="123" t="s">
        <v>7467</v>
      </c>
      <c r="C29" s="123" t="s">
        <v>7467</v>
      </c>
      <c r="E29" s="123" t="s">
        <v>7633</v>
      </c>
    </row>
    <row r="30" spans="1:5">
      <c r="A30" s="132" t="s">
        <v>255</v>
      </c>
      <c r="B30" s="123" t="s">
        <v>7468</v>
      </c>
      <c r="C30" s="123" t="s">
        <v>7468</v>
      </c>
      <c r="E30" s="123" t="s">
        <v>7634</v>
      </c>
    </row>
    <row r="31" spans="1:5">
      <c r="A31" s="132" t="s">
        <v>255</v>
      </c>
      <c r="B31" s="123" t="s">
        <v>256</v>
      </c>
      <c r="C31" s="123" t="s">
        <v>256</v>
      </c>
      <c r="E31" s="123" t="s">
        <v>7635</v>
      </c>
    </row>
    <row r="32" spans="1:5">
      <c r="A32" s="132" t="s">
        <v>255</v>
      </c>
      <c r="B32" s="123" t="s">
        <v>7469</v>
      </c>
      <c r="C32" s="123" t="s">
        <v>7469</v>
      </c>
      <c r="E32" s="123" t="s">
        <v>7636</v>
      </c>
    </row>
    <row r="33" spans="1:5">
      <c r="A33" s="132" t="s">
        <v>255</v>
      </c>
      <c r="B33" s="123" t="s">
        <v>7470</v>
      </c>
      <c r="C33" s="123" t="s">
        <v>7470</v>
      </c>
      <c r="E33" s="123" t="s">
        <v>7637</v>
      </c>
    </row>
    <row r="34" spans="1:5">
      <c r="A34" s="132" t="s">
        <v>255</v>
      </c>
      <c r="B34" s="123" t="s">
        <v>7471</v>
      </c>
      <c r="C34" s="123" t="s">
        <v>7471</v>
      </c>
      <c r="E34" s="123" t="s">
        <v>7638</v>
      </c>
    </row>
    <row r="35" spans="1:5">
      <c r="A35" s="132" t="s">
        <v>255</v>
      </c>
      <c r="B35" s="123" t="s">
        <v>7472</v>
      </c>
      <c r="C35" s="123" t="s">
        <v>7472</v>
      </c>
      <c r="E35" s="123" t="s">
        <v>7639</v>
      </c>
    </row>
    <row r="36" spans="1:5">
      <c r="A36" s="132" t="s">
        <v>255</v>
      </c>
      <c r="B36" s="123" t="s">
        <v>7473</v>
      </c>
      <c r="C36" s="123" t="s">
        <v>7473</v>
      </c>
      <c r="E36" s="123" t="s">
        <v>7640</v>
      </c>
    </row>
    <row r="37" spans="1:5">
      <c r="A37" s="132" t="s">
        <v>255</v>
      </c>
      <c r="B37" s="123" t="s">
        <v>7873</v>
      </c>
      <c r="C37" s="123" t="s">
        <v>7819</v>
      </c>
      <c r="E37" s="123" t="s">
        <v>7641</v>
      </c>
    </row>
    <row r="38" spans="1:5">
      <c r="A38" s="132" t="s">
        <v>255</v>
      </c>
      <c r="B38" s="123" t="s">
        <v>7474</v>
      </c>
      <c r="C38" s="123" t="s">
        <v>7474</v>
      </c>
      <c r="E38" s="123" t="s">
        <v>7642</v>
      </c>
    </row>
    <row r="39" spans="1:5">
      <c r="A39" s="132" t="s">
        <v>255</v>
      </c>
      <c r="B39" s="123" t="s">
        <v>7475</v>
      </c>
      <c r="C39" s="123" t="s">
        <v>7475</v>
      </c>
      <c r="E39" s="123" t="s">
        <v>7643</v>
      </c>
    </row>
    <row r="40" spans="1:5">
      <c r="A40" s="132" t="s">
        <v>255</v>
      </c>
      <c r="B40" s="123" t="s">
        <v>7476</v>
      </c>
      <c r="C40" s="123" t="s">
        <v>7476</v>
      </c>
      <c r="E40" s="123" t="s">
        <v>7644</v>
      </c>
    </row>
    <row r="41" spans="1:5">
      <c r="A41" s="132" t="s">
        <v>255</v>
      </c>
      <c r="B41" s="123" t="s">
        <v>7477</v>
      </c>
      <c r="C41" s="123" t="s">
        <v>7477</v>
      </c>
      <c r="E41" s="123" t="s">
        <v>7645</v>
      </c>
    </row>
    <row r="42" spans="1:5">
      <c r="A42" s="132" t="s">
        <v>255</v>
      </c>
      <c r="B42" s="123" t="s">
        <v>7478</v>
      </c>
      <c r="C42" s="123" t="s">
        <v>7478</v>
      </c>
      <c r="E42" s="123" t="s">
        <v>7646</v>
      </c>
    </row>
    <row r="43" spans="1:5">
      <c r="A43" s="132" t="s">
        <v>255</v>
      </c>
      <c r="B43" s="123" t="s">
        <v>7479</v>
      </c>
      <c r="C43" s="123" t="s">
        <v>7479</v>
      </c>
      <c r="E43" s="123" t="s">
        <v>7647</v>
      </c>
    </row>
    <row r="44" spans="1:5">
      <c r="A44" s="132" t="s">
        <v>255</v>
      </c>
      <c r="B44" s="123" t="s">
        <v>7480</v>
      </c>
      <c r="C44" s="123" t="s">
        <v>7480</v>
      </c>
      <c r="E44" s="123" t="s">
        <v>7648</v>
      </c>
    </row>
    <row r="45" spans="1:5">
      <c r="A45" s="132" t="s">
        <v>255</v>
      </c>
      <c r="B45" s="123" t="s">
        <v>7481</v>
      </c>
      <c r="C45" s="123" t="s">
        <v>7481</v>
      </c>
      <c r="E45" s="123" t="s">
        <v>7649</v>
      </c>
    </row>
    <row r="46" spans="1:5">
      <c r="A46" s="132" t="s">
        <v>255</v>
      </c>
      <c r="B46" s="123" t="s">
        <v>7482</v>
      </c>
      <c r="C46" s="123" t="s">
        <v>7482</v>
      </c>
      <c r="E46" s="123" t="s">
        <v>7650</v>
      </c>
    </row>
    <row r="47" spans="1:5">
      <c r="A47" s="132" t="s">
        <v>255</v>
      </c>
      <c r="B47" s="123" t="s">
        <v>7483</v>
      </c>
      <c r="C47" s="123" t="s">
        <v>7483</v>
      </c>
      <c r="E47" s="123" t="s">
        <v>7651</v>
      </c>
    </row>
    <row r="48" spans="1:5">
      <c r="A48" s="132" t="s">
        <v>255</v>
      </c>
      <c r="B48" s="123" t="s">
        <v>260</v>
      </c>
      <c r="C48" s="123" t="s">
        <v>260</v>
      </c>
      <c r="E48" s="123" t="s">
        <v>7652</v>
      </c>
    </row>
    <row r="49" spans="1:5">
      <c r="A49" s="132" t="s">
        <v>255</v>
      </c>
      <c r="B49" s="123" t="s">
        <v>7484</v>
      </c>
      <c r="C49" s="123" t="s">
        <v>7484</v>
      </c>
      <c r="E49" s="123" t="s">
        <v>7653</v>
      </c>
    </row>
    <row r="50" spans="1:5">
      <c r="A50" s="132" t="s">
        <v>255</v>
      </c>
      <c r="B50" s="123" t="s">
        <v>7485</v>
      </c>
      <c r="C50" s="123" t="s">
        <v>7485</v>
      </c>
      <c r="E50" s="123" t="s">
        <v>7654</v>
      </c>
    </row>
    <row r="51" spans="1:5">
      <c r="A51" s="132" t="s">
        <v>255</v>
      </c>
      <c r="B51" s="123" t="s">
        <v>7486</v>
      </c>
      <c r="C51" s="123" t="s">
        <v>7486</v>
      </c>
      <c r="E51" s="123" t="s">
        <v>7655</v>
      </c>
    </row>
    <row r="52" spans="1:5">
      <c r="A52" s="132" t="s">
        <v>255</v>
      </c>
      <c r="B52" s="123" t="s">
        <v>7487</v>
      </c>
      <c r="C52" s="123" t="s">
        <v>7487</v>
      </c>
      <c r="E52" s="123" t="s">
        <v>7656</v>
      </c>
    </row>
    <row r="53" spans="1:5">
      <c r="A53" s="132" t="s">
        <v>255</v>
      </c>
      <c r="B53" s="123" t="s">
        <v>7820</v>
      </c>
      <c r="C53" s="123" t="s">
        <v>7820</v>
      </c>
      <c r="E53" s="123" t="s">
        <v>7657</v>
      </c>
    </row>
    <row r="54" spans="1:5">
      <c r="A54" s="132" t="s">
        <v>255</v>
      </c>
      <c r="B54" s="123" t="s">
        <v>7488</v>
      </c>
      <c r="C54" s="123" t="s">
        <v>7488</v>
      </c>
      <c r="E54" s="123" t="s">
        <v>7658</v>
      </c>
    </row>
    <row r="55" spans="1:5">
      <c r="A55" s="132" t="s">
        <v>255</v>
      </c>
      <c r="B55" s="123" t="s">
        <v>7489</v>
      </c>
      <c r="C55" s="123" t="s">
        <v>7489</v>
      </c>
      <c r="E55" s="123" t="s">
        <v>7659</v>
      </c>
    </row>
    <row r="56" spans="1:5">
      <c r="A56" s="132" t="s">
        <v>255</v>
      </c>
      <c r="B56" s="123" t="s">
        <v>7490</v>
      </c>
      <c r="C56" s="123" t="s">
        <v>7490</v>
      </c>
      <c r="E56" s="123" t="s">
        <v>7660</v>
      </c>
    </row>
    <row r="57" spans="1:5">
      <c r="A57" s="132" t="s">
        <v>255</v>
      </c>
      <c r="B57" s="123" t="s">
        <v>7491</v>
      </c>
      <c r="C57" s="123" t="s">
        <v>7491</v>
      </c>
      <c r="E57" s="123" t="s">
        <v>7661</v>
      </c>
    </row>
    <row r="58" spans="1:5">
      <c r="A58" s="132" t="s">
        <v>255</v>
      </c>
      <c r="B58" s="123" t="s">
        <v>7492</v>
      </c>
      <c r="C58" s="123" t="s">
        <v>7492</v>
      </c>
      <c r="E58" s="123" t="s">
        <v>7662</v>
      </c>
    </row>
    <row r="59" spans="1:5">
      <c r="A59" s="132" t="s">
        <v>255</v>
      </c>
      <c r="B59" s="123" t="s">
        <v>7493</v>
      </c>
      <c r="C59" s="123" t="s">
        <v>7493</v>
      </c>
      <c r="E59" s="123" t="s">
        <v>7663</v>
      </c>
    </row>
    <row r="60" spans="1:5">
      <c r="A60" s="132" t="s">
        <v>255</v>
      </c>
      <c r="B60" s="123" t="s">
        <v>7494</v>
      </c>
      <c r="C60" s="123" t="s">
        <v>7494</v>
      </c>
      <c r="E60" s="123" t="s">
        <v>7664</v>
      </c>
    </row>
    <row r="61" spans="1:5">
      <c r="A61" s="132" t="s">
        <v>255</v>
      </c>
      <c r="B61" s="123" t="s">
        <v>7495</v>
      </c>
      <c r="C61" s="123" t="s">
        <v>7495</v>
      </c>
      <c r="E61" s="123" t="s">
        <v>7665</v>
      </c>
    </row>
    <row r="62" spans="1:5">
      <c r="A62" s="132" t="s">
        <v>255</v>
      </c>
      <c r="B62" s="123" t="s">
        <v>7496</v>
      </c>
      <c r="C62" s="123" t="s">
        <v>7496</v>
      </c>
      <c r="E62" s="123" t="s">
        <v>7666</v>
      </c>
    </row>
    <row r="63" spans="1:5">
      <c r="A63" s="132" t="s">
        <v>255</v>
      </c>
      <c r="B63" s="123" t="s">
        <v>7874</v>
      </c>
      <c r="C63" s="123" t="s">
        <v>7821</v>
      </c>
      <c r="E63" s="123" t="s">
        <v>7667</v>
      </c>
    </row>
    <row r="64" spans="1:5">
      <c r="A64" s="132" t="s">
        <v>255</v>
      </c>
      <c r="B64" s="123" t="s">
        <v>7497</v>
      </c>
      <c r="C64" s="123" t="s">
        <v>7497</v>
      </c>
      <c r="E64" s="123" t="s">
        <v>7668</v>
      </c>
    </row>
    <row r="65" spans="1:5">
      <c r="A65" s="132" t="s">
        <v>255</v>
      </c>
      <c r="B65" s="123" t="s">
        <v>7498</v>
      </c>
      <c r="C65" s="123" t="s">
        <v>7498</v>
      </c>
      <c r="E65" s="123" t="s">
        <v>7669</v>
      </c>
    </row>
    <row r="66" spans="1:5">
      <c r="A66" s="132" t="s">
        <v>255</v>
      </c>
      <c r="B66" s="123" t="s">
        <v>7499</v>
      </c>
      <c r="C66" s="123" t="s">
        <v>7499</v>
      </c>
      <c r="E66" s="123" t="s">
        <v>7670</v>
      </c>
    </row>
    <row r="67" spans="1:5">
      <c r="A67" s="132" t="s">
        <v>255</v>
      </c>
      <c r="B67" s="123" t="s">
        <v>7500</v>
      </c>
      <c r="C67" s="123" t="s">
        <v>7500</v>
      </c>
      <c r="E67" s="123" t="s">
        <v>7671</v>
      </c>
    </row>
    <row r="68" spans="1:5">
      <c r="A68" s="132" t="s">
        <v>255</v>
      </c>
      <c r="B68" s="123" t="s">
        <v>7501</v>
      </c>
      <c r="C68" s="123" t="s">
        <v>7501</v>
      </c>
      <c r="E68" s="123" t="s">
        <v>7672</v>
      </c>
    </row>
    <row r="69" spans="1:5">
      <c r="A69" s="132" t="s">
        <v>255</v>
      </c>
      <c r="B69" s="123" t="s">
        <v>7502</v>
      </c>
      <c r="C69" s="123" t="s">
        <v>7502</v>
      </c>
      <c r="E69" s="123" t="s">
        <v>7673</v>
      </c>
    </row>
    <row r="70" spans="1:5">
      <c r="A70" s="132" t="s">
        <v>255</v>
      </c>
      <c r="B70" s="123" t="s">
        <v>7503</v>
      </c>
      <c r="C70" s="123" t="s">
        <v>7503</v>
      </c>
      <c r="E70" s="123" t="s">
        <v>7674</v>
      </c>
    </row>
    <row r="71" spans="1:5">
      <c r="A71" s="132" t="s">
        <v>255</v>
      </c>
      <c r="B71" s="123" t="s">
        <v>7504</v>
      </c>
      <c r="C71" s="123" t="s">
        <v>7504</v>
      </c>
      <c r="E71" s="123" t="s">
        <v>7675</v>
      </c>
    </row>
    <row r="72" spans="1:5">
      <c r="A72" s="132" t="s">
        <v>255</v>
      </c>
      <c r="B72" s="123" t="s">
        <v>7505</v>
      </c>
      <c r="C72" s="123" t="s">
        <v>7505</v>
      </c>
      <c r="E72" s="123" t="s">
        <v>7676</v>
      </c>
    </row>
    <row r="73" spans="1:5">
      <c r="A73" s="132" t="s">
        <v>255</v>
      </c>
      <c r="B73" s="123" t="s">
        <v>7506</v>
      </c>
      <c r="C73" s="123" t="s">
        <v>7506</v>
      </c>
      <c r="E73" s="123" t="s">
        <v>7677</v>
      </c>
    </row>
    <row r="74" spans="1:5">
      <c r="A74" s="132" t="s">
        <v>255</v>
      </c>
      <c r="B74" s="123" t="s">
        <v>7507</v>
      </c>
      <c r="C74" s="123" t="s">
        <v>7507</v>
      </c>
      <c r="E74" s="123" t="s">
        <v>7678</v>
      </c>
    </row>
    <row r="75" spans="1:5">
      <c r="A75" s="132" t="s">
        <v>255</v>
      </c>
      <c r="B75" s="123" t="s">
        <v>258</v>
      </c>
      <c r="C75" s="123" t="s">
        <v>258</v>
      </c>
      <c r="E75" s="123" t="s">
        <v>7679</v>
      </c>
    </row>
    <row r="76" spans="1:5">
      <c r="A76" s="132" t="s">
        <v>255</v>
      </c>
      <c r="B76" s="123" t="s">
        <v>261</v>
      </c>
      <c r="C76" s="123" t="s">
        <v>261</v>
      </c>
      <c r="E76" s="123" t="s">
        <v>7680</v>
      </c>
    </row>
    <row r="77" spans="1:5">
      <c r="A77" s="132" t="s">
        <v>255</v>
      </c>
      <c r="B77" s="123" t="s">
        <v>7508</v>
      </c>
      <c r="C77" s="123" t="s">
        <v>7508</v>
      </c>
      <c r="E77" s="123" t="s">
        <v>7681</v>
      </c>
    </row>
    <row r="78" spans="1:5">
      <c r="A78" s="132" t="s">
        <v>255</v>
      </c>
      <c r="B78" s="123" t="s">
        <v>7509</v>
      </c>
      <c r="C78" s="123" t="s">
        <v>7509</v>
      </c>
      <c r="E78" s="123" t="s">
        <v>7682</v>
      </c>
    </row>
    <row r="79" spans="1:5">
      <c r="A79" s="132" t="s">
        <v>255</v>
      </c>
      <c r="B79" s="123" t="s">
        <v>7510</v>
      </c>
      <c r="C79" s="123" t="s">
        <v>7510</v>
      </c>
      <c r="E79" s="123" t="s">
        <v>7683</v>
      </c>
    </row>
    <row r="80" spans="1:5">
      <c r="A80" s="132" t="s">
        <v>255</v>
      </c>
      <c r="B80" s="123" t="s">
        <v>7511</v>
      </c>
      <c r="C80" s="123" t="s">
        <v>7511</v>
      </c>
      <c r="E80" s="123" t="s">
        <v>7684</v>
      </c>
    </row>
    <row r="81" spans="1:5">
      <c r="A81" s="132" t="s">
        <v>255</v>
      </c>
      <c r="B81" s="123" t="s">
        <v>7512</v>
      </c>
      <c r="C81" s="123" t="s">
        <v>7512</v>
      </c>
      <c r="E81" s="123" t="s">
        <v>7685</v>
      </c>
    </row>
    <row r="82" spans="1:5">
      <c r="A82" s="132" t="s">
        <v>255</v>
      </c>
      <c r="B82" s="123" t="s">
        <v>7513</v>
      </c>
      <c r="C82" s="123" t="s">
        <v>7513</v>
      </c>
      <c r="E82" s="123" t="s">
        <v>7686</v>
      </c>
    </row>
    <row r="83" spans="1:5">
      <c r="A83" s="132" t="s">
        <v>255</v>
      </c>
      <c r="B83" s="123" t="s">
        <v>7514</v>
      </c>
      <c r="C83" s="123" t="s">
        <v>7514</v>
      </c>
      <c r="E83" s="123" t="s">
        <v>7687</v>
      </c>
    </row>
    <row r="84" spans="1:5">
      <c r="A84" s="132" t="s">
        <v>255</v>
      </c>
      <c r="B84" s="123" t="s">
        <v>262</v>
      </c>
      <c r="C84" s="123" t="s">
        <v>262</v>
      </c>
      <c r="E84" s="123" t="s">
        <v>7688</v>
      </c>
    </row>
    <row r="85" spans="1:5">
      <c r="A85" s="132" t="s">
        <v>255</v>
      </c>
      <c r="B85" s="123" t="s">
        <v>7515</v>
      </c>
      <c r="C85" s="123" t="s">
        <v>7515</v>
      </c>
      <c r="E85" s="123" t="s">
        <v>7689</v>
      </c>
    </row>
    <row r="86" spans="1:5">
      <c r="A86" s="132" t="s">
        <v>255</v>
      </c>
      <c r="B86" s="123" t="s">
        <v>7516</v>
      </c>
      <c r="C86" s="123" t="s">
        <v>7516</v>
      </c>
      <c r="E86" s="123" t="s">
        <v>7690</v>
      </c>
    </row>
    <row r="87" spans="1:5">
      <c r="A87" s="132" t="s">
        <v>255</v>
      </c>
      <c r="B87" s="123" t="s">
        <v>7517</v>
      </c>
      <c r="C87" s="123" t="s">
        <v>7517</v>
      </c>
      <c r="E87" s="123" t="s">
        <v>7691</v>
      </c>
    </row>
    <row r="88" spans="1:5">
      <c r="A88" s="132" t="s">
        <v>255</v>
      </c>
      <c r="B88" s="123" t="s">
        <v>7518</v>
      </c>
      <c r="C88" s="123" t="s">
        <v>7518</v>
      </c>
      <c r="E88" s="123" t="s">
        <v>7692</v>
      </c>
    </row>
    <row r="89" spans="1:5">
      <c r="A89" s="132" t="s">
        <v>255</v>
      </c>
      <c r="B89" s="123" t="s">
        <v>7519</v>
      </c>
      <c r="C89" s="123" t="s">
        <v>7519</v>
      </c>
      <c r="E89" s="123" t="s">
        <v>7693</v>
      </c>
    </row>
    <row r="90" spans="1:5">
      <c r="A90" s="132" t="s">
        <v>255</v>
      </c>
      <c r="B90" s="123" t="s">
        <v>7520</v>
      </c>
      <c r="C90" s="123" t="s">
        <v>7520</v>
      </c>
      <c r="E90" s="123" t="s">
        <v>7694</v>
      </c>
    </row>
    <row r="91" spans="1:5">
      <c r="A91" s="132" t="s">
        <v>255</v>
      </c>
      <c r="B91" s="123" t="s">
        <v>7521</v>
      </c>
      <c r="C91" s="123" t="s">
        <v>7521</v>
      </c>
      <c r="E91" s="123" t="s">
        <v>7695</v>
      </c>
    </row>
    <row r="92" spans="1:5">
      <c r="A92" s="132" t="s">
        <v>255</v>
      </c>
      <c r="B92" s="123" t="s">
        <v>7522</v>
      </c>
      <c r="C92" s="123" t="s">
        <v>7522</v>
      </c>
      <c r="E92" s="123" t="s">
        <v>7696</v>
      </c>
    </row>
    <row r="93" spans="1:5">
      <c r="A93" s="132" t="s">
        <v>255</v>
      </c>
      <c r="B93" s="123" t="s">
        <v>7523</v>
      </c>
      <c r="C93" s="123" t="s">
        <v>7523</v>
      </c>
      <c r="E93" s="123" t="s">
        <v>7697</v>
      </c>
    </row>
    <row r="94" spans="1:5">
      <c r="A94" s="132" t="s">
        <v>255</v>
      </c>
      <c r="B94" s="123" t="s">
        <v>7524</v>
      </c>
      <c r="C94" s="123" t="s">
        <v>7524</v>
      </c>
      <c r="E94" s="123" t="s">
        <v>7698</v>
      </c>
    </row>
    <row r="95" spans="1:5">
      <c r="A95" s="132" t="s">
        <v>255</v>
      </c>
      <c r="B95" s="123" t="s">
        <v>7525</v>
      </c>
      <c r="C95" s="123" t="s">
        <v>7525</v>
      </c>
      <c r="E95" s="123" t="s">
        <v>7699</v>
      </c>
    </row>
    <row r="96" spans="1:5">
      <c r="A96" s="132" t="s">
        <v>255</v>
      </c>
      <c r="B96" s="123" t="s">
        <v>7526</v>
      </c>
      <c r="C96" s="123" t="s">
        <v>7526</v>
      </c>
      <c r="E96" s="123" t="s">
        <v>7700</v>
      </c>
    </row>
    <row r="97" spans="1:5">
      <c r="A97" s="132" t="s">
        <v>255</v>
      </c>
      <c r="B97" s="123" t="s">
        <v>7527</v>
      </c>
      <c r="C97" s="123" t="s">
        <v>7527</v>
      </c>
      <c r="E97" s="123" t="s">
        <v>7701</v>
      </c>
    </row>
    <row r="98" spans="1:5">
      <c r="A98" s="132" t="s">
        <v>255</v>
      </c>
      <c r="B98" s="123" t="s">
        <v>7528</v>
      </c>
      <c r="C98" s="123" t="s">
        <v>7528</v>
      </c>
      <c r="E98" s="123" t="s">
        <v>7702</v>
      </c>
    </row>
    <row r="99" spans="1:5">
      <c r="A99" s="132" t="s">
        <v>255</v>
      </c>
      <c r="B99" s="123" t="s">
        <v>7529</v>
      </c>
      <c r="C99" s="123" t="s">
        <v>7529</v>
      </c>
      <c r="E99" s="123" t="s">
        <v>7703</v>
      </c>
    </row>
    <row r="100" spans="1:5">
      <c r="A100" s="132" t="s">
        <v>255</v>
      </c>
      <c r="B100" s="123" t="s">
        <v>7530</v>
      </c>
      <c r="C100" s="123" t="s">
        <v>7530</v>
      </c>
      <c r="E100" s="123" t="s">
        <v>7704</v>
      </c>
    </row>
    <row r="101" spans="1:5">
      <c r="A101" s="132" t="s">
        <v>255</v>
      </c>
      <c r="B101" s="123" t="s">
        <v>7531</v>
      </c>
      <c r="C101" s="123" t="s">
        <v>7531</v>
      </c>
      <c r="E101" s="123" t="s">
        <v>7705</v>
      </c>
    </row>
    <row r="102" spans="1:5">
      <c r="A102" s="132" t="s">
        <v>255</v>
      </c>
      <c r="B102" s="123" t="s">
        <v>7532</v>
      </c>
      <c r="C102" s="123" t="s">
        <v>7532</v>
      </c>
      <c r="E102" s="123" t="s">
        <v>7706</v>
      </c>
    </row>
    <row r="103" spans="1:5">
      <c r="A103" s="132" t="s">
        <v>255</v>
      </c>
      <c r="B103" s="123" t="s">
        <v>7533</v>
      </c>
      <c r="C103" s="123" t="s">
        <v>7533</v>
      </c>
      <c r="E103" s="123" t="s">
        <v>7707</v>
      </c>
    </row>
    <row r="104" spans="1:5">
      <c r="A104" s="132" t="s">
        <v>255</v>
      </c>
      <c r="B104" s="123" t="s">
        <v>7534</v>
      </c>
      <c r="C104" s="123" t="s">
        <v>7534</v>
      </c>
      <c r="E104" s="123" t="s">
        <v>7708</v>
      </c>
    </row>
    <row r="105" spans="1:5">
      <c r="A105" s="132" t="s">
        <v>255</v>
      </c>
      <c r="B105" s="123" t="s">
        <v>7535</v>
      </c>
      <c r="C105" s="123" t="s">
        <v>7535</v>
      </c>
      <c r="E105" s="123" t="s">
        <v>7709</v>
      </c>
    </row>
    <row r="106" spans="1:5">
      <c r="A106" s="132" t="s">
        <v>255</v>
      </c>
      <c r="B106" s="123" t="s">
        <v>7536</v>
      </c>
      <c r="C106" s="123" t="s">
        <v>7536</v>
      </c>
      <c r="E106" s="123" t="s">
        <v>7710</v>
      </c>
    </row>
    <row r="107" spans="1:5">
      <c r="A107" s="132" t="s">
        <v>255</v>
      </c>
      <c r="B107" s="123" t="s">
        <v>7875</v>
      </c>
      <c r="C107" s="123" t="s">
        <v>7822</v>
      </c>
      <c r="E107" s="123" t="s">
        <v>7711</v>
      </c>
    </row>
    <row r="108" spans="1:5">
      <c r="A108" s="132" t="s">
        <v>255</v>
      </c>
      <c r="B108" s="123" t="s">
        <v>7537</v>
      </c>
      <c r="C108" s="123" t="s">
        <v>7537</v>
      </c>
      <c r="E108" s="123" t="s">
        <v>7712</v>
      </c>
    </row>
    <row r="109" spans="1:5">
      <c r="A109" s="132" t="s">
        <v>255</v>
      </c>
      <c r="B109" s="123" t="s">
        <v>7538</v>
      </c>
      <c r="C109" s="123" t="s">
        <v>7538</v>
      </c>
      <c r="E109" s="123" t="s">
        <v>7713</v>
      </c>
    </row>
    <row r="110" spans="1:5">
      <c r="A110" s="132" t="s">
        <v>255</v>
      </c>
      <c r="B110" s="123" t="s">
        <v>259</v>
      </c>
      <c r="C110" s="123" t="s">
        <v>259</v>
      </c>
      <c r="E110" s="123" t="s">
        <v>7714</v>
      </c>
    </row>
    <row r="111" spans="1:5">
      <c r="A111" s="132" t="s">
        <v>255</v>
      </c>
      <c r="B111" s="123" t="s">
        <v>7539</v>
      </c>
      <c r="C111" s="123" t="s">
        <v>7539</v>
      </c>
      <c r="E111" s="123" t="s">
        <v>7715</v>
      </c>
    </row>
    <row r="112" spans="1:5">
      <c r="A112" s="132" t="s">
        <v>255</v>
      </c>
      <c r="B112" s="123" t="s">
        <v>7540</v>
      </c>
      <c r="C112" s="123" t="s">
        <v>7540</v>
      </c>
      <c r="E112" s="123" t="s">
        <v>7716</v>
      </c>
    </row>
    <row r="113" spans="1:5">
      <c r="A113" s="132" t="s">
        <v>255</v>
      </c>
      <c r="B113" s="123" t="s">
        <v>7541</v>
      </c>
      <c r="C113" s="123" t="s">
        <v>7541</v>
      </c>
      <c r="E113" s="123" t="s">
        <v>7717</v>
      </c>
    </row>
    <row r="114" spans="1:5">
      <c r="A114" s="132" t="s">
        <v>255</v>
      </c>
      <c r="B114" s="123" t="s">
        <v>7542</v>
      </c>
      <c r="C114" s="123" t="s">
        <v>7542</v>
      </c>
      <c r="E114" s="123" t="s">
        <v>7718</v>
      </c>
    </row>
    <row r="115" spans="1:5">
      <c r="A115" s="132" t="s">
        <v>255</v>
      </c>
      <c r="B115" s="123" t="s">
        <v>7543</v>
      </c>
      <c r="C115" s="123" t="s">
        <v>7543</v>
      </c>
      <c r="E115" s="123" t="s">
        <v>7719</v>
      </c>
    </row>
    <row r="116" spans="1:5">
      <c r="A116" s="132" t="s">
        <v>255</v>
      </c>
      <c r="B116" s="123" t="s">
        <v>7544</v>
      </c>
      <c r="C116" s="123" t="s">
        <v>7544</v>
      </c>
      <c r="E116" s="123" t="s">
        <v>7720</v>
      </c>
    </row>
    <row r="117" spans="1:5">
      <c r="A117" s="132" t="s">
        <v>255</v>
      </c>
      <c r="B117" s="123" t="s">
        <v>7545</v>
      </c>
      <c r="C117" s="123" t="s">
        <v>7545</v>
      </c>
      <c r="E117" s="123" t="s">
        <v>7721</v>
      </c>
    </row>
    <row r="118" spans="1:5">
      <c r="A118" s="132" t="s">
        <v>255</v>
      </c>
      <c r="B118" s="123" t="s">
        <v>7546</v>
      </c>
      <c r="C118" s="123" t="s">
        <v>7546</v>
      </c>
      <c r="E118" s="123" t="s">
        <v>7722</v>
      </c>
    </row>
    <row r="119" spans="1:5">
      <c r="A119" s="132" t="s">
        <v>255</v>
      </c>
      <c r="B119" s="123" t="s">
        <v>7547</v>
      </c>
      <c r="C119" s="123" t="s">
        <v>7547</v>
      </c>
      <c r="E119" s="123" t="s">
        <v>7723</v>
      </c>
    </row>
    <row r="120" spans="1:5">
      <c r="A120" s="132" t="s">
        <v>255</v>
      </c>
      <c r="B120" s="123" t="s">
        <v>7548</v>
      </c>
      <c r="C120" s="123" t="s">
        <v>7548</v>
      </c>
      <c r="E120" s="123" t="s">
        <v>7724</v>
      </c>
    </row>
    <row r="121" spans="1:5">
      <c r="A121" s="132" t="s">
        <v>255</v>
      </c>
      <c r="B121" s="123" t="s">
        <v>7549</v>
      </c>
      <c r="C121" s="123" t="s">
        <v>7549</v>
      </c>
      <c r="E121" s="123" t="s">
        <v>7725</v>
      </c>
    </row>
    <row r="122" spans="1:5">
      <c r="A122" s="132" t="s">
        <v>255</v>
      </c>
      <c r="B122" s="123" t="s">
        <v>7876</v>
      </c>
      <c r="C122" s="123" t="s">
        <v>7823</v>
      </c>
      <c r="E122" s="123" t="s">
        <v>7726</v>
      </c>
    </row>
    <row r="123" spans="1:5">
      <c r="A123" s="132" t="s">
        <v>255</v>
      </c>
      <c r="B123" s="123" t="s">
        <v>7550</v>
      </c>
      <c r="C123" s="123" t="s">
        <v>7550</v>
      </c>
      <c r="E123" s="123" t="s">
        <v>7727</v>
      </c>
    </row>
    <row r="124" spans="1:5">
      <c r="A124" s="132" t="s">
        <v>255</v>
      </c>
      <c r="B124" s="123" t="s">
        <v>7551</v>
      </c>
      <c r="C124" s="123" t="s">
        <v>7551</v>
      </c>
      <c r="E124" s="123" t="s">
        <v>7728</v>
      </c>
    </row>
    <row r="125" spans="1:5">
      <c r="A125" s="132" t="s">
        <v>255</v>
      </c>
      <c r="B125" s="123" t="s">
        <v>7552</v>
      </c>
      <c r="C125" s="123" t="s">
        <v>7552</v>
      </c>
      <c r="E125" s="123" t="s">
        <v>7729</v>
      </c>
    </row>
    <row r="126" spans="1:5">
      <c r="A126" s="132" t="s">
        <v>255</v>
      </c>
      <c r="B126" s="123" t="s">
        <v>7553</v>
      </c>
      <c r="C126" s="123" t="s">
        <v>7553</v>
      </c>
      <c r="E126" s="123" t="s">
        <v>7730</v>
      </c>
    </row>
    <row r="127" spans="1:5">
      <c r="A127" s="132" t="s">
        <v>255</v>
      </c>
      <c r="B127" s="123" t="s">
        <v>7554</v>
      </c>
      <c r="C127" s="123" t="s">
        <v>7554</v>
      </c>
      <c r="E127" s="123" t="s">
        <v>7731</v>
      </c>
    </row>
    <row r="128" spans="1:5">
      <c r="A128" s="132" t="s">
        <v>255</v>
      </c>
      <c r="B128" s="123" t="s">
        <v>7555</v>
      </c>
      <c r="C128" s="123" t="s">
        <v>7555</v>
      </c>
      <c r="E128" s="123" t="s">
        <v>7732</v>
      </c>
    </row>
    <row r="129" spans="1:5">
      <c r="A129" s="132" t="s">
        <v>255</v>
      </c>
      <c r="B129" s="123" t="s">
        <v>7556</v>
      </c>
      <c r="C129" s="123" t="s">
        <v>7556</v>
      </c>
      <c r="E129" s="123" t="s">
        <v>7733</v>
      </c>
    </row>
    <row r="130" spans="1:5">
      <c r="A130" s="132" t="s">
        <v>255</v>
      </c>
      <c r="B130" s="123" t="s">
        <v>7557</v>
      </c>
      <c r="C130" s="123" t="s">
        <v>7557</v>
      </c>
      <c r="E130" s="123" t="s">
        <v>7734</v>
      </c>
    </row>
    <row r="131" spans="1:5">
      <c r="A131" s="132" t="s">
        <v>255</v>
      </c>
      <c r="B131" s="123" t="s">
        <v>7558</v>
      </c>
      <c r="C131" s="123" t="s">
        <v>7558</v>
      </c>
      <c r="E131" s="123" t="s">
        <v>7735</v>
      </c>
    </row>
    <row r="132" spans="1:5">
      <c r="A132" s="132" t="s">
        <v>255</v>
      </c>
      <c r="B132" s="123" t="s">
        <v>7559</v>
      </c>
      <c r="C132" s="123" t="s">
        <v>7559</v>
      </c>
      <c r="E132" s="123" t="s">
        <v>7736</v>
      </c>
    </row>
    <row r="133" spans="1:5">
      <c r="A133" s="132" t="s">
        <v>255</v>
      </c>
      <c r="B133" s="123" t="s">
        <v>7560</v>
      </c>
      <c r="C133" s="123" t="s">
        <v>7560</v>
      </c>
      <c r="E133" s="123" t="s">
        <v>7737</v>
      </c>
    </row>
    <row r="134" spans="1:5">
      <c r="A134" s="132" t="s">
        <v>255</v>
      </c>
      <c r="B134" s="123" t="s">
        <v>7893</v>
      </c>
      <c r="C134" s="123" t="s">
        <v>7824</v>
      </c>
      <c r="E134" s="123" t="s">
        <v>7738</v>
      </c>
    </row>
    <row r="135" spans="1:5">
      <c r="A135" s="132" t="s">
        <v>255</v>
      </c>
      <c r="B135" s="123" t="s">
        <v>7892</v>
      </c>
      <c r="C135" s="123" t="s">
        <v>7825</v>
      </c>
      <c r="E135" s="123" t="s">
        <v>7739</v>
      </c>
    </row>
    <row r="136" spans="1:5">
      <c r="A136" s="132" t="s">
        <v>255</v>
      </c>
      <c r="B136" s="123" t="s">
        <v>7891</v>
      </c>
      <c r="C136" s="123" t="s">
        <v>7826</v>
      </c>
      <c r="E136" s="123" t="s">
        <v>7740</v>
      </c>
    </row>
    <row r="137" spans="1:5">
      <c r="A137" s="132" t="s">
        <v>255</v>
      </c>
      <c r="B137" s="123" t="s">
        <v>7890</v>
      </c>
      <c r="C137" s="123" t="s">
        <v>7827</v>
      </c>
      <c r="E137" s="123" t="s">
        <v>7741</v>
      </c>
    </row>
    <row r="138" spans="1:5">
      <c r="A138" s="132" t="s">
        <v>255</v>
      </c>
      <c r="B138" s="123" t="s">
        <v>7889</v>
      </c>
      <c r="C138" s="123" t="s">
        <v>7828</v>
      </c>
      <c r="E138" s="123" t="s">
        <v>7742</v>
      </c>
    </row>
    <row r="139" spans="1:5">
      <c r="A139" s="132" t="s">
        <v>255</v>
      </c>
      <c r="B139" s="123" t="s">
        <v>7888</v>
      </c>
      <c r="C139" s="123" t="s">
        <v>7829</v>
      </c>
      <c r="E139" s="123" t="s">
        <v>7743</v>
      </c>
    </row>
    <row r="140" spans="1:5">
      <c r="A140" s="132" t="s">
        <v>255</v>
      </c>
      <c r="B140" s="123" t="s">
        <v>7887</v>
      </c>
      <c r="C140" s="123" t="s">
        <v>7830</v>
      </c>
      <c r="E140" s="123" t="s">
        <v>7744</v>
      </c>
    </row>
    <row r="141" spans="1:5">
      <c r="A141" s="132" t="s">
        <v>255</v>
      </c>
      <c r="B141" s="123" t="s">
        <v>7886</v>
      </c>
      <c r="C141" s="123" t="s">
        <v>7831</v>
      </c>
      <c r="E141" s="123" t="s">
        <v>7745</v>
      </c>
    </row>
    <row r="142" spans="1:5">
      <c r="A142" s="132" t="s">
        <v>255</v>
      </c>
      <c r="B142" s="123" t="s">
        <v>7885</v>
      </c>
      <c r="C142" s="123" t="s">
        <v>7832</v>
      </c>
      <c r="E142" s="123" t="s">
        <v>7746</v>
      </c>
    </row>
    <row r="143" spans="1:5">
      <c r="A143" s="132" t="s">
        <v>255</v>
      </c>
      <c r="B143" s="123" t="s">
        <v>7884</v>
      </c>
      <c r="C143" s="123" t="s">
        <v>7833</v>
      </c>
      <c r="E143" s="123" t="s">
        <v>7747</v>
      </c>
    </row>
    <row r="144" spans="1:5">
      <c r="A144" s="132" t="s">
        <v>255</v>
      </c>
      <c r="B144" s="123" t="s">
        <v>7896</v>
      </c>
      <c r="C144" s="123" t="s">
        <v>7834</v>
      </c>
      <c r="E144" s="123" t="s">
        <v>7748</v>
      </c>
    </row>
    <row r="145" spans="1:5">
      <c r="A145" s="132" t="s">
        <v>255</v>
      </c>
      <c r="B145" s="123" t="s">
        <v>7883</v>
      </c>
      <c r="C145" s="123" t="s">
        <v>7835</v>
      </c>
      <c r="E145" s="123" t="s">
        <v>7749</v>
      </c>
    </row>
    <row r="146" spans="1:5">
      <c r="A146" s="132" t="s">
        <v>255</v>
      </c>
      <c r="B146" s="123" t="s">
        <v>7882</v>
      </c>
      <c r="C146" s="123" t="s">
        <v>7836</v>
      </c>
      <c r="E146" s="123" t="s">
        <v>7750</v>
      </c>
    </row>
    <row r="147" spans="1:5">
      <c r="A147" s="132" t="s">
        <v>255</v>
      </c>
      <c r="B147" s="123" t="s">
        <v>7897</v>
      </c>
      <c r="C147" s="123" t="s">
        <v>7837</v>
      </c>
      <c r="E147" s="123" t="s">
        <v>7751</v>
      </c>
    </row>
    <row r="148" spans="1:5">
      <c r="A148" s="132" t="s">
        <v>255</v>
      </c>
      <c r="B148" s="123" t="s">
        <v>7881</v>
      </c>
      <c r="C148" s="123" t="s">
        <v>7838</v>
      </c>
      <c r="E148" s="123" t="s">
        <v>7752</v>
      </c>
    </row>
    <row r="149" spans="1:5">
      <c r="A149" s="132" t="s">
        <v>255</v>
      </c>
      <c r="B149" s="123" t="s">
        <v>7561</v>
      </c>
      <c r="C149" s="123" t="s">
        <v>7561</v>
      </c>
      <c r="E149" s="123" t="s">
        <v>7753</v>
      </c>
    </row>
    <row r="150" spans="1:5">
      <c r="A150" s="132" t="s">
        <v>255</v>
      </c>
      <c r="B150" s="123" t="s">
        <v>7562</v>
      </c>
      <c r="C150" s="123" t="s">
        <v>7562</v>
      </c>
      <c r="E150" s="123" t="s">
        <v>7754</v>
      </c>
    </row>
    <row r="151" spans="1:5">
      <c r="A151" s="132" t="s">
        <v>255</v>
      </c>
      <c r="B151" s="123" t="s">
        <v>7563</v>
      </c>
      <c r="C151" s="123" t="s">
        <v>7563</v>
      </c>
      <c r="E151" s="123" t="s">
        <v>7755</v>
      </c>
    </row>
    <row r="152" spans="1:5">
      <c r="A152" s="132" t="s">
        <v>255</v>
      </c>
      <c r="B152" s="123" t="s">
        <v>7564</v>
      </c>
      <c r="C152" s="123" t="s">
        <v>7564</v>
      </c>
      <c r="E152" s="123" t="s">
        <v>7756</v>
      </c>
    </row>
    <row r="153" spans="1:5">
      <c r="A153" s="132" t="s">
        <v>255</v>
      </c>
      <c r="B153" s="123" t="s">
        <v>7565</v>
      </c>
      <c r="C153" s="123" t="s">
        <v>7565</v>
      </c>
      <c r="E153" s="123" t="s">
        <v>7757</v>
      </c>
    </row>
    <row r="154" spans="1:5">
      <c r="A154" s="132" t="s">
        <v>255</v>
      </c>
      <c r="B154" s="123" t="s">
        <v>7566</v>
      </c>
      <c r="C154" s="123" t="s">
        <v>7566</v>
      </c>
      <c r="E154" s="123" t="s">
        <v>7758</v>
      </c>
    </row>
    <row r="155" spans="1:5">
      <c r="A155" s="132" t="s">
        <v>255</v>
      </c>
      <c r="B155" s="123" t="s">
        <v>7452</v>
      </c>
      <c r="C155" s="123" t="s">
        <v>7452</v>
      </c>
      <c r="E155" s="123" t="s">
        <v>7759</v>
      </c>
    </row>
    <row r="156" spans="1:5">
      <c r="A156" s="132" t="s">
        <v>255</v>
      </c>
      <c r="B156" s="123" t="s">
        <v>7567</v>
      </c>
      <c r="C156" s="123" t="s">
        <v>7567</v>
      </c>
      <c r="E156" s="123" t="s">
        <v>7760</v>
      </c>
    </row>
    <row r="157" spans="1:5">
      <c r="A157" s="132" t="s">
        <v>255</v>
      </c>
      <c r="B157" s="123" t="s">
        <v>7568</v>
      </c>
      <c r="C157" s="123" t="s">
        <v>7568</v>
      </c>
      <c r="E157" s="123" t="s">
        <v>7761</v>
      </c>
    </row>
    <row r="158" spans="1:5">
      <c r="A158" s="132" t="s">
        <v>255</v>
      </c>
      <c r="B158" s="123" t="s">
        <v>7839</v>
      </c>
      <c r="C158" s="123" t="s">
        <v>7839</v>
      </c>
      <c r="E158" s="123" t="s">
        <v>7762</v>
      </c>
    </row>
    <row r="159" spans="1:5">
      <c r="A159" s="132" t="s">
        <v>255</v>
      </c>
      <c r="B159" s="123" t="s">
        <v>7840</v>
      </c>
      <c r="C159" s="123" t="s">
        <v>7840</v>
      </c>
      <c r="E159" s="123" t="s">
        <v>7763</v>
      </c>
    </row>
    <row r="160" spans="1:5">
      <c r="A160" s="132" t="s">
        <v>255</v>
      </c>
      <c r="B160" s="123" t="s">
        <v>7841</v>
      </c>
      <c r="C160" s="123" t="s">
        <v>7841</v>
      </c>
      <c r="E160" s="123" t="s">
        <v>7764</v>
      </c>
    </row>
    <row r="161" spans="1:5">
      <c r="A161" s="132" t="s">
        <v>255</v>
      </c>
      <c r="B161" s="123" t="s">
        <v>7842</v>
      </c>
      <c r="C161" s="123" t="s">
        <v>7842</v>
      </c>
      <c r="E161" s="123" t="s">
        <v>7765</v>
      </c>
    </row>
    <row r="162" spans="1:5">
      <c r="A162" s="132" t="s">
        <v>255</v>
      </c>
      <c r="B162" s="123" t="s">
        <v>7843</v>
      </c>
      <c r="C162" s="123" t="s">
        <v>7843</v>
      </c>
      <c r="E162" s="123" t="s">
        <v>7766</v>
      </c>
    </row>
    <row r="163" spans="1:5">
      <c r="A163" s="132" t="s">
        <v>255</v>
      </c>
      <c r="B163" s="123" t="s">
        <v>7569</v>
      </c>
      <c r="C163" s="123" t="s">
        <v>7569</v>
      </c>
      <c r="E163" s="123" t="s">
        <v>7767</v>
      </c>
    </row>
    <row r="164" spans="1:5">
      <c r="A164" s="132" t="s">
        <v>255</v>
      </c>
      <c r="B164" s="123" t="s">
        <v>7844</v>
      </c>
      <c r="C164" s="123" t="s">
        <v>7844</v>
      </c>
      <c r="E164" s="123" t="s">
        <v>7768</v>
      </c>
    </row>
    <row r="165" spans="1:5">
      <c r="A165" s="132" t="s">
        <v>255</v>
      </c>
      <c r="B165" s="123" t="s">
        <v>7845</v>
      </c>
      <c r="C165" s="123" t="s">
        <v>7845</v>
      </c>
      <c r="E165" s="123" t="s">
        <v>7769</v>
      </c>
    </row>
    <row r="166" spans="1:5">
      <c r="A166" s="132" t="s">
        <v>255</v>
      </c>
      <c r="B166" s="123" t="s">
        <v>7846</v>
      </c>
      <c r="C166" s="123" t="s">
        <v>7846</v>
      </c>
      <c r="E166" s="123" t="s">
        <v>7770</v>
      </c>
    </row>
    <row r="167" spans="1:5">
      <c r="A167" s="132" t="s">
        <v>255</v>
      </c>
      <c r="B167" s="123" t="s">
        <v>7847</v>
      </c>
      <c r="C167" s="123" t="s">
        <v>7847</v>
      </c>
      <c r="E167" s="123" t="s">
        <v>7771</v>
      </c>
    </row>
    <row r="168" spans="1:5">
      <c r="A168" s="132" t="s">
        <v>255</v>
      </c>
      <c r="B168" s="123" t="s">
        <v>7570</v>
      </c>
      <c r="C168" s="123" t="s">
        <v>7570</v>
      </c>
      <c r="E168" s="123" t="s">
        <v>7772</v>
      </c>
    </row>
    <row r="169" spans="1:5">
      <c r="A169" s="132" t="s">
        <v>255</v>
      </c>
      <c r="B169" s="123" t="s">
        <v>7571</v>
      </c>
      <c r="C169" s="123" t="s">
        <v>7571</v>
      </c>
      <c r="E169" s="123" t="s">
        <v>7773</v>
      </c>
    </row>
    <row r="170" spans="1:5">
      <c r="A170" s="132" t="s">
        <v>255</v>
      </c>
      <c r="B170" s="123" t="s">
        <v>7572</v>
      </c>
      <c r="C170" s="123" t="s">
        <v>7572</v>
      </c>
      <c r="E170" s="123" t="s">
        <v>7774</v>
      </c>
    </row>
    <row r="171" spans="1:5">
      <c r="A171" s="132" t="s">
        <v>255</v>
      </c>
      <c r="B171" s="123" t="s">
        <v>7573</v>
      </c>
      <c r="C171" s="123" t="s">
        <v>7573</v>
      </c>
      <c r="E171" s="123" t="s">
        <v>7775</v>
      </c>
    </row>
    <row r="172" spans="1:5">
      <c r="A172" s="132" t="s">
        <v>255</v>
      </c>
      <c r="B172" s="123" t="s">
        <v>7574</v>
      </c>
      <c r="C172" s="123" t="s">
        <v>7574</v>
      </c>
      <c r="E172" s="123" t="s">
        <v>7776</v>
      </c>
    </row>
    <row r="173" spans="1:5">
      <c r="A173" s="132" t="s">
        <v>255</v>
      </c>
      <c r="B173" s="123" t="s">
        <v>7575</v>
      </c>
      <c r="C173" s="123" t="s">
        <v>7575</v>
      </c>
      <c r="E173" s="123" t="s">
        <v>7777</v>
      </c>
    </row>
    <row r="174" spans="1:5">
      <c r="A174" s="132" t="s">
        <v>255</v>
      </c>
      <c r="B174" s="123" t="s">
        <v>7576</v>
      </c>
      <c r="C174" s="123" t="s">
        <v>7576</v>
      </c>
      <c r="E174" s="123" t="s">
        <v>7778</v>
      </c>
    </row>
    <row r="175" spans="1:5">
      <c r="A175" s="132" t="s">
        <v>255</v>
      </c>
      <c r="B175" s="123" t="s">
        <v>7577</v>
      </c>
      <c r="C175" s="123" t="s">
        <v>7577</v>
      </c>
      <c r="E175" s="123" t="s">
        <v>7779</v>
      </c>
    </row>
    <row r="176" spans="1:5">
      <c r="A176" s="132" t="s">
        <v>255</v>
      </c>
      <c r="B176" s="123" t="s">
        <v>7578</v>
      </c>
      <c r="C176" s="123" t="s">
        <v>7578</v>
      </c>
      <c r="E176" s="123" t="s">
        <v>7780</v>
      </c>
    </row>
    <row r="177" spans="1:5">
      <c r="A177" s="132" t="s">
        <v>255</v>
      </c>
      <c r="B177" s="123" t="s">
        <v>7579</v>
      </c>
      <c r="C177" s="123" t="s">
        <v>7579</v>
      </c>
      <c r="E177" s="123" t="s">
        <v>7781</v>
      </c>
    </row>
    <row r="178" spans="1:5">
      <c r="A178" s="132" t="s">
        <v>255</v>
      </c>
      <c r="B178" s="123" t="s">
        <v>7580</v>
      </c>
      <c r="C178" s="123" t="s">
        <v>7580</v>
      </c>
      <c r="E178" s="123" t="s">
        <v>7782</v>
      </c>
    </row>
    <row r="179" spans="1:5">
      <c r="A179" s="132" t="s">
        <v>255</v>
      </c>
      <c r="B179" s="123" t="s">
        <v>7581</v>
      </c>
      <c r="C179" s="123" t="s">
        <v>7581</v>
      </c>
      <c r="E179" s="123" t="s">
        <v>7783</v>
      </c>
    </row>
    <row r="180" spans="1:5">
      <c r="A180" s="132" t="s">
        <v>255</v>
      </c>
      <c r="B180" s="123" t="s">
        <v>7582</v>
      </c>
      <c r="C180" s="123" t="s">
        <v>7582</v>
      </c>
      <c r="E180" s="123" t="s">
        <v>7784</v>
      </c>
    </row>
    <row r="181" spans="1:5">
      <c r="A181" s="132" t="s">
        <v>255</v>
      </c>
      <c r="B181" s="123" t="s">
        <v>7583</v>
      </c>
      <c r="C181" s="123" t="s">
        <v>7583</v>
      </c>
      <c r="E181" s="123" t="s">
        <v>7785</v>
      </c>
    </row>
    <row r="182" spans="1:5">
      <c r="A182" s="132" t="s">
        <v>255</v>
      </c>
      <c r="B182" s="123" t="s">
        <v>7584</v>
      </c>
      <c r="C182" s="123" t="s">
        <v>7584</v>
      </c>
      <c r="E182" s="123" t="s">
        <v>7786</v>
      </c>
    </row>
    <row r="183" spans="1:5">
      <c r="A183" s="132" t="s">
        <v>255</v>
      </c>
      <c r="B183" s="123" t="s">
        <v>7585</v>
      </c>
      <c r="C183" s="123" t="s">
        <v>7585</v>
      </c>
      <c r="E183" s="123" t="s">
        <v>7787</v>
      </c>
    </row>
    <row r="184" spans="1:5">
      <c r="A184" s="132" t="s">
        <v>255</v>
      </c>
      <c r="B184" s="123" t="s">
        <v>7586</v>
      </c>
      <c r="C184" s="123" t="s">
        <v>7586</v>
      </c>
      <c r="E184" s="123" t="s">
        <v>7788</v>
      </c>
    </row>
    <row r="185" spans="1:5">
      <c r="A185" s="132" t="s">
        <v>255</v>
      </c>
      <c r="B185" s="123" t="s">
        <v>7587</v>
      </c>
      <c r="C185" s="123" t="s">
        <v>7587</v>
      </c>
      <c r="E185" s="123" t="s">
        <v>7789</v>
      </c>
    </row>
    <row r="186" spans="1:5">
      <c r="A186" s="132" t="s">
        <v>255</v>
      </c>
      <c r="B186" s="123" t="s">
        <v>7588</v>
      </c>
      <c r="C186" s="123" t="s">
        <v>7588</v>
      </c>
      <c r="E186" s="123" t="s">
        <v>7790</v>
      </c>
    </row>
    <row r="187" spans="1:5">
      <c r="A187" s="132" t="s">
        <v>255</v>
      </c>
      <c r="B187" s="123" t="s">
        <v>7589</v>
      </c>
      <c r="C187" s="123" t="s">
        <v>7589</v>
      </c>
      <c r="E187" s="123" t="s">
        <v>7791</v>
      </c>
    </row>
    <row r="188" spans="1:5">
      <c r="A188" s="132" t="s">
        <v>255</v>
      </c>
      <c r="B188" s="123" t="s">
        <v>7590</v>
      </c>
      <c r="C188" s="123" t="s">
        <v>7590</v>
      </c>
      <c r="E188" s="123" t="s">
        <v>7792</v>
      </c>
    </row>
    <row r="189" spans="1:5">
      <c r="A189" s="132" t="s">
        <v>255</v>
      </c>
      <c r="B189" s="123" t="s">
        <v>7591</v>
      </c>
      <c r="C189" s="123" t="s">
        <v>7591</v>
      </c>
      <c r="E189" s="123" t="s">
        <v>7793</v>
      </c>
    </row>
    <row r="190" spans="1:5">
      <c r="A190" s="132" t="s">
        <v>255</v>
      </c>
      <c r="B190" s="123" t="s">
        <v>7592</v>
      </c>
      <c r="C190" s="123" t="s">
        <v>7592</v>
      </c>
      <c r="E190" s="123" t="s">
        <v>7794</v>
      </c>
    </row>
    <row r="191" spans="1:5">
      <c r="A191" s="132" t="s">
        <v>255</v>
      </c>
      <c r="B191" s="123" t="s">
        <v>7593</v>
      </c>
      <c r="C191" s="123" t="s">
        <v>7593</v>
      </c>
      <c r="E191" s="123" t="s">
        <v>7795</v>
      </c>
    </row>
    <row r="192" spans="1:5">
      <c r="A192" s="132" t="s">
        <v>255</v>
      </c>
      <c r="B192" s="123" t="s">
        <v>7594</v>
      </c>
      <c r="C192" s="123" t="s">
        <v>7594</v>
      </c>
      <c r="E192" s="123" t="s">
        <v>7796</v>
      </c>
    </row>
    <row r="193" spans="1:5">
      <c r="A193" s="132" t="s">
        <v>255</v>
      </c>
      <c r="B193" s="123" t="s">
        <v>7595</v>
      </c>
      <c r="C193" s="123" t="s">
        <v>7595</v>
      </c>
      <c r="E193" s="123" t="s">
        <v>7797</v>
      </c>
    </row>
    <row r="194" spans="1:5">
      <c r="A194" s="132" t="s">
        <v>255</v>
      </c>
      <c r="B194" s="123" t="s">
        <v>7596</v>
      </c>
      <c r="C194" s="123" t="s">
        <v>7596</v>
      </c>
      <c r="E194" s="123" t="s">
        <v>7798</v>
      </c>
    </row>
    <row r="195" spans="1:5">
      <c r="A195" s="132" t="s">
        <v>255</v>
      </c>
      <c r="B195" s="123" t="s">
        <v>7597</v>
      </c>
      <c r="C195" s="123" t="s">
        <v>7597</v>
      </c>
      <c r="E195" s="123" t="s">
        <v>7799</v>
      </c>
    </row>
    <row r="196" spans="1:5">
      <c r="A196" s="132" t="s">
        <v>255</v>
      </c>
      <c r="B196" s="123" t="s">
        <v>7598</v>
      </c>
      <c r="C196" s="123" t="s">
        <v>7598</v>
      </c>
      <c r="E196" s="123" t="s">
        <v>7800</v>
      </c>
    </row>
    <row r="197" spans="1:5">
      <c r="A197" s="132" t="s">
        <v>255</v>
      </c>
      <c r="B197" s="123" t="s">
        <v>7599</v>
      </c>
      <c r="C197" s="123" t="s">
        <v>7599</v>
      </c>
      <c r="E197" s="123" t="s">
        <v>7801</v>
      </c>
    </row>
    <row r="198" spans="1:5">
      <c r="A198" s="132" t="s">
        <v>255</v>
      </c>
      <c r="B198" s="123" t="s">
        <v>7600</v>
      </c>
      <c r="C198" s="123" t="s">
        <v>7600</v>
      </c>
      <c r="E198" s="123" t="s">
        <v>7802</v>
      </c>
    </row>
    <row r="199" spans="1:5">
      <c r="A199" s="132" t="s">
        <v>255</v>
      </c>
      <c r="B199" s="123" t="s">
        <v>7877</v>
      </c>
      <c r="C199" s="123" t="s">
        <v>7848</v>
      </c>
      <c r="E199" s="123" t="s">
        <v>7803</v>
      </c>
    </row>
    <row r="200" spans="1:5">
      <c r="A200" s="132" t="s">
        <v>255</v>
      </c>
      <c r="B200" s="123" t="s">
        <v>7878</v>
      </c>
      <c r="C200" s="123" t="s">
        <v>7849</v>
      </c>
      <c r="E200" s="123" t="s">
        <v>7804</v>
      </c>
    </row>
    <row r="201" spans="1:5">
      <c r="A201" s="132" t="s">
        <v>255</v>
      </c>
      <c r="B201" s="123" t="s">
        <v>7879</v>
      </c>
      <c r="C201" s="123" t="s">
        <v>7850</v>
      </c>
      <c r="E201" s="123" t="s">
        <v>7805</v>
      </c>
    </row>
    <row r="202" spans="1:5">
      <c r="A202" s="132" t="s">
        <v>255</v>
      </c>
      <c r="B202" s="123" t="s">
        <v>7880</v>
      </c>
      <c r="C202" s="123" t="s">
        <v>7851</v>
      </c>
      <c r="E202" s="123" t="s">
        <v>7806</v>
      </c>
    </row>
    <row r="203" spans="1:5">
      <c r="A203" s="132" t="s">
        <v>255</v>
      </c>
      <c r="B203" s="123" t="s">
        <v>7601</v>
      </c>
      <c r="C203" s="123" t="s">
        <v>7601</v>
      </c>
      <c r="E203" s="123" t="s">
        <v>7807</v>
      </c>
    </row>
    <row r="204" spans="1:5">
      <c r="A204" s="132" t="s">
        <v>255</v>
      </c>
      <c r="B204" s="123" t="s">
        <v>7602</v>
      </c>
      <c r="C204" s="123" t="s">
        <v>7602</v>
      </c>
      <c r="E204" s="123" t="s">
        <v>7808</v>
      </c>
    </row>
    <row r="205" spans="1:5">
      <c r="A205" s="132" t="s">
        <v>255</v>
      </c>
      <c r="B205" s="123" t="s">
        <v>7603</v>
      </c>
      <c r="C205" s="123" t="s">
        <v>7603</v>
      </c>
      <c r="E205" s="123" t="s">
        <v>7809</v>
      </c>
    </row>
    <row r="206" spans="1:5">
      <c r="A206" s="132" t="s">
        <v>255</v>
      </c>
      <c r="B206" s="123" t="s">
        <v>7604</v>
      </c>
      <c r="C206" s="123" t="s">
        <v>7604</v>
      </c>
      <c r="E206" s="123" t="s">
        <v>7810</v>
      </c>
    </row>
    <row r="207" spans="1:5">
      <c r="A207" s="132" t="s">
        <v>255</v>
      </c>
      <c r="B207" s="123" t="s">
        <v>7605</v>
      </c>
      <c r="C207" s="123" t="s">
        <v>7605</v>
      </c>
      <c r="E207" s="123" t="s">
        <v>7811</v>
      </c>
    </row>
    <row r="208" spans="1:5">
      <c r="A208" s="132" t="s">
        <v>255</v>
      </c>
      <c r="B208" s="123" t="s">
        <v>7852</v>
      </c>
      <c r="C208" s="123" t="s">
        <v>7852</v>
      </c>
      <c r="E208" s="123" t="s">
        <v>7894</v>
      </c>
    </row>
    <row r="209" spans="1:5">
      <c r="A209" s="132" t="s">
        <v>255</v>
      </c>
      <c r="B209" s="123" t="s">
        <v>8362</v>
      </c>
      <c r="C209" s="123" t="s">
        <v>8362</v>
      </c>
      <c r="E209" s="123" t="s">
        <v>7895</v>
      </c>
    </row>
    <row r="210" spans="1:5">
      <c r="E210" s="125"/>
    </row>
    <row r="211" spans="1:5">
      <c r="E211" s="125"/>
    </row>
    <row r="212" spans="1:5">
      <c r="E212" s="125"/>
    </row>
    <row r="213" spans="1:5">
      <c r="E213" s="125"/>
    </row>
  </sheetData>
  <sheetProtection selectLockedCells="1" selectUnlockedCells="1"/>
  <dataValidations count="2">
    <dataValidation type="list" allowBlank="1" showErrorMessage="1" sqref="D2:D17">
      <formula1>HoldingInstitution</formula1>
      <formula2>0</formula2>
    </dataValidation>
    <dataValidation type="list" allowBlank="1" showErrorMessage="1" sqref="A2:A209">
      <formula1>TaxonScientificName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J6"/>
  <sheetViews>
    <sheetView zoomScale="89" zoomScaleNormal="89" workbookViewId="0">
      <selection activeCell="H11" sqref="H11"/>
    </sheetView>
  </sheetViews>
  <sheetFormatPr baseColWidth="10" defaultColWidth="10.7109375" defaultRowHeight="12.75"/>
  <cols>
    <col min="1" max="1" width="7.42578125" style="123" customWidth="1"/>
    <col min="2" max="2" width="11.7109375" style="123" customWidth="1"/>
    <col min="3" max="3" width="12.85546875" style="123" bestFit="1" customWidth="1"/>
    <col min="4" max="4" width="23.5703125" style="112" bestFit="1" customWidth="1"/>
    <col min="9" max="9" width="58.42578125" bestFit="1" customWidth="1"/>
  </cols>
  <sheetData>
    <row r="1" spans="1:10">
      <c r="A1" s="114" t="s">
        <v>163</v>
      </c>
      <c r="B1" s="114" t="s">
        <v>164</v>
      </c>
      <c r="C1" s="114" t="s">
        <v>165</v>
      </c>
      <c r="D1" s="115" t="s">
        <v>166</v>
      </c>
      <c r="G1" s="195"/>
      <c r="H1" s="195"/>
      <c r="I1" s="182"/>
      <c r="J1" s="195"/>
    </row>
    <row r="2" spans="1:10">
      <c r="A2" s="125" t="s">
        <v>264</v>
      </c>
      <c r="B2" s="125" t="s">
        <v>265</v>
      </c>
      <c r="C2" s="125" t="s">
        <v>266</v>
      </c>
      <c r="D2" s="112" t="s">
        <v>7853</v>
      </c>
      <c r="J2" s="196"/>
    </row>
    <row r="3" spans="1:10">
      <c r="A3" s="123" t="s">
        <v>264</v>
      </c>
      <c r="B3" s="123" t="s">
        <v>267</v>
      </c>
      <c r="C3" s="123" t="s">
        <v>268</v>
      </c>
      <c r="D3" s="112" t="s">
        <v>7854</v>
      </c>
      <c r="J3" s="196"/>
    </row>
    <row r="4" spans="1:10">
      <c r="J4" s="196"/>
    </row>
    <row r="5" spans="1:10">
      <c r="G5" s="140"/>
      <c r="H5" s="140"/>
      <c r="J5" s="196"/>
    </row>
    <row r="6" spans="1:10">
      <c r="G6" s="195"/>
      <c r="H6" s="195"/>
      <c r="I6" s="182"/>
      <c r="J6" s="195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D4"/>
  <sheetViews>
    <sheetView zoomScale="95" zoomScaleNormal="95" workbookViewId="0">
      <selection activeCell="B5" sqref="B5"/>
    </sheetView>
  </sheetViews>
  <sheetFormatPr baseColWidth="10" defaultColWidth="12.85546875" defaultRowHeight="12.75"/>
  <cols>
    <col min="1" max="1" width="13.28515625" style="123" customWidth="1"/>
    <col min="2" max="2" width="13.7109375" style="112" customWidth="1"/>
    <col min="3" max="3" width="12.42578125" style="112" customWidth="1"/>
    <col min="4" max="4" width="13" style="112" customWidth="1"/>
  </cols>
  <sheetData>
    <row r="1" spans="1:4">
      <c r="A1" s="114" t="s">
        <v>178</v>
      </c>
      <c r="B1" s="115" t="s">
        <v>179</v>
      </c>
      <c r="C1" s="115" t="s">
        <v>29</v>
      </c>
      <c r="D1" s="115" t="s">
        <v>180</v>
      </c>
    </row>
    <row r="2" spans="1:4">
      <c r="A2" s="125" t="s">
        <v>269</v>
      </c>
      <c r="B2" s="112" t="s">
        <v>269</v>
      </c>
    </row>
    <row r="3" spans="1:4">
      <c r="A3" s="134" t="s">
        <v>270</v>
      </c>
      <c r="B3" s="135" t="s">
        <v>271</v>
      </c>
      <c r="D3" s="112" t="s">
        <v>269</v>
      </c>
    </row>
    <row r="4" spans="1:4">
      <c r="A4" s="123" t="s">
        <v>8144</v>
      </c>
      <c r="B4" s="112" t="s">
        <v>8145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M881"/>
  <sheetViews>
    <sheetView zoomScale="95" zoomScaleNormal="95" workbookViewId="0">
      <pane xSplit="8" ySplit="1" topLeftCell="BR2" activePane="bottomRight" state="frozen"/>
      <selection pane="topRight" activeCell="I1" sqref="I1"/>
      <selection pane="bottomLeft" activeCell="A2" sqref="A2"/>
      <selection pane="bottomRight" activeCell="B1" sqref="B1:B1048576"/>
    </sheetView>
  </sheetViews>
  <sheetFormatPr baseColWidth="10" defaultColWidth="11.28515625" defaultRowHeight="12.75"/>
  <cols>
    <col min="1" max="1" width="12.140625" style="154" bestFit="1" customWidth="1"/>
    <col min="2" max="2" width="8.140625" bestFit="1" customWidth="1"/>
    <col min="3" max="3" width="5.28515625" bestFit="1" customWidth="1"/>
    <col min="4" max="4" width="9" bestFit="1" customWidth="1"/>
    <col min="5" max="5" width="7.140625" style="113" bestFit="1" customWidth="1"/>
    <col min="6" max="6" width="7" style="113" bestFit="1" customWidth="1"/>
    <col min="7" max="7" width="5.42578125" style="113" bestFit="1" customWidth="1"/>
    <col min="8" max="8" width="5.28515625" style="113" bestFit="1" customWidth="1"/>
    <col min="9" max="9" width="18.140625" style="112" bestFit="1" customWidth="1"/>
    <col min="10" max="10" width="17.5703125" style="112" bestFit="1" customWidth="1"/>
    <col min="11" max="11" width="17.28515625" style="112" bestFit="1" customWidth="1"/>
    <col min="12" max="12" width="16.7109375" style="179" bestFit="1" customWidth="1"/>
    <col min="13" max="13" width="20.85546875" style="136" bestFit="1" customWidth="1"/>
    <col min="14" max="14" width="20.28515625" style="136" bestFit="1" customWidth="1"/>
    <col min="15" max="15" width="12.140625" style="136" bestFit="1" customWidth="1"/>
    <col min="16" max="16" width="7.7109375" style="153" bestFit="1" customWidth="1"/>
    <col min="17" max="17" width="9.5703125" style="153" bestFit="1" customWidth="1"/>
    <col min="18" max="18" width="9" style="153" bestFit="1" customWidth="1"/>
    <col min="19" max="19" width="9.28515625" style="153" bestFit="1" customWidth="1"/>
    <col min="20" max="20" width="8.7109375" style="153" customWidth="1"/>
    <col min="21" max="21" width="16.85546875" style="136" bestFit="1" customWidth="1"/>
    <col min="22" max="22" width="16.28515625" style="136" bestFit="1" customWidth="1"/>
    <col min="23" max="23" width="16" style="153" bestFit="1" customWidth="1"/>
    <col min="24" max="24" width="15.28515625" style="153" bestFit="1" customWidth="1"/>
    <col min="25" max="25" width="9.7109375" style="136" bestFit="1" customWidth="1"/>
    <col min="26" max="26" width="9.140625" style="136" bestFit="1" customWidth="1"/>
    <col min="27" max="27" width="12.28515625" style="153" bestFit="1" customWidth="1"/>
    <col min="28" max="28" width="8.5703125" style="153" bestFit="1" customWidth="1"/>
    <col min="29" max="29" width="10" style="136" bestFit="1" customWidth="1"/>
    <col min="30" max="30" width="8.140625" style="136" bestFit="1" customWidth="1"/>
    <col min="31" max="31" width="15.140625" style="153" bestFit="1" customWidth="1"/>
    <col min="32" max="32" width="14.42578125" style="153" bestFit="1" customWidth="1"/>
    <col min="33" max="33" width="16.7109375" style="136" bestFit="1" customWidth="1"/>
    <col min="34" max="34" width="10.28515625" style="136" bestFit="1" customWidth="1"/>
    <col min="35" max="35" width="17" style="153" bestFit="1" customWidth="1"/>
    <col min="36" max="36" width="16.42578125" style="153" bestFit="1" customWidth="1"/>
    <col min="37" max="37" width="18.85546875" style="136" bestFit="1" customWidth="1"/>
    <col min="38" max="38" width="18.140625" style="136" bestFit="1" customWidth="1"/>
    <col min="39" max="39" width="18.5703125" style="153" bestFit="1" customWidth="1"/>
    <col min="40" max="40" width="18" style="153" bestFit="1" customWidth="1"/>
    <col min="41" max="41" width="18.5703125" style="136" bestFit="1" customWidth="1"/>
    <col min="42" max="42" width="18" style="136" bestFit="1" customWidth="1"/>
    <col min="43" max="43" width="20.28515625" style="153" bestFit="1" customWidth="1"/>
    <col min="44" max="44" width="19.7109375" style="153" bestFit="1" customWidth="1"/>
    <col min="45" max="45" width="24.5703125" style="136" bestFit="1" customWidth="1"/>
    <col min="46" max="46" width="23.7109375" style="136" bestFit="1" customWidth="1"/>
    <col min="47" max="47" width="19" style="153" bestFit="1" customWidth="1"/>
    <col min="48" max="48" width="18.28515625" style="153" bestFit="1" customWidth="1"/>
    <col min="49" max="49" width="19" style="136" bestFit="1" customWidth="1"/>
    <col min="50" max="50" width="18.28515625" style="136" bestFit="1" customWidth="1"/>
    <col min="51" max="51" width="25" style="153" bestFit="1" customWidth="1"/>
    <col min="52" max="52" width="24.28515625" style="153" bestFit="1" customWidth="1"/>
    <col min="53" max="53" width="19" style="136" bestFit="1" customWidth="1"/>
    <col min="54" max="54" width="18.28515625" style="136" bestFit="1" customWidth="1"/>
    <col min="55" max="55" width="30.7109375" style="153" bestFit="1" customWidth="1"/>
    <col min="56" max="56" width="30" style="153" bestFit="1" customWidth="1"/>
    <col min="57" max="57" width="13.7109375" style="153" bestFit="1" customWidth="1"/>
    <col min="58" max="58" width="13.140625" style="153" bestFit="1" customWidth="1"/>
    <col min="59" max="59" width="13.7109375" style="153" bestFit="1" customWidth="1"/>
    <col min="60" max="60" width="13.140625" style="153" bestFit="1" customWidth="1"/>
    <col min="61" max="61" width="15.28515625" style="153" bestFit="1" customWidth="1"/>
    <col min="62" max="62" width="14.140625" style="153" bestFit="1" customWidth="1"/>
    <col min="63" max="63" width="14.85546875" style="153" bestFit="1" customWidth="1"/>
    <col min="64" max="64" width="14.140625" style="153" bestFit="1" customWidth="1"/>
    <col min="65" max="65" width="12.140625" style="136" bestFit="1" customWidth="1"/>
    <col min="66" max="66" width="11.5703125" style="136" bestFit="1" customWidth="1"/>
    <col min="67" max="67" width="15.140625" style="153" bestFit="1" customWidth="1"/>
    <col min="68" max="68" width="14.42578125" style="153" bestFit="1" customWidth="1"/>
    <col min="69" max="69" width="16.5703125" style="136" bestFit="1" customWidth="1"/>
    <col min="70" max="70" width="16" style="136" bestFit="1" customWidth="1"/>
    <col min="71" max="71" width="10.7109375" style="153" bestFit="1" customWidth="1"/>
    <col min="72" max="72" width="7.42578125" style="153" bestFit="1" customWidth="1"/>
    <col min="73" max="73" width="10.28515625" style="136" bestFit="1" customWidth="1"/>
    <col min="74" max="74" width="7.85546875" style="136" bestFit="1" customWidth="1"/>
    <col min="75" max="75" width="14.42578125" style="136" bestFit="1" customWidth="1"/>
    <col min="76" max="76" width="9.7109375" style="136" bestFit="1" customWidth="1"/>
    <col min="77" max="77" width="21.7109375" style="136" bestFit="1" customWidth="1"/>
    <col min="78" max="78" width="21" style="136" bestFit="1" customWidth="1"/>
    <col min="79" max="79" width="14.7109375" style="136" bestFit="1" customWidth="1"/>
    <col min="80" max="80" width="14" style="136" bestFit="1" customWidth="1"/>
    <col min="81" max="81" width="22.5703125" style="136" bestFit="1" customWidth="1"/>
    <col min="82" max="82" width="22" style="136" bestFit="1" customWidth="1"/>
    <col min="83" max="83" width="20.85546875" style="136" bestFit="1" customWidth="1"/>
    <col min="84" max="84" width="20.28515625" style="136" bestFit="1" customWidth="1"/>
    <col min="85" max="85" width="18.140625" style="136" bestFit="1" customWidth="1"/>
    <col min="86" max="86" width="17.5703125" style="136" bestFit="1" customWidth="1"/>
    <col min="87" max="87" width="7.140625" style="136" bestFit="1" customWidth="1"/>
    <col min="88" max="88" width="6.5703125" style="136" bestFit="1" customWidth="1"/>
    <col min="89" max="89" width="9.7109375" style="136" bestFit="1" customWidth="1"/>
    <col min="90" max="90" width="15.28515625" style="136" bestFit="1" customWidth="1"/>
    <col min="91" max="91" width="14.7109375" style="136" bestFit="1" customWidth="1"/>
    <col min="92" max="16384" width="11.28515625" style="137"/>
  </cols>
  <sheetData>
    <row r="1" spans="1:91" s="139" customFormat="1" ht="13.5" thickBot="1">
      <c r="A1" s="155" t="s">
        <v>150</v>
      </c>
      <c r="B1" s="115" t="s">
        <v>171</v>
      </c>
      <c r="C1" s="115" t="s">
        <v>187</v>
      </c>
      <c r="D1" s="115" t="s">
        <v>272</v>
      </c>
      <c r="E1" s="113" t="s">
        <v>21</v>
      </c>
      <c r="F1" s="113" t="s">
        <v>22</v>
      </c>
      <c r="G1" s="116" t="s">
        <v>192</v>
      </c>
      <c r="H1" s="116" t="s">
        <v>193</v>
      </c>
      <c r="I1" s="138" t="s">
        <v>8052</v>
      </c>
      <c r="J1" s="138" t="s">
        <v>8053</v>
      </c>
      <c r="K1" s="138" t="s">
        <v>8054</v>
      </c>
      <c r="L1" s="138" t="s">
        <v>8055</v>
      </c>
      <c r="M1" s="138" t="s">
        <v>8056</v>
      </c>
      <c r="N1" s="138" t="s">
        <v>8057</v>
      </c>
      <c r="O1" s="138" t="s">
        <v>8058</v>
      </c>
      <c r="P1" s="138" t="s">
        <v>8059</v>
      </c>
      <c r="Q1" s="138" t="s">
        <v>8060</v>
      </c>
      <c r="R1" s="138" t="s">
        <v>8061</v>
      </c>
      <c r="S1" s="138" t="s">
        <v>282</v>
      </c>
      <c r="T1" s="138" t="s">
        <v>283</v>
      </c>
      <c r="U1" s="138" t="s">
        <v>8062</v>
      </c>
      <c r="V1" s="138" t="s">
        <v>8063</v>
      </c>
      <c r="W1" s="138" t="s">
        <v>8064</v>
      </c>
      <c r="X1" s="138" t="s">
        <v>8065</v>
      </c>
      <c r="Y1" s="138" t="s">
        <v>280</v>
      </c>
      <c r="Z1" s="138" t="s">
        <v>281</v>
      </c>
      <c r="AA1" s="138" t="s">
        <v>276</v>
      </c>
      <c r="AB1" s="138" t="s">
        <v>277</v>
      </c>
      <c r="AC1" s="138" t="s">
        <v>273</v>
      </c>
      <c r="AD1" s="138" t="s">
        <v>8066</v>
      </c>
      <c r="AE1" s="138" t="s">
        <v>8067</v>
      </c>
      <c r="AF1" s="138" t="s">
        <v>8068</v>
      </c>
      <c r="AG1" s="138" t="s">
        <v>274</v>
      </c>
      <c r="AH1" s="138" t="s">
        <v>275</v>
      </c>
      <c r="AI1" s="138" t="s">
        <v>8069</v>
      </c>
      <c r="AJ1" s="138" t="s">
        <v>8070</v>
      </c>
      <c r="AK1" s="138" t="s">
        <v>8072</v>
      </c>
      <c r="AL1" s="138" t="s">
        <v>8071</v>
      </c>
      <c r="AM1" s="138" t="s">
        <v>8073</v>
      </c>
      <c r="AN1" s="138" t="s">
        <v>8074</v>
      </c>
      <c r="AO1" s="138" t="s">
        <v>8075</v>
      </c>
      <c r="AP1" s="138" t="s">
        <v>8076</v>
      </c>
      <c r="AQ1" s="138" t="s">
        <v>8077</v>
      </c>
      <c r="AR1" s="138" t="s">
        <v>8078</v>
      </c>
      <c r="AS1" s="138" t="s">
        <v>8079</v>
      </c>
      <c r="AT1" s="138" t="s">
        <v>8080</v>
      </c>
      <c r="AU1" s="138" t="s">
        <v>8081</v>
      </c>
      <c r="AV1" s="138" t="s">
        <v>8082</v>
      </c>
      <c r="AW1" s="138" t="s">
        <v>8083</v>
      </c>
      <c r="AX1" s="138" t="s">
        <v>8084</v>
      </c>
      <c r="AY1" s="138" t="s">
        <v>8085</v>
      </c>
      <c r="AZ1" s="138" t="s">
        <v>8086</v>
      </c>
      <c r="BA1" s="138" t="s">
        <v>8088</v>
      </c>
      <c r="BB1" s="138" t="s">
        <v>8087</v>
      </c>
      <c r="BC1" s="138" t="s">
        <v>8089</v>
      </c>
      <c r="BD1" s="138" t="s">
        <v>8090</v>
      </c>
      <c r="BE1" s="138" t="s">
        <v>8091</v>
      </c>
      <c r="BF1" s="138" t="s">
        <v>8092</v>
      </c>
      <c r="BG1" s="138" t="s">
        <v>8093</v>
      </c>
      <c r="BH1" s="138" t="s">
        <v>8094</v>
      </c>
      <c r="BI1" s="138" t="s">
        <v>8095</v>
      </c>
      <c r="BJ1" s="138" t="s">
        <v>8096</v>
      </c>
      <c r="BK1" s="138" t="s">
        <v>8097</v>
      </c>
      <c r="BL1" s="138" t="s">
        <v>8098</v>
      </c>
      <c r="BM1" s="138" t="s">
        <v>8099</v>
      </c>
      <c r="BN1" s="138" t="s">
        <v>8100</v>
      </c>
      <c r="BO1" s="138" t="s">
        <v>8101</v>
      </c>
      <c r="BP1" s="138" t="s">
        <v>8102</v>
      </c>
      <c r="BQ1" s="138" t="s">
        <v>8103</v>
      </c>
      <c r="BR1" s="138" t="s">
        <v>8104</v>
      </c>
      <c r="BS1" s="138" t="s">
        <v>278</v>
      </c>
      <c r="BT1" s="138" t="s">
        <v>279</v>
      </c>
      <c r="BU1" s="138" t="s">
        <v>8105</v>
      </c>
      <c r="BV1" s="138" t="s">
        <v>8106</v>
      </c>
      <c r="BW1" s="138" t="s">
        <v>8107</v>
      </c>
      <c r="BX1" s="138" t="s">
        <v>8108</v>
      </c>
      <c r="BY1" s="138" t="s">
        <v>8109</v>
      </c>
      <c r="BZ1" s="138" t="s">
        <v>8110</v>
      </c>
      <c r="CA1" s="138" t="s">
        <v>8111</v>
      </c>
      <c r="CB1" s="138" t="s">
        <v>8112</v>
      </c>
      <c r="CC1" s="138" t="s">
        <v>8113</v>
      </c>
      <c r="CD1" s="138" t="s">
        <v>8114</v>
      </c>
      <c r="CE1" s="138" t="s">
        <v>8115</v>
      </c>
      <c r="CF1" s="138" t="s">
        <v>8116</v>
      </c>
      <c r="CG1" s="138" t="s">
        <v>8117</v>
      </c>
      <c r="CH1" s="138" t="s">
        <v>8118</v>
      </c>
      <c r="CI1" s="138" t="s">
        <v>8035</v>
      </c>
      <c r="CJ1" s="138" t="s">
        <v>7857</v>
      </c>
      <c r="CK1" s="138" t="s">
        <v>8042</v>
      </c>
      <c r="CL1" s="138" t="s">
        <v>8119</v>
      </c>
      <c r="CM1" s="138" t="s">
        <v>8120</v>
      </c>
    </row>
    <row r="2" spans="1:91">
      <c r="A2" s="154" t="s">
        <v>7753</v>
      </c>
      <c r="B2" t="s">
        <v>8289</v>
      </c>
      <c r="C2">
        <v>2</v>
      </c>
      <c r="D2">
        <v>763</v>
      </c>
      <c r="E2" s="113">
        <v>63</v>
      </c>
      <c r="F2" s="113">
        <v>7</v>
      </c>
      <c r="I2">
        <v>29.5</v>
      </c>
      <c r="K2" s="320">
        <v>8</v>
      </c>
      <c r="L2" s="320"/>
      <c r="M2">
        <v>1.24</v>
      </c>
      <c r="N2" s="320"/>
      <c r="O2"/>
      <c r="P2"/>
      <c r="Q2"/>
      <c r="S2" s="320">
        <v>4.5321221636880002</v>
      </c>
      <c r="T2" s="320"/>
      <c r="U2">
        <v>10.8</v>
      </c>
      <c r="V2"/>
      <c r="W2"/>
      <c r="X2"/>
      <c r="Y2" s="321">
        <v>2.4677408000000001</v>
      </c>
      <c r="Z2" s="320"/>
      <c r="AA2" s="322">
        <v>27796.610169491527</v>
      </c>
      <c r="AB2" s="320"/>
      <c r="AC2" s="321">
        <v>10.667330800000002</v>
      </c>
      <c r="AD2" s="320"/>
      <c r="AE2" s="320">
        <v>11.48</v>
      </c>
      <c r="AF2" s="320"/>
      <c r="AG2">
        <v>4.13</v>
      </c>
      <c r="AH2"/>
      <c r="AI2">
        <v>115</v>
      </c>
      <c r="AJ2"/>
      <c r="AK2"/>
      <c r="AL2"/>
      <c r="AM2"/>
      <c r="AN2"/>
      <c r="AO2">
        <v>90</v>
      </c>
      <c r="AP2"/>
      <c r="AQ2" s="323"/>
      <c r="AR2" s="323"/>
      <c r="AS2">
        <v>118</v>
      </c>
      <c r="AT2"/>
      <c r="AU2"/>
      <c r="AV2"/>
      <c r="AW2"/>
      <c r="AX2"/>
      <c r="AY2"/>
      <c r="AZ2"/>
      <c r="BA2"/>
      <c r="BB2"/>
      <c r="BC2"/>
      <c r="BD2"/>
      <c r="BE2"/>
      <c r="BF2"/>
      <c r="BG2">
        <v>40.941000000000003</v>
      </c>
      <c r="BH2"/>
      <c r="BI2">
        <v>5.1662999999999997</v>
      </c>
      <c r="BJ2"/>
      <c r="BK2">
        <v>1.1114999999999999</v>
      </c>
      <c r="BL2"/>
      <c r="BM2">
        <v>15.9</v>
      </c>
      <c r="BN2"/>
      <c r="BO2"/>
      <c r="BP2"/>
      <c r="BQ2">
        <v>7.7523</v>
      </c>
      <c r="BR2"/>
      <c r="BS2">
        <v>42.485999999999997</v>
      </c>
      <c r="BT2"/>
      <c r="BU2">
        <v>22.227</v>
      </c>
      <c r="BV2"/>
      <c r="BW2" s="325">
        <v>7.18</v>
      </c>
      <c r="BX2"/>
      <c r="BY2">
        <v>5.4749999999999943</v>
      </c>
      <c r="BZ2"/>
      <c r="CA2"/>
      <c r="CC2">
        <v>9.02</v>
      </c>
      <c r="CD2"/>
      <c r="CE2"/>
      <c r="CF2"/>
      <c r="CG2"/>
      <c r="CH2"/>
      <c r="CI2"/>
      <c r="CJ2"/>
      <c r="CK2"/>
      <c r="CL2"/>
      <c r="CM2"/>
    </row>
    <row r="3" spans="1:91">
      <c r="A3" s="327" t="s">
        <v>7753</v>
      </c>
      <c r="B3" s="328" t="s">
        <v>8287</v>
      </c>
      <c r="C3" s="328">
        <v>1</v>
      </c>
      <c r="D3" s="328">
        <v>915</v>
      </c>
      <c r="E3" s="113">
        <v>15</v>
      </c>
      <c r="F3" s="113">
        <v>9</v>
      </c>
      <c r="G3" s="329"/>
      <c r="H3" s="329"/>
      <c r="I3" s="328">
        <v>29.5</v>
      </c>
      <c r="J3" s="330"/>
      <c r="K3" s="331">
        <v>6</v>
      </c>
      <c r="L3" s="331"/>
      <c r="M3" s="328">
        <v>0.88</v>
      </c>
      <c r="N3" s="331"/>
      <c r="O3" s="328"/>
      <c r="P3" s="328"/>
      <c r="Q3" s="328"/>
      <c r="R3" s="332"/>
      <c r="S3" s="331">
        <v>0</v>
      </c>
      <c r="T3" s="331"/>
      <c r="U3" s="328">
        <v>10.8</v>
      </c>
      <c r="V3" s="328"/>
      <c r="W3" s="328"/>
      <c r="X3" s="328"/>
      <c r="Y3" s="333">
        <v>1.5957568</v>
      </c>
      <c r="Z3" s="331"/>
      <c r="AA3" s="334">
        <v>22533.692722371965</v>
      </c>
      <c r="AB3" s="331"/>
      <c r="AC3" s="333">
        <v>7.8332363999999997</v>
      </c>
      <c r="AD3" s="331"/>
      <c r="AE3" s="331">
        <v>8.36</v>
      </c>
      <c r="AF3" s="331"/>
      <c r="AG3" s="328">
        <v>3.71</v>
      </c>
      <c r="AH3" s="328"/>
      <c r="AI3" s="328">
        <v>100</v>
      </c>
      <c r="AJ3" s="328"/>
      <c r="AK3" s="328"/>
      <c r="AL3" s="328"/>
      <c r="AM3" s="328"/>
      <c r="AN3" s="328"/>
      <c r="AO3" s="328">
        <v>90</v>
      </c>
      <c r="AP3" s="328"/>
      <c r="AQ3" s="335"/>
      <c r="AR3" s="335"/>
      <c r="AS3" s="328">
        <v>116</v>
      </c>
      <c r="AT3" s="328"/>
      <c r="AU3" s="328"/>
      <c r="AV3" s="328"/>
      <c r="AW3" s="328"/>
      <c r="AX3" s="328"/>
      <c r="AY3" s="328"/>
      <c r="AZ3" s="328"/>
      <c r="BA3" s="328"/>
      <c r="BB3" s="328"/>
      <c r="BC3" s="328"/>
      <c r="BD3" s="328"/>
      <c r="BE3" s="328"/>
      <c r="BF3" s="328"/>
      <c r="BG3" s="328"/>
      <c r="BH3" s="328"/>
      <c r="BI3" s="328"/>
      <c r="BJ3" s="328"/>
      <c r="BK3" s="328"/>
      <c r="BL3" s="328"/>
      <c r="BM3" s="328"/>
      <c r="BN3" s="328"/>
      <c r="BO3" s="328"/>
      <c r="BP3" s="328"/>
      <c r="BQ3" s="328"/>
      <c r="BR3" s="328"/>
      <c r="BS3" s="328"/>
      <c r="BT3" s="328"/>
      <c r="BU3" s="328"/>
      <c r="BV3" s="328"/>
      <c r="BW3" s="328" t="s">
        <v>8361</v>
      </c>
      <c r="BX3" s="339"/>
      <c r="BY3" s="328" t="s">
        <v>8237</v>
      </c>
      <c r="BZ3" s="328"/>
      <c r="CA3" s="328"/>
      <c r="CB3" s="337"/>
      <c r="CC3" s="328">
        <v>6.64</v>
      </c>
      <c r="CD3" s="328"/>
      <c r="CE3" s="328"/>
      <c r="CF3" s="328"/>
      <c r="CG3" s="328"/>
      <c r="CH3" s="328"/>
      <c r="CI3" s="328"/>
      <c r="CJ3" s="328"/>
      <c r="CK3" s="328" t="s">
        <v>8377</v>
      </c>
      <c r="CL3" s="328"/>
      <c r="CM3" s="328"/>
    </row>
    <row r="4" spans="1:91">
      <c r="A4" s="154" t="s">
        <v>7753</v>
      </c>
      <c r="B4" t="s">
        <v>8289</v>
      </c>
      <c r="C4">
        <v>1</v>
      </c>
      <c r="D4">
        <v>1037</v>
      </c>
      <c r="E4" s="113">
        <v>37</v>
      </c>
      <c r="F4" s="113">
        <v>10</v>
      </c>
      <c r="I4">
        <v>34</v>
      </c>
      <c r="K4" s="320">
        <v>9</v>
      </c>
      <c r="L4" s="320"/>
      <c r="M4">
        <v>2.37</v>
      </c>
      <c r="N4" s="320"/>
      <c r="O4"/>
      <c r="P4"/>
      <c r="Q4"/>
      <c r="S4" s="320" t="s">
        <v>8361</v>
      </c>
      <c r="T4" s="320"/>
      <c r="U4">
        <v>10.8</v>
      </c>
      <c r="V4"/>
      <c r="W4"/>
      <c r="X4"/>
      <c r="Y4" s="321">
        <v>0</v>
      </c>
      <c r="Z4" s="320"/>
      <c r="AA4" s="322">
        <v>63982.808022922625</v>
      </c>
      <c r="AB4" s="320"/>
      <c r="AC4" s="321" t="s">
        <v>8361</v>
      </c>
      <c r="AD4" s="320"/>
      <c r="AE4" s="320">
        <v>22.33</v>
      </c>
      <c r="AF4" s="320"/>
      <c r="AG4">
        <v>3.49</v>
      </c>
      <c r="AH4"/>
      <c r="AI4">
        <v>130</v>
      </c>
      <c r="AJ4"/>
      <c r="AK4"/>
      <c r="AL4"/>
      <c r="AM4"/>
      <c r="AN4"/>
      <c r="AO4">
        <v>79</v>
      </c>
      <c r="AP4"/>
      <c r="AQ4" s="323"/>
      <c r="AR4" s="323"/>
      <c r="AS4">
        <v>114</v>
      </c>
      <c r="AT4"/>
      <c r="AU4"/>
      <c r="AV4"/>
      <c r="AW4"/>
      <c r="AX4"/>
      <c r="AY4"/>
      <c r="AZ4"/>
      <c r="BA4"/>
      <c r="BB4"/>
      <c r="BC4"/>
      <c r="BD4"/>
      <c r="BE4"/>
      <c r="BF4"/>
      <c r="BG4">
        <v>48.165999999999997</v>
      </c>
      <c r="BH4"/>
      <c r="BI4">
        <v>4.5796999999999999</v>
      </c>
      <c r="BJ4"/>
      <c r="BK4">
        <v>0.79527999999999999</v>
      </c>
      <c r="BL4"/>
      <c r="BM4">
        <v>11.817</v>
      </c>
      <c r="BN4"/>
      <c r="BO4">
        <v>17.95</v>
      </c>
      <c r="BP4"/>
      <c r="BQ4">
        <v>8.6699000000000002</v>
      </c>
      <c r="BR4"/>
      <c r="BS4">
        <v>48.76</v>
      </c>
      <c r="BT4"/>
      <c r="BU4">
        <v>19.587</v>
      </c>
      <c r="BV4"/>
      <c r="BW4" s="325">
        <v>20.239999999999998</v>
      </c>
      <c r="BX4"/>
      <c r="BY4">
        <v>6.3559999999999945</v>
      </c>
      <c r="BZ4"/>
      <c r="CA4"/>
      <c r="CC4">
        <v>7.39</v>
      </c>
      <c r="CD4"/>
      <c r="CE4"/>
      <c r="CF4"/>
      <c r="CG4"/>
      <c r="CH4"/>
      <c r="CI4"/>
      <c r="CJ4"/>
      <c r="CK4"/>
      <c r="CL4"/>
      <c r="CM4"/>
    </row>
    <row r="5" spans="1:91">
      <c r="A5" s="154" t="s">
        <v>7753</v>
      </c>
      <c r="B5" t="s">
        <v>8287</v>
      </c>
      <c r="C5">
        <v>2</v>
      </c>
      <c r="D5">
        <v>1372</v>
      </c>
      <c r="E5" s="113">
        <v>72</v>
      </c>
      <c r="F5" s="113">
        <v>13</v>
      </c>
      <c r="I5">
        <v>32.999999999999993</v>
      </c>
      <c r="K5" s="320">
        <v>9</v>
      </c>
      <c r="L5" s="320"/>
      <c r="M5">
        <v>2.3199999999999998</v>
      </c>
      <c r="N5" s="320"/>
      <c r="O5"/>
      <c r="P5"/>
      <c r="Q5"/>
      <c r="S5" s="320">
        <v>10.570976389382999</v>
      </c>
      <c r="T5" s="320"/>
      <c r="U5">
        <v>10.8</v>
      </c>
      <c r="V5"/>
      <c r="W5"/>
      <c r="X5"/>
      <c r="Y5" s="321">
        <v>3.9874580999999996</v>
      </c>
      <c r="Z5" s="320"/>
      <c r="AA5" s="322">
        <v>66936.936936936938</v>
      </c>
      <c r="AB5" s="320"/>
      <c r="AC5" s="321">
        <v>20.979570899999999</v>
      </c>
      <c r="AD5" s="320"/>
      <c r="AE5" s="320">
        <v>22.29</v>
      </c>
      <c r="AF5" s="320"/>
      <c r="AG5">
        <v>3.33</v>
      </c>
      <c r="AH5"/>
      <c r="AI5">
        <v>133</v>
      </c>
      <c r="AJ5"/>
      <c r="AK5"/>
      <c r="AL5"/>
      <c r="AM5"/>
      <c r="AN5"/>
      <c r="AO5">
        <v>90</v>
      </c>
      <c r="AP5"/>
      <c r="AQ5" s="323"/>
      <c r="AR5" s="323"/>
      <c r="AS5">
        <v>112</v>
      </c>
      <c r="AT5"/>
      <c r="AU5"/>
      <c r="AV5"/>
      <c r="AW5"/>
      <c r="AX5"/>
      <c r="AY5"/>
      <c r="AZ5"/>
      <c r="BA5"/>
      <c r="BB5"/>
      <c r="BC5"/>
      <c r="BD5"/>
      <c r="BE5"/>
      <c r="BF5"/>
      <c r="BG5">
        <v>59.41</v>
      </c>
      <c r="BH5"/>
      <c r="BI5">
        <v>4.3487999999999998</v>
      </c>
      <c r="BJ5"/>
      <c r="BK5">
        <v>0.64847999999999995</v>
      </c>
      <c r="BL5"/>
      <c r="BM5">
        <v>7.4288999999999996</v>
      </c>
      <c r="BN5"/>
      <c r="BO5">
        <v>16.14</v>
      </c>
      <c r="BP5"/>
      <c r="BQ5">
        <v>9.0647000000000002</v>
      </c>
      <c r="BR5"/>
      <c r="BS5">
        <v>50.387</v>
      </c>
      <c r="BT5"/>
      <c r="BU5">
        <v>18.786000000000001</v>
      </c>
      <c r="BV5"/>
      <c r="BW5">
        <v>41.039000000000001</v>
      </c>
      <c r="BX5" s="324"/>
      <c r="BY5">
        <v>5.9839999999999947</v>
      </c>
      <c r="BZ5"/>
      <c r="CA5"/>
      <c r="CC5">
        <v>5.56</v>
      </c>
      <c r="CD5"/>
      <c r="CE5"/>
      <c r="CF5"/>
      <c r="CG5"/>
      <c r="CH5"/>
      <c r="CI5"/>
      <c r="CJ5"/>
      <c r="CK5"/>
      <c r="CL5"/>
      <c r="CM5"/>
    </row>
    <row r="6" spans="1:91">
      <c r="A6" s="154" t="s">
        <v>7754</v>
      </c>
      <c r="B6" t="s">
        <v>8287</v>
      </c>
      <c r="C6">
        <v>1</v>
      </c>
      <c r="D6">
        <v>523</v>
      </c>
      <c r="E6" s="113">
        <v>23</v>
      </c>
      <c r="F6" s="113">
        <v>5</v>
      </c>
      <c r="I6">
        <v>34.5</v>
      </c>
      <c r="K6" s="320">
        <v>9</v>
      </c>
      <c r="L6" s="320"/>
      <c r="M6">
        <v>2.85</v>
      </c>
      <c r="N6" s="320"/>
      <c r="O6"/>
      <c r="P6"/>
      <c r="Q6"/>
      <c r="S6" s="320">
        <v>13.339599580031999</v>
      </c>
      <c r="T6" s="320"/>
      <c r="U6">
        <v>10.8</v>
      </c>
      <c r="V6"/>
      <c r="W6"/>
      <c r="X6"/>
      <c r="Y6" s="321">
        <v>5.5943095999999999</v>
      </c>
      <c r="Z6" s="320"/>
      <c r="AA6" s="322">
        <v>64644.549763033181</v>
      </c>
      <c r="AB6" s="320"/>
      <c r="AC6" s="321">
        <v>25.566543199999998</v>
      </c>
      <c r="AD6" s="320"/>
      <c r="AE6" s="320">
        <v>27.28</v>
      </c>
      <c r="AF6" s="320"/>
      <c r="AG6">
        <v>4.22</v>
      </c>
      <c r="AH6"/>
      <c r="AI6">
        <v>130</v>
      </c>
      <c r="AJ6"/>
      <c r="AK6"/>
      <c r="AL6"/>
      <c r="AM6"/>
      <c r="AN6"/>
      <c r="AO6">
        <v>75</v>
      </c>
      <c r="AP6"/>
      <c r="AQ6" s="323"/>
      <c r="AR6" s="323"/>
      <c r="AS6">
        <v>112</v>
      </c>
      <c r="AT6"/>
      <c r="AU6"/>
      <c r="AV6"/>
      <c r="AW6"/>
      <c r="AX6"/>
      <c r="AY6"/>
      <c r="AZ6"/>
      <c r="BA6"/>
      <c r="BB6"/>
      <c r="BC6"/>
      <c r="BD6"/>
      <c r="BE6"/>
      <c r="BF6"/>
      <c r="BG6">
        <v>12.686</v>
      </c>
      <c r="BH6"/>
      <c r="BI6">
        <v>4.4194000000000004</v>
      </c>
      <c r="BJ6"/>
      <c r="BK6">
        <v>1.4246000000000001</v>
      </c>
      <c r="BL6"/>
      <c r="BM6">
        <v>52.341000000000001</v>
      </c>
      <c r="BN6"/>
      <c r="BO6">
        <v>19.149000000000001</v>
      </c>
      <c r="BP6"/>
      <c r="BQ6">
        <v>9.3337000000000003</v>
      </c>
      <c r="BR6"/>
      <c r="BS6">
        <v>52.176000000000002</v>
      </c>
      <c r="BT6"/>
      <c r="BU6">
        <v>17.431000000000001</v>
      </c>
      <c r="BV6"/>
      <c r="BW6" s="325">
        <v>15.39</v>
      </c>
      <c r="BX6"/>
      <c r="BY6">
        <v>5.8199999999999932</v>
      </c>
      <c r="BZ6"/>
      <c r="CA6"/>
      <c r="CC6">
        <v>5.94</v>
      </c>
      <c r="CD6"/>
      <c r="CE6"/>
      <c r="CF6"/>
      <c r="CG6"/>
      <c r="CH6"/>
      <c r="CI6"/>
      <c r="CJ6"/>
      <c r="CK6"/>
      <c r="CL6"/>
      <c r="CM6"/>
    </row>
    <row r="7" spans="1:91">
      <c r="A7" s="327" t="s">
        <v>7754</v>
      </c>
      <c r="B7" s="328" t="s">
        <v>8289</v>
      </c>
      <c r="C7" s="328">
        <v>2</v>
      </c>
      <c r="D7" s="328">
        <v>850</v>
      </c>
      <c r="E7" s="113">
        <v>50</v>
      </c>
      <c r="F7" s="113">
        <v>8</v>
      </c>
      <c r="G7" s="329"/>
      <c r="H7" s="329"/>
      <c r="I7" s="328">
        <v>35.499999999999993</v>
      </c>
      <c r="J7" s="330"/>
      <c r="K7" s="331">
        <v>9</v>
      </c>
      <c r="L7" s="331"/>
      <c r="M7" s="328">
        <v>3.41</v>
      </c>
      <c r="N7" s="331"/>
      <c r="O7" s="328"/>
      <c r="P7" s="328"/>
      <c r="Q7" s="328"/>
      <c r="R7" s="332"/>
      <c r="S7" s="331">
        <v>14.501890862712003</v>
      </c>
      <c r="T7" s="331"/>
      <c r="U7" s="328">
        <v>10.8</v>
      </c>
      <c r="V7" s="328"/>
      <c r="W7" s="328"/>
      <c r="X7" s="328"/>
      <c r="Y7" s="333">
        <v>5.9739244000000005</v>
      </c>
      <c r="Z7" s="331"/>
      <c r="AA7" s="334">
        <v>84421.593830334197</v>
      </c>
      <c r="AB7" s="331"/>
      <c r="AC7" s="333">
        <v>30.593415600000007</v>
      </c>
      <c r="AD7" s="331"/>
      <c r="AE7" s="331">
        <v>32.840000000000003</v>
      </c>
      <c r="AF7" s="331"/>
      <c r="AG7" s="328">
        <v>3.89</v>
      </c>
      <c r="AH7" s="328"/>
      <c r="AI7" s="328">
        <v>128</v>
      </c>
      <c r="AJ7" s="328"/>
      <c r="AK7" s="328"/>
      <c r="AL7" s="328"/>
      <c r="AM7" s="328"/>
      <c r="AN7" s="328"/>
      <c r="AO7" s="328">
        <v>72</v>
      </c>
      <c r="AP7" s="328"/>
      <c r="AQ7" s="335"/>
      <c r="AR7" s="335"/>
      <c r="AS7" s="328">
        <v>112</v>
      </c>
      <c r="AT7" s="328"/>
      <c r="AU7" s="328"/>
      <c r="AV7" s="328"/>
      <c r="AW7" s="328"/>
      <c r="AX7" s="328"/>
      <c r="AY7" s="328"/>
      <c r="AZ7" s="328"/>
      <c r="BA7" s="328"/>
      <c r="BB7" s="328"/>
      <c r="BC7" s="328"/>
      <c r="BD7" s="328"/>
      <c r="BE7" s="328"/>
      <c r="BF7" s="328"/>
      <c r="BG7" s="328">
        <v>-2.4708000000000001</v>
      </c>
      <c r="BH7" s="328"/>
      <c r="BI7" s="328">
        <v>5.0979999999999999</v>
      </c>
      <c r="BJ7" s="328"/>
      <c r="BK7" s="328">
        <v>1.5555000000000001</v>
      </c>
      <c r="BL7" s="328"/>
      <c r="BM7" s="328">
        <v>61.427</v>
      </c>
      <c r="BN7" s="328"/>
      <c r="BO7" s="328">
        <v>21.518000000000001</v>
      </c>
      <c r="BP7" s="328"/>
      <c r="BQ7" s="328">
        <v>9.5968</v>
      </c>
      <c r="BR7" s="328"/>
      <c r="BS7" s="328">
        <v>47.402000000000001</v>
      </c>
      <c r="BT7" s="328"/>
      <c r="BU7" s="328">
        <v>18.157</v>
      </c>
      <c r="BV7" s="328"/>
      <c r="BW7" s="336">
        <v>5.17</v>
      </c>
      <c r="BX7" s="328"/>
      <c r="BY7" s="328">
        <v>6.4650000000000034</v>
      </c>
      <c r="BZ7" s="328"/>
      <c r="CA7" s="328"/>
      <c r="CB7" s="337"/>
      <c r="CC7" s="328">
        <v>5.34</v>
      </c>
      <c r="CD7" s="328"/>
      <c r="CE7" s="328"/>
      <c r="CF7" s="328"/>
      <c r="CG7" s="328"/>
      <c r="CH7" s="328"/>
      <c r="CI7" s="328"/>
      <c r="CJ7" s="328"/>
      <c r="CK7" s="328" t="s">
        <v>8377</v>
      </c>
      <c r="CL7" s="328"/>
      <c r="CM7" s="328"/>
    </row>
    <row r="8" spans="1:91">
      <c r="A8" s="154" t="s">
        <v>7754</v>
      </c>
      <c r="B8" t="s">
        <v>8287</v>
      </c>
      <c r="C8">
        <v>2</v>
      </c>
      <c r="D8">
        <v>1166</v>
      </c>
      <c r="E8" s="113">
        <v>66</v>
      </c>
      <c r="F8" s="113">
        <v>11</v>
      </c>
      <c r="I8">
        <v>37</v>
      </c>
      <c r="K8" s="320">
        <v>9</v>
      </c>
      <c r="L8" s="320"/>
      <c r="M8">
        <v>3.14</v>
      </c>
      <c r="N8" s="320"/>
      <c r="O8"/>
      <c r="P8"/>
      <c r="Q8"/>
      <c r="S8" s="320">
        <v>14.09627759808</v>
      </c>
      <c r="T8" s="320"/>
      <c r="U8">
        <v>10.8</v>
      </c>
      <c r="V8"/>
      <c r="W8"/>
      <c r="X8"/>
      <c r="Y8" s="321">
        <v>5.0046119999999998</v>
      </c>
      <c r="Z8" s="320"/>
      <c r="AA8" s="322">
        <v>83943.661971830996</v>
      </c>
      <c r="AB8" s="320"/>
      <c r="AC8" s="321">
        <v>27.678836000000004</v>
      </c>
      <c r="AD8" s="320"/>
      <c r="AE8" s="320">
        <v>29.8</v>
      </c>
      <c r="AF8" s="320"/>
      <c r="AG8">
        <v>3.55</v>
      </c>
      <c r="AH8"/>
      <c r="AI8">
        <v>125</v>
      </c>
      <c r="AJ8"/>
      <c r="AK8"/>
      <c r="AL8"/>
      <c r="AM8"/>
      <c r="AN8"/>
      <c r="AO8">
        <v>72</v>
      </c>
      <c r="AP8"/>
      <c r="AQ8" s="323"/>
      <c r="AR8" s="323"/>
      <c r="AS8">
        <v>112</v>
      </c>
      <c r="AT8"/>
      <c r="AU8"/>
      <c r="AV8"/>
      <c r="AW8"/>
      <c r="AX8"/>
      <c r="AY8"/>
      <c r="AZ8"/>
      <c r="BA8"/>
      <c r="BB8"/>
      <c r="BC8"/>
      <c r="BD8"/>
      <c r="BE8"/>
      <c r="BF8"/>
      <c r="BG8">
        <v>3.4777999999999998</v>
      </c>
      <c r="BH8"/>
      <c r="BI8">
        <v>5.0247999999999999</v>
      </c>
      <c r="BJ8"/>
      <c r="BK8">
        <v>1.4236</v>
      </c>
      <c r="BL8"/>
      <c r="BM8">
        <v>55.643999999999998</v>
      </c>
      <c r="BN8"/>
      <c r="BO8">
        <v>22.664999999999999</v>
      </c>
      <c r="BP8"/>
      <c r="BQ8">
        <v>9.3811999999999998</v>
      </c>
      <c r="BR8"/>
      <c r="BS8">
        <v>50.927999999999997</v>
      </c>
      <c r="BT8"/>
      <c r="BU8">
        <v>16.411000000000001</v>
      </c>
      <c r="BV8"/>
      <c r="BW8" s="325">
        <v>5.77</v>
      </c>
      <c r="BX8"/>
      <c r="BY8">
        <v>6.4680000000000035</v>
      </c>
      <c r="BZ8"/>
      <c r="CA8"/>
      <c r="CC8">
        <v>6.72</v>
      </c>
      <c r="CD8"/>
      <c r="CE8"/>
      <c r="CF8"/>
      <c r="CG8"/>
      <c r="CH8"/>
      <c r="CI8"/>
      <c r="CJ8"/>
      <c r="CK8"/>
      <c r="CL8"/>
      <c r="CM8"/>
    </row>
    <row r="9" spans="1:91">
      <c r="A9" s="154" t="s">
        <v>7754</v>
      </c>
      <c r="B9" t="s">
        <v>8289</v>
      </c>
      <c r="C9">
        <v>1</v>
      </c>
      <c r="D9">
        <v>1715</v>
      </c>
      <c r="E9" s="113">
        <v>15</v>
      </c>
      <c r="F9" s="113">
        <v>17</v>
      </c>
      <c r="I9">
        <v>35.499999999999993</v>
      </c>
      <c r="K9" s="320">
        <v>8</v>
      </c>
      <c r="L9" s="320"/>
      <c r="M9">
        <v>3.3</v>
      </c>
      <c r="N9" s="320"/>
      <c r="O9"/>
      <c r="P9"/>
      <c r="Q9"/>
      <c r="S9" s="320">
        <v>14.29439651757</v>
      </c>
      <c r="T9" s="320"/>
      <c r="U9">
        <v>10.8</v>
      </c>
      <c r="V9"/>
      <c r="W9"/>
      <c r="X9"/>
      <c r="Y9" s="321">
        <v>5.6892194000000007</v>
      </c>
      <c r="Z9" s="320"/>
      <c r="AA9" s="322">
        <v>90547.55043227665</v>
      </c>
      <c r="AB9" s="320"/>
      <c r="AC9" s="321">
        <v>29.439597400000004</v>
      </c>
      <c r="AD9" s="320"/>
      <c r="AE9" s="320">
        <v>31.42</v>
      </c>
      <c r="AF9" s="320"/>
      <c r="AG9">
        <v>3.47</v>
      </c>
      <c r="AH9"/>
      <c r="AI9">
        <v>123</v>
      </c>
      <c r="AJ9"/>
      <c r="AK9"/>
      <c r="AL9"/>
      <c r="AM9"/>
      <c r="AN9"/>
      <c r="AO9">
        <v>77</v>
      </c>
      <c r="AP9"/>
      <c r="AQ9" s="323"/>
      <c r="AR9" s="323"/>
      <c r="AS9">
        <v>112</v>
      </c>
      <c r="AT9"/>
      <c r="AU9"/>
      <c r="AV9"/>
      <c r="AW9"/>
      <c r="AX9"/>
      <c r="AY9"/>
      <c r="AZ9"/>
      <c r="BA9"/>
      <c r="BB9"/>
      <c r="BC9"/>
      <c r="BD9"/>
      <c r="BE9"/>
      <c r="BF9"/>
      <c r="BG9">
        <v>1.8797999999999999</v>
      </c>
      <c r="BH9"/>
      <c r="BI9">
        <v>4.7169999999999996</v>
      </c>
      <c r="BJ9"/>
      <c r="BK9">
        <v>1.4852000000000001</v>
      </c>
      <c r="BL9"/>
      <c r="BM9">
        <v>59.488</v>
      </c>
      <c r="BN9"/>
      <c r="BO9">
        <v>20.664999999999999</v>
      </c>
      <c r="BP9"/>
      <c r="BQ9">
        <v>10.632</v>
      </c>
      <c r="BR9"/>
      <c r="BS9">
        <v>48.555</v>
      </c>
      <c r="BT9"/>
      <c r="BU9">
        <v>18.475000000000001</v>
      </c>
      <c r="BV9"/>
      <c r="BW9" s="325">
        <v>9.56</v>
      </c>
      <c r="BX9"/>
      <c r="BY9">
        <v>6.4419999999999931</v>
      </c>
      <c r="BZ9"/>
      <c r="CA9"/>
      <c r="CC9">
        <v>6.43</v>
      </c>
      <c r="CD9"/>
      <c r="CE9"/>
      <c r="CF9"/>
      <c r="CG9"/>
      <c r="CH9"/>
      <c r="CI9"/>
      <c r="CJ9"/>
      <c r="CK9"/>
      <c r="CL9"/>
      <c r="CM9"/>
    </row>
    <row r="10" spans="1:91">
      <c r="A10" s="154" t="s">
        <v>7755</v>
      </c>
      <c r="B10" t="s">
        <v>8287</v>
      </c>
      <c r="C10">
        <v>1</v>
      </c>
      <c r="D10">
        <v>229</v>
      </c>
      <c r="E10" s="113">
        <v>29</v>
      </c>
      <c r="F10" s="113">
        <v>2</v>
      </c>
      <c r="I10">
        <v>37.999999999999993</v>
      </c>
      <c r="K10" s="320">
        <v>9</v>
      </c>
      <c r="L10" s="320"/>
      <c r="M10">
        <v>2.79</v>
      </c>
      <c r="N10" s="320"/>
      <c r="O10"/>
      <c r="P10"/>
      <c r="Q10"/>
      <c r="S10" s="320">
        <v>11.691877955319999</v>
      </c>
      <c r="T10" s="320"/>
      <c r="U10">
        <v>10.8</v>
      </c>
      <c r="V10"/>
      <c r="W10"/>
      <c r="X10"/>
      <c r="Y10" s="321">
        <v>5.427772</v>
      </c>
      <c r="Z10" s="320"/>
      <c r="AA10" s="322">
        <v>66547.314578005113</v>
      </c>
      <c r="AB10" s="320"/>
      <c r="AC10" s="321">
        <v>24.309965599999998</v>
      </c>
      <c r="AD10" s="320"/>
      <c r="AE10" s="320">
        <v>26.02</v>
      </c>
      <c r="AF10" s="320"/>
      <c r="AG10">
        <v>3.91</v>
      </c>
      <c r="AH10"/>
      <c r="AI10">
        <v>130</v>
      </c>
      <c r="AJ10"/>
      <c r="AK10"/>
      <c r="AL10"/>
      <c r="AM10"/>
      <c r="AN10"/>
      <c r="AO10">
        <v>81</v>
      </c>
      <c r="AP10"/>
      <c r="AQ10" s="323"/>
      <c r="AR10" s="323"/>
      <c r="AS10">
        <v>112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-1.7169000000000001</v>
      </c>
      <c r="BH10"/>
      <c r="BI10">
        <v>4.6403999999999996</v>
      </c>
      <c r="BJ10"/>
      <c r="BK10">
        <v>1.4313</v>
      </c>
      <c r="BL10"/>
      <c r="BM10">
        <v>60.796999999999997</v>
      </c>
      <c r="BN10"/>
      <c r="BO10">
        <v>22.097000000000001</v>
      </c>
      <c r="BP10"/>
      <c r="BQ10">
        <v>10.468999999999999</v>
      </c>
      <c r="BR10"/>
      <c r="BS10">
        <v>48.094999999999999</v>
      </c>
      <c r="BT10"/>
      <c r="BU10">
        <v>19.425999999999998</v>
      </c>
      <c r="BV10"/>
      <c r="BW10" s="325">
        <v>10.17</v>
      </c>
      <c r="BX10"/>
      <c r="BY10">
        <v>6.4609999999999985</v>
      </c>
      <c r="BZ10"/>
      <c r="CA10"/>
      <c r="CC10">
        <v>8.34</v>
      </c>
      <c r="CD10"/>
      <c r="CE10"/>
      <c r="CF10"/>
      <c r="CG10"/>
      <c r="CH10"/>
      <c r="CI10"/>
      <c r="CJ10"/>
      <c r="CK10"/>
      <c r="CL10"/>
      <c r="CM10"/>
    </row>
    <row r="11" spans="1:91">
      <c r="A11" s="154" t="s">
        <v>7755</v>
      </c>
      <c r="B11" t="s">
        <v>8289</v>
      </c>
      <c r="C11">
        <v>2</v>
      </c>
      <c r="D11">
        <v>767</v>
      </c>
      <c r="E11" s="113">
        <v>67</v>
      </c>
      <c r="F11" s="113">
        <v>7</v>
      </c>
      <c r="I11">
        <v>31</v>
      </c>
      <c r="K11" s="320">
        <v>9</v>
      </c>
      <c r="L11" s="320"/>
      <c r="M11">
        <v>1.86</v>
      </c>
      <c r="N11" s="320"/>
      <c r="O11"/>
      <c r="P11"/>
      <c r="Q11"/>
      <c r="S11" s="320">
        <v>6.3847456422750009</v>
      </c>
      <c r="T11" s="320"/>
      <c r="U11">
        <v>10.8</v>
      </c>
      <c r="V11"/>
      <c r="W11"/>
      <c r="X11"/>
      <c r="Y11" s="321">
        <v>3.6044190000000005</v>
      </c>
      <c r="Z11" s="320"/>
      <c r="AA11" s="322">
        <v>45466.321243523314</v>
      </c>
      <c r="AB11" s="320"/>
      <c r="AC11" s="321">
        <v>16.364848500000001</v>
      </c>
      <c r="AD11" s="320"/>
      <c r="AE11" s="320">
        <v>17.55</v>
      </c>
      <c r="AF11" s="320"/>
      <c r="AG11">
        <v>3.86</v>
      </c>
      <c r="AH11"/>
      <c r="AI11">
        <v>103</v>
      </c>
      <c r="AJ11"/>
      <c r="AK11"/>
      <c r="AL11"/>
      <c r="AM11"/>
      <c r="AN11"/>
      <c r="AO11">
        <v>81</v>
      </c>
      <c r="AP11"/>
      <c r="AQ11" s="323"/>
      <c r="AR11" s="323"/>
      <c r="AS11">
        <v>112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-3.8519999999999999</v>
      </c>
      <c r="BH11"/>
      <c r="BI11"/>
      <c r="BJ11"/>
      <c r="BK11">
        <v>1.8214999999999999</v>
      </c>
      <c r="BL11"/>
      <c r="BM11"/>
      <c r="BN11"/>
      <c r="BO11"/>
      <c r="BP11"/>
      <c r="BQ11"/>
      <c r="BR11"/>
      <c r="BS11">
        <v>39.015000000000001</v>
      </c>
      <c r="BT11"/>
      <c r="BU11">
        <v>19.962</v>
      </c>
      <c r="BV11"/>
      <c r="BW11" s="325">
        <v>2.08</v>
      </c>
      <c r="BX11"/>
      <c r="BY11">
        <v>6.3499999999999943</v>
      </c>
      <c r="BZ11"/>
      <c r="CA11"/>
      <c r="CC11">
        <v>7.27</v>
      </c>
      <c r="CD11"/>
      <c r="CE11"/>
      <c r="CF11"/>
      <c r="CG11"/>
      <c r="CH11"/>
      <c r="CI11"/>
      <c r="CJ11"/>
      <c r="CK11"/>
      <c r="CL11"/>
      <c r="CM11"/>
    </row>
    <row r="12" spans="1:91">
      <c r="A12" s="154" t="s">
        <v>7755</v>
      </c>
      <c r="B12" t="s">
        <v>8289</v>
      </c>
      <c r="C12">
        <v>1</v>
      </c>
      <c r="D12">
        <v>1218</v>
      </c>
      <c r="E12" s="113">
        <v>18</v>
      </c>
      <c r="F12" s="113">
        <v>12</v>
      </c>
      <c r="I12">
        <v>32.999999999999993</v>
      </c>
      <c r="K12" s="320">
        <v>9</v>
      </c>
      <c r="L12" s="320"/>
      <c r="M12">
        <v>2.59</v>
      </c>
      <c r="N12" s="320"/>
      <c r="O12"/>
      <c r="P12"/>
      <c r="Q12"/>
      <c r="S12" s="320">
        <v>10.998407943744001</v>
      </c>
      <c r="T12" s="320"/>
      <c r="U12">
        <v>10.8</v>
      </c>
      <c r="V12"/>
      <c r="W12"/>
      <c r="X12"/>
      <c r="Y12" s="321">
        <v>4.3413263999999998</v>
      </c>
      <c r="Z12" s="320"/>
      <c r="AA12" s="322">
        <v>67173.913043478256</v>
      </c>
      <c r="AB12" s="320"/>
      <c r="AC12" s="321">
        <v>23.112211199999997</v>
      </c>
      <c r="AD12" s="320"/>
      <c r="AE12" s="320">
        <v>24.72</v>
      </c>
      <c r="AF12" s="320"/>
      <c r="AG12">
        <v>3.68</v>
      </c>
      <c r="AH12"/>
      <c r="AI12">
        <v>120</v>
      </c>
      <c r="AJ12"/>
      <c r="AK12"/>
      <c r="AL12"/>
      <c r="AM12"/>
      <c r="AN12"/>
      <c r="AO12">
        <v>85</v>
      </c>
      <c r="AP12"/>
      <c r="AQ12" s="323"/>
      <c r="AR12" s="323"/>
      <c r="AS12">
        <v>112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>
        <v>-3.4356</v>
      </c>
      <c r="BH12"/>
      <c r="BI12">
        <v>4.5476999999999999</v>
      </c>
      <c r="BJ12"/>
      <c r="BK12">
        <v>1.5086999999999999</v>
      </c>
      <c r="BL12"/>
      <c r="BM12">
        <v>68.156000000000006</v>
      </c>
      <c r="BN12"/>
      <c r="BO12">
        <v>20.853000000000002</v>
      </c>
      <c r="BP12"/>
      <c r="BQ12">
        <v>9.9796999999999993</v>
      </c>
      <c r="BR12"/>
      <c r="BS12">
        <v>47.587000000000003</v>
      </c>
      <c r="BT12"/>
      <c r="BU12">
        <v>19.757000000000001</v>
      </c>
      <c r="BV12"/>
      <c r="BW12" s="325">
        <v>14.69</v>
      </c>
      <c r="BX12"/>
      <c r="BY12">
        <v>6.5600000000000023</v>
      </c>
      <c r="BZ12"/>
      <c r="CA12"/>
      <c r="CC12">
        <v>6.19</v>
      </c>
      <c r="CD12"/>
      <c r="CE12"/>
      <c r="CF12"/>
      <c r="CG12"/>
      <c r="CH12"/>
      <c r="CI12"/>
      <c r="CJ12"/>
      <c r="CK12"/>
      <c r="CL12"/>
      <c r="CM12"/>
    </row>
    <row r="13" spans="1:91">
      <c r="A13" s="154" t="s">
        <v>7755</v>
      </c>
      <c r="B13" t="s">
        <v>8287</v>
      </c>
      <c r="C13">
        <v>2</v>
      </c>
      <c r="D13">
        <v>1749</v>
      </c>
      <c r="E13" s="113">
        <v>49</v>
      </c>
      <c r="F13" s="113">
        <v>17</v>
      </c>
      <c r="I13">
        <v>31.499999999999996</v>
      </c>
      <c r="K13" s="320">
        <v>8</v>
      </c>
      <c r="L13" s="320"/>
      <c r="M13">
        <v>2.02</v>
      </c>
      <c r="N13" s="320"/>
      <c r="O13"/>
      <c r="P13"/>
      <c r="Q13"/>
      <c r="S13" s="320">
        <v>9.045370917791999</v>
      </c>
      <c r="T13" s="320"/>
      <c r="U13">
        <v>10.8</v>
      </c>
      <c r="V13"/>
      <c r="W13"/>
      <c r="X13"/>
      <c r="Y13" s="321">
        <v>2.9343236999999998</v>
      </c>
      <c r="Z13" s="320"/>
      <c r="AA13" s="322">
        <v>54845.070422535216</v>
      </c>
      <c r="AB13" s="320"/>
      <c r="AC13" s="321">
        <v>18.261302399999998</v>
      </c>
      <c r="AD13" s="320"/>
      <c r="AE13" s="320">
        <v>19.47</v>
      </c>
      <c r="AF13" s="320"/>
      <c r="AG13">
        <v>3.55</v>
      </c>
      <c r="AH13"/>
      <c r="AI13">
        <v>115</v>
      </c>
      <c r="AJ13"/>
      <c r="AK13"/>
      <c r="AL13"/>
      <c r="AM13"/>
      <c r="AN13"/>
      <c r="AO13">
        <v>81</v>
      </c>
      <c r="AP13"/>
      <c r="AQ13" s="323"/>
      <c r="AR13" s="323"/>
      <c r="AS13">
        <v>112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>
        <v>-2.7059000000000002</v>
      </c>
      <c r="BH13"/>
      <c r="BI13">
        <v>4.6111000000000004</v>
      </c>
      <c r="BJ13"/>
      <c r="BK13">
        <v>1.4756</v>
      </c>
      <c r="BL13"/>
      <c r="BM13">
        <v>66.632999999999996</v>
      </c>
      <c r="BN13"/>
      <c r="BO13">
        <v>21.364999999999998</v>
      </c>
      <c r="BP13"/>
      <c r="BQ13">
        <v>10.428000000000001</v>
      </c>
      <c r="BR13"/>
      <c r="BS13">
        <v>49.533000000000001</v>
      </c>
      <c r="BT13"/>
      <c r="BU13">
        <v>17.382000000000001</v>
      </c>
      <c r="BV13"/>
      <c r="BW13" s="325">
        <v>10.15</v>
      </c>
      <c r="BX13"/>
      <c r="BY13">
        <v>6.5480000000000018</v>
      </c>
      <c r="BZ13"/>
      <c r="CA13"/>
      <c r="CC13">
        <v>5.25</v>
      </c>
      <c r="CD13"/>
      <c r="CE13"/>
      <c r="CF13"/>
      <c r="CG13"/>
      <c r="CH13"/>
      <c r="CI13"/>
      <c r="CJ13"/>
      <c r="CK13"/>
      <c r="CL13"/>
      <c r="CM13"/>
    </row>
    <row r="14" spans="1:91">
      <c r="A14" s="154" t="s">
        <v>7756</v>
      </c>
      <c r="B14" t="s">
        <v>8289</v>
      </c>
      <c r="C14">
        <v>2</v>
      </c>
      <c r="D14">
        <v>276</v>
      </c>
      <c r="E14" s="113">
        <v>76</v>
      </c>
      <c r="F14" s="113">
        <v>2</v>
      </c>
      <c r="I14">
        <v>36.5</v>
      </c>
      <c r="K14" s="320">
        <v>8</v>
      </c>
      <c r="L14" s="320"/>
      <c r="M14">
        <v>3.46</v>
      </c>
      <c r="N14" s="320"/>
      <c r="O14"/>
      <c r="P14"/>
      <c r="Q14"/>
      <c r="S14" s="320" t="s">
        <v>8361</v>
      </c>
      <c r="T14" s="320"/>
      <c r="U14">
        <v>10.8</v>
      </c>
      <c r="V14"/>
      <c r="W14"/>
      <c r="X14"/>
      <c r="Y14" s="321">
        <v>0</v>
      </c>
      <c r="Z14" s="320"/>
      <c r="AA14" s="322">
        <v>71480.686695278971</v>
      </c>
      <c r="AB14" s="320"/>
      <c r="AC14" s="321" t="s">
        <v>8361</v>
      </c>
      <c r="AD14" s="320"/>
      <c r="AE14" s="320">
        <v>33.31</v>
      </c>
      <c r="AF14" s="320"/>
      <c r="AG14">
        <v>4.66</v>
      </c>
      <c r="AH14"/>
      <c r="AI14">
        <v>125</v>
      </c>
      <c r="AJ14"/>
      <c r="AK14"/>
      <c r="AL14"/>
      <c r="AM14"/>
      <c r="AN14"/>
      <c r="AO14">
        <v>79</v>
      </c>
      <c r="AP14"/>
      <c r="AQ14" s="323"/>
      <c r="AR14" s="323"/>
      <c r="AS14">
        <v>112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>
        <v>-7.3479999999999999</v>
      </c>
      <c r="BH14"/>
      <c r="BI14">
        <v>4.6927000000000003</v>
      </c>
      <c r="BJ14"/>
      <c r="BK14">
        <v>1.6052999999999999</v>
      </c>
      <c r="BL14"/>
      <c r="BM14">
        <v>71.343999999999994</v>
      </c>
      <c r="BN14"/>
      <c r="BO14">
        <v>21.074999999999999</v>
      </c>
      <c r="BP14"/>
      <c r="BQ14">
        <v>9.8503000000000007</v>
      </c>
      <c r="BR14"/>
      <c r="BS14">
        <v>47.698999999999998</v>
      </c>
      <c r="BT14"/>
      <c r="BU14">
        <v>19.303999999999998</v>
      </c>
      <c r="BV14"/>
      <c r="BW14" s="325">
        <v>3.83</v>
      </c>
      <c r="BX14"/>
      <c r="BY14">
        <v>5.9030000000000058</v>
      </c>
      <c r="BZ14"/>
      <c r="CA14"/>
      <c r="CC14">
        <v>5.39</v>
      </c>
      <c r="CD14"/>
      <c r="CE14"/>
      <c r="CF14"/>
      <c r="CG14"/>
      <c r="CH14"/>
      <c r="CI14"/>
      <c r="CJ14"/>
      <c r="CK14"/>
      <c r="CL14"/>
      <c r="CM14"/>
    </row>
    <row r="15" spans="1:91">
      <c r="A15" s="327" t="s">
        <v>7756</v>
      </c>
      <c r="B15" s="328" t="s">
        <v>8287</v>
      </c>
      <c r="C15" s="328">
        <v>1</v>
      </c>
      <c r="D15" s="328">
        <v>830</v>
      </c>
      <c r="E15" s="113">
        <v>30</v>
      </c>
      <c r="F15" s="113">
        <v>8</v>
      </c>
      <c r="G15" s="329"/>
      <c r="H15" s="329"/>
      <c r="I15" s="328">
        <v>30.499999999999996</v>
      </c>
      <c r="J15" s="330"/>
      <c r="K15" s="331">
        <v>7</v>
      </c>
      <c r="L15" s="331"/>
      <c r="M15" s="328">
        <v>2.4900000000000002</v>
      </c>
      <c r="N15" s="331"/>
      <c r="O15" s="328"/>
      <c r="P15" s="328"/>
      <c r="Q15" s="328"/>
      <c r="R15" s="332"/>
      <c r="S15" s="331">
        <v>11.013580379205001</v>
      </c>
      <c r="T15" s="331"/>
      <c r="U15" s="328">
        <v>10.8</v>
      </c>
      <c r="V15" s="328"/>
      <c r="W15" s="328"/>
      <c r="X15" s="328"/>
      <c r="Y15" s="333">
        <v>3.9444165000000004</v>
      </c>
      <c r="Z15" s="331"/>
      <c r="AA15" s="334">
        <v>49038.461538461539</v>
      </c>
      <c r="AB15" s="331"/>
      <c r="AC15" s="333">
        <v>21.463528499999999</v>
      </c>
      <c r="AD15" s="331"/>
      <c r="AE15" s="331">
        <v>22.95</v>
      </c>
      <c r="AF15" s="331"/>
      <c r="AG15" s="328">
        <v>4.68</v>
      </c>
      <c r="AH15" s="328"/>
      <c r="AI15" s="328">
        <v>103</v>
      </c>
      <c r="AJ15" s="328"/>
      <c r="AK15" s="328"/>
      <c r="AL15" s="328"/>
      <c r="AM15" s="328"/>
      <c r="AN15" s="328"/>
      <c r="AO15" s="328">
        <v>79</v>
      </c>
      <c r="AP15" s="328"/>
      <c r="AQ15" s="335"/>
      <c r="AR15" s="335"/>
      <c r="AS15" s="328">
        <v>112</v>
      </c>
      <c r="AT15" s="328"/>
      <c r="AU15" s="328"/>
      <c r="AV15" s="328"/>
      <c r="AW15" s="328"/>
      <c r="AX15" s="328"/>
      <c r="AY15" s="328"/>
      <c r="AZ15" s="328"/>
      <c r="BA15" s="328"/>
      <c r="BB15" s="328"/>
      <c r="BC15" s="328"/>
      <c r="BD15" s="328"/>
      <c r="BE15" s="328"/>
      <c r="BF15" s="328"/>
      <c r="BG15" s="328">
        <v>1.6906000000000001</v>
      </c>
      <c r="BH15" s="328"/>
      <c r="BI15" s="328">
        <v>4.8433000000000002</v>
      </c>
      <c r="BJ15" s="328"/>
      <c r="BK15" s="328">
        <v>1.5056</v>
      </c>
      <c r="BL15" s="328"/>
      <c r="BM15" s="328">
        <v>67.13</v>
      </c>
      <c r="BN15" s="328"/>
      <c r="BO15" s="328">
        <v>21.57</v>
      </c>
      <c r="BP15" s="328"/>
      <c r="BQ15" s="328">
        <v>9.6502999999999997</v>
      </c>
      <c r="BR15" s="328"/>
      <c r="BS15" s="328">
        <v>51.313000000000002</v>
      </c>
      <c r="BT15" s="328"/>
      <c r="BU15" s="328">
        <v>16.847999999999999</v>
      </c>
      <c r="BV15" s="328"/>
      <c r="BW15" s="336">
        <v>5.25</v>
      </c>
      <c r="BX15" s="328"/>
      <c r="BY15" s="328">
        <v>6.2549999999999955</v>
      </c>
      <c r="BZ15" s="328"/>
      <c r="CA15" s="328"/>
      <c r="CB15" s="337"/>
      <c r="CC15" s="328">
        <v>9.4</v>
      </c>
      <c r="CD15" s="328"/>
      <c r="CE15" s="328"/>
      <c r="CF15" s="328"/>
      <c r="CG15" s="328"/>
      <c r="CH15" s="328"/>
      <c r="CI15" s="328"/>
      <c r="CJ15" s="328"/>
      <c r="CK15" s="328" t="s">
        <v>8377</v>
      </c>
      <c r="CL15" s="328"/>
      <c r="CM15" s="328"/>
    </row>
    <row r="16" spans="1:91">
      <c r="A16" s="154" t="s">
        <v>7756</v>
      </c>
      <c r="B16" t="s">
        <v>8289</v>
      </c>
      <c r="C16">
        <v>1</v>
      </c>
      <c r="D16">
        <v>1108</v>
      </c>
      <c r="E16" s="113">
        <v>8</v>
      </c>
      <c r="F16" s="113">
        <v>11</v>
      </c>
      <c r="I16">
        <v>21.999999999999996</v>
      </c>
      <c r="K16" s="320">
        <v>9</v>
      </c>
      <c r="L16" s="320"/>
      <c r="M16">
        <v>3.12</v>
      </c>
      <c r="N16" s="320"/>
      <c r="O16"/>
      <c r="P16"/>
      <c r="Q16"/>
      <c r="S16" s="320">
        <v>13.278567639486001</v>
      </c>
      <c r="T16" s="320"/>
      <c r="U16">
        <v>10.8</v>
      </c>
      <c r="V16"/>
      <c r="W16"/>
      <c r="X16"/>
      <c r="Y16" s="321">
        <v>6.3285972000000008</v>
      </c>
      <c r="Z16" s="320"/>
      <c r="AA16" s="322">
        <v>72920.792079207924</v>
      </c>
      <c r="AB16" s="320"/>
      <c r="AC16" s="321">
        <v>27.431089800000002</v>
      </c>
      <c r="AD16" s="320"/>
      <c r="AE16" s="320">
        <v>29.46</v>
      </c>
      <c r="AF16" s="320"/>
      <c r="AG16">
        <v>4.04</v>
      </c>
      <c r="AH16"/>
      <c r="AI16">
        <v>120</v>
      </c>
      <c r="AJ16"/>
      <c r="AK16"/>
      <c r="AL16"/>
      <c r="AM16"/>
      <c r="AN16"/>
      <c r="AO16">
        <v>79</v>
      </c>
      <c r="AP16"/>
      <c r="AQ16" s="323"/>
      <c r="AR16" s="323"/>
      <c r="AS16">
        <v>112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>
        <v>0.41775000000000001</v>
      </c>
      <c r="BH16"/>
      <c r="BI16">
        <v>4.7634999999999996</v>
      </c>
      <c r="BJ16"/>
      <c r="BK16">
        <v>1.4327000000000001</v>
      </c>
      <c r="BL16"/>
      <c r="BM16">
        <v>55.545000000000002</v>
      </c>
      <c r="BN16"/>
      <c r="BO16">
        <v>20.227</v>
      </c>
      <c r="BP16"/>
      <c r="BQ16">
        <v>10.956</v>
      </c>
      <c r="BR16"/>
      <c r="BS16">
        <v>48.406999999999996</v>
      </c>
      <c r="BT16"/>
      <c r="BU16">
        <v>18.603000000000002</v>
      </c>
      <c r="BV16"/>
      <c r="BW16" s="325">
        <v>7.37</v>
      </c>
      <c r="BX16"/>
      <c r="BY16">
        <v>6.3709999999999951</v>
      </c>
      <c r="BZ16"/>
      <c r="CA16"/>
      <c r="CC16">
        <v>7.19</v>
      </c>
      <c r="CD16"/>
      <c r="CE16"/>
      <c r="CF16"/>
      <c r="CG16"/>
      <c r="CH16"/>
      <c r="CI16"/>
      <c r="CJ16"/>
      <c r="CK16"/>
      <c r="CL16"/>
      <c r="CM16"/>
    </row>
    <row r="17" spans="1:91">
      <c r="A17" s="154" t="s">
        <v>7756</v>
      </c>
      <c r="B17" t="s">
        <v>8287</v>
      </c>
      <c r="C17">
        <v>2</v>
      </c>
      <c r="D17">
        <v>1462</v>
      </c>
      <c r="E17" s="113">
        <v>62</v>
      </c>
      <c r="F17" s="113">
        <v>14</v>
      </c>
      <c r="I17">
        <v>27.999999999999996</v>
      </c>
      <c r="K17" s="320">
        <v>9</v>
      </c>
      <c r="L17" s="320"/>
      <c r="M17">
        <v>3.35</v>
      </c>
      <c r="N17" s="320"/>
      <c r="O17"/>
      <c r="P17"/>
      <c r="Q17"/>
      <c r="S17" s="320">
        <v>14.030619746417999</v>
      </c>
      <c r="T17" s="320"/>
      <c r="U17">
        <v>10.8</v>
      </c>
      <c r="V17"/>
      <c r="W17"/>
      <c r="X17"/>
      <c r="Y17" s="321">
        <v>5.1547739999999997</v>
      </c>
      <c r="Z17" s="320"/>
      <c r="AA17" s="322">
        <v>73900.709219858152</v>
      </c>
      <c r="AB17" s="320"/>
      <c r="AC17" s="321">
        <v>29.2615482</v>
      </c>
      <c r="AD17" s="320"/>
      <c r="AE17" s="320">
        <v>31.26</v>
      </c>
      <c r="AF17" s="320"/>
      <c r="AG17">
        <v>4.2300000000000004</v>
      </c>
      <c r="AH17"/>
      <c r="AI17">
        <v>123</v>
      </c>
      <c r="AJ17"/>
      <c r="AK17"/>
      <c r="AL17"/>
      <c r="AM17"/>
      <c r="AN17"/>
      <c r="AO17">
        <v>77</v>
      </c>
      <c r="AP17"/>
      <c r="AQ17" s="323"/>
      <c r="AR17" s="323"/>
      <c r="AS17">
        <v>112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>
        <v>1.3797999999999999</v>
      </c>
      <c r="BH17"/>
      <c r="BI17">
        <v>4.2591999999999999</v>
      </c>
      <c r="BJ17"/>
      <c r="BK17">
        <v>1.4613</v>
      </c>
      <c r="BL17"/>
      <c r="BM17">
        <v>63.095999999999997</v>
      </c>
      <c r="BN17"/>
      <c r="BO17">
        <v>22.128</v>
      </c>
      <c r="BP17"/>
      <c r="BQ17">
        <v>10.645</v>
      </c>
      <c r="BR17"/>
      <c r="BS17">
        <v>47.948999999999998</v>
      </c>
      <c r="BT17"/>
      <c r="BU17">
        <v>19.09</v>
      </c>
      <c r="BV17"/>
      <c r="BW17" s="325">
        <v>3.4</v>
      </c>
      <c r="BX17"/>
      <c r="BY17">
        <v>6.2390000000000043</v>
      </c>
      <c r="BZ17"/>
      <c r="CA17"/>
      <c r="CC17">
        <v>8.2799999999999994</v>
      </c>
      <c r="CD17"/>
      <c r="CE17"/>
      <c r="CF17"/>
      <c r="CG17"/>
      <c r="CH17"/>
      <c r="CI17"/>
      <c r="CJ17"/>
      <c r="CK17"/>
      <c r="CL17"/>
      <c r="CM17"/>
    </row>
    <row r="18" spans="1:91">
      <c r="A18" s="154" t="s">
        <v>7757</v>
      </c>
      <c r="B18" t="s">
        <v>8287</v>
      </c>
      <c r="C18">
        <v>1</v>
      </c>
      <c r="D18">
        <v>409</v>
      </c>
      <c r="E18" s="113">
        <v>9</v>
      </c>
      <c r="F18" s="113">
        <v>4</v>
      </c>
      <c r="I18">
        <v>29.999999999999996</v>
      </c>
      <c r="K18" s="320">
        <v>8</v>
      </c>
      <c r="L18" s="320"/>
      <c r="M18">
        <v>2.7</v>
      </c>
      <c r="N18" s="320"/>
      <c r="O18"/>
      <c r="P18"/>
      <c r="Q18"/>
      <c r="S18" s="320">
        <v>12.671597691839999</v>
      </c>
      <c r="T18" s="320"/>
      <c r="U18">
        <v>10.8</v>
      </c>
      <c r="V18"/>
      <c r="W18"/>
      <c r="X18"/>
      <c r="Y18" s="321">
        <v>4.2714939999999997</v>
      </c>
      <c r="Z18" s="320"/>
      <c r="AA18" s="322">
        <v>55536.480686695279</v>
      </c>
      <c r="AB18" s="320"/>
      <c r="AC18" s="321">
        <v>24.285792000000001</v>
      </c>
      <c r="AD18" s="320"/>
      <c r="AE18" s="320">
        <v>25.88</v>
      </c>
      <c r="AF18" s="320"/>
      <c r="AG18">
        <v>4.66</v>
      </c>
      <c r="AH18"/>
      <c r="AI18">
        <v>145</v>
      </c>
      <c r="AJ18"/>
      <c r="AK18"/>
      <c r="AL18"/>
      <c r="AM18"/>
      <c r="AN18"/>
      <c r="AO18">
        <v>81</v>
      </c>
      <c r="AP18"/>
      <c r="AQ18" s="323"/>
      <c r="AR18" s="323"/>
      <c r="AS18">
        <v>110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>
        <v>2.4645000000000001</v>
      </c>
      <c r="BH18"/>
      <c r="BI18">
        <v>4.7424999999999997</v>
      </c>
      <c r="BJ18"/>
      <c r="BK18">
        <v>1.3694999999999999</v>
      </c>
      <c r="BL18"/>
      <c r="BM18">
        <v>64.686000000000007</v>
      </c>
      <c r="BN18"/>
      <c r="BO18">
        <v>18.606000000000002</v>
      </c>
      <c r="BP18"/>
      <c r="BQ18">
        <v>10.131</v>
      </c>
      <c r="BR18"/>
      <c r="BS18">
        <v>52.177</v>
      </c>
      <c r="BT18"/>
      <c r="BU18">
        <v>17.343</v>
      </c>
      <c r="BV18"/>
      <c r="BW18">
        <v>74.564999999999998</v>
      </c>
      <c r="BX18" s="324"/>
      <c r="BY18">
        <v>5.7870000000000061</v>
      </c>
      <c r="BZ18"/>
      <c r="CA18"/>
      <c r="CC18">
        <v>5.81</v>
      </c>
      <c r="CD18"/>
      <c r="CE18"/>
      <c r="CF18"/>
      <c r="CG18"/>
      <c r="CH18"/>
      <c r="CI18"/>
      <c r="CJ18"/>
      <c r="CK18"/>
      <c r="CL18"/>
      <c r="CM18"/>
    </row>
    <row r="19" spans="1:91">
      <c r="A19" s="154" t="s">
        <v>7757</v>
      </c>
      <c r="B19" t="s">
        <v>8289</v>
      </c>
      <c r="C19">
        <v>2</v>
      </c>
      <c r="D19">
        <v>472</v>
      </c>
      <c r="E19" s="113">
        <v>72</v>
      </c>
      <c r="F19" s="113">
        <v>4</v>
      </c>
      <c r="I19">
        <v>31</v>
      </c>
      <c r="K19" s="320">
        <v>8</v>
      </c>
      <c r="L19" s="320"/>
      <c r="M19">
        <v>0.7</v>
      </c>
      <c r="N19" s="320"/>
      <c r="O19"/>
      <c r="P19"/>
      <c r="Q19"/>
      <c r="S19" s="320">
        <v>0</v>
      </c>
      <c r="T19" s="320"/>
      <c r="U19">
        <v>10.8</v>
      </c>
      <c r="V19"/>
      <c r="W19"/>
      <c r="X19"/>
      <c r="Y19" s="321">
        <v>1.3098591000000002</v>
      </c>
      <c r="Z19" s="320"/>
      <c r="AA19" s="322">
        <v>27500</v>
      </c>
      <c r="AB19" s="320"/>
      <c r="AC19" s="321">
        <v>6.3001531999999996</v>
      </c>
      <c r="AD19" s="320"/>
      <c r="AE19" s="320">
        <v>6.71</v>
      </c>
      <c r="AF19" s="320"/>
      <c r="AG19">
        <v>2.44</v>
      </c>
      <c r="AH19"/>
      <c r="AI19">
        <v>128</v>
      </c>
      <c r="AJ19"/>
      <c r="AK19"/>
      <c r="AL19"/>
      <c r="AM19"/>
      <c r="AN19"/>
      <c r="AO19">
        <v>81</v>
      </c>
      <c r="AP19"/>
      <c r="AQ19" s="323"/>
      <c r="AR19" s="323"/>
      <c r="AS19">
        <v>114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8361</v>
      </c>
      <c r="BX19" s="324"/>
      <c r="BY19" t="s">
        <v>8237</v>
      </c>
      <c r="BZ19"/>
      <c r="CA19"/>
      <c r="CC19">
        <v>5.84</v>
      </c>
      <c r="CD19"/>
      <c r="CE19"/>
      <c r="CF19"/>
      <c r="CG19"/>
      <c r="CH19"/>
      <c r="CI19"/>
      <c r="CJ19"/>
      <c r="CK19"/>
      <c r="CL19"/>
      <c r="CM19"/>
    </row>
    <row r="20" spans="1:91">
      <c r="A20" s="154" t="s">
        <v>7757</v>
      </c>
      <c r="B20" t="s">
        <v>8289</v>
      </c>
      <c r="C20">
        <v>1</v>
      </c>
      <c r="D20">
        <v>1211</v>
      </c>
      <c r="E20" s="113">
        <v>11</v>
      </c>
      <c r="F20" s="113">
        <v>12</v>
      </c>
      <c r="I20">
        <v>29.999999999999996</v>
      </c>
      <c r="K20" s="320">
        <v>9</v>
      </c>
      <c r="L20" s="320"/>
      <c r="M20">
        <v>2.67</v>
      </c>
      <c r="N20" s="320"/>
      <c r="O20"/>
      <c r="P20"/>
      <c r="Q20"/>
      <c r="S20" s="320">
        <v>11.376429850599999</v>
      </c>
      <c r="T20" s="320"/>
      <c r="U20">
        <v>10.8</v>
      </c>
      <c r="V20"/>
      <c r="W20"/>
      <c r="X20"/>
      <c r="Y20" s="321">
        <v>5.2872639999999986</v>
      </c>
      <c r="Z20" s="320"/>
      <c r="AA20" s="322">
        <v>61650.485436893199</v>
      </c>
      <c r="AB20" s="320"/>
      <c r="AC20" s="321">
        <v>23.60549</v>
      </c>
      <c r="AD20" s="320"/>
      <c r="AE20" s="320">
        <v>25.4</v>
      </c>
      <c r="AF20" s="320"/>
      <c r="AG20">
        <v>4.12</v>
      </c>
      <c r="AH20"/>
      <c r="AI20">
        <v>130</v>
      </c>
      <c r="AJ20"/>
      <c r="AK20"/>
      <c r="AL20"/>
      <c r="AM20"/>
      <c r="AN20"/>
      <c r="AO20">
        <v>79</v>
      </c>
      <c r="AP20"/>
      <c r="AQ20" s="323"/>
      <c r="AR20" s="323"/>
      <c r="AS20">
        <v>112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>
        <v>4.7960000000000003</v>
      </c>
      <c r="BH20"/>
      <c r="BI20">
        <v>4.9433999999999996</v>
      </c>
      <c r="BJ20"/>
      <c r="BK20">
        <v>1.4112</v>
      </c>
      <c r="BL20"/>
      <c r="BM20">
        <v>62.784999999999997</v>
      </c>
      <c r="BN20"/>
      <c r="BO20">
        <v>19.143000000000001</v>
      </c>
      <c r="BP20"/>
      <c r="BQ20">
        <v>9.5769000000000002</v>
      </c>
      <c r="BR20"/>
      <c r="BS20">
        <v>48.194000000000003</v>
      </c>
      <c r="BT20"/>
      <c r="BU20">
        <v>18.565000000000001</v>
      </c>
      <c r="BV20"/>
      <c r="BW20" s="325">
        <v>26.34</v>
      </c>
      <c r="BX20"/>
      <c r="BY20">
        <v>6.2890000000000015</v>
      </c>
      <c r="BZ20"/>
      <c r="CA20"/>
      <c r="CC20">
        <v>6.52</v>
      </c>
      <c r="CD20"/>
      <c r="CE20"/>
      <c r="CF20"/>
      <c r="CG20"/>
      <c r="CH20"/>
      <c r="CI20"/>
      <c r="CJ20"/>
      <c r="CK20"/>
      <c r="CL20"/>
      <c r="CM20"/>
    </row>
    <row r="21" spans="1:91">
      <c r="A21" s="154" t="s">
        <v>7757</v>
      </c>
      <c r="B21" t="s">
        <v>8287</v>
      </c>
      <c r="C21">
        <v>2</v>
      </c>
      <c r="D21">
        <v>1467</v>
      </c>
      <c r="E21" s="113">
        <v>67</v>
      </c>
      <c r="F21" s="113">
        <v>14</v>
      </c>
      <c r="I21">
        <v>31</v>
      </c>
      <c r="K21" s="320">
        <v>9</v>
      </c>
      <c r="L21" s="320"/>
      <c r="M21">
        <v>2.23</v>
      </c>
      <c r="N21" s="320"/>
      <c r="O21"/>
      <c r="P21"/>
      <c r="Q21"/>
      <c r="S21" s="320">
        <v>9.8422809193799985</v>
      </c>
      <c r="T21" s="320"/>
      <c r="U21">
        <v>10.8</v>
      </c>
      <c r="V21"/>
      <c r="W21"/>
      <c r="X21"/>
      <c r="Y21" s="321">
        <v>3.6740756000000001</v>
      </c>
      <c r="Z21" s="320"/>
      <c r="AA21" s="322">
        <v>51497.58454106281</v>
      </c>
      <c r="AB21" s="320"/>
      <c r="AC21" s="321">
        <v>19.952321999999999</v>
      </c>
      <c r="AD21" s="320"/>
      <c r="AE21" s="320">
        <v>21.32</v>
      </c>
      <c r="AF21" s="320"/>
      <c r="AG21">
        <v>4.1399999999999997</v>
      </c>
      <c r="AH21"/>
      <c r="AI21">
        <v>125</v>
      </c>
      <c r="AJ21"/>
      <c r="AK21"/>
      <c r="AL21"/>
      <c r="AM21"/>
      <c r="AN21"/>
      <c r="AO21">
        <v>79</v>
      </c>
      <c r="AP21"/>
      <c r="AQ21" s="323"/>
      <c r="AR21" s="323"/>
      <c r="AS21">
        <v>112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>
        <v>4.9664999999999999</v>
      </c>
      <c r="BH21"/>
      <c r="BI21">
        <v>5.0170000000000003</v>
      </c>
      <c r="BJ21"/>
      <c r="BK21">
        <v>1.2322</v>
      </c>
      <c r="BL21"/>
      <c r="BM21">
        <v>54.923999999999999</v>
      </c>
      <c r="BN21"/>
      <c r="BO21">
        <v>20.948</v>
      </c>
      <c r="BP21"/>
      <c r="BQ21">
        <v>9.8201999999999998</v>
      </c>
      <c r="BR21"/>
      <c r="BS21">
        <v>49.329000000000001</v>
      </c>
      <c r="BT21"/>
      <c r="BU21">
        <v>17.582000000000001</v>
      </c>
      <c r="BV21"/>
      <c r="BW21" s="325">
        <v>50.92</v>
      </c>
      <c r="BX21"/>
      <c r="BY21">
        <v>5.9749999999999943</v>
      </c>
      <c r="BZ21"/>
      <c r="CA21"/>
      <c r="CC21">
        <v>6.05</v>
      </c>
      <c r="CD21"/>
      <c r="CE21"/>
      <c r="CF21"/>
      <c r="CG21"/>
      <c r="CH21"/>
      <c r="CI21"/>
      <c r="CJ21"/>
      <c r="CK21"/>
      <c r="CL21"/>
      <c r="CM21"/>
    </row>
    <row r="22" spans="1:91">
      <c r="A22" s="327" t="s">
        <v>7758</v>
      </c>
      <c r="B22" s="328" t="s">
        <v>8289</v>
      </c>
      <c r="C22" s="328">
        <v>2</v>
      </c>
      <c r="D22" s="328">
        <v>365</v>
      </c>
      <c r="E22" s="113">
        <v>65</v>
      </c>
      <c r="F22" s="113">
        <v>3</v>
      </c>
      <c r="G22" s="329"/>
      <c r="H22" s="329"/>
      <c r="I22" s="328">
        <v>27.499999999999996</v>
      </c>
      <c r="J22" s="330"/>
      <c r="K22" s="331">
        <v>6</v>
      </c>
      <c r="L22" s="331"/>
      <c r="M22" s="328">
        <v>1.26</v>
      </c>
      <c r="N22" s="331"/>
      <c r="O22" s="328"/>
      <c r="P22" s="328"/>
      <c r="Q22" s="328"/>
      <c r="R22" s="332"/>
      <c r="S22" s="331" t="s">
        <v>8361</v>
      </c>
      <c r="T22" s="331"/>
      <c r="U22" s="328">
        <v>10.8</v>
      </c>
      <c r="V22" s="328"/>
      <c r="W22" s="328"/>
      <c r="X22" s="328"/>
      <c r="Y22" s="333">
        <v>0</v>
      </c>
      <c r="Z22" s="331"/>
      <c r="AA22" s="334">
        <v>25688.888888888891</v>
      </c>
      <c r="AB22" s="331"/>
      <c r="AC22" s="333" t="s">
        <v>8361</v>
      </c>
      <c r="AD22" s="331"/>
      <c r="AE22" s="331">
        <v>11.56</v>
      </c>
      <c r="AF22" s="331"/>
      <c r="AG22" s="328">
        <v>4.5</v>
      </c>
      <c r="AH22" s="328"/>
      <c r="AI22" s="328">
        <v>115</v>
      </c>
      <c r="AJ22" s="328"/>
      <c r="AK22" s="328"/>
      <c r="AL22" s="328"/>
      <c r="AM22" s="328"/>
      <c r="AN22" s="328"/>
      <c r="AO22" s="328">
        <v>80</v>
      </c>
      <c r="AP22" s="328"/>
      <c r="AQ22" s="335"/>
      <c r="AR22" s="335"/>
      <c r="AS22" s="328">
        <v>120</v>
      </c>
      <c r="AT22" s="328"/>
      <c r="AU22" s="328"/>
      <c r="AV22" s="328"/>
      <c r="AW22" s="328"/>
      <c r="AX22" s="328"/>
      <c r="AY22" s="328"/>
      <c r="AZ22" s="328"/>
      <c r="BA22" s="328"/>
      <c r="BB22" s="328"/>
      <c r="BC22" s="328"/>
      <c r="BD22" s="328"/>
      <c r="BE22" s="328"/>
      <c r="BF22" s="328"/>
      <c r="BG22" s="328">
        <v>-2.1318999999999999</v>
      </c>
      <c r="BH22" s="328"/>
      <c r="BI22" s="328">
        <v>4.7887000000000004</v>
      </c>
      <c r="BJ22" s="328"/>
      <c r="BK22" s="328">
        <v>1.5005999999999999</v>
      </c>
      <c r="BL22" s="328"/>
      <c r="BM22" s="328">
        <v>65.977000000000004</v>
      </c>
      <c r="BN22" s="328"/>
      <c r="BO22" s="328">
        <v>18.245999999999999</v>
      </c>
      <c r="BP22" s="328"/>
      <c r="BQ22" s="328">
        <v>9.7850000000000001</v>
      </c>
      <c r="BR22" s="328"/>
      <c r="BS22" s="328">
        <v>43.405999999999999</v>
      </c>
      <c r="BT22" s="328"/>
      <c r="BU22" s="328">
        <v>21.501000000000001</v>
      </c>
      <c r="BV22" s="328"/>
      <c r="BW22" s="336">
        <v>10.4</v>
      </c>
      <c r="BX22" s="328"/>
      <c r="BY22" s="328">
        <v>7.3559999999999945</v>
      </c>
      <c r="BZ22" s="328"/>
      <c r="CA22" s="328"/>
      <c r="CB22" s="337"/>
      <c r="CC22" s="328">
        <v>9.83</v>
      </c>
      <c r="CD22" s="328"/>
      <c r="CE22" s="328"/>
      <c r="CF22" s="328"/>
      <c r="CG22" s="328"/>
      <c r="CH22" s="328"/>
      <c r="CI22" s="328"/>
      <c r="CJ22" s="328"/>
      <c r="CK22" s="328" t="s">
        <v>8377</v>
      </c>
      <c r="CL22" s="328"/>
      <c r="CM22" s="328"/>
    </row>
    <row r="23" spans="1:91">
      <c r="A23" s="327" t="s">
        <v>7758</v>
      </c>
      <c r="B23" s="328" t="s">
        <v>8287</v>
      </c>
      <c r="C23" s="328">
        <v>1</v>
      </c>
      <c r="D23" s="328">
        <v>806</v>
      </c>
      <c r="E23" s="113">
        <v>6</v>
      </c>
      <c r="F23" s="113">
        <v>8</v>
      </c>
      <c r="G23" s="329"/>
      <c r="H23" s="329"/>
      <c r="I23" s="328">
        <v>26</v>
      </c>
      <c r="J23" s="330"/>
      <c r="K23" s="331">
        <v>8</v>
      </c>
      <c r="L23" s="331"/>
      <c r="M23" s="328">
        <v>2.37</v>
      </c>
      <c r="N23" s="331"/>
      <c r="O23" s="328"/>
      <c r="P23" s="328"/>
      <c r="Q23" s="328"/>
      <c r="R23" s="332"/>
      <c r="S23" s="331">
        <v>10.519996556720001</v>
      </c>
      <c r="T23" s="331"/>
      <c r="U23" s="328">
        <v>10.8</v>
      </c>
      <c r="V23" s="328"/>
      <c r="W23" s="328"/>
      <c r="X23" s="328"/>
      <c r="Y23" s="333">
        <v>3.9426967999999998</v>
      </c>
      <c r="Z23" s="331"/>
      <c r="AA23" s="334">
        <v>55110.024449877754</v>
      </c>
      <c r="AB23" s="331"/>
      <c r="AC23" s="333">
        <v>21.069490399999999</v>
      </c>
      <c r="AD23" s="331"/>
      <c r="AE23" s="331">
        <v>22.54</v>
      </c>
      <c r="AF23" s="331"/>
      <c r="AG23" s="328">
        <v>4.09</v>
      </c>
      <c r="AH23" s="328"/>
      <c r="AI23" s="328">
        <v>138</v>
      </c>
      <c r="AJ23" s="328"/>
      <c r="AK23" s="328"/>
      <c r="AL23" s="328"/>
      <c r="AM23" s="328"/>
      <c r="AN23" s="328"/>
      <c r="AO23" s="328">
        <v>85</v>
      </c>
      <c r="AP23" s="328"/>
      <c r="AQ23" s="335"/>
      <c r="AR23" s="335"/>
      <c r="AS23" s="328">
        <v>116</v>
      </c>
      <c r="AT23" s="328"/>
      <c r="AU23" s="328"/>
      <c r="AV23" s="328"/>
      <c r="AW23" s="328"/>
      <c r="AX23" s="328"/>
      <c r="AY23" s="328"/>
      <c r="AZ23" s="328"/>
      <c r="BA23" s="328"/>
      <c r="BB23" s="328"/>
      <c r="BC23" s="328"/>
      <c r="BD23" s="328"/>
      <c r="BE23" s="328"/>
      <c r="BF23" s="328"/>
      <c r="BG23" s="328">
        <v>5.4939</v>
      </c>
      <c r="BH23" s="328"/>
      <c r="BI23" s="328">
        <v>4.7061999999999999</v>
      </c>
      <c r="BJ23" s="328"/>
      <c r="BK23" s="328">
        <v>1.2470000000000001</v>
      </c>
      <c r="BL23" s="328"/>
      <c r="BM23" s="328">
        <v>59.396999999999998</v>
      </c>
      <c r="BN23" s="328"/>
      <c r="BO23" s="328">
        <v>18.748000000000001</v>
      </c>
      <c r="BP23" s="328"/>
      <c r="BQ23" s="328">
        <v>10.358000000000001</v>
      </c>
      <c r="BR23" s="328"/>
      <c r="BS23" s="328">
        <v>49.93</v>
      </c>
      <c r="BT23" s="328"/>
      <c r="BU23" s="328">
        <v>17.757000000000001</v>
      </c>
      <c r="BV23" s="328"/>
      <c r="BW23" s="328">
        <v>43.012</v>
      </c>
      <c r="BX23" s="339"/>
      <c r="BY23" s="328">
        <v>6.7330000000000041</v>
      </c>
      <c r="BZ23" s="328"/>
      <c r="CA23" s="328"/>
      <c r="CB23" s="337"/>
      <c r="CC23" s="328">
        <v>6.52</v>
      </c>
      <c r="CD23" s="328"/>
      <c r="CE23" s="328"/>
      <c r="CF23" s="328"/>
      <c r="CG23" s="328"/>
      <c r="CH23" s="328"/>
      <c r="CI23" s="328"/>
      <c r="CJ23" s="328"/>
      <c r="CK23" s="328" t="s">
        <v>8377</v>
      </c>
      <c r="CL23" s="328"/>
      <c r="CM23" s="328"/>
    </row>
    <row r="24" spans="1:91">
      <c r="A24" s="327" t="s">
        <v>7758</v>
      </c>
      <c r="B24" s="328" t="s">
        <v>8287</v>
      </c>
      <c r="C24" s="328">
        <v>2</v>
      </c>
      <c r="D24" s="328">
        <v>1369</v>
      </c>
      <c r="E24" s="113">
        <v>69</v>
      </c>
      <c r="F24" s="113">
        <v>13</v>
      </c>
      <c r="G24" s="329"/>
      <c r="H24" s="329"/>
      <c r="I24" s="328">
        <v>20.5</v>
      </c>
      <c r="J24" s="330"/>
      <c r="K24" s="331">
        <v>9</v>
      </c>
      <c r="L24" s="331"/>
      <c r="M24" s="328">
        <v>2.15</v>
      </c>
      <c r="N24" s="331"/>
      <c r="O24" s="328"/>
      <c r="P24" s="328"/>
      <c r="Q24" s="328"/>
      <c r="R24" s="332"/>
      <c r="S24" s="331">
        <v>9.1324545540479996</v>
      </c>
      <c r="T24" s="331"/>
      <c r="U24" s="328">
        <v>10.8</v>
      </c>
      <c r="V24" s="328"/>
      <c r="W24" s="328"/>
      <c r="X24" s="328"/>
      <c r="Y24" s="333">
        <v>3.1938101999999997</v>
      </c>
      <c r="Z24" s="331"/>
      <c r="AA24" s="334">
        <v>54588.859416445615</v>
      </c>
      <c r="AB24" s="331"/>
      <c r="AC24" s="333">
        <v>19.224601199999999</v>
      </c>
      <c r="AD24" s="331"/>
      <c r="AE24" s="331">
        <v>20.58</v>
      </c>
      <c r="AF24" s="331"/>
      <c r="AG24" s="328">
        <v>3.77</v>
      </c>
      <c r="AH24" s="328"/>
      <c r="AI24" s="328">
        <v>133</v>
      </c>
      <c r="AJ24" s="328"/>
      <c r="AK24" s="328"/>
      <c r="AL24" s="328"/>
      <c r="AM24" s="328"/>
      <c r="AN24" s="328"/>
      <c r="AO24" s="328">
        <v>85</v>
      </c>
      <c r="AP24" s="328"/>
      <c r="AQ24" s="335"/>
      <c r="AR24" s="335"/>
      <c r="AS24" s="328">
        <v>112</v>
      </c>
      <c r="AT24" s="328"/>
      <c r="AU24" s="328"/>
      <c r="AV24" s="328"/>
      <c r="AW24" s="328"/>
      <c r="AX24" s="328"/>
      <c r="AY24" s="328"/>
      <c r="AZ24" s="328"/>
      <c r="BA24" s="328"/>
      <c r="BB24" s="328"/>
      <c r="BC24" s="328"/>
      <c r="BD24" s="328"/>
      <c r="BE24" s="328"/>
      <c r="BF24" s="328"/>
      <c r="BG24" s="328">
        <v>6.8141999999999996</v>
      </c>
      <c r="BH24" s="328"/>
      <c r="BI24" s="328">
        <v>4.7268999999999997</v>
      </c>
      <c r="BJ24" s="328"/>
      <c r="BK24" s="328">
        <v>1.1603000000000001</v>
      </c>
      <c r="BL24" s="328"/>
      <c r="BM24" s="328">
        <v>59.475000000000001</v>
      </c>
      <c r="BN24" s="328"/>
      <c r="BO24" s="328">
        <v>19.695</v>
      </c>
      <c r="BP24" s="328"/>
      <c r="BQ24" s="328">
        <v>10.628</v>
      </c>
      <c r="BR24" s="328"/>
      <c r="BS24" s="328">
        <v>47.503999999999998</v>
      </c>
      <c r="BT24" s="328"/>
      <c r="BU24" s="328">
        <v>18.821000000000002</v>
      </c>
      <c r="BV24" s="328"/>
      <c r="BW24" s="328">
        <v>55.945999999999998</v>
      </c>
      <c r="BX24" s="339"/>
      <c r="BY24" s="328">
        <v>6.8229999999999933</v>
      </c>
      <c r="BZ24" s="328"/>
      <c r="CA24" s="328"/>
      <c r="CB24" s="337"/>
      <c r="CC24" s="328">
        <v>5.94</v>
      </c>
      <c r="CD24" s="328"/>
      <c r="CE24" s="328"/>
      <c r="CF24" s="328"/>
      <c r="CG24" s="328"/>
      <c r="CH24" s="328"/>
      <c r="CI24" s="328"/>
      <c r="CJ24" s="328"/>
      <c r="CK24" s="328"/>
      <c r="CL24" s="328"/>
      <c r="CM24" s="328"/>
    </row>
    <row r="25" spans="1:91">
      <c r="A25" s="327" t="s">
        <v>7758</v>
      </c>
      <c r="B25" s="328" t="s">
        <v>8289</v>
      </c>
      <c r="C25" s="328">
        <v>1</v>
      </c>
      <c r="D25" s="328">
        <v>1621</v>
      </c>
      <c r="E25" s="113">
        <v>21</v>
      </c>
      <c r="F25" s="113">
        <v>16</v>
      </c>
      <c r="G25" s="329"/>
      <c r="H25" s="329"/>
      <c r="I25" s="328">
        <v>29.5</v>
      </c>
      <c r="J25" s="330"/>
      <c r="K25" s="331">
        <v>8</v>
      </c>
      <c r="L25" s="331"/>
      <c r="M25" s="328">
        <v>2.61</v>
      </c>
      <c r="N25" s="331"/>
      <c r="O25" s="328"/>
      <c r="P25" s="328"/>
      <c r="Q25" s="328"/>
      <c r="R25" s="332"/>
      <c r="S25" s="331">
        <v>11.002668887807999</v>
      </c>
      <c r="T25" s="331"/>
      <c r="U25" s="328">
        <v>10.8</v>
      </c>
      <c r="V25" s="328"/>
      <c r="W25" s="328"/>
      <c r="X25" s="328"/>
      <c r="Y25" s="333">
        <v>5.0276928000000005</v>
      </c>
      <c r="Z25" s="331"/>
      <c r="AA25" s="334">
        <v>63189.873417721516</v>
      </c>
      <c r="AB25" s="331"/>
      <c r="AC25" s="333">
        <v>23.3930112</v>
      </c>
      <c r="AD25" s="331"/>
      <c r="AE25" s="331">
        <v>24.96</v>
      </c>
      <c r="AF25" s="331"/>
      <c r="AG25" s="328">
        <v>3.95</v>
      </c>
      <c r="AH25" s="328"/>
      <c r="AI25" s="328">
        <v>130</v>
      </c>
      <c r="AJ25" s="328"/>
      <c r="AK25" s="328"/>
      <c r="AL25" s="328"/>
      <c r="AM25" s="328"/>
      <c r="AN25" s="328"/>
      <c r="AO25" s="328">
        <v>83</v>
      </c>
      <c r="AP25" s="328"/>
      <c r="AQ25" s="335"/>
      <c r="AR25" s="335"/>
      <c r="AS25" s="328">
        <v>114</v>
      </c>
      <c r="AT25" s="328"/>
      <c r="AU25" s="328"/>
      <c r="AV25" s="328"/>
      <c r="AW25" s="328"/>
      <c r="AX25" s="328"/>
      <c r="AY25" s="328"/>
      <c r="AZ25" s="328"/>
      <c r="BA25" s="328"/>
      <c r="BB25" s="328"/>
      <c r="BC25" s="328"/>
      <c r="BD25" s="328"/>
      <c r="BE25" s="328"/>
      <c r="BF25" s="328"/>
      <c r="BG25" s="328">
        <v>9.6112000000000002</v>
      </c>
      <c r="BH25" s="328"/>
      <c r="BI25" s="328">
        <v>4.2488999999999999</v>
      </c>
      <c r="BJ25" s="328"/>
      <c r="BK25" s="328">
        <v>1.2276</v>
      </c>
      <c r="BL25" s="328"/>
      <c r="BM25" s="328">
        <v>52.295000000000002</v>
      </c>
      <c r="BN25" s="328"/>
      <c r="BO25" s="328">
        <v>18.741</v>
      </c>
      <c r="BP25" s="328"/>
      <c r="BQ25" s="328">
        <v>10.569000000000001</v>
      </c>
      <c r="BR25" s="328"/>
      <c r="BS25" s="328">
        <v>47.033999999999999</v>
      </c>
      <c r="BT25" s="328"/>
      <c r="BU25" s="328">
        <v>20.28</v>
      </c>
      <c r="BV25" s="328"/>
      <c r="BW25" s="336">
        <v>25.63</v>
      </c>
      <c r="BX25" s="328"/>
      <c r="BY25" s="328">
        <v>6.6809999999999974</v>
      </c>
      <c r="BZ25" s="328"/>
      <c r="CA25" s="328"/>
      <c r="CB25" s="337"/>
      <c r="CC25" s="328">
        <v>6.01</v>
      </c>
      <c r="CD25" s="328"/>
      <c r="CE25" s="328"/>
      <c r="CF25" s="328"/>
      <c r="CG25" s="328"/>
      <c r="CH25" s="328"/>
      <c r="CI25" s="328"/>
      <c r="CJ25" s="328"/>
      <c r="CK25" s="328"/>
      <c r="CL25" s="328"/>
      <c r="CM25" s="328"/>
    </row>
    <row r="26" spans="1:91">
      <c r="A26" s="154" t="s">
        <v>7759</v>
      </c>
      <c r="B26" t="s">
        <v>8289</v>
      </c>
      <c r="C26">
        <v>2</v>
      </c>
      <c r="D26">
        <v>644</v>
      </c>
      <c r="E26" s="113">
        <v>44</v>
      </c>
      <c r="F26" s="113">
        <v>6</v>
      </c>
      <c r="I26">
        <v>23.999999999999996</v>
      </c>
      <c r="K26" s="320">
        <v>9</v>
      </c>
      <c r="L26" s="320"/>
      <c r="M26">
        <v>2.91</v>
      </c>
      <c r="N26" s="320"/>
      <c r="O26"/>
      <c r="P26"/>
      <c r="Q26"/>
      <c r="S26" s="320">
        <v>13.312086995339998</v>
      </c>
      <c r="T26" s="320"/>
      <c r="U26">
        <v>10.8</v>
      </c>
      <c r="V26"/>
      <c r="W26"/>
      <c r="X26"/>
      <c r="Y26" s="321">
        <v>5.3258309999999991</v>
      </c>
      <c r="Z26" s="320"/>
      <c r="AA26" s="322">
        <v>66428.57142857142</v>
      </c>
      <c r="AB26" s="320"/>
      <c r="AC26" s="321">
        <v>26.127233999999998</v>
      </c>
      <c r="AD26" s="320"/>
      <c r="AE26" s="320">
        <v>27.9</v>
      </c>
      <c r="AF26" s="320"/>
      <c r="AG26">
        <v>4.2</v>
      </c>
      <c r="AH26"/>
      <c r="AI26">
        <v>173</v>
      </c>
      <c r="AJ26"/>
      <c r="AK26"/>
      <c r="AL26"/>
      <c r="AM26"/>
      <c r="AN26"/>
      <c r="AO26">
        <v>80</v>
      </c>
      <c r="AP26"/>
      <c r="AQ26" s="323"/>
      <c r="AR26" s="323"/>
      <c r="AS26">
        <v>118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>
        <v>51.027999999999999</v>
      </c>
      <c r="BH26"/>
      <c r="BI26">
        <v>4.2553000000000001</v>
      </c>
      <c r="BJ26"/>
      <c r="BK26">
        <v>0.56864000000000003</v>
      </c>
      <c r="BL26"/>
      <c r="BM26"/>
      <c r="BN26"/>
      <c r="BO26">
        <v>15.86</v>
      </c>
      <c r="BP26"/>
      <c r="BQ26">
        <v>10.02</v>
      </c>
      <c r="BR26"/>
      <c r="BS26">
        <v>50.951000000000001</v>
      </c>
      <c r="BT26"/>
      <c r="BU26">
        <v>21.56</v>
      </c>
      <c r="BV26"/>
      <c r="BW26" s="325">
        <v>56.14</v>
      </c>
      <c r="BX26"/>
      <c r="BY26">
        <v>6.0370000000000061</v>
      </c>
      <c r="BZ26"/>
      <c r="CA26"/>
      <c r="CC26">
        <v>5.78</v>
      </c>
      <c r="CD26"/>
      <c r="CE26"/>
      <c r="CF26"/>
      <c r="CG26"/>
      <c r="CH26"/>
      <c r="CI26"/>
      <c r="CJ26"/>
      <c r="CK26"/>
      <c r="CL26"/>
      <c r="CM26"/>
    </row>
    <row r="27" spans="1:91">
      <c r="A27" s="327" t="s">
        <v>7759</v>
      </c>
      <c r="B27" s="328" t="s">
        <v>8287</v>
      </c>
      <c r="C27" s="328">
        <v>1</v>
      </c>
      <c r="D27" s="328">
        <v>932</v>
      </c>
      <c r="E27" s="113">
        <v>32</v>
      </c>
      <c r="F27" s="113">
        <v>9</v>
      </c>
      <c r="G27" s="329"/>
      <c r="H27" s="329"/>
      <c r="I27" s="328">
        <v>13.5</v>
      </c>
      <c r="J27" s="330"/>
      <c r="K27" s="331">
        <v>7</v>
      </c>
      <c r="L27" s="331"/>
      <c r="M27" s="328">
        <v>0.36</v>
      </c>
      <c r="N27" s="331"/>
      <c r="O27" s="328"/>
      <c r="P27" s="328"/>
      <c r="Q27" s="328"/>
      <c r="R27" s="332"/>
      <c r="S27" s="331">
        <v>1.5881251662320002</v>
      </c>
      <c r="T27" s="331"/>
      <c r="U27" s="328">
        <v>10.8</v>
      </c>
      <c r="V27" s="328"/>
      <c r="W27" s="328"/>
      <c r="X27" s="328"/>
      <c r="Y27" s="333">
        <v>0.67258840000000009</v>
      </c>
      <c r="Z27" s="331"/>
      <c r="AA27" s="334">
        <v>8296.8369829683688</v>
      </c>
      <c r="AB27" s="331"/>
      <c r="AC27" s="333">
        <v>3.1652984000000002</v>
      </c>
      <c r="AD27" s="331"/>
      <c r="AE27" s="331">
        <v>3.41</v>
      </c>
      <c r="AF27" s="331"/>
      <c r="AG27" s="328">
        <v>4.1100000000000003</v>
      </c>
      <c r="AH27" s="328"/>
      <c r="AI27" s="328">
        <v>100</v>
      </c>
      <c r="AJ27" s="328"/>
      <c r="AK27" s="328"/>
      <c r="AL27" s="328"/>
      <c r="AM27" s="328"/>
      <c r="AN27" s="328"/>
      <c r="AO27" s="328">
        <v>83</v>
      </c>
      <c r="AP27" s="328"/>
      <c r="AQ27" s="335"/>
      <c r="AR27" s="335"/>
      <c r="AS27" s="328">
        <v>116</v>
      </c>
      <c r="AT27" s="328"/>
      <c r="AU27" s="328"/>
      <c r="AV27" s="328"/>
      <c r="AW27" s="328"/>
      <c r="AX27" s="328"/>
      <c r="AY27" s="328"/>
      <c r="AZ27" s="328"/>
      <c r="BA27" s="328"/>
      <c r="BB27" s="328"/>
      <c r="BC27" s="328"/>
      <c r="BD27" s="328"/>
      <c r="BE27" s="328"/>
      <c r="BF27" s="328"/>
      <c r="BG27" s="328">
        <v>36.630000000000003</v>
      </c>
      <c r="BH27" s="328"/>
      <c r="BI27" s="328">
        <v>4.3834</v>
      </c>
      <c r="BJ27" s="328"/>
      <c r="BK27" s="328">
        <v>0.95853999999999995</v>
      </c>
      <c r="BL27" s="328"/>
      <c r="BM27" s="328">
        <v>21.998000000000001</v>
      </c>
      <c r="BN27" s="328"/>
      <c r="BO27" s="328">
        <v>17.199000000000002</v>
      </c>
      <c r="BP27" s="328"/>
      <c r="BQ27" s="328">
        <v>8.8375000000000004</v>
      </c>
      <c r="BR27" s="328"/>
      <c r="BS27" s="328">
        <v>50.173000000000002</v>
      </c>
      <c r="BT27" s="328"/>
      <c r="BU27" s="328">
        <v>19.635999999999999</v>
      </c>
      <c r="BV27" s="328"/>
      <c r="BW27" s="336">
        <v>12.76</v>
      </c>
      <c r="BX27" s="328"/>
      <c r="BY27" s="328">
        <v>6.3250000000000028</v>
      </c>
      <c r="BZ27" s="328"/>
      <c r="CA27" s="328"/>
      <c r="CB27" s="337"/>
      <c r="CC27" s="328">
        <v>7.04</v>
      </c>
      <c r="CD27" s="328"/>
      <c r="CE27" s="328"/>
      <c r="CF27" s="328"/>
      <c r="CG27" s="328"/>
      <c r="CH27" s="328"/>
      <c r="CI27" s="328"/>
      <c r="CJ27" s="328"/>
      <c r="CK27" s="328" t="s">
        <v>8377</v>
      </c>
      <c r="CL27" s="328"/>
      <c r="CM27" s="328"/>
    </row>
    <row r="28" spans="1:91">
      <c r="A28" s="154" t="s">
        <v>7759</v>
      </c>
      <c r="B28" t="s">
        <v>8287</v>
      </c>
      <c r="C28">
        <v>2</v>
      </c>
      <c r="D28">
        <v>1157</v>
      </c>
      <c r="E28" s="113">
        <v>57</v>
      </c>
      <c r="F28" s="113">
        <v>11</v>
      </c>
      <c r="I28">
        <v>28.5</v>
      </c>
      <c r="K28" s="320">
        <v>9</v>
      </c>
      <c r="L28" s="320"/>
      <c r="M28">
        <v>1.91</v>
      </c>
      <c r="N28" s="320"/>
      <c r="O28"/>
      <c r="P28"/>
      <c r="Q28"/>
      <c r="S28" s="320">
        <v>8.779687051949999</v>
      </c>
      <c r="T28" s="320"/>
      <c r="U28">
        <v>10.8</v>
      </c>
      <c r="V28"/>
      <c r="W28"/>
      <c r="X28"/>
      <c r="Y28" s="321">
        <v>3.2009742000000001</v>
      </c>
      <c r="Z28" s="320"/>
      <c r="AA28" s="322">
        <v>42620.192307692305</v>
      </c>
      <c r="AB28" s="320"/>
      <c r="AC28" s="321">
        <v>16.586414999999999</v>
      </c>
      <c r="AD28" s="320"/>
      <c r="AE28" s="320">
        <v>17.73</v>
      </c>
      <c r="AF28" s="320"/>
      <c r="AG28">
        <v>4.16</v>
      </c>
      <c r="AH28"/>
      <c r="AI28">
        <v>155</v>
      </c>
      <c r="AJ28"/>
      <c r="AK28"/>
      <c r="AL28"/>
      <c r="AM28"/>
      <c r="AN28"/>
      <c r="AO28">
        <v>90</v>
      </c>
      <c r="AP28"/>
      <c r="AQ28" s="323"/>
      <c r="AR28" s="323"/>
      <c r="AS28">
        <v>118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>
        <v>55.241999999999997</v>
      </c>
      <c r="BH28"/>
      <c r="BI28">
        <v>4.7165999999999997</v>
      </c>
      <c r="BJ28"/>
      <c r="BK28">
        <v>0.45368000000000003</v>
      </c>
      <c r="BL28"/>
      <c r="BM28"/>
      <c r="BN28"/>
      <c r="BO28">
        <v>15.695</v>
      </c>
      <c r="BP28"/>
      <c r="BQ28">
        <v>10.545</v>
      </c>
      <c r="BR28"/>
      <c r="BS28">
        <v>52.933</v>
      </c>
      <c r="BT28"/>
      <c r="BU28">
        <v>18.515000000000001</v>
      </c>
      <c r="BV28"/>
      <c r="BW28">
        <v>48.052999999999997</v>
      </c>
      <c r="BX28" s="324"/>
      <c r="BY28">
        <v>5.9309999999999974</v>
      </c>
      <c r="BZ28"/>
      <c r="CA28"/>
      <c r="CC28">
        <v>8.7899999999999991</v>
      </c>
      <c r="CD28"/>
      <c r="CE28"/>
      <c r="CF28"/>
      <c r="CG28"/>
      <c r="CH28"/>
      <c r="CI28"/>
      <c r="CJ28"/>
      <c r="CK28"/>
      <c r="CL28"/>
      <c r="CM28"/>
    </row>
    <row r="29" spans="1:91">
      <c r="A29" s="154" t="s">
        <v>7759</v>
      </c>
      <c r="B29" t="s">
        <v>8289</v>
      </c>
      <c r="C29">
        <v>1</v>
      </c>
      <c r="D29">
        <v>1111</v>
      </c>
      <c r="E29" s="113">
        <v>11</v>
      </c>
      <c r="F29" s="113">
        <v>11</v>
      </c>
      <c r="I29">
        <v>18</v>
      </c>
      <c r="K29" s="320">
        <v>9</v>
      </c>
      <c r="L29" s="320"/>
      <c r="M29">
        <v>2.2400000000000002</v>
      </c>
      <c r="N29" s="320"/>
      <c r="O29"/>
      <c r="P29"/>
      <c r="Q29"/>
      <c r="S29" s="320">
        <v>9.9310631489920009</v>
      </c>
      <c r="T29" s="320"/>
      <c r="U29">
        <v>10.8</v>
      </c>
      <c r="V29"/>
      <c r="W29"/>
      <c r="X29"/>
      <c r="Y29" s="321">
        <v>4.4143976</v>
      </c>
      <c r="Z29" s="320"/>
      <c r="AA29" s="322">
        <v>49471.264367816097</v>
      </c>
      <c r="AB29" s="320"/>
      <c r="AC29" s="321">
        <v>20.085476800000002</v>
      </c>
      <c r="AD29" s="320"/>
      <c r="AE29" s="320">
        <v>21.52</v>
      </c>
      <c r="AF29" s="320"/>
      <c r="AG29">
        <v>4.3499999999999996</v>
      </c>
      <c r="AH29"/>
      <c r="AI29">
        <v>145</v>
      </c>
      <c r="AJ29"/>
      <c r="AK29"/>
      <c r="AL29"/>
      <c r="AM29"/>
      <c r="AN29"/>
      <c r="AO29">
        <v>77</v>
      </c>
      <c r="AP29"/>
      <c r="AQ29" s="323"/>
      <c r="AR29" s="323"/>
      <c r="AS29">
        <v>118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>
        <v>42.084000000000003</v>
      </c>
      <c r="BH29"/>
      <c r="BI29">
        <v>4.1456999999999997</v>
      </c>
      <c r="BJ29"/>
      <c r="BK29">
        <v>0.87761</v>
      </c>
      <c r="BL29"/>
      <c r="BM29">
        <v>11.866</v>
      </c>
      <c r="BN29"/>
      <c r="BO29">
        <v>15.706</v>
      </c>
      <c r="BP29"/>
      <c r="BQ29">
        <v>8.6631</v>
      </c>
      <c r="BR29"/>
      <c r="BS29">
        <v>49.444000000000003</v>
      </c>
      <c r="BT29"/>
      <c r="BU29">
        <v>21.512</v>
      </c>
      <c r="BV29"/>
      <c r="BW29" s="325">
        <v>22.28</v>
      </c>
      <c r="BX29"/>
      <c r="BY29">
        <v>6.4039999999999964</v>
      </c>
      <c r="BZ29"/>
      <c r="CA29"/>
      <c r="CC29">
        <v>5.6</v>
      </c>
      <c r="CD29"/>
      <c r="CE29"/>
      <c r="CF29"/>
      <c r="CG29"/>
      <c r="CH29"/>
      <c r="CI29"/>
      <c r="CJ29"/>
      <c r="CK29"/>
      <c r="CL29"/>
      <c r="CM29"/>
    </row>
    <row r="30" spans="1:91">
      <c r="A30" s="154" t="s">
        <v>7760</v>
      </c>
      <c r="B30" t="s">
        <v>8289</v>
      </c>
      <c r="C30">
        <v>2</v>
      </c>
      <c r="D30">
        <v>551</v>
      </c>
      <c r="E30" s="113">
        <v>51</v>
      </c>
      <c r="F30" s="113">
        <v>5</v>
      </c>
      <c r="I30">
        <v>33.5</v>
      </c>
      <c r="K30" s="320">
        <v>8</v>
      </c>
      <c r="L30" s="320"/>
      <c r="M30">
        <v>3.66</v>
      </c>
      <c r="N30" s="320"/>
      <c r="O30"/>
      <c r="P30"/>
      <c r="Q30"/>
      <c r="S30" s="320">
        <v>14.835732662789999</v>
      </c>
      <c r="T30" s="320"/>
      <c r="U30">
        <v>10.8</v>
      </c>
      <c r="V30"/>
      <c r="W30"/>
      <c r="X30"/>
      <c r="Y30" s="321">
        <v>6.7083804000000011</v>
      </c>
      <c r="Z30" s="320"/>
      <c r="AA30" s="322">
        <v>76717.724288840254</v>
      </c>
      <c r="AB30" s="320"/>
      <c r="AC30" s="321">
        <v>32.747793000000001</v>
      </c>
      <c r="AD30" s="320"/>
      <c r="AE30" s="320">
        <v>35.06</v>
      </c>
      <c r="AF30" s="320"/>
      <c r="AG30">
        <v>4.57</v>
      </c>
      <c r="AH30"/>
      <c r="AI30">
        <v>103</v>
      </c>
      <c r="AJ30"/>
      <c r="AK30"/>
      <c r="AL30"/>
      <c r="AM30"/>
      <c r="AN30"/>
      <c r="AO30">
        <v>79</v>
      </c>
      <c r="AP30"/>
      <c r="AQ30" s="323"/>
      <c r="AR30" s="323"/>
      <c r="AS30">
        <v>114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1.1828000000000001</v>
      </c>
      <c r="BH30"/>
      <c r="BI30">
        <v>4.6577999999999999</v>
      </c>
      <c r="BJ30"/>
      <c r="BK30">
        <v>1.5725</v>
      </c>
      <c r="BL30"/>
      <c r="BM30">
        <v>61.048999999999999</v>
      </c>
      <c r="BN30"/>
      <c r="BO30">
        <v>20.934999999999999</v>
      </c>
      <c r="BP30"/>
      <c r="BQ30">
        <v>11.416</v>
      </c>
      <c r="BR30"/>
      <c r="BS30">
        <v>45.302999999999997</v>
      </c>
      <c r="BT30"/>
      <c r="BU30">
        <v>19.888999999999999</v>
      </c>
      <c r="BV30"/>
      <c r="BW30" s="325">
        <v>6.97</v>
      </c>
      <c r="BX30"/>
      <c r="BY30">
        <v>6.902000000000001</v>
      </c>
      <c r="BZ30"/>
      <c r="CA30"/>
      <c r="CC30">
        <v>5.85</v>
      </c>
      <c r="CD30"/>
      <c r="CE30"/>
      <c r="CF30"/>
      <c r="CG30"/>
      <c r="CH30"/>
      <c r="CI30"/>
      <c r="CJ30"/>
      <c r="CK30"/>
      <c r="CL30"/>
      <c r="CM30"/>
    </row>
    <row r="31" spans="1:91">
      <c r="A31" s="327" t="s">
        <v>7760</v>
      </c>
      <c r="B31" s="328" t="s">
        <v>8287</v>
      </c>
      <c r="C31" s="328">
        <v>1</v>
      </c>
      <c r="D31" s="328">
        <v>817</v>
      </c>
      <c r="E31" s="113">
        <v>17</v>
      </c>
      <c r="F31" s="113">
        <v>8</v>
      </c>
      <c r="G31" s="329"/>
      <c r="H31" s="329"/>
      <c r="I31" s="328">
        <v>31.499999999999996</v>
      </c>
      <c r="J31" s="330"/>
      <c r="K31" s="331">
        <v>7</v>
      </c>
      <c r="L31" s="331"/>
      <c r="M31" s="328">
        <v>2.2400000000000002</v>
      </c>
      <c r="N31" s="331"/>
      <c r="O31" s="328"/>
      <c r="P31" s="328"/>
      <c r="Q31" s="328"/>
      <c r="R31" s="332"/>
      <c r="S31" s="331">
        <v>9.9126765599160009</v>
      </c>
      <c r="T31" s="331"/>
      <c r="U31" s="328">
        <v>10.8</v>
      </c>
      <c r="V31" s="328"/>
      <c r="W31" s="328"/>
      <c r="X31" s="328"/>
      <c r="Y31" s="333">
        <v>3.7233134999999997</v>
      </c>
      <c r="Z31" s="331"/>
      <c r="AA31" s="334">
        <v>43056.680161943317</v>
      </c>
      <c r="AB31" s="331"/>
      <c r="AC31" s="333">
        <v>19.947431399999999</v>
      </c>
      <c r="AD31" s="331"/>
      <c r="AE31" s="331">
        <v>21.27</v>
      </c>
      <c r="AF31" s="331"/>
      <c r="AG31" s="328">
        <v>4.9400000000000004</v>
      </c>
      <c r="AH31" s="328"/>
      <c r="AI31" s="328"/>
      <c r="AJ31" s="328"/>
      <c r="AK31" s="328"/>
      <c r="AL31" s="328"/>
      <c r="AM31" s="328"/>
      <c r="AN31" s="328"/>
      <c r="AO31" s="328">
        <v>81</v>
      </c>
      <c r="AP31" s="328"/>
      <c r="AQ31" s="335"/>
      <c r="AR31" s="335"/>
      <c r="AS31" s="328">
        <v>112</v>
      </c>
      <c r="AT31" s="328"/>
      <c r="AU31" s="328"/>
      <c r="AV31" s="328"/>
      <c r="AW31" s="328"/>
      <c r="AX31" s="328"/>
      <c r="AY31" s="328"/>
      <c r="AZ31" s="328"/>
      <c r="BA31" s="328"/>
      <c r="BB31" s="328"/>
      <c r="BC31" s="328"/>
      <c r="BD31" s="328"/>
      <c r="BE31" s="328"/>
      <c r="BF31" s="328"/>
      <c r="BG31" s="328">
        <v>-0.10523</v>
      </c>
      <c r="BH31" s="328"/>
      <c r="BI31" s="328">
        <v>4.7549000000000001</v>
      </c>
      <c r="BJ31" s="328"/>
      <c r="BK31" s="328">
        <v>1.4626999999999999</v>
      </c>
      <c r="BL31" s="328"/>
      <c r="BM31" s="328">
        <v>66.064999999999998</v>
      </c>
      <c r="BN31" s="328"/>
      <c r="BO31" s="328">
        <v>20.853000000000002</v>
      </c>
      <c r="BP31" s="328"/>
      <c r="BQ31" s="328">
        <v>10.449</v>
      </c>
      <c r="BR31" s="328"/>
      <c r="BS31" s="328">
        <v>49.694000000000003</v>
      </c>
      <c r="BT31" s="328"/>
      <c r="BU31" s="328">
        <v>17.096</v>
      </c>
      <c r="BV31" s="328"/>
      <c r="BW31" s="336">
        <v>16.34</v>
      </c>
      <c r="BX31" s="328"/>
      <c r="BY31" s="328">
        <v>6.8659999999999997</v>
      </c>
      <c r="BZ31" s="328"/>
      <c r="CA31" s="328"/>
      <c r="CB31" s="337"/>
      <c r="CC31" s="328">
        <v>6.66</v>
      </c>
      <c r="CD31" s="328"/>
      <c r="CE31" s="328"/>
      <c r="CF31" s="328"/>
      <c r="CG31" s="328"/>
      <c r="CH31" s="328"/>
      <c r="CI31" s="328"/>
      <c r="CJ31" s="328"/>
      <c r="CK31" s="328" t="s">
        <v>8377</v>
      </c>
      <c r="CL31" s="328"/>
      <c r="CM31" s="328"/>
    </row>
    <row r="32" spans="1:91">
      <c r="A32" s="154" t="s">
        <v>7760</v>
      </c>
      <c r="B32" t="s">
        <v>8287</v>
      </c>
      <c r="C32">
        <v>2</v>
      </c>
      <c r="D32">
        <v>1548</v>
      </c>
      <c r="E32" s="113">
        <v>48</v>
      </c>
      <c r="F32" s="113">
        <v>15</v>
      </c>
      <c r="I32">
        <v>37.999999999999993</v>
      </c>
      <c r="K32" s="320">
        <v>8</v>
      </c>
      <c r="L32" s="320"/>
      <c r="M32">
        <v>3.07</v>
      </c>
      <c r="N32" s="320"/>
      <c r="O32"/>
      <c r="P32"/>
      <c r="Q32"/>
      <c r="S32" s="320">
        <v>13.164654156624001</v>
      </c>
      <c r="T32" s="320"/>
      <c r="U32">
        <v>10.8</v>
      </c>
      <c r="V32"/>
      <c r="W32"/>
      <c r="X32"/>
      <c r="Y32" s="321">
        <v>5.6118812</v>
      </c>
      <c r="Z32" s="320"/>
      <c r="AA32" s="322">
        <v>77303.66492146597</v>
      </c>
      <c r="AB32" s="320"/>
      <c r="AC32" s="321">
        <v>27.635355200000003</v>
      </c>
      <c r="AD32" s="320"/>
      <c r="AE32" s="320">
        <v>29.53</v>
      </c>
      <c r="AF32" s="320"/>
      <c r="AG32">
        <v>3.82</v>
      </c>
      <c r="AH32"/>
      <c r="AI32">
        <v>115</v>
      </c>
      <c r="AJ32"/>
      <c r="AK32"/>
      <c r="AL32"/>
      <c r="AM32"/>
      <c r="AN32"/>
      <c r="AO32">
        <v>79</v>
      </c>
      <c r="AP32"/>
      <c r="AQ32" s="323"/>
      <c r="AR32" s="323"/>
      <c r="AS32">
        <v>112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>
        <v>0.92154999999999998</v>
      </c>
      <c r="BH32"/>
      <c r="BI32">
        <v>5.0073999999999996</v>
      </c>
      <c r="BJ32"/>
      <c r="BK32">
        <v>1.4846999999999999</v>
      </c>
      <c r="BL32"/>
      <c r="BM32">
        <v>63.912999999999997</v>
      </c>
      <c r="BN32"/>
      <c r="BO32">
        <v>21.975000000000001</v>
      </c>
      <c r="BP32"/>
      <c r="BQ32">
        <v>9.4411000000000005</v>
      </c>
      <c r="BR32"/>
      <c r="BS32">
        <v>47.637</v>
      </c>
      <c r="BT32"/>
      <c r="BU32">
        <v>17.32</v>
      </c>
      <c r="BV32"/>
      <c r="BW32" s="325">
        <v>15.46</v>
      </c>
      <c r="BX32"/>
      <c r="BY32">
        <v>6.7950000000000017</v>
      </c>
      <c r="BZ32"/>
      <c r="CA32"/>
      <c r="CC32">
        <v>5.46</v>
      </c>
      <c r="CD32"/>
      <c r="CE32"/>
      <c r="CF32"/>
      <c r="CG32"/>
      <c r="CH32"/>
      <c r="CI32"/>
      <c r="CJ32"/>
      <c r="CK32"/>
      <c r="CL32"/>
      <c r="CM32"/>
    </row>
    <row r="33" spans="1:91">
      <c r="A33" s="154" t="s">
        <v>7760</v>
      </c>
      <c r="B33" t="s">
        <v>8289</v>
      </c>
      <c r="C33">
        <v>1</v>
      </c>
      <c r="D33">
        <v>1627</v>
      </c>
      <c r="E33" s="113">
        <v>27</v>
      </c>
      <c r="F33" s="113">
        <v>16</v>
      </c>
      <c r="I33">
        <v>32.5</v>
      </c>
      <c r="K33" s="320">
        <v>8</v>
      </c>
      <c r="L33" s="320"/>
      <c r="M33">
        <v>3.07</v>
      </c>
      <c r="N33" s="320"/>
      <c r="O33"/>
      <c r="P33"/>
      <c r="Q33"/>
      <c r="S33" s="320">
        <v>11.625658034445001</v>
      </c>
      <c r="T33" s="320"/>
      <c r="U33">
        <v>10.8</v>
      </c>
      <c r="V33"/>
      <c r="W33"/>
      <c r="X33"/>
      <c r="Y33" s="321">
        <v>5.1231803999999999</v>
      </c>
      <c r="Z33" s="320"/>
      <c r="AA33" s="322">
        <v>77554.945054945056</v>
      </c>
      <c r="AB33" s="320"/>
      <c r="AC33" s="321">
        <v>26.341130700000001</v>
      </c>
      <c r="AD33" s="320"/>
      <c r="AE33" s="320">
        <v>28.23</v>
      </c>
      <c r="AF33" s="320"/>
      <c r="AG33">
        <v>3.64</v>
      </c>
      <c r="AH33"/>
      <c r="AI33">
        <v>103</v>
      </c>
      <c r="AJ33"/>
      <c r="AK33"/>
      <c r="AL33"/>
      <c r="AM33"/>
      <c r="AN33"/>
      <c r="AO33">
        <v>80</v>
      </c>
      <c r="AP33"/>
      <c r="AQ33" s="323"/>
      <c r="AR33" s="323"/>
      <c r="AS33">
        <v>112</v>
      </c>
      <c r="AT33"/>
      <c r="AU33"/>
      <c r="AV33"/>
      <c r="AW33"/>
      <c r="AX33"/>
      <c r="AY33"/>
      <c r="AZ33"/>
      <c r="BA33"/>
      <c r="BB33"/>
      <c r="BC33"/>
      <c r="BD33"/>
      <c r="BE33"/>
      <c r="BF33"/>
      <c r="BG33">
        <v>-1.0219</v>
      </c>
      <c r="BH33"/>
      <c r="BI33">
        <v>4.5465999999999998</v>
      </c>
      <c r="BJ33"/>
      <c r="BK33">
        <v>1.4694</v>
      </c>
      <c r="BL33"/>
      <c r="BM33">
        <v>61.786999999999999</v>
      </c>
      <c r="BN33"/>
      <c r="BO33">
        <v>21.56</v>
      </c>
      <c r="BP33"/>
      <c r="BQ33">
        <v>11.589</v>
      </c>
      <c r="BR33"/>
      <c r="BS33">
        <v>44.134999999999998</v>
      </c>
      <c r="BT33"/>
      <c r="BU33">
        <v>20.388999999999999</v>
      </c>
      <c r="BV33"/>
      <c r="BW33" s="325">
        <v>11.71</v>
      </c>
      <c r="BX33"/>
      <c r="BY33">
        <v>7.0739999999999981</v>
      </c>
      <c r="BZ33"/>
      <c r="CA33"/>
      <c r="CC33">
        <v>9.6199999999999992</v>
      </c>
      <c r="CD33"/>
      <c r="CE33"/>
      <c r="CF33"/>
      <c r="CG33"/>
      <c r="CH33"/>
      <c r="CI33"/>
      <c r="CJ33"/>
      <c r="CK33"/>
      <c r="CL33"/>
      <c r="CM33"/>
    </row>
    <row r="34" spans="1:91">
      <c r="A34" s="154" t="s">
        <v>7761</v>
      </c>
      <c r="B34" t="s">
        <v>8287</v>
      </c>
      <c r="C34">
        <v>1</v>
      </c>
      <c r="D34">
        <v>508</v>
      </c>
      <c r="E34" s="113">
        <v>8</v>
      </c>
      <c r="F34" s="113">
        <v>5</v>
      </c>
      <c r="I34">
        <v>32.5</v>
      </c>
      <c r="K34" s="320">
        <v>8</v>
      </c>
      <c r="L34" s="320"/>
      <c r="M34">
        <v>2.86</v>
      </c>
      <c r="N34" s="320"/>
      <c r="O34"/>
      <c r="P34"/>
      <c r="Q34"/>
      <c r="S34" s="320">
        <v>13.587603408</v>
      </c>
      <c r="T34" s="320"/>
      <c r="U34">
        <v>10.8</v>
      </c>
      <c r="V34"/>
      <c r="W34"/>
      <c r="X34"/>
      <c r="Y34" s="321">
        <v>4.6540275000000007</v>
      </c>
      <c r="Z34" s="320"/>
      <c r="AA34" s="322">
        <v>62499.999999999993</v>
      </c>
      <c r="AB34" s="320"/>
      <c r="AC34" s="321">
        <v>25.567039999999999</v>
      </c>
      <c r="AD34" s="320"/>
      <c r="AE34" s="320">
        <v>27.25</v>
      </c>
      <c r="AF34" s="320"/>
      <c r="AG34">
        <v>4.3600000000000003</v>
      </c>
      <c r="AH34"/>
      <c r="AI34">
        <v>123</v>
      </c>
      <c r="AJ34"/>
      <c r="AK34"/>
      <c r="AL34"/>
      <c r="AM34"/>
      <c r="AN34"/>
      <c r="AO34">
        <v>77</v>
      </c>
      <c r="AP34"/>
      <c r="AQ34" s="323"/>
      <c r="AR34" s="323"/>
      <c r="AS34">
        <v>112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>
        <v>1.8741000000000001</v>
      </c>
      <c r="BH34"/>
      <c r="BI34">
        <v>4.9302999999999999</v>
      </c>
      <c r="BJ34"/>
      <c r="BK34">
        <v>1.5742</v>
      </c>
      <c r="BL34"/>
      <c r="BM34">
        <v>66.531000000000006</v>
      </c>
      <c r="BN34"/>
      <c r="BO34">
        <v>19.355</v>
      </c>
      <c r="BP34"/>
      <c r="BQ34">
        <v>8.9780999999999995</v>
      </c>
      <c r="BR34"/>
      <c r="BS34">
        <v>53.145000000000003</v>
      </c>
      <c r="BT34"/>
      <c r="BU34">
        <v>16.463000000000001</v>
      </c>
      <c r="BV34"/>
      <c r="BW34" s="325">
        <v>10.06</v>
      </c>
      <c r="BX34"/>
      <c r="BY34">
        <v>6.4330000000000069</v>
      </c>
      <c r="BZ34"/>
      <c r="CA34"/>
      <c r="CC34">
        <v>6.36</v>
      </c>
      <c r="CD34"/>
      <c r="CE34"/>
      <c r="CF34"/>
      <c r="CG34"/>
      <c r="CH34"/>
      <c r="CI34"/>
      <c r="CJ34"/>
      <c r="CK34"/>
      <c r="CL34"/>
      <c r="CM34"/>
    </row>
    <row r="35" spans="1:91">
      <c r="A35" s="327" t="s">
        <v>7761</v>
      </c>
      <c r="B35" s="328" t="s">
        <v>8289</v>
      </c>
      <c r="C35" s="328">
        <v>2</v>
      </c>
      <c r="D35" s="328">
        <v>866</v>
      </c>
      <c r="E35" s="113">
        <v>66</v>
      </c>
      <c r="F35" s="113">
        <v>8</v>
      </c>
      <c r="G35" s="329"/>
      <c r="H35" s="329"/>
      <c r="I35" s="328">
        <v>34</v>
      </c>
      <c r="J35" s="330"/>
      <c r="K35" s="331">
        <v>7</v>
      </c>
      <c r="L35" s="331"/>
      <c r="M35" s="328">
        <v>2.46</v>
      </c>
      <c r="N35" s="331"/>
      <c r="O35" s="328"/>
      <c r="P35" s="328"/>
      <c r="Q35" s="328"/>
      <c r="R35" s="332"/>
      <c r="S35" s="331">
        <v>10.036035472879998</v>
      </c>
      <c r="T35" s="331"/>
      <c r="U35" s="328">
        <v>10.8</v>
      </c>
      <c r="V35" s="328"/>
      <c r="W35" s="328"/>
      <c r="X35" s="328"/>
      <c r="Y35" s="333">
        <v>4.3959359999999998</v>
      </c>
      <c r="Z35" s="331"/>
      <c r="AA35" s="334">
        <v>52017.937219730942</v>
      </c>
      <c r="AB35" s="331"/>
      <c r="AC35" s="333">
        <v>21.496423999999998</v>
      </c>
      <c r="AD35" s="331"/>
      <c r="AE35" s="331">
        <v>23.2</v>
      </c>
      <c r="AF35" s="331"/>
      <c r="AG35" s="328">
        <v>4.46</v>
      </c>
      <c r="AH35" s="328"/>
      <c r="AI35" s="328">
        <v>108</v>
      </c>
      <c r="AJ35" s="328"/>
      <c r="AK35" s="328"/>
      <c r="AL35" s="328"/>
      <c r="AM35" s="328"/>
      <c r="AN35" s="328"/>
      <c r="AO35" s="328">
        <v>77</v>
      </c>
      <c r="AP35" s="328"/>
      <c r="AQ35" s="335"/>
      <c r="AR35" s="335"/>
      <c r="AS35" s="328">
        <v>112</v>
      </c>
      <c r="AT35" s="328"/>
      <c r="AU35" s="328"/>
      <c r="AV35" s="328"/>
      <c r="AW35" s="328"/>
      <c r="AX35" s="328"/>
      <c r="AY35" s="328"/>
      <c r="AZ35" s="328"/>
      <c r="BA35" s="328"/>
      <c r="BB35" s="328"/>
      <c r="BC35" s="328"/>
      <c r="BD35" s="328"/>
      <c r="BE35" s="328"/>
      <c r="BF35" s="328"/>
      <c r="BG35" s="328">
        <v>-1.8957999999999999</v>
      </c>
      <c r="BH35" s="328"/>
      <c r="BI35" s="328">
        <v>5.4610000000000003</v>
      </c>
      <c r="BJ35" s="328"/>
      <c r="BK35" s="328">
        <v>1.5805</v>
      </c>
      <c r="BL35" s="328"/>
      <c r="BM35" s="328">
        <v>61.048999999999999</v>
      </c>
      <c r="BN35" s="328"/>
      <c r="BO35" s="328">
        <v>20.97</v>
      </c>
      <c r="BP35" s="328"/>
      <c r="BQ35" s="328">
        <v>8.6531000000000002</v>
      </c>
      <c r="BR35" s="328"/>
      <c r="BS35" s="328">
        <v>46.686999999999998</v>
      </c>
      <c r="BT35" s="328"/>
      <c r="BU35" s="328">
        <v>18.774000000000001</v>
      </c>
      <c r="BV35" s="328"/>
      <c r="BW35" s="336">
        <v>5.44</v>
      </c>
      <c r="BX35" s="328"/>
      <c r="BY35" s="328">
        <v>7.132000000000005</v>
      </c>
      <c r="BZ35" s="328"/>
      <c r="CA35" s="328"/>
      <c r="CB35" s="337"/>
      <c r="CC35" s="328">
        <v>7.3</v>
      </c>
      <c r="CD35" s="328"/>
      <c r="CE35" s="328"/>
      <c r="CF35" s="328"/>
      <c r="CG35" s="328"/>
      <c r="CH35" s="328"/>
      <c r="CI35" s="328"/>
      <c r="CJ35" s="328"/>
      <c r="CK35" s="328" t="s">
        <v>8377</v>
      </c>
      <c r="CL35" s="328"/>
      <c r="CM35" s="328"/>
    </row>
    <row r="36" spans="1:91">
      <c r="A36" s="154" t="s">
        <v>7761</v>
      </c>
      <c r="B36" t="s">
        <v>8287</v>
      </c>
      <c r="C36">
        <v>2</v>
      </c>
      <c r="D36">
        <v>1468</v>
      </c>
      <c r="E36" s="113">
        <v>68</v>
      </c>
      <c r="F36" s="113">
        <v>14</v>
      </c>
      <c r="I36">
        <v>31</v>
      </c>
      <c r="K36" s="320">
        <v>9</v>
      </c>
      <c r="L36" s="320"/>
      <c r="M36">
        <v>3.63</v>
      </c>
      <c r="N36" s="320"/>
      <c r="O36"/>
      <c r="P36"/>
      <c r="Q36"/>
      <c r="S36" s="320">
        <v>16.735712758127999</v>
      </c>
      <c r="T36" s="320"/>
      <c r="U36">
        <v>10.8</v>
      </c>
      <c r="V36"/>
      <c r="W36"/>
      <c r="X36"/>
      <c r="Y36" s="321">
        <v>5.7747300000000008</v>
      </c>
      <c r="Z36" s="320"/>
      <c r="AA36" s="322">
        <v>85183.374083129587</v>
      </c>
      <c r="AB36" s="320"/>
      <c r="AC36" s="321">
        <v>32.7419352</v>
      </c>
      <c r="AD36" s="320"/>
      <c r="AE36" s="320">
        <v>34.840000000000003</v>
      </c>
      <c r="AF36" s="320"/>
      <c r="AG36">
        <v>4.09</v>
      </c>
      <c r="AH36"/>
      <c r="AI36">
        <v>118</v>
      </c>
      <c r="AJ36"/>
      <c r="AK36"/>
      <c r="AL36"/>
      <c r="AM36"/>
      <c r="AN36"/>
      <c r="AO36">
        <v>77</v>
      </c>
      <c r="AP36"/>
      <c r="AQ36" s="323"/>
      <c r="AR36" s="323"/>
      <c r="AS36">
        <v>112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-5.3083999999999998</v>
      </c>
      <c r="BH36"/>
      <c r="BI36">
        <v>4.6561000000000003</v>
      </c>
      <c r="BJ36"/>
      <c r="BK36">
        <v>1.5934999999999999</v>
      </c>
      <c r="BL36"/>
      <c r="BM36">
        <v>66.471000000000004</v>
      </c>
      <c r="BN36"/>
      <c r="BO36">
        <v>21.318000000000001</v>
      </c>
      <c r="BP36"/>
      <c r="BQ36">
        <v>8.7666000000000004</v>
      </c>
      <c r="BR36"/>
      <c r="BS36">
        <v>51.113999999999997</v>
      </c>
      <c r="BT36"/>
      <c r="BU36">
        <v>17.233000000000001</v>
      </c>
      <c r="BV36"/>
      <c r="BW36" s="325">
        <v>2.98</v>
      </c>
      <c r="BX36"/>
      <c r="BY36">
        <v>6.4150000000000063</v>
      </c>
      <c r="BZ36"/>
      <c r="CA36"/>
      <c r="CC36">
        <v>5.68</v>
      </c>
      <c r="CD36"/>
      <c r="CE36"/>
      <c r="CF36"/>
      <c r="CG36"/>
      <c r="CH36"/>
      <c r="CI36"/>
      <c r="CJ36"/>
      <c r="CK36"/>
      <c r="CL36"/>
      <c r="CM36"/>
    </row>
    <row r="37" spans="1:91">
      <c r="A37" s="154" t="s">
        <v>7761</v>
      </c>
      <c r="B37" t="s">
        <v>8289</v>
      </c>
      <c r="C37">
        <v>1</v>
      </c>
      <c r="D37">
        <v>1613</v>
      </c>
      <c r="E37" s="113">
        <v>13</v>
      </c>
      <c r="F37" s="113">
        <v>16</v>
      </c>
      <c r="I37">
        <v>31.499999999999996</v>
      </c>
      <c r="K37" s="320">
        <v>8</v>
      </c>
      <c r="L37" s="320"/>
      <c r="M37">
        <v>3.32</v>
      </c>
      <c r="N37" s="320"/>
      <c r="O37"/>
      <c r="P37"/>
      <c r="Q37"/>
      <c r="S37" s="320">
        <v>15.025367232102001</v>
      </c>
      <c r="T37" s="320"/>
      <c r="U37">
        <v>10.8</v>
      </c>
      <c r="V37"/>
      <c r="W37"/>
      <c r="X37"/>
      <c r="Y37" s="321">
        <v>5.8506944000000001</v>
      </c>
      <c r="Z37" s="320"/>
      <c r="AA37" s="322">
        <v>74813.084112149532</v>
      </c>
      <c r="AB37" s="320"/>
      <c r="AC37" s="321">
        <v>30.085031400000002</v>
      </c>
      <c r="AD37" s="320"/>
      <c r="AE37" s="320">
        <v>32.020000000000003</v>
      </c>
      <c r="AF37" s="320"/>
      <c r="AG37">
        <v>4.28</v>
      </c>
      <c r="AH37"/>
      <c r="AI37">
        <v>120</v>
      </c>
      <c r="AJ37"/>
      <c r="AK37"/>
      <c r="AL37"/>
      <c r="AM37"/>
      <c r="AN37"/>
      <c r="AO37">
        <v>79</v>
      </c>
      <c r="AP37"/>
      <c r="AQ37" s="323"/>
      <c r="AR37" s="323"/>
      <c r="AS37">
        <v>112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0.59103000000000006</v>
      </c>
      <c r="BH37"/>
      <c r="BI37">
        <v>4.6772999999999998</v>
      </c>
      <c r="BJ37"/>
      <c r="BK37">
        <v>1.5739000000000001</v>
      </c>
      <c r="BL37"/>
      <c r="BM37">
        <v>60.164999999999999</v>
      </c>
      <c r="BN37"/>
      <c r="BO37">
        <v>20.116</v>
      </c>
      <c r="BP37"/>
      <c r="BQ37">
        <v>9.6196999999999999</v>
      </c>
      <c r="BR37"/>
      <c r="BS37">
        <v>49.942999999999998</v>
      </c>
      <c r="BT37"/>
      <c r="BU37">
        <v>18.303999999999998</v>
      </c>
      <c r="BV37"/>
      <c r="BW37" s="325">
        <v>6.16</v>
      </c>
      <c r="BX37"/>
      <c r="BY37">
        <v>6.4080000000000013</v>
      </c>
      <c r="BZ37"/>
      <c r="CA37"/>
      <c r="CC37">
        <v>5.2</v>
      </c>
      <c r="CD37"/>
      <c r="CE37"/>
      <c r="CF37"/>
      <c r="CG37"/>
      <c r="CH37"/>
      <c r="CI37"/>
      <c r="CJ37"/>
      <c r="CK37"/>
      <c r="CL37"/>
      <c r="CM37"/>
    </row>
    <row r="38" spans="1:91">
      <c r="A38" s="154" t="s">
        <v>7606</v>
      </c>
      <c r="B38" t="s">
        <v>8287</v>
      </c>
      <c r="C38">
        <v>1</v>
      </c>
      <c r="D38">
        <v>220</v>
      </c>
      <c r="E38" s="113">
        <v>20</v>
      </c>
      <c r="F38" s="113">
        <v>2</v>
      </c>
      <c r="I38">
        <v>37</v>
      </c>
      <c r="K38" s="320">
        <v>9</v>
      </c>
      <c r="L38" s="320"/>
      <c r="M38">
        <v>2.72</v>
      </c>
      <c r="N38" s="320"/>
      <c r="O38"/>
      <c r="P38"/>
      <c r="Q38"/>
      <c r="S38" s="320">
        <v>11.888797485396001</v>
      </c>
      <c r="T38" s="320"/>
      <c r="U38">
        <v>10.8</v>
      </c>
      <c r="V38"/>
      <c r="W38"/>
      <c r="X38"/>
      <c r="Y38" s="321">
        <v>5.2889733000000003</v>
      </c>
      <c r="Z38" s="320"/>
      <c r="AA38" s="322">
        <v>66319.796954314719</v>
      </c>
      <c r="AB38" s="320"/>
      <c r="AC38" s="321">
        <v>24.5590644</v>
      </c>
      <c r="AD38" s="320"/>
      <c r="AE38" s="320">
        <v>26.13</v>
      </c>
      <c r="AF38" s="320"/>
      <c r="AG38">
        <v>3.94</v>
      </c>
      <c r="AH38"/>
      <c r="AI38">
        <v>143</v>
      </c>
      <c r="AJ38"/>
      <c r="AK38"/>
      <c r="AL38"/>
      <c r="AM38"/>
      <c r="AN38"/>
      <c r="AO38">
        <v>81</v>
      </c>
      <c r="AP38"/>
      <c r="AQ38" s="323"/>
      <c r="AR38" s="323"/>
      <c r="AS38">
        <v>114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>
        <v>44.786999999999999</v>
      </c>
      <c r="BH38"/>
      <c r="BI38">
        <v>4.4851999999999999</v>
      </c>
      <c r="BJ38"/>
      <c r="BK38">
        <v>0.95392999999999994</v>
      </c>
      <c r="BL38"/>
      <c r="BM38">
        <v>21.032</v>
      </c>
      <c r="BN38"/>
      <c r="BO38">
        <v>16.010999999999999</v>
      </c>
      <c r="BP38"/>
      <c r="BQ38">
        <v>8.9724000000000004</v>
      </c>
      <c r="BR38"/>
      <c r="BS38">
        <v>48.408999999999999</v>
      </c>
      <c r="BT38"/>
      <c r="BU38">
        <v>19.725000000000001</v>
      </c>
      <c r="BV38"/>
      <c r="BW38" s="325">
        <v>19.59</v>
      </c>
      <c r="BX38"/>
      <c r="BY38">
        <v>6.1129999999999995</v>
      </c>
      <c r="BZ38"/>
      <c r="CA38"/>
      <c r="CC38">
        <v>5.59</v>
      </c>
      <c r="CD38"/>
      <c r="CE38"/>
      <c r="CF38"/>
      <c r="CG38"/>
      <c r="CH38"/>
      <c r="CI38"/>
      <c r="CJ38"/>
      <c r="CK38"/>
      <c r="CL38"/>
      <c r="CM38"/>
    </row>
    <row r="39" spans="1:91">
      <c r="A39" s="154" t="s">
        <v>7606</v>
      </c>
      <c r="B39" t="s">
        <v>8289</v>
      </c>
      <c r="C39">
        <v>2</v>
      </c>
      <c r="D39">
        <v>468</v>
      </c>
      <c r="E39" s="113">
        <v>68</v>
      </c>
      <c r="F39" s="113">
        <v>4</v>
      </c>
      <c r="I39">
        <v>32</v>
      </c>
      <c r="K39" s="320">
        <v>8</v>
      </c>
      <c r="L39" s="320"/>
      <c r="M39">
        <v>1.29</v>
      </c>
      <c r="N39" s="320"/>
      <c r="O39"/>
      <c r="P39"/>
      <c r="Q39"/>
      <c r="S39" s="320">
        <v>4.5965488245600001</v>
      </c>
      <c r="T39" s="320"/>
      <c r="U39">
        <v>10.8</v>
      </c>
      <c r="V39"/>
      <c r="W39"/>
      <c r="X39"/>
      <c r="Y39" s="321">
        <v>0</v>
      </c>
      <c r="Z39" s="320"/>
      <c r="AA39" s="322">
        <v>30145.278450363192</v>
      </c>
      <c r="AB39" s="320"/>
      <c r="AC39" s="321">
        <v>11.638010999999999</v>
      </c>
      <c r="AD39" s="320"/>
      <c r="AE39" s="320">
        <v>12.45</v>
      </c>
      <c r="AF39" s="320"/>
      <c r="AG39">
        <v>4.13</v>
      </c>
      <c r="AH39"/>
      <c r="AI39">
        <v>108</v>
      </c>
      <c r="AJ39"/>
      <c r="AK39"/>
      <c r="AL39"/>
      <c r="AM39"/>
      <c r="AN39"/>
      <c r="AO39">
        <v>81</v>
      </c>
      <c r="AP39"/>
      <c r="AQ39" s="323"/>
      <c r="AR39" s="323"/>
      <c r="AS39">
        <v>114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>
        <v>35.399000000000001</v>
      </c>
      <c r="BH39"/>
      <c r="BI39">
        <v>5.0141999999999998</v>
      </c>
      <c r="BJ39"/>
      <c r="BK39">
        <v>1.2746</v>
      </c>
      <c r="BL39"/>
      <c r="BM39">
        <v>31.204999999999998</v>
      </c>
      <c r="BN39"/>
      <c r="BO39">
        <v>16.007000000000001</v>
      </c>
      <c r="BP39"/>
      <c r="BQ39">
        <v>7.6561000000000003</v>
      </c>
      <c r="BR39"/>
      <c r="BS39">
        <v>39.496000000000002</v>
      </c>
      <c r="BT39"/>
      <c r="BU39">
        <v>22.141999999999999</v>
      </c>
      <c r="BV39"/>
      <c r="BW39" s="325">
        <v>4.1100000000000003</v>
      </c>
      <c r="BX39"/>
      <c r="BY39">
        <v>7.3160000000000025</v>
      </c>
      <c r="BZ39"/>
      <c r="CA39"/>
      <c r="CC39">
        <v>5.12</v>
      </c>
      <c r="CD39"/>
      <c r="CE39"/>
      <c r="CF39"/>
      <c r="CG39"/>
      <c r="CH39"/>
      <c r="CI39"/>
      <c r="CJ39"/>
      <c r="CK39"/>
      <c r="CL39"/>
      <c r="CM39"/>
    </row>
    <row r="40" spans="1:91">
      <c r="A40" s="154" t="s">
        <v>7606</v>
      </c>
      <c r="B40" t="s">
        <v>8287</v>
      </c>
      <c r="C40">
        <v>2</v>
      </c>
      <c r="D40">
        <v>1047</v>
      </c>
      <c r="E40" s="113">
        <v>47</v>
      </c>
      <c r="F40" s="113">
        <v>10</v>
      </c>
      <c r="I40">
        <v>36.5</v>
      </c>
      <c r="K40" s="320">
        <v>9</v>
      </c>
      <c r="L40" s="320"/>
      <c r="M40">
        <v>1.99</v>
      </c>
      <c r="N40" s="320"/>
      <c r="O40"/>
      <c r="P40"/>
      <c r="Q40"/>
      <c r="S40" s="320">
        <v>8.4809235455999996</v>
      </c>
      <c r="T40" s="320"/>
      <c r="U40">
        <v>10.8</v>
      </c>
      <c r="V40"/>
      <c r="W40"/>
      <c r="X40"/>
      <c r="Y40" s="321">
        <v>4.1022720000000001</v>
      </c>
      <c r="Z40" s="320"/>
      <c r="AA40" s="322">
        <v>51336.898395721917</v>
      </c>
      <c r="AB40" s="320"/>
      <c r="AC40" s="321">
        <v>17.960448</v>
      </c>
      <c r="AD40" s="320"/>
      <c r="AE40" s="320">
        <v>19.2</v>
      </c>
      <c r="AF40" s="320"/>
      <c r="AG40">
        <v>3.74</v>
      </c>
      <c r="AH40"/>
      <c r="AI40">
        <v>130</v>
      </c>
      <c r="AJ40"/>
      <c r="AK40"/>
      <c r="AL40"/>
      <c r="AM40"/>
      <c r="AN40"/>
      <c r="AO40">
        <v>81</v>
      </c>
      <c r="AP40"/>
      <c r="AQ40" s="323"/>
      <c r="AR40" s="323"/>
      <c r="AS40">
        <v>112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56.423999999999999</v>
      </c>
      <c r="BH40"/>
      <c r="BI40">
        <v>4.2481999999999998</v>
      </c>
      <c r="BJ40"/>
      <c r="BK40">
        <v>0.87156</v>
      </c>
      <c r="BL40"/>
      <c r="BM40">
        <v>12.388999999999999</v>
      </c>
      <c r="BN40"/>
      <c r="BO40">
        <v>15.196</v>
      </c>
      <c r="BP40"/>
      <c r="BQ40">
        <v>8.1644000000000005</v>
      </c>
      <c r="BR40"/>
      <c r="BS40">
        <v>47.22</v>
      </c>
      <c r="BT40"/>
      <c r="BU40">
        <v>19.844000000000001</v>
      </c>
      <c r="BV40"/>
      <c r="BW40" s="325">
        <v>29.3</v>
      </c>
      <c r="BX40"/>
      <c r="BY40">
        <v>6.5060000000000002</v>
      </c>
      <c r="BZ40"/>
      <c r="CA40"/>
      <c r="CC40">
        <v>5.19</v>
      </c>
      <c r="CD40"/>
      <c r="CE40"/>
      <c r="CF40"/>
      <c r="CG40"/>
      <c r="CH40"/>
      <c r="CI40"/>
      <c r="CJ40"/>
      <c r="CK40" s="328"/>
      <c r="CL40"/>
      <c r="CM40"/>
    </row>
    <row r="41" spans="1:91">
      <c r="A41" s="154" t="s">
        <v>7606</v>
      </c>
      <c r="B41" t="s">
        <v>8289</v>
      </c>
      <c r="C41">
        <v>1</v>
      </c>
      <c r="D41">
        <v>1732</v>
      </c>
      <c r="E41" s="113">
        <v>32</v>
      </c>
      <c r="F41" s="113">
        <v>17</v>
      </c>
      <c r="I41">
        <v>33.5</v>
      </c>
      <c r="K41" s="320">
        <v>8</v>
      </c>
      <c r="L41" s="320"/>
      <c r="M41">
        <v>2.78</v>
      </c>
      <c r="N41" s="320"/>
      <c r="O41"/>
      <c r="P41"/>
      <c r="Q41"/>
      <c r="S41" s="320">
        <v>11.654385255513002</v>
      </c>
      <c r="T41" s="320"/>
      <c r="U41">
        <v>10.8</v>
      </c>
      <c r="V41"/>
      <c r="W41"/>
      <c r="X41"/>
      <c r="Y41" s="321">
        <v>5.0814289000000006</v>
      </c>
      <c r="Z41" s="320"/>
      <c r="AA41" s="322">
        <v>63673.96593673966</v>
      </c>
      <c r="AB41" s="320"/>
      <c r="AC41" s="321">
        <v>24.437284300000002</v>
      </c>
      <c r="AD41" s="320"/>
      <c r="AE41" s="320">
        <v>26.17</v>
      </c>
      <c r="AF41" s="320"/>
      <c r="AG41">
        <v>4.1100000000000003</v>
      </c>
      <c r="AH41"/>
      <c r="AI41">
        <v>120</v>
      </c>
      <c r="AJ41"/>
      <c r="AK41"/>
      <c r="AL41"/>
      <c r="AM41"/>
      <c r="AN41"/>
      <c r="AO41">
        <v>82</v>
      </c>
      <c r="AP41"/>
      <c r="AQ41" s="323"/>
      <c r="AR41" s="323"/>
      <c r="AS41">
        <v>112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39.859000000000002</v>
      </c>
      <c r="BH41"/>
      <c r="BI41">
        <v>4.4852999999999996</v>
      </c>
      <c r="BJ41"/>
      <c r="BK41">
        <v>1.0598000000000001</v>
      </c>
      <c r="BL41"/>
      <c r="BM41">
        <v>26.172999999999998</v>
      </c>
      <c r="BN41"/>
      <c r="BO41">
        <v>16.25</v>
      </c>
      <c r="BP41"/>
      <c r="BQ41">
        <v>7.8418000000000001</v>
      </c>
      <c r="BR41"/>
      <c r="BS41">
        <v>47.691000000000003</v>
      </c>
      <c r="BT41"/>
      <c r="BU41">
        <v>19.402000000000001</v>
      </c>
      <c r="BV41"/>
      <c r="BW41" s="325">
        <v>12.24</v>
      </c>
      <c r="BX41"/>
      <c r="BY41">
        <v>6.6310000000000002</v>
      </c>
      <c r="BZ41"/>
      <c r="CA41"/>
      <c r="CC41">
        <v>7.48</v>
      </c>
      <c r="CD41"/>
      <c r="CE41"/>
      <c r="CF41"/>
      <c r="CG41"/>
      <c r="CH41"/>
      <c r="CI41"/>
      <c r="CJ41"/>
      <c r="CK41"/>
      <c r="CL41"/>
      <c r="CM41"/>
    </row>
    <row r="42" spans="1:91">
      <c r="A42" s="154" t="s">
        <v>7607</v>
      </c>
      <c r="B42" t="s">
        <v>8289</v>
      </c>
      <c r="C42">
        <v>2</v>
      </c>
      <c r="D42">
        <v>769</v>
      </c>
      <c r="E42" s="113">
        <v>69</v>
      </c>
      <c r="F42" s="113">
        <v>7</v>
      </c>
      <c r="I42">
        <v>25</v>
      </c>
      <c r="K42" s="320">
        <v>9</v>
      </c>
      <c r="L42" s="320"/>
      <c r="M42">
        <v>1.92</v>
      </c>
      <c r="N42" s="320"/>
      <c r="O42"/>
      <c r="P42"/>
      <c r="Q42"/>
      <c r="S42" s="320">
        <v>7.710750931422</v>
      </c>
      <c r="T42" s="320"/>
      <c r="U42">
        <v>10.8</v>
      </c>
      <c r="V42"/>
      <c r="W42"/>
      <c r="X42"/>
      <c r="Y42" s="321">
        <v>3.6229314000000006</v>
      </c>
      <c r="Z42" s="320"/>
      <c r="AA42" s="322">
        <v>41280.898876404492</v>
      </c>
      <c r="AB42" s="320"/>
      <c r="AC42" s="321">
        <v>17.286353699999999</v>
      </c>
      <c r="AD42" s="320"/>
      <c r="AE42" s="320">
        <v>18.37</v>
      </c>
      <c r="AF42" s="320"/>
      <c r="AG42">
        <v>4.45</v>
      </c>
      <c r="AH42"/>
      <c r="AI42">
        <v>123</v>
      </c>
      <c r="AJ42"/>
      <c r="AK42"/>
      <c r="AL42"/>
      <c r="AM42"/>
      <c r="AN42"/>
      <c r="AO42">
        <v>80</v>
      </c>
      <c r="AP42"/>
      <c r="AQ42" s="323"/>
      <c r="AR42" s="323"/>
      <c r="AS42">
        <v>112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  <c r="BG42">
        <v>48.244</v>
      </c>
      <c r="BH42"/>
      <c r="BI42">
        <v>4.6039000000000003</v>
      </c>
      <c r="BJ42"/>
      <c r="BK42">
        <v>1.02</v>
      </c>
      <c r="BL42"/>
      <c r="BM42">
        <v>12.474</v>
      </c>
      <c r="BN42"/>
      <c r="BO42">
        <v>17.100000000000001</v>
      </c>
      <c r="BP42"/>
      <c r="BQ42">
        <v>9.2697000000000003</v>
      </c>
      <c r="BR42"/>
      <c r="BS42">
        <v>44.606000000000002</v>
      </c>
      <c r="BT42"/>
      <c r="BU42">
        <v>19.170000000000002</v>
      </c>
      <c r="BV42"/>
      <c r="BW42" s="325">
        <v>8.58</v>
      </c>
      <c r="BX42"/>
      <c r="BY42">
        <v>6.7180000000000035</v>
      </c>
      <c r="BZ42"/>
      <c r="CA42"/>
      <c r="CC42">
        <v>5.95</v>
      </c>
      <c r="CD42"/>
      <c r="CE42"/>
      <c r="CF42"/>
      <c r="CG42"/>
      <c r="CH42"/>
      <c r="CI42"/>
      <c r="CJ42"/>
      <c r="CK42"/>
      <c r="CL42"/>
      <c r="CM42"/>
    </row>
    <row r="43" spans="1:91">
      <c r="A43" s="327" t="s">
        <v>7607</v>
      </c>
      <c r="B43" s="328" t="s">
        <v>8287</v>
      </c>
      <c r="C43" s="328">
        <v>1</v>
      </c>
      <c r="D43" s="328">
        <v>824</v>
      </c>
      <c r="E43" s="113">
        <v>24</v>
      </c>
      <c r="F43" s="113">
        <v>8</v>
      </c>
      <c r="G43" s="329"/>
      <c r="H43" s="329"/>
      <c r="I43" s="328">
        <v>27.499999999999996</v>
      </c>
      <c r="J43" s="330"/>
      <c r="K43" s="331">
        <v>7</v>
      </c>
      <c r="L43" s="331"/>
      <c r="M43" s="328">
        <v>1.55</v>
      </c>
      <c r="N43" s="331"/>
      <c r="O43" s="328"/>
      <c r="P43" s="328"/>
      <c r="Q43" s="328"/>
      <c r="R43" s="332"/>
      <c r="S43" s="331">
        <v>6.6657397118899997</v>
      </c>
      <c r="T43" s="331"/>
      <c r="U43" s="328">
        <v>10.8</v>
      </c>
      <c r="V43" s="328"/>
      <c r="W43" s="328"/>
      <c r="X43" s="328"/>
      <c r="Y43" s="333">
        <v>2.3017509999999999</v>
      </c>
      <c r="Z43" s="331"/>
      <c r="AA43" s="334">
        <v>30426.439232409379</v>
      </c>
      <c r="AB43" s="331"/>
      <c r="AC43" s="333">
        <v>13.3461602</v>
      </c>
      <c r="AD43" s="331"/>
      <c r="AE43" s="331">
        <v>14.27</v>
      </c>
      <c r="AF43" s="331"/>
      <c r="AG43" s="328">
        <v>4.6900000000000004</v>
      </c>
      <c r="AH43" s="328"/>
      <c r="AI43" s="328">
        <v>113</v>
      </c>
      <c r="AJ43" s="328"/>
      <c r="AK43" s="328"/>
      <c r="AL43" s="328"/>
      <c r="AM43" s="328"/>
      <c r="AN43" s="328"/>
      <c r="AO43" s="328">
        <v>79</v>
      </c>
      <c r="AP43" s="328"/>
      <c r="AQ43" s="335"/>
      <c r="AR43" s="335"/>
      <c r="AS43" s="328">
        <v>114</v>
      </c>
      <c r="AT43" s="328"/>
      <c r="AU43" s="328"/>
      <c r="AV43" s="328"/>
      <c r="AW43" s="328"/>
      <c r="AX43" s="328"/>
      <c r="AY43" s="328"/>
      <c r="AZ43" s="328"/>
      <c r="BA43" s="328"/>
      <c r="BB43" s="328"/>
      <c r="BC43" s="328"/>
      <c r="BD43" s="328"/>
      <c r="BE43" s="328"/>
      <c r="BF43" s="328"/>
      <c r="BG43" s="328">
        <v>46.048000000000002</v>
      </c>
      <c r="BH43" s="328"/>
      <c r="BI43" s="328">
        <v>4.6718999999999999</v>
      </c>
      <c r="BJ43" s="328"/>
      <c r="BK43" s="328">
        <v>0.78781000000000001</v>
      </c>
      <c r="BL43" s="328"/>
      <c r="BM43" s="328">
        <v>15.135999999999999</v>
      </c>
      <c r="BN43" s="328"/>
      <c r="BO43" s="328">
        <v>17.126999999999999</v>
      </c>
      <c r="BP43" s="328"/>
      <c r="BQ43" s="328">
        <v>10.138999999999999</v>
      </c>
      <c r="BR43" s="328"/>
      <c r="BS43" s="328">
        <v>49.945</v>
      </c>
      <c r="BT43" s="328"/>
      <c r="BU43" s="328">
        <v>17.484999999999999</v>
      </c>
      <c r="BV43" s="328"/>
      <c r="BW43" s="328">
        <v>46.417999999999999</v>
      </c>
      <c r="BX43" s="339"/>
      <c r="BY43" s="328">
        <v>6.3310000000000031</v>
      </c>
      <c r="BZ43" s="328"/>
      <c r="CA43" s="328"/>
      <c r="CB43" s="337"/>
      <c r="CC43" s="328">
        <v>9.5299999999999994</v>
      </c>
      <c r="CD43" s="328"/>
      <c r="CE43" s="328"/>
      <c r="CF43" s="328"/>
      <c r="CG43" s="328"/>
      <c r="CH43" s="328"/>
      <c r="CI43" s="328"/>
      <c r="CJ43" s="328"/>
      <c r="CK43" s="328" t="s">
        <v>8377</v>
      </c>
      <c r="CL43" s="328"/>
      <c r="CM43" s="328"/>
    </row>
    <row r="44" spans="1:91">
      <c r="A44" s="154" t="s">
        <v>7607</v>
      </c>
      <c r="B44" t="s">
        <v>8287</v>
      </c>
      <c r="C44">
        <v>2</v>
      </c>
      <c r="D44">
        <v>1248</v>
      </c>
      <c r="E44" s="113">
        <v>48</v>
      </c>
      <c r="F44" s="113">
        <v>12</v>
      </c>
      <c r="I44">
        <v>27.999999999999996</v>
      </c>
      <c r="K44" s="320">
        <v>9</v>
      </c>
      <c r="L44" s="320"/>
      <c r="M44">
        <v>1.81</v>
      </c>
      <c r="N44" s="320"/>
      <c r="O44"/>
      <c r="P44"/>
      <c r="Q44"/>
      <c r="S44" s="320">
        <v>8.2458786992640007</v>
      </c>
      <c r="T44" s="320"/>
      <c r="U44">
        <v>10.8</v>
      </c>
      <c r="V44"/>
      <c r="W44"/>
      <c r="X44"/>
      <c r="Y44" s="321">
        <v>2.5539136</v>
      </c>
      <c r="Z44" s="320"/>
      <c r="AA44" s="322">
        <v>40000</v>
      </c>
      <c r="AB44" s="320"/>
      <c r="AC44" s="321">
        <v>16.464755200000003</v>
      </c>
      <c r="AD44" s="320"/>
      <c r="AE44" s="320">
        <v>17.440000000000001</v>
      </c>
      <c r="AF44" s="320"/>
      <c r="AG44">
        <v>4.3600000000000003</v>
      </c>
      <c r="AH44"/>
      <c r="AI44">
        <v>135</v>
      </c>
      <c r="AJ44"/>
      <c r="AK44"/>
      <c r="AL44"/>
      <c r="AM44"/>
      <c r="AN44"/>
      <c r="AO44">
        <v>81</v>
      </c>
      <c r="AP44"/>
      <c r="AQ44" s="323"/>
      <c r="AR44" s="323"/>
      <c r="AS44">
        <v>112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>
        <v>59.85</v>
      </c>
      <c r="BH44"/>
      <c r="BI44">
        <v>4.9926000000000004</v>
      </c>
      <c r="BJ44"/>
      <c r="BK44">
        <v>0.64012999999999998</v>
      </c>
      <c r="BL44"/>
      <c r="BM44">
        <v>9.0376999999999992</v>
      </c>
      <c r="BN44"/>
      <c r="BO44">
        <v>18.25</v>
      </c>
      <c r="BP44"/>
      <c r="BQ44">
        <v>9.5889000000000006</v>
      </c>
      <c r="BR44"/>
      <c r="BS44">
        <v>50.082000000000001</v>
      </c>
      <c r="BT44"/>
      <c r="BU44">
        <v>16.334</v>
      </c>
      <c r="BV44"/>
      <c r="BW44">
        <v>48.002000000000002</v>
      </c>
      <c r="BX44" s="324"/>
      <c r="BY44">
        <v>6.1430000000000007</v>
      </c>
      <c r="BZ44"/>
      <c r="CA44"/>
      <c r="CC44">
        <v>5.31</v>
      </c>
      <c r="CD44"/>
      <c r="CE44"/>
      <c r="CF44"/>
      <c r="CG44"/>
      <c r="CH44"/>
      <c r="CI44"/>
      <c r="CJ44"/>
      <c r="CK44"/>
      <c r="CL44"/>
      <c r="CM44"/>
    </row>
    <row r="45" spans="1:91">
      <c r="A45" s="154" t="s">
        <v>7607</v>
      </c>
      <c r="B45" t="s">
        <v>8289</v>
      </c>
      <c r="C45">
        <v>1</v>
      </c>
      <c r="D45">
        <v>1630</v>
      </c>
      <c r="E45" s="113">
        <v>30</v>
      </c>
      <c r="F45" s="113">
        <v>16</v>
      </c>
      <c r="I45">
        <v>29.999999999999996</v>
      </c>
      <c r="K45" s="320">
        <v>8</v>
      </c>
      <c r="L45" s="320"/>
      <c r="M45">
        <v>2.2599999999999998</v>
      </c>
      <c r="N45" s="320"/>
      <c r="O45"/>
      <c r="P45"/>
      <c r="Q45"/>
      <c r="S45" s="320">
        <v>9.0386961199920002</v>
      </c>
      <c r="T45" s="320"/>
      <c r="U45">
        <v>10.8</v>
      </c>
      <c r="V45"/>
      <c r="W45"/>
      <c r="X45"/>
      <c r="Y45" s="321">
        <v>4.6825317000000011</v>
      </c>
      <c r="Z45" s="320"/>
      <c r="AA45" s="322">
        <v>48758.620689655174</v>
      </c>
      <c r="AB45" s="320"/>
      <c r="AC45" s="321">
        <v>19.7144829</v>
      </c>
      <c r="AD45" s="320"/>
      <c r="AE45" s="320">
        <v>21.21</v>
      </c>
      <c r="AF45" s="320"/>
      <c r="AG45">
        <v>4.3499999999999996</v>
      </c>
      <c r="AH45"/>
      <c r="AI45">
        <v>120</v>
      </c>
      <c r="AJ45"/>
      <c r="AK45"/>
      <c r="AL45"/>
      <c r="AM45"/>
      <c r="AN45"/>
      <c r="AO45">
        <v>81</v>
      </c>
      <c r="AP45"/>
      <c r="AQ45" s="323"/>
      <c r="AR45" s="323"/>
      <c r="AS45">
        <v>114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55.722000000000001</v>
      </c>
      <c r="BH45"/>
      <c r="BI45">
        <v>4.1810999999999998</v>
      </c>
      <c r="BJ45"/>
      <c r="BK45">
        <v>0.89951999999999999</v>
      </c>
      <c r="BL45"/>
      <c r="BM45">
        <v>7.9981</v>
      </c>
      <c r="BN45"/>
      <c r="BO45">
        <v>16.797999999999998</v>
      </c>
      <c r="BP45"/>
      <c r="BQ45">
        <v>9.8249999999999993</v>
      </c>
      <c r="BR45"/>
      <c r="BS45">
        <v>45.847999999999999</v>
      </c>
      <c r="BT45"/>
      <c r="BU45">
        <v>19.260999999999999</v>
      </c>
      <c r="BV45"/>
      <c r="BW45" s="325">
        <v>17.600000000000001</v>
      </c>
      <c r="BX45"/>
      <c r="BY45">
        <v>6.4890000000000043</v>
      </c>
      <c r="BZ45"/>
      <c r="CA45"/>
      <c r="CC45">
        <v>7.77</v>
      </c>
      <c r="CD45"/>
      <c r="CE45"/>
      <c r="CF45"/>
      <c r="CG45"/>
      <c r="CH45"/>
      <c r="CI45"/>
      <c r="CJ45"/>
      <c r="CK45"/>
      <c r="CL45"/>
      <c r="CM45"/>
    </row>
    <row r="46" spans="1:91">
      <c r="A46" s="154" t="s">
        <v>7608</v>
      </c>
      <c r="B46" t="s">
        <v>8287</v>
      </c>
      <c r="C46">
        <v>1</v>
      </c>
      <c r="D46">
        <v>213</v>
      </c>
      <c r="E46" s="113">
        <v>13</v>
      </c>
      <c r="F46" s="113">
        <v>2</v>
      </c>
      <c r="I46">
        <v>23</v>
      </c>
      <c r="K46" s="320">
        <v>9</v>
      </c>
      <c r="L46" s="320"/>
      <c r="M46">
        <v>2.98</v>
      </c>
      <c r="N46" s="320"/>
      <c r="O46"/>
      <c r="P46"/>
      <c r="Q46"/>
      <c r="S46" s="320">
        <v>13.308247495859998</v>
      </c>
      <c r="T46" s="320"/>
      <c r="U46">
        <v>10.8</v>
      </c>
      <c r="V46"/>
      <c r="W46"/>
      <c r="X46"/>
      <c r="Y46" s="321">
        <v>5.9099219999999999</v>
      </c>
      <c r="Z46" s="320"/>
      <c r="AA46" s="322">
        <v>63245.03311258278</v>
      </c>
      <c r="AB46" s="320"/>
      <c r="AC46" s="321">
        <v>26.894041499999997</v>
      </c>
      <c r="AD46" s="320"/>
      <c r="AE46" s="320">
        <v>28.65</v>
      </c>
      <c r="AF46" s="320"/>
      <c r="AG46">
        <v>4.53</v>
      </c>
      <c r="AH46"/>
      <c r="AI46">
        <v>183</v>
      </c>
      <c r="AJ46"/>
      <c r="AK46"/>
      <c r="AL46"/>
      <c r="AM46"/>
      <c r="AN46"/>
      <c r="AO46">
        <v>90</v>
      </c>
      <c r="AP46"/>
      <c r="AQ46" s="323"/>
      <c r="AR46" s="323"/>
      <c r="AS46">
        <v>115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>
        <v>57.473999999999997</v>
      </c>
      <c r="BH46"/>
      <c r="BI46">
        <v>4.1092000000000004</v>
      </c>
      <c r="BJ46"/>
      <c r="BK46">
        <v>0.66210999999999998</v>
      </c>
      <c r="BL46"/>
      <c r="BM46">
        <v>10.07</v>
      </c>
      <c r="BN46"/>
      <c r="BO46">
        <v>15.651999999999999</v>
      </c>
      <c r="BP46"/>
      <c r="BQ46">
        <v>9.8383000000000003</v>
      </c>
      <c r="BR46"/>
      <c r="BS46">
        <v>49.484000000000002</v>
      </c>
      <c r="BT46"/>
      <c r="BU46">
        <v>19.349</v>
      </c>
      <c r="BV46"/>
      <c r="BW46" s="325">
        <v>51.24</v>
      </c>
      <c r="BX46"/>
      <c r="BY46">
        <v>5.7469999999999999</v>
      </c>
      <c r="BZ46"/>
      <c r="CA46"/>
      <c r="CC46">
        <v>5.51</v>
      </c>
      <c r="CD46"/>
      <c r="CE46"/>
      <c r="CF46"/>
      <c r="CG46"/>
      <c r="CH46"/>
      <c r="CI46"/>
      <c r="CJ46"/>
      <c r="CK46"/>
      <c r="CL46"/>
      <c r="CM46"/>
    </row>
    <row r="47" spans="1:91">
      <c r="A47" s="154" t="s">
        <v>7608</v>
      </c>
      <c r="B47" t="s">
        <v>8289</v>
      </c>
      <c r="C47">
        <v>2</v>
      </c>
      <c r="D47">
        <v>466</v>
      </c>
      <c r="E47" s="113">
        <v>66</v>
      </c>
      <c r="F47" s="113">
        <v>4</v>
      </c>
      <c r="I47">
        <v>23</v>
      </c>
      <c r="K47" s="320">
        <v>8</v>
      </c>
      <c r="L47" s="320"/>
      <c r="M47">
        <v>1.92</v>
      </c>
      <c r="N47" s="320"/>
      <c r="O47"/>
      <c r="P47"/>
      <c r="Q47"/>
      <c r="S47" s="320">
        <v>7.502697968863</v>
      </c>
      <c r="T47" s="320"/>
      <c r="U47">
        <v>10.8</v>
      </c>
      <c r="V47"/>
      <c r="W47"/>
      <c r="X47"/>
      <c r="Y47" s="321">
        <v>4.1515364000000003</v>
      </c>
      <c r="Z47" s="320"/>
      <c r="AA47" s="322">
        <v>35861.38613861386</v>
      </c>
      <c r="AB47" s="320"/>
      <c r="AC47" s="321">
        <v>16.751206700000001</v>
      </c>
      <c r="AD47" s="320"/>
      <c r="AE47" s="320">
        <v>18.11</v>
      </c>
      <c r="AF47" s="320"/>
      <c r="AG47">
        <v>5.05</v>
      </c>
      <c r="AH47"/>
      <c r="AI47">
        <v>125</v>
      </c>
      <c r="AJ47"/>
      <c r="AK47"/>
      <c r="AL47"/>
      <c r="AM47"/>
      <c r="AN47"/>
      <c r="AO47">
        <v>81</v>
      </c>
      <c r="AP47"/>
      <c r="AQ47" s="323"/>
      <c r="AR47" s="323"/>
      <c r="AS47">
        <v>114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>
        <v>42.655000000000001</v>
      </c>
      <c r="BH47"/>
      <c r="BI47">
        <v>4.5180999999999996</v>
      </c>
      <c r="BJ47"/>
      <c r="BK47">
        <v>0.89539000000000002</v>
      </c>
      <c r="BL47"/>
      <c r="BM47">
        <v>12.436999999999999</v>
      </c>
      <c r="BN47"/>
      <c r="BO47">
        <v>16.172000000000001</v>
      </c>
      <c r="BP47"/>
      <c r="BQ47">
        <v>9.1227</v>
      </c>
      <c r="BR47"/>
      <c r="BS47">
        <v>44.789000000000001</v>
      </c>
      <c r="BT47"/>
      <c r="BU47">
        <v>20.335999999999999</v>
      </c>
      <c r="BV47"/>
      <c r="BW47" s="325">
        <v>10.34</v>
      </c>
      <c r="BX47"/>
      <c r="BY47">
        <v>6.8310000000000031</v>
      </c>
      <c r="BZ47"/>
      <c r="CA47"/>
      <c r="CC47">
        <v>7.28</v>
      </c>
      <c r="CD47"/>
      <c r="CE47"/>
      <c r="CF47"/>
      <c r="CG47"/>
      <c r="CH47"/>
      <c r="CI47"/>
      <c r="CJ47"/>
      <c r="CK47"/>
      <c r="CL47"/>
      <c r="CM47"/>
    </row>
    <row r="48" spans="1:91">
      <c r="A48" s="154" t="s">
        <v>7608</v>
      </c>
      <c r="B48" t="s">
        <v>8287</v>
      </c>
      <c r="C48">
        <v>2</v>
      </c>
      <c r="D48">
        <v>1171</v>
      </c>
      <c r="E48" s="113">
        <v>71</v>
      </c>
      <c r="F48" s="113">
        <v>11</v>
      </c>
      <c r="I48">
        <v>32.999999999999993</v>
      </c>
      <c r="K48" s="320">
        <v>9</v>
      </c>
      <c r="L48" s="320"/>
      <c r="M48">
        <v>2.39</v>
      </c>
      <c r="N48" s="320"/>
      <c r="O48"/>
      <c r="P48"/>
      <c r="Q48"/>
      <c r="S48" s="320">
        <v>10.942304514670003</v>
      </c>
      <c r="T48" s="320"/>
      <c r="U48">
        <v>10.8</v>
      </c>
      <c r="V48"/>
      <c r="W48"/>
      <c r="X48"/>
      <c r="Y48" s="321">
        <v>3.8350590000000007</v>
      </c>
      <c r="Z48" s="320"/>
      <c r="AA48" s="322">
        <v>50217.864923747278</v>
      </c>
      <c r="AB48" s="320"/>
      <c r="AC48" s="321">
        <v>21.608453000000001</v>
      </c>
      <c r="AD48" s="320"/>
      <c r="AE48" s="320">
        <v>23.05</v>
      </c>
      <c r="AF48" s="320"/>
      <c r="AG48">
        <v>4.59</v>
      </c>
      <c r="AH48"/>
      <c r="AI48">
        <v>128</v>
      </c>
      <c r="AJ48"/>
      <c r="AK48"/>
      <c r="AL48"/>
      <c r="AM48"/>
      <c r="AN48"/>
      <c r="AO48">
        <v>82</v>
      </c>
      <c r="AP48"/>
      <c r="AQ48" s="323"/>
      <c r="AR48" s="323"/>
      <c r="AS48">
        <v>112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  <c r="BG48">
        <v>50.253999999999998</v>
      </c>
      <c r="BH48"/>
      <c r="BI48">
        <v>4.1155999999999997</v>
      </c>
      <c r="BJ48"/>
      <c r="BK48">
        <v>0.72760999999999998</v>
      </c>
      <c r="BL48"/>
      <c r="BM48">
        <v>10.420999999999999</v>
      </c>
      <c r="BN48"/>
      <c r="BO48">
        <v>16.393999999999998</v>
      </c>
      <c r="BP48"/>
      <c r="BQ48">
        <v>9.0233000000000008</v>
      </c>
      <c r="BR48"/>
      <c r="BS48">
        <v>50.639000000000003</v>
      </c>
      <c r="BT48"/>
      <c r="BU48">
        <v>17.532</v>
      </c>
      <c r="BV48"/>
      <c r="BW48">
        <v>41.161000000000001</v>
      </c>
      <c r="BX48" s="324"/>
      <c r="BY48">
        <v>6.0120000000000005</v>
      </c>
      <c r="BZ48"/>
      <c r="CA48"/>
      <c r="CC48">
        <v>5.22</v>
      </c>
      <c r="CD48"/>
      <c r="CE48"/>
      <c r="CF48"/>
      <c r="CG48"/>
      <c r="CH48"/>
      <c r="CI48"/>
      <c r="CJ48"/>
      <c r="CK48"/>
      <c r="CL48"/>
      <c r="CM48"/>
    </row>
    <row r="49" spans="1:91">
      <c r="A49" s="154" t="s">
        <v>7608</v>
      </c>
      <c r="B49" t="s">
        <v>8289</v>
      </c>
      <c r="C49">
        <v>1</v>
      </c>
      <c r="D49">
        <v>1337</v>
      </c>
      <c r="E49" s="113">
        <v>37</v>
      </c>
      <c r="F49" s="113">
        <v>13</v>
      </c>
      <c r="I49">
        <v>27</v>
      </c>
      <c r="K49" s="320">
        <v>9</v>
      </c>
      <c r="L49" s="320"/>
      <c r="M49">
        <v>1.93</v>
      </c>
      <c r="N49" s="320"/>
      <c r="O49"/>
      <c r="P49"/>
      <c r="Q49"/>
      <c r="S49" s="320">
        <v>8.3526222651480015</v>
      </c>
      <c r="T49" s="320"/>
      <c r="U49">
        <v>10.8</v>
      </c>
      <c r="V49"/>
      <c r="W49"/>
      <c r="X49"/>
      <c r="Y49" s="321">
        <v>3.2967612000000002</v>
      </c>
      <c r="Z49" s="320"/>
      <c r="AA49" s="322">
        <v>44449.877750611246</v>
      </c>
      <c r="AB49" s="320"/>
      <c r="AC49" s="321">
        <v>17.031569400000002</v>
      </c>
      <c r="AD49" s="320"/>
      <c r="AE49" s="320">
        <v>18.18</v>
      </c>
      <c r="AF49" s="320"/>
      <c r="AG49">
        <v>4.09</v>
      </c>
      <c r="AH49"/>
      <c r="AI49">
        <v>135</v>
      </c>
      <c r="AJ49"/>
      <c r="AK49"/>
      <c r="AL49"/>
      <c r="AM49"/>
      <c r="AN49"/>
      <c r="AO49">
        <v>83</v>
      </c>
      <c r="AP49"/>
      <c r="AQ49" s="323"/>
      <c r="AR49" s="323"/>
      <c r="AS49">
        <v>112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  <c r="BG49">
        <v>41.094000000000001</v>
      </c>
      <c r="BH49"/>
      <c r="BI49">
        <v>4.3098999999999998</v>
      </c>
      <c r="BJ49"/>
      <c r="BK49">
        <v>0.94135999999999997</v>
      </c>
      <c r="BL49"/>
      <c r="BM49">
        <v>24.693999999999999</v>
      </c>
      <c r="BN49"/>
      <c r="BO49">
        <v>16.245999999999999</v>
      </c>
      <c r="BP49"/>
      <c r="BQ49">
        <v>8.9815000000000005</v>
      </c>
      <c r="BR49"/>
      <c r="BS49">
        <v>49.042000000000002</v>
      </c>
      <c r="BT49"/>
      <c r="BU49">
        <v>18.106999999999999</v>
      </c>
      <c r="BV49"/>
      <c r="BW49" s="325">
        <v>23.19</v>
      </c>
      <c r="BX49"/>
      <c r="BY49">
        <v>6.1260000000000048</v>
      </c>
      <c r="BZ49"/>
      <c r="CA49"/>
      <c r="CC49">
        <v>7.42</v>
      </c>
      <c r="CD49"/>
      <c r="CE49"/>
      <c r="CF49"/>
      <c r="CG49"/>
      <c r="CH49"/>
      <c r="CI49"/>
      <c r="CJ49"/>
      <c r="CK49"/>
      <c r="CL49"/>
      <c r="CM49"/>
    </row>
    <row r="50" spans="1:91">
      <c r="A50" s="327" t="s">
        <v>7609</v>
      </c>
      <c r="B50" s="328" t="s">
        <v>8289</v>
      </c>
      <c r="C50" s="328">
        <v>2</v>
      </c>
      <c r="D50" s="328">
        <v>646</v>
      </c>
      <c r="E50" s="113">
        <v>46</v>
      </c>
      <c r="F50" s="113">
        <v>6</v>
      </c>
      <c r="G50" s="329"/>
      <c r="H50" s="329"/>
      <c r="I50" s="328">
        <v>22.5</v>
      </c>
      <c r="J50" s="330"/>
      <c r="K50" s="331">
        <v>8</v>
      </c>
      <c r="L50" s="331"/>
      <c r="M50" s="328">
        <v>1.56</v>
      </c>
      <c r="N50" s="331"/>
      <c r="O50" s="328"/>
      <c r="P50" s="328"/>
      <c r="Q50" s="328"/>
      <c r="R50" s="332"/>
      <c r="S50" s="331">
        <v>6.2545665795839991</v>
      </c>
      <c r="T50" s="331"/>
      <c r="U50" s="328">
        <v>10.8</v>
      </c>
      <c r="V50" s="328"/>
      <c r="W50" s="328"/>
      <c r="X50" s="328"/>
      <c r="Y50" s="333">
        <v>3.2224703999999997</v>
      </c>
      <c r="Z50" s="331"/>
      <c r="AA50" s="334">
        <v>40539.083557951475</v>
      </c>
      <c r="AB50" s="331"/>
      <c r="AC50" s="333">
        <v>14.021491199999998</v>
      </c>
      <c r="AD50" s="331"/>
      <c r="AE50" s="331">
        <v>15.04</v>
      </c>
      <c r="AF50" s="331"/>
      <c r="AG50" s="328">
        <v>3.71</v>
      </c>
      <c r="AH50" s="328"/>
      <c r="AI50" s="328">
        <v>135</v>
      </c>
      <c r="AJ50" s="328"/>
      <c r="AK50" s="328"/>
      <c r="AL50" s="328"/>
      <c r="AM50" s="328"/>
      <c r="AN50" s="328"/>
      <c r="AO50" s="328">
        <v>80</v>
      </c>
      <c r="AP50" s="328"/>
      <c r="AQ50" s="335"/>
      <c r="AR50" s="335"/>
      <c r="AS50" s="328">
        <v>112</v>
      </c>
      <c r="AT50" s="328"/>
      <c r="AU50" s="328"/>
      <c r="AV50" s="328"/>
      <c r="AW50" s="328"/>
      <c r="AX50" s="328"/>
      <c r="AY50" s="328"/>
      <c r="AZ50" s="328"/>
      <c r="BA50" s="328"/>
      <c r="BB50" s="328"/>
      <c r="BC50" s="328"/>
      <c r="BD50" s="328"/>
      <c r="BE50" s="328"/>
      <c r="BF50" s="328"/>
      <c r="BG50" s="328">
        <v>43.137999999999998</v>
      </c>
      <c r="BH50" s="328"/>
      <c r="BI50" s="328">
        <v>4.5640999999999998</v>
      </c>
      <c r="BJ50" s="328"/>
      <c r="BK50" s="328">
        <v>1.0724</v>
      </c>
      <c r="BL50" s="328"/>
      <c r="BM50" s="328">
        <v>18.411999999999999</v>
      </c>
      <c r="BN50" s="328"/>
      <c r="BO50" s="328">
        <v>15.327</v>
      </c>
      <c r="BP50" s="328"/>
      <c r="BQ50" s="328">
        <v>8.5495999999999999</v>
      </c>
      <c r="BR50" s="328"/>
      <c r="BS50" s="328">
        <v>44.606999999999999</v>
      </c>
      <c r="BT50" s="328"/>
      <c r="BU50" s="328">
        <v>22.091000000000001</v>
      </c>
      <c r="BV50" s="328"/>
      <c r="BW50" s="336">
        <v>25.61</v>
      </c>
      <c r="BX50" s="328"/>
      <c r="BY50" s="328">
        <v>6.8199999999999932</v>
      </c>
      <c r="BZ50" s="328"/>
      <c r="CA50" s="328"/>
      <c r="CB50" s="337"/>
      <c r="CC50" s="328">
        <v>5.26</v>
      </c>
      <c r="CD50" s="328"/>
      <c r="CE50" s="328"/>
      <c r="CF50" s="328"/>
      <c r="CG50" s="328"/>
      <c r="CH50" s="328"/>
      <c r="CI50" s="328"/>
      <c r="CJ50" s="328"/>
      <c r="CK50" s="328"/>
      <c r="CL50" s="328"/>
      <c r="CM50" s="328"/>
    </row>
    <row r="51" spans="1:91">
      <c r="A51" s="327" t="s">
        <v>7609</v>
      </c>
      <c r="B51" s="328" t="s">
        <v>8287</v>
      </c>
      <c r="C51" s="328">
        <v>1</v>
      </c>
      <c r="D51" s="328">
        <v>836</v>
      </c>
      <c r="E51" s="113">
        <v>36</v>
      </c>
      <c r="F51" s="113">
        <v>8</v>
      </c>
      <c r="G51" s="329"/>
      <c r="H51" s="329"/>
      <c r="I51" s="328">
        <v>26</v>
      </c>
      <c r="J51" s="330"/>
      <c r="K51" s="331">
        <v>7</v>
      </c>
      <c r="L51" s="331"/>
      <c r="M51" s="328">
        <v>1.06</v>
      </c>
      <c r="N51" s="331"/>
      <c r="O51" s="328"/>
      <c r="P51" s="328"/>
      <c r="Q51" s="328"/>
      <c r="R51" s="332"/>
      <c r="S51" s="331">
        <v>4.5941952168000002</v>
      </c>
      <c r="T51" s="331"/>
      <c r="U51" s="328">
        <v>10.8</v>
      </c>
      <c r="V51" s="328"/>
      <c r="W51" s="328"/>
      <c r="X51" s="328"/>
      <c r="Y51" s="333">
        <v>1.6188984000000002</v>
      </c>
      <c r="Z51" s="331"/>
      <c r="AA51" s="334">
        <v>22949.308755760369</v>
      </c>
      <c r="AB51" s="331"/>
      <c r="AC51" s="333">
        <v>9.3094128000000005</v>
      </c>
      <c r="AD51" s="331"/>
      <c r="AE51" s="331">
        <v>9.9600000000000009</v>
      </c>
      <c r="AF51" s="331"/>
      <c r="AG51" s="328">
        <v>4.34</v>
      </c>
      <c r="AH51" s="328"/>
      <c r="AI51" s="328">
        <v>103</v>
      </c>
      <c r="AJ51" s="328"/>
      <c r="AK51" s="328"/>
      <c r="AL51" s="328"/>
      <c r="AM51" s="328"/>
      <c r="AN51" s="328"/>
      <c r="AO51" s="328">
        <v>77</v>
      </c>
      <c r="AP51" s="328"/>
      <c r="AQ51" s="335"/>
      <c r="AR51" s="335"/>
      <c r="AS51" s="328">
        <v>114</v>
      </c>
      <c r="AT51" s="328"/>
      <c r="AU51" s="328"/>
      <c r="AV51" s="328"/>
      <c r="AW51" s="328"/>
      <c r="AX51" s="328"/>
      <c r="AY51" s="328"/>
      <c r="AZ51" s="328"/>
      <c r="BA51" s="328"/>
      <c r="BB51" s="328"/>
      <c r="BC51" s="328"/>
      <c r="BD51" s="328"/>
      <c r="BE51" s="328"/>
      <c r="BF51" s="328"/>
      <c r="BG51" s="328">
        <v>38.679000000000002</v>
      </c>
      <c r="BH51" s="328"/>
      <c r="BI51" s="328">
        <v>4.6597999999999997</v>
      </c>
      <c r="BJ51" s="328"/>
      <c r="BK51" s="328">
        <v>1.0758000000000001</v>
      </c>
      <c r="BL51" s="328"/>
      <c r="BM51" s="328">
        <v>26.326000000000001</v>
      </c>
      <c r="BN51" s="328"/>
      <c r="BO51" s="328">
        <v>15.922000000000001</v>
      </c>
      <c r="BP51" s="328"/>
      <c r="BQ51" s="328">
        <v>8.4781999999999993</v>
      </c>
      <c r="BR51" s="328"/>
      <c r="BS51" s="328">
        <v>49.35</v>
      </c>
      <c r="BT51" s="328"/>
      <c r="BU51" s="328">
        <v>18.417999999999999</v>
      </c>
      <c r="BV51" s="328"/>
      <c r="BW51" s="336">
        <v>25.67</v>
      </c>
      <c r="BX51" s="328"/>
      <c r="BY51" s="328">
        <v>6.5589999999999975</v>
      </c>
      <c r="BZ51" s="328"/>
      <c r="CA51" s="328"/>
      <c r="CB51" s="337"/>
      <c r="CC51" s="328">
        <v>7.63</v>
      </c>
      <c r="CD51" s="328"/>
      <c r="CE51" s="328"/>
      <c r="CF51" s="328"/>
      <c r="CG51" s="328"/>
      <c r="CH51" s="328"/>
      <c r="CI51" s="328"/>
      <c r="CJ51" s="328"/>
      <c r="CK51" s="328" t="s">
        <v>8377</v>
      </c>
      <c r="CL51" s="328"/>
      <c r="CM51" s="328"/>
    </row>
    <row r="52" spans="1:91">
      <c r="A52" s="327" t="s">
        <v>7609</v>
      </c>
      <c r="B52" s="328" t="s">
        <v>8287</v>
      </c>
      <c r="C52" s="328">
        <v>2</v>
      </c>
      <c r="D52" s="328">
        <v>1664</v>
      </c>
      <c r="E52" s="113">
        <v>64</v>
      </c>
      <c r="F52" s="113">
        <v>16</v>
      </c>
      <c r="G52" s="329"/>
      <c r="H52" s="329"/>
      <c r="I52" s="328">
        <v>29.999999999999996</v>
      </c>
      <c r="J52" s="330"/>
      <c r="K52" s="331">
        <v>8</v>
      </c>
      <c r="L52" s="331"/>
      <c r="M52" s="328"/>
      <c r="N52" s="331"/>
      <c r="O52" s="328"/>
      <c r="P52" s="328"/>
      <c r="Q52" s="328"/>
      <c r="R52" s="332"/>
      <c r="S52" s="331" t="s">
        <v>8361</v>
      </c>
      <c r="T52" s="331"/>
      <c r="U52" s="328">
        <v>10.8</v>
      </c>
      <c r="V52" s="328"/>
      <c r="W52" s="328"/>
      <c r="X52" s="328"/>
      <c r="Y52" s="333" t="s">
        <v>8237</v>
      </c>
      <c r="Z52" s="331"/>
      <c r="AA52" s="334" t="s">
        <v>8237</v>
      </c>
      <c r="AB52" s="331"/>
      <c r="AC52" s="333" t="s">
        <v>8237</v>
      </c>
      <c r="AD52" s="331"/>
      <c r="AE52" s="331"/>
      <c r="AF52" s="331"/>
      <c r="AG52" s="328"/>
      <c r="AH52" s="328"/>
      <c r="AI52" s="328">
        <v>100</v>
      </c>
      <c r="AJ52" s="328"/>
      <c r="AK52" s="328"/>
      <c r="AL52" s="328"/>
      <c r="AM52" s="328"/>
      <c r="AN52" s="328"/>
      <c r="AO52" s="328">
        <v>79</v>
      </c>
      <c r="AP52" s="328"/>
      <c r="AQ52" s="335"/>
      <c r="AR52" s="335"/>
      <c r="AS52" s="328">
        <v>112</v>
      </c>
      <c r="AT52" s="328"/>
      <c r="AU52" s="328"/>
      <c r="AV52" s="328"/>
      <c r="AW52" s="328"/>
      <c r="AX52" s="328"/>
      <c r="AY52" s="328"/>
      <c r="AZ52" s="328"/>
      <c r="BA52" s="328"/>
      <c r="BB52" s="328"/>
      <c r="BC52" s="328"/>
      <c r="BD52" s="328"/>
      <c r="BE52" s="328"/>
      <c r="BF52" s="328"/>
      <c r="BG52" s="328"/>
      <c r="BH52" s="328"/>
      <c r="BI52" s="328"/>
      <c r="BJ52" s="328"/>
      <c r="BK52" s="328"/>
      <c r="BL52" s="328"/>
      <c r="BM52" s="328"/>
      <c r="BN52" s="328"/>
      <c r="BO52" s="328"/>
      <c r="BP52" s="328"/>
      <c r="BQ52" s="328"/>
      <c r="BR52" s="328"/>
      <c r="BS52" s="328"/>
      <c r="BT52" s="328"/>
      <c r="BU52" s="328"/>
      <c r="BV52" s="328"/>
      <c r="BW52" s="328" t="s">
        <v>8361</v>
      </c>
      <c r="BX52" s="339"/>
      <c r="BY52" s="328" t="s">
        <v>8237</v>
      </c>
      <c r="BZ52" s="328"/>
      <c r="CA52" s="328"/>
      <c r="CB52" s="337"/>
      <c r="CC52" s="328"/>
      <c r="CD52" s="328"/>
      <c r="CE52" s="328"/>
      <c r="CF52" s="328"/>
      <c r="CG52" s="328"/>
      <c r="CH52" s="328"/>
      <c r="CI52" s="328"/>
      <c r="CJ52" s="328"/>
      <c r="CK52" s="328"/>
      <c r="CL52" s="328"/>
      <c r="CM52" s="328"/>
    </row>
    <row r="53" spans="1:91">
      <c r="A53" s="327" t="s">
        <v>7609</v>
      </c>
      <c r="B53" s="328" t="s">
        <v>8289</v>
      </c>
      <c r="C53" s="328">
        <v>1</v>
      </c>
      <c r="D53" s="328">
        <v>1617</v>
      </c>
      <c r="E53" s="113">
        <v>17</v>
      </c>
      <c r="F53" s="113">
        <v>16</v>
      </c>
      <c r="G53" s="329"/>
      <c r="H53" s="329"/>
      <c r="I53" s="328">
        <v>28.5</v>
      </c>
      <c r="J53" s="330"/>
      <c r="K53" s="331">
        <v>8</v>
      </c>
      <c r="L53" s="331"/>
      <c r="M53" s="328">
        <v>1.17</v>
      </c>
      <c r="N53" s="331"/>
      <c r="O53" s="328"/>
      <c r="P53" s="328"/>
      <c r="Q53" s="328"/>
      <c r="R53" s="332"/>
      <c r="S53" s="331">
        <v>4.66514632242</v>
      </c>
      <c r="T53" s="331"/>
      <c r="U53" s="328">
        <v>10.8</v>
      </c>
      <c r="V53" s="328"/>
      <c r="W53" s="328"/>
      <c r="X53" s="328"/>
      <c r="Y53" s="333">
        <v>2.0540512999999998</v>
      </c>
      <c r="Z53" s="331"/>
      <c r="AA53" s="334">
        <v>29946.380697050939</v>
      </c>
      <c r="AB53" s="331"/>
      <c r="AC53" s="333">
        <v>10.4179239</v>
      </c>
      <c r="AD53" s="331"/>
      <c r="AE53" s="331">
        <v>11.17</v>
      </c>
      <c r="AF53" s="331"/>
      <c r="AG53" s="328">
        <v>3.73</v>
      </c>
      <c r="AH53" s="328"/>
      <c r="AI53" s="328">
        <v>110</v>
      </c>
      <c r="AJ53" s="328"/>
      <c r="AK53" s="328"/>
      <c r="AL53" s="328"/>
      <c r="AM53" s="328"/>
      <c r="AN53" s="328"/>
      <c r="AO53" s="328">
        <v>77</v>
      </c>
      <c r="AP53" s="328"/>
      <c r="AQ53" s="335"/>
      <c r="AR53" s="335"/>
      <c r="AS53" s="328">
        <v>112</v>
      </c>
      <c r="AT53" s="328"/>
      <c r="AU53" s="328"/>
      <c r="AV53" s="328"/>
      <c r="AW53" s="328"/>
      <c r="AX53" s="328"/>
      <c r="AY53" s="328"/>
      <c r="AZ53" s="328"/>
      <c r="BA53" s="328"/>
      <c r="BB53" s="328"/>
      <c r="BC53" s="328"/>
      <c r="BD53" s="328"/>
      <c r="BE53" s="328"/>
      <c r="BF53" s="328"/>
      <c r="BG53" s="328">
        <v>37.136000000000003</v>
      </c>
      <c r="BH53" s="328"/>
      <c r="BI53" s="328">
        <v>4.4265999999999996</v>
      </c>
      <c r="BJ53" s="328"/>
      <c r="BK53" s="328">
        <v>1.2112000000000001</v>
      </c>
      <c r="BL53" s="328"/>
      <c r="BM53" s="328">
        <v>27.773</v>
      </c>
      <c r="BN53" s="328"/>
      <c r="BO53" s="328">
        <v>17.782</v>
      </c>
      <c r="BP53" s="328"/>
      <c r="BQ53" s="328">
        <v>8.7611000000000008</v>
      </c>
      <c r="BR53" s="328"/>
      <c r="BS53" s="328">
        <v>44.78</v>
      </c>
      <c r="BT53" s="328"/>
      <c r="BU53" s="328">
        <v>21.177</v>
      </c>
      <c r="BV53" s="328"/>
      <c r="BW53" s="336">
        <v>16.760000000000002</v>
      </c>
      <c r="BX53" s="328"/>
      <c r="BY53" s="328">
        <v>6.7879999999999967</v>
      </c>
      <c r="BZ53" s="328"/>
      <c r="CA53" s="328"/>
      <c r="CB53" s="337"/>
      <c r="CC53" s="328">
        <v>6.19</v>
      </c>
      <c r="CD53" s="328"/>
      <c r="CE53" s="328"/>
      <c r="CF53" s="328"/>
      <c r="CG53" s="328"/>
      <c r="CH53" s="328"/>
      <c r="CI53" s="328"/>
      <c r="CJ53" s="328"/>
      <c r="CK53" s="328"/>
      <c r="CL53" s="328"/>
      <c r="CM53" s="328"/>
    </row>
    <row r="54" spans="1:91">
      <c r="A54" s="154" t="s">
        <v>7610</v>
      </c>
      <c r="B54" t="s">
        <v>8289</v>
      </c>
      <c r="C54">
        <v>2</v>
      </c>
      <c r="D54">
        <v>766</v>
      </c>
      <c r="E54" s="113">
        <v>66</v>
      </c>
      <c r="F54" s="113">
        <v>7</v>
      </c>
      <c r="I54">
        <v>28.5</v>
      </c>
      <c r="K54" s="320">
        <v>8</v>
      </c>
      <c r="L54" s="320"/>
      <c r="M54">
        <v>2.13</v>
      </c>
      <c r="N54" s="320"/>
      <c r="O54"/>
      <c r="P54"/>
      <c r="Q54"/>
      <c r="S54" s="320">
        <v>9.1474834014719999</v>
      </c>
      <c r="T54" s="320"/>
      <c r="U54">
        <v>10.8</v>
      </c>
      <c r="V54"/>
      <c r="W54"/>
      <c r="X54"/>
      <c r="Y54" s="321">
        <v>4.1139684000000001</v>
      </c>
      <c r="Z54" s="320"/>
      <c r="AA54" s="322">
        <v>40277.227722772281</v>
      </c>
      <c r="AB54" s="320"/>
      <c r="AC54" s="321">
        <v>19.069970399999999</v>
      </c>
      <c r="AD54" s="320"/>
      <c r="AE54" s="320">
        <v>20.34</v>
      </c>
      <c r="AF54" s="320"/>
      <c r="AG54">
        <v>5.05</v>
      </c>
      <c r="AH54"/>
      <c r="AI54">
        <v>115</v>
      </c>
      <c r="AJ54"/>
      <c r="AK54"/>
      <c r="AL54"/>
      <c r="AM54"/>
      <c r="AN54"/>
      <c r="AO54">
        <v>83</v>
      </c>
      <c r="AP54"/>
      <c r="AQ54" s="323"/>
      <c r="AR54" s="323"/>
      <c r="AS54">
        <v>112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  <c r="BG54">
        <v>50.036000000000001</v>
      </c>
      <c r="BH54"/>
      <c r="BI54">
        <v>4.5654000000000003</v>
      </c>
      <c r="BJ54"/>
      <c r="BK54">
        <v>0.96121000000000001</v>
      </c>
      <c r="BL54"/>
      <c r="BM54">
        <v>7.202</v>
      </c>
      <c r="BN54"/>
      <c r="BO54">
        <v>15.371</v>
      </c>
      <c r="BP54"/>
      <c r="BQ54">
        <v>8.9167000000000005</v>
      </c>
      <c r="BR54"/>
      <c r="BS54">
        <v>47.968000000000004</v>
      </c>
      <c r="BT54"/>
      <c r="BU54">
        <v>20.538</v>
      </c>
      <c r="BV54"/>
      <c r="BW54" s="325">
        <v>10.77</v>
      </c>
      <c r="BX54"/>
      <c r="BY54">
        <v>6.7530000000000001</v>
      </c>
      <c r="BZ54"/>
      <c r="CA54"/>
      <c r="CC54">
        <v>6.14</v>
      </c>
      <c r="CD54"/>
      <c r="CE54"/>
      <c r="CF54"/>
      <c r="CG54"/>
      <c r="CH54"/>
      <c r="CI54"/>
      <c r="CJ54"/>
      <c r="CK54"/>
      <c r="CL54"/>
      <c r="CM54"/>
    </row>
    <row r="55" spans="1:91">
      <c r="A55" s="327" t="s">
        <v>7610</v>
      </c>
      <c r="B55" s="328" t="s">
        <v>8287</v>
      </c>
      <c r="C55" s="328">
        <v>1</v>
      </c>
      <c r="D55" s="328">
        <v>930</v>
      </c>
      <c r="E55" s="113">
        <v>30</v>
      </c>
      <c r="F55" s="113">
        <v>9</v>
      </c>
      <c r="G55" s="329"/>
      <c r="H55" s="329"/>
      <c r="I55" s="328">
        <v>16.499999999999996</v>
      </c>
      <c r="J55" s="330"/>
      <c r="K55" s="331">
        <v>7</v>
      </c>
      <c r="L55" s="331"/>
      <c r="M55" s="328">
        <v>1.33</v>
      </c>
      <c r="N55" s="331"/>
      <c r="O55" s="328"/>
      <c r="P55" s="328"/>
      <c r="Q55" s="328"/>
      <c r="R55" s="332"/>
      <c r="S55" s="331">
        <v>5.7897066997079989</v>
      </c>
      <c r="T55" s="331"/>
      <c r="U55" s="328">
        <v>10.8</v>
      </c>
      <c r="V55" s="328"/>
      <c r="W55" s="328"/>
      <c r="X55" s="328"/>
      <c r="Y55" s="333">
        <v>2.3853392000000002</v>
      </c>
      <c r="Z55" s="331"/>
      <c r="AA55" s="334">
        <v>26997.792494481233</v>
      </c>
      <c r="AB55" s="331"/>
      <c r="AC55" s="333">
        <v>11.4141367</v>
      </c>
      <c r="AD55" s="331"/>
      <c r="AE55" s="331">
        <v>12.23</v>
      </c>
      <c r="AF55" s="331"/>
      <c r="AG55" s="328">
        <v>4.53</v>
      </c>
      <c r="AH55" s="328"/>
      <c r="AI55" s="328"/>
      <c r="AJ55" s="328"/>
      <c r="AK55" s="328"/>
      <c r="AL55" s="328"/>
      <c r="AM55" s="328"/>
      <c r="AN55" s="328"/>
      <c r="AO55" s="328">
        <v>83</v>
      </c>
      <c r="AP55" s="328"/>
      <c r="AQ55" s="335"/>
      <c r="AR55" s="335"/>
      <c r="AS55" s="328">
        <v>116</v>
      </c>
      <c r="AT55" s="328"/>
      <c r="AU55" s="328"/>
      <c r="AV55" s="328"/>
      <c r="AW55" s="328"/>
      <c r="AX55" s="328"/>
      <c r="AY55" s="328"/>
      <c r="AZ55" s="328"/>
      <c r="BA55" s="328"/>
      <c r="BB55" s="328"/>
      <c r="BC55" s="328"/>
      <c r="BD55" s="328"/>
      <c r="BE55" s="328"/>
      <c r="BF55" s="328"/>
      <c r="BG55" s="328">
        <v>46.591999999999999</v>
      </c>
      <c r="BH55" s="328"/>
      <c r="BI55" s="328">
        <v>4.1079999999999997</v>
      </c>
      <c r="BJ55" s="328"/>
      <c r="BK55" s="328">
        <v>0.88507999999999998</v>
      </c>
      <c r="BL55" s="328"/>
      <c r="BM55" s="328">
        <v>13.865</v>
      </c>
      <c r="BN55" s="328"/>
      <c r="BO55" s="328">
        <v>16.968</v>
      </c>
      <c r="BP55" s="328"/>
      <c r="BQ55" s="328">
        <v>8.7286999999999999</v>
      </c>
      <c r="BR55" s="328"/>
      <c r="BS55" s="328">
        <v>50.723999999999997</v>
      </c>
      <c r="BT55" s="328"/>
      <c r="BU55" s="328">
        <v>18.818999999999999</v>
      </c>
      <c r="BV55" s="328"/>
      <c r="BW55" s="336">
        <v>10.29</v>
      </c>
      <c r="BX55" s="328"/>
      <c r="BY55" s="328">
        <v>6.3880000000000052</v>
      </c>
      <c r="BZ55" s="328"/>
      <c r="CA55" s="328"/>
      <c r="CB55" s="337"/>
      <c r="CC55" s="328">
        <v>9.59</v>
      </c>
      <c r="CD55" s="328"/>
      <c r="CE55" s="328"/>
      <c r="CF55" s="328"/>
      <c r="CG55" s="328"/>
      <c r="CH55" s="328"/>
      <c r="CI55" s="328"/>
      <c r="CJ55" s="328"/>
      <c r="CK55" s="328" t="s">
        <v>8377</v>
      </c>
      <c r="CL55" s="328"/>
      <c r="CM55" s="328"/>
    </row>
    <row r="56" spans="1:91">
      <c r="A56" s="154" t="s">
        <v>7610</v>
      </c>
      <c r="B56" t="s">
        <v>8287</v>
      </c>
      <c r="C56">
        <v>2</v>
      </c>
      <c r="D56">
        <v>1048</v>
      </c>
      <c r="E56" s="113">
        <v>48</v>
      </c>
      <c r="F56" s="113">
        <v>10</v>
      </c>
      <c r="I56">
        <v>27.999999999999996</v>
      </c>
      <c r="K56" s="320">
        <v>9</v>
      </c>
      <c r="L56" s="320"/>
      <c r="M56">
        <v>2.2200000000000002</v>
      </c>
      <c r="N56" s="320"/>
      <c r="O56"/>
      <c r="P56"/>
      <c r="Q56"/>
      <c r="S56" s="320">
        <v>9.401641364695001</v>
      </c>
      <c r="T56" s="320"/>
      <c r="U56">
        <v>10.8</v>
      </c>
      <c r="V56"/>
      <c r="W56"/>
      <c r="X56"/>
      <c r="Y56" s="321">
        <v>4.2200193000000006</v>
      </c>
      <c r="Z56" s="320"/>
      <c r="AA56" s="322">
        <v>51349.397590361434</v>
      </c>
      <c r="AB56" s="320"/>
      <c r="AC56" s="321">
        <v>20.0226629</v>
      </c>
      <c r="AD56" s="320"/>
      <c r="AE56" s="320">
        <v>21.31</v>
      </c>
      <c r="AF56" s="320"/>
      <c r="AG56">
        <v>4.1500000000000004</v>
      </c>
      <c r="AH56"/>
      <c r="AI56">
        <v>133</v>
      </c>
      <c r="AJ56"/>
      <c r="AK56"/>
      <c r="AL56"/>
      <c r="AM56"/>
      <c r="AN56"/>
      <c r="AO56">
        <v>90</v>
      </c>
      <c r="AP56"/>
      <c r="AQ56" s="323"/>
      <c r="AR56" s="323"/>
      <c r="AS56">
        <v>112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>
        <v>52.206000000000003</v>
      </c>
      <c r="BH56"/>
      <c r="BI56">
        <v>4.2431999999999999</v>
      </c>
      <c r="BJ56"/>
      <c r="BK56">
        <v>0.74350000000000005</v>
      </c>
      <c r="BL56"/>
      <c r="BM56">
        <v>6.3425000000000002</v>
      </c>
      <c r="BN56"/>
      <c r="BO56">
        <v>16.658000000000001</v>
      </c>
      <c r="BP56"/>
      <c r="BQ56">
        <v>9.1636000000000006</v>
      </c>
      <c r="BR56"/>
      <c r="BS56">
        <v>46.954999999999998</v>
      </c>
      <c r="BT56"/>
      <c r="BU56">
        <v>21.366</v>
      </c>
      <c r="BV56"/>
      <c r="BW56">
        <v>61.668999999999997</v>
      </c>
      <c r="BX56" s="324"/>
      <c r="BY56">
        <v>6.4560000000000031</v>
      </c>
      <c r="BZ56"/>
      <c r="CA56"/>
      <c r="CC56">
        <v>5.65</v>
      </c>
      <c r="CD56"/>
      <c r="CE56"/>
      <c r="CF56"/>
      <c r="CG56"/>
      <c r="CH56"/>
      <c r="CI56"/>
      <c r="CJ56"/>
      <c r="CK56"/>
      <c r="CL56"/>
      <c r="CM56"/>
    </row>
    <row r="57" spans="1:91">
      <c r="A57" s="154" t="s">
        <v>7610</v>
      </c>
      <c r="B57" t="s">
        <v>8289</v>
      </c>
      <c r="C57">
        <v>1</v>
      </c>
      <c r="D57">
        <v>1511</v>
      </c>
      <c r="E57" s="113">
        <v>11</v>
      </c>
      <c r="F57" s="113">
        <v>15</v>
      </c>
      <c r="I57">
        <v>23.999999999999996</v>
      </c>
      <c r="K57" s="320">
        <v>8</v>
      </c>
      <c r="L57" s="320"/>
      <c r="M57">
        <v>3.48</v>
      </c>
      <c r="N57" s="320"/>
      <c r="O57"/>
      <c r="P57"/>
      <c r="Q57"/>
      <c r="S57" s="320">
        <v>15.212115754800998</v>
      </c>
      <c r="T57" s="320"/>
      <c r="U57">
        <v>10.8</v>
      </c>
      <c r="V57"/>
      <c r="W57"/>
      <c r="X57"/>
      <c r="Y57" s="321">
        <v>6.2412586000000001</v>
      </c>
      <c r="Z57" s="320"/>
      <c r="AA57" s="322">
        <v>73193.832599118934</v>
      </c>
      <c r="AB57" s="320"/>
      <c r="AC57" s="321">
        <v>31.147475899999996</v>
      </c>
      <c r="AD57" s="320"/>
      <c r="AE57" s="320">
        <v>33.229999999999997</v>
      </c>
      <c r="AF57" s="320"/>
      <c r="AG57">
        <v>4.54</v>
      </c>
      <c r="AH57"/>
      <c r="AI57">
        <v>128</v>
      </c>
      <c r="AJ57"/>
      <c r="AK57"/>
      <c r="AL57"/>
      <c r="AM57"/>
      <c r="AN57"/>
      <c r="AO57">
        <v>85</v>
      </c>
      <c r="AP57"/>
      <c r="AQ57" s="323"/>
      <c r="AR57" s="323"/>
      <c r="AS57">
        <v>114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>
        <v>48.201999999999998</v>
      </c>
      <c r="BH57"/>
      <c r="BI57">
        <v>4.5034999999999998</v>
      </c>
      <c r="BJ57"/>
      <c r="BK57">
        <v>0.80727000000000004</v>
      </c>
      <c r="BL57"/>
      <c r="BM57">
        <v>11.464</v>
      </c>
      <c r="BN57"/>
      <c r="BO57">
        <v>15.691000000000001</v>
      </c>
      <c r="BP57"/>
      <c r="BQ57">
        <v>9.2646999999999995</v>
      </c>
      <c r="BR57"/>
      <c r="BS57">
        <v>48.838999999999999</v>
      </c>
      <c r="BT57"/>
      <c r="BU57">
        <v>21.048999999999999</v>
      </c>
      <c r="BV57"/>
      <c r="BW57">
        <v>45.112000000000002</v>
      </c>
      <c r="BX57" s="324"/>
      <c r="BY57">
        <v>6.3469999999999942</v>
      </c>
      <c r="BZ57"/>
      <c r="CA57"/>
      <c r="CC57">
        <v>6.14</v>
      </c>
      <c r="CD57"/>
      <c r="CE57"/>
      <c r="CF57"/>
      <c r="CG57"/>
      <c r="CH57"/>
      <c r="CI57"/>
      <c r="CJ57"/>
      <c r="CK57"/>
      <c r="CL57"/>
      <c r="CM57"/>
    </row>
    <row r="58" spans="1:91">
      <c r="A58" s="154" t="s">
        <v>7611</v>
      </c>
      <c r="B58" t="s">
        <v>8287</v>
      </c>
      <c r="C58">
        <v>1</v>
      </c>
      <c r="D58">
        <v>214</v>
      </c>
      <c r="E58" s="113">
        <v>14</v>
      </c>
      <c r="F58" s="113">
        <v>2</v>
      </c>
      <c r="I58">
        <v>25</v>
      </c>
      <c r="K58" s="320">
        <v>9</v>
      </c>
      <c r="L58" s="320"/>
      <c r="M58">
        <v>2.29</v>
      </c>
      <c r="N58" s="320"/>
      <c r="O58"/>
      <c r="P58"/>
      <c r="Q58"/>
      <c r="S58" s="320">
        <v>10.430642878299999</v>
      </c>
      <c r="T58" s="320"/>
      <c r="U58">
        <v>10.8</v>
      </c>
      <c r="V58"/>
      <c r="W58"/>
      <c r="X58"/>
      <c r="Y58" s="321">
        <v>3.946717</v>
      </c>
      <c r="Z58" s="320"/>
      <c r="AA58" s="322">
        <v>46659.663865546223</v>
      </c>
      <c r="AB58" s="320"/>
      <c r="AC58" s="321">
        <v>20.816322499999998</v>
      </c>
      <c r="AD58" s="320"/>
      <c r="AE58" s="320">
        <v>22.21</v>
      </c>
      <c r="AF58" s="320"/>
      <c r="AG58">
        <v>4.76</v>
      </c>
      <c r="AH58"/>
      <c r="AI58">
        <v>173</v>
      </c>
      <c r="AJ58"/>
      <c r="AK58"/>
      <c r="AL58"/>
      <c r="AM58"/>
      <c r="AN58"/>
      <c r="AO58">
        <v>80</v>
      </c>
      <c r="AP58"/>
      <c r="AQ58" s="323"/>
      <c r="AR58" s="323"/>
      <c r="AS58">
        <v>118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>
        <v>51.670999999999999</v>
      </c>
      <c r="BH58"/>
      <c r="BI58">
        <v>4.2778999999999998</v>
      </c>
      <c r="BJ58"/>
      <c r="BK58">
        <v>0.75680000000000003</v>
      </c>
      <c r="BL58"/>
      <c r="BM58">
        <v>8.1587999999999994</v>
      </c>
      <c r="BN58"/>
      <c r="BO58">
        <v>15.019</v>
      </c>
      <c r="BP58"/>
      <c r="BQ58">
        <v>9.6569000000000003</v>
      </c>
      <c r="BR58"/>
      <c r="BS58">
        <v>50.107999999999997</v>
      </c>
      <c r="BT58"/>
      <c r="BU58">
        <v>20.628</v>
      </c>
      <c r="BV58"/>
      <c r="BW58" s="325">
        <v>20.81</v>
      </c>
      <c r="BX58"/>
      <c r="BY58">
        <v>6.1290000000000049</v>
      </c>
      <c r="BZ58"/>
      <c r="CA58"/>
      <c r="CC58">
        <v>4.7</v>
      </c>
      <c r="CD58"/>
      <c r="CE58"/>
      <c r="CF58"/>
      <c r="CG58"/>
      <c r="CH58"/>
      <c r="CI58"/>
      <c r="CJ58"/>
      <c r="CK58"/>
      <c r="CL58"/>
      <c r="CM58"/>
    </row>
    <row r="59" spans="1:91">
      <c r="A59" s="154" t="s">
        <v>7611</v>
      </c>
      <c r="B59" t="s">
        <v>8289</v>
      </c>
      <c r="C59">
        <v>2</v>
      </c>
      <c r="D59">
        <v>744</v>
      </c>
      <c r="E59" s="113">
        <v>44</v>
      </c>
      <c r="F59" s="113">
        <v>7</v>
      </c>
      <c r="I59">
        <v>26</v>
      </c>
      <c r="K59" s="320">
        <v>9</v>
      </c>
      <c r="L59" s="320"/>
      <c r="M59">
        <v>2.36</v>
      </c>
      <c r="N59" s="320"/>
      <c r="O59"/>
      <c r="P59"/>
      <c r="Q59"/>
      <c r="S59" s="320">
        <v>10.709123736960001</v>
      </c>
      <c r="T59" s="320"/>
      <c r="U59">
        <v>10.8</v>
      </c>
      <c r="V59"/>
      <c r="W59"/>
      <c r="X59"/>
      <c r="Y59" s="321">
        <v>3.9492288000000002</v>
      </c>
      <c r="Z59" s="320"/>
      <c r="AA59" s="322">
        <v>44734.774066797647</v>
      </c>
      <c r="AB59" s="320"/>
      <c r="AC59" s="321">
        <v>21.288811500000001</v>
      </c>
      <c r="AD59" s="320"/>
      <c r="AE59" s="320">
        <v>22.77</v>
      </c>
      <c r="AF59" s="320"/>
      <c r="AG59">
        <v>5.09</v>
      </c>
      <c r="AH59"/>
      <c r="AI59">
        <v>150</v>
      </c>
      <c r="AJ59"/>
      <c r="AK59"/>
      <c r="AL59"/>
      <c r="AM59"/>
      <c r="AN59"/>
      <c r="AO59">
        <v>80</v>
      </c>
      <c r="AP59"/>
      <c r="AQ59" s="323"/>
      <c r="AR59" s="323"/>
      <c r="AS59">
        <v>118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>
        <v>52.110999999999997</v>
      </c>
      <c r="BH59"/>
      <c r="BI59">
        <v>4.1413000000000002</v>
      </c>
      <c r="BJ59"/>
      <c r="BK59">
        <v>0.63814000000000004</v>
      </c>
      <c r="BL59"/>
      <c r="BM59">
        <v>9.1837</v>
      </c>
      <c r="BN59"/>
      <c r="BO59">
        <v>15.455</v>
      </c>
      <c r="BP59"/>
      <c r="BQ59">
        <v>10.114000000000001</v>
      </c>
      <c r="BR59"/>
      <c r="BS59">
        <v>50.304000000000002</v>
      </c>
      <c r="BT59"/>
      <c r="BU59">
        <v>20.134</v>
      </c>
      <c r="BV59"/>
      <c r="BW59">
        <v>68.918999999999997</v>
      </c>
      <c r="BX59" s="324"/>
      <c r="BY59">
        <v>6.0460000000000065</v>
      </c>
      <c r="BZ59"/>
      <c r="CA59"/>
      <c r="CC59">
        <v>5.19</v>
      </c>
      <c r="CD59"/>
      <c r="CE59"/>
      <c r="CF59"/>
      <c r="CG59"/>
      <c r="CH59"/>
      <c r="CI59"/>
      <c r="CJ59"/>
      <c r="CK59"/>
      <c r="CL59"/>
      <c r="CM59"/>
    </row>
    <row r="60" spans="1:91">
      <c r="A60" s="154" t="s">
        <v>7611</v>
      </c>
      <c r="B60" t="s">
        <v>8289</v>
      </c>
      <c r="C60">
        <v>1</v>
      </c>
      <c r="D60">
        <v>1333</v>
      </c>
      <c r="E60" s="113">
        <v>33</v>
      </c>
      <c r="F60" s="113">
        <v>13</v>
      </c>
      <c r="I60">
        <v>30.499999999999996</v>
      </c>
      <c r="K60" s="320">
        <v>9</v>
      </c>
      <c r="L60" s="320"/>
      <c r="M60">
        <v>2.41</v>
      </c>
      <c r="N60" s="320"/>
      <c r="O60"/>
      <c r="P60"/>
      <c r="Q60"/>
      <c r="S60" s="320">
        <v>10.345912473054</v>
      </c>
      <c r="T60" s="320"/>
      <c r="U60">
        <v>10.8</v>
      </c>
      <c r="V60"/>
      <c r="W60"/>
      <c r="X60"/>
      <c r="Y60" s="321">
        <v>4.2700547000000002</v>
      </c>
      <c r="Z60" s="320"/>
      <c r="AA60" s="322">
        <v>47542.016806722691</v>
      </c>
      <c r="AB60" s="320"/>
      <c r="AC60" s="321">
        <v>21.085276199999999</v>
      </c>
      <c r="AD60" s="320"/>
      <c r="AE60" s="320">
        <v>22.63</v>
      </c>
      <c r="AF60" s="320"/>
      <c r="AG60">
        <v>4.76</v>
      </c>
      <c r="AH60"/>
      <c r="AI60">
        <v>133</v>
      </c>
      <c r="AJ60"/>
      <c r="AK60"/>
      <c r="AL60"/>
      <c r="AM60"/>
      <c r="AN60"/>
      <c r="AO60">
        <v>81</v>
      </c>
      <c r="AP60"/>
      <c r="AQ60" s="323"/>
      <c r="AR60" s="323"/>
      <c r="AS60">
        <v>116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38.932000000000002</v>
      </c>
      <c r="BH60"/>
      <c r="BI60">
        <v>4.6452</v>
      </c>
      <c r="BJ60"/>
      <c r="BK60">
        <v>0.87565000000000004</v>
      </c>
      <c r="BL60"/>
      <c r="BM60">
        <v>23.646000000000001</v>
      </c>
      <c r="BN60"/>
      <c r="BO60">
        <v>17.100999999999999</v>
      </c>
      <c r="BP60"/>
      <c r="BQ60">
        <v>9.3450000000000006</v>
      </c>
      <c r="BR60"/>
      <c r="BS60">
        <v>49.067</v>
      </c>
      <c r="BT60"/>
      <c r="BU60">
        <v>20.591000000000001</v>
      </c>
      <c r="BV60"/>
      <c r="BW60">
        <v>49.484000000000002</v>
      </c>
      <c r="BX60" s="324"/>
      <c r="BY60">
        <v>5.9719999999999942</v>
      </c>
      <c r="BZ60"/>
      <c r="CA60"/>
      <c r="CC60">
        <v>7.71</v>
      </c>
      <c r="CD60"/>
      <c r="CE60"/>
      <c r="CF60"/>
      <c r="CG60"/>
      <c r="CH60"/>
      <c r="CI60"/>
      <c r="CJ60"/>
      <c r="CK60"/>
      <c r="CL60"/>
      <c r="CM60"/>
    </row>
    <row r="61" spans="1:91">
      <c r="A61" s="154" t="s">
        <v>7611</v>
      </c>
      <c r="B61" t="s">
        <v>8287</v>
      </c>
      <c r="C61">
        <v>2</v>
      </c>
      <c r="D61">
        <v>1666</v>
      </c>
      <c r="E61" s="113">
        <v>66</v>
      </c>
      <c r="F61" s="113">
        <v>16</v>
      </c>
      <c r="I61">
        <v>30.499999999999996</v>
      </c>
      <c r="K61" s="320">
        <v>8</v>
      </c>
      <c r="L61" s="320"/>
      <c r="M61">
        <v>2.08</v>
      </c>
      <c r="N61" s="320"/>
      <c r="O61"/>
      <c r="P61"/>
      <c r="Q61"/>
      <c r="S61" s="320">
        <v>9.6364967994359993</v>
      </c>
      <c r="T61" s="320"/>
      <c r="U61">
        <v>10.8</v>
      </c>
      <c r="V61"/>
      <c r="W61"/>
      <c r="X61"/>
      <c r="Y61" s="321">
        <v>3.6458369999999998</v>
      </c>
      <c r="Z61" s="320"/>
      <c r="AA61" s="322">
        <v>41095.041322314049</v>
      </c>
      <c r="AB61" s="320"/>
      <c r="AC61" s="321">
        <v>18.5846193</v>
      </c>
      <c r="AD61" s="320"/>
      <c r="AE61" s="320">
        <v>19.89</v>
      </c>
      <c r="AF61" s="320"/>
      <c r="AG61">
        <v>4.84</v>
      </c>
      <c r="AH61"/>
      <c r="AI61">
        <v>145</v>
      </c>
      <c r="AJ61"/>
      <c r="AK61"/>
      <c r="AL61"/>
      <c r="AM61"/>
      <c r="AN61"/>
      <c r="AO61">
        <v>80</v>
      </c>
      <c r="AP61"/>
      <c r="AQ61" s="323"/>
      <c r="AR61" s="323"/>
      <c r="AS61">
        <v>116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>
        <v>52.753999999999998</v>
      </c>
      <c r="BH61"/>
      <c r="BI61">
        <v>4.2222</v>
      </c>
      <c r="BJ61"/>
      <c r="BK61">
        <v>0.68730999999999998</v>
      </c>
      <c r="BL61"/>
      <c r="BM61">
        <v>11.964</v>
      </c>
      <c r="BN61"/>
      <c r="BO61">
        <v>15.372999999999999</v>
      </c>
      <c r="BP61"/>
      <c r="BQ61">
        <v>10.476000000000001</v>
      </c>
      <c r="BR61"/>
      <c r="BS61">
        <v>51.851999999999997</v>
      </c>
      <c r="BT61"/>
      <c r="BU61">
        <v>18.324999999999999</v>
      </c>
      <c r="BV61"/>
      <c r="BW61">
        <v>70.144999999999996</v>
      </c>
      <c r="BX61" s="324"/>
      <c r="BY61">
        <v>5.9909999999999997</v>
      </c>
      <c r="BZ61"/>
      <c r="CA61"/>
      <c r="CC61">
        <v>6.02</v>
      </c>
      <c r="CD61"/>
      <c r="CE61"/>
      <c r="CF61"/>
      <c r="CG61"/>
      <c r="CH61"/>
      <c r="CI61"/>
      <c r="CJ61"/>
      <c r="CK61"/>
      <c r="CL61"/>
      <c r="CM61"/>
    </row>
    <row r="62" spans="1:91">
      <c r="A62" s="154" t="s">
        <v>7612</v>
      </c>
      <c r="B62" t="s">
        <v>8287</v>
      </c>
      <c r="C62">
        <v>1</v>
      </c>
      <c r="D62">
        <v>420</v>
      </c>
      <c r="E62" s="113">
        <v>20</v>
      </c>
      <c r="F62" s="113">
        <v>4</v>
      </c>
      <c r="I62">
        <v>34.5</v>
      </c>
      <c r="K62" s="320">
        <v>8</v>
      </c>
      <c r="L62" s="320"/>
      <c r="M62">
        <v>2</v>
      </c>
      <c r="N62" s="320"/>
      <c r="O62"/>
      <c r="P62"/>
      <c r="Q62"/>
      <c r="S62" s="320">
        <v>8.7282770283279998</v>
      </c>
      <c r="T62" s="320"/>
      <c r="U62">
        <v>10.8</v>
      </c>
      <c r="V62"/>
      <c r="W62"/>
      <c r="X62"/>
      <c r="Y62" s="321">
        <v>3.0137535999999994</v>
      </c>
      <c r="Z62" s="320"/>
      <c r="AA62" s="322">
        <v>37578.124999999993</v>
      </c>
      <c r="AB62" s="320"/>
      <c r="AC62" s="321">
        <v>18.070592799999996</v>
      </c>
      <c r="AD62" s="320"/>
      <c r="AE62" s="320">
        <v>19.239999999999998</v>
      </c>
      <c r="AF62" s="320"/>
      <c r="AG62">
        <v>5.12</v>
      </c>
      <c r="AH62"/>
      <c r="AI62">
        <v>130</v>
      </c>
      <c r="AJ62"/>
      <c r="AK62"/>
      <c r="AL62"/>
      <c r="AM62"/>
      <c r="AN62"/>
      <c r="AO62">
        <v>72</v>
      </c>
      <c r="AP62"/>
      <c r="AQ62" s="323"/>
      <c r="AR62" s="323"/>
      <c r="AS62">
        <v>112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  <c r="BG62">
        <v>51.521000000000001</v>
      </c>
      <c r="BH62"/>
      <c r="BI62">
        <v>4.3818999999999999</v>
      </c>
      <c r="BJ62"/>
      <c r="BK62">
        <v>0.77881</v>
      </c>
      <c r="BL62"/>
      <c r="BM62">
        <v>17.462</v>
      </c>
      <c r="BN62"/>
      <c r="BO62">
        <v>15.715</v>
      </c>
      <c r="BP62"/>
      <c r="BQ62">
        <v>10.765000000000001</v>
      </c>
      <c r="BR62"/>
      <c r="BS62">
        <v>48.301000000000002</v>
      </c>
      <c r="BT62"/>
      <c r="BU62">
        <v>19.536999999999999</v>
      </c>
      <c r="BV62"/>
      <c r="BW62">
        <v>68.906000000000006</v>
      </c>
      <c r="BX62" s="324"/>
      <c r="BY62">
        <v>6.402000000000001</v>
      </c>
      <c r="BZ62"/>
      <c r="CA62"/>
      <c r="CC62">
        <v>5.45</v>
      </c>
      <c r="CD62"/>
      <c r="CE62"/>
      <c r="CF62"/>
      <c r="CG62"/>
      <c r="CH62"/>
      <c r="CI62"/>
      <c r="CJ62"/>
      <c r="CK62"/>
      <c r="CL62"/>
      <c r="CM62"/>
    </row>
    <row r="63" spans="1:91">
      <c r="A63" s="154" t="s">
        <v>7612</v>
      </c>
      <c r="B63" t="s">
        <v>8289</v>
      </c>
      <c r="C63">
        <v>2</v>
      </c>
      <c r="D63">
        <v>668</v>
      </c>
      <c r="E63" s="113">
        <v>68</v>
      </c>
      <c r="F63" s="113">
        <v>6</v>
      </c>
      <c r="I63">
        <v>27.999999999999996</v>
      </c>
      <c r="K63" s="320">
        <v>9</v>
      </c>
      <c r="L63" s="320"/>
      <c r="M63">
        <v>2.11</v>
      </c>
      <c r="N63" s="320"/>
      <c r="O63"/>
      <c r="P63"/>
      <c r="Q63"/>
      <c r="S63" s="320">
        <v>8.3227750349700003</v>
      </c>
      <c r="T63" s="320"/>
      <c r="U63">
        <v>10.8</v>
      </c>
      <c r="V63"/>
      <c r="W63"/>
      <c r="X63"/>
      <c r="Y63" s="321">
        <v>3.6618180000000002</v>
      </c>
      <c r="Z63" s="320"/>
      <c r="AA63" s="322">
        <v>38212.927756653997</v>
      </c>
      <c r="AB63" s="320"/>
      <c r="AC63" s="321">
        <v>18.729381</v>
      </c>
      <c r="AD63" s="320"/>
      <c r="AE63" s="320">
        <v>20.100000000000001</v>
      </c>
      <c r="AF63" s="320"/>
      <c r="AG63">
        <v>5.26</v>
      </c>
      <c r="AH63"/>
      <c r="AI63">
        <v>128</v>
      </c>
      <c r="AJ63"/>
      <c r="AK63"/>
      <c r="AL63"/>
      <c r="AM63"/>
      <c r="AN63"/>
      <c r="AO63">
        <v>71</v>
      </c>
      <c r="AP63"/>
      <c r="AQ63" s="323"/>
      <c r="AR63" s="323"/>
      <c r="AS63">
        <v>112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  <c r="BG63">
        <v>46.633000000000003</v>
      </c>
      <c r="BH63"/>
      <c r="BI63">
        <v>4.4135999999999997</v>
      </c>
      <c r="BJ63"/>
      <c r="BK63">
        <v>0.93159000000000003</v>
      </c>
      <c r="BL63"/>
      <c r="BM63">
        <v>17.972999999999999</v>
      </c>
      <c r="BN63"/>
      <c r="BO63">
        <v>16.381</v>
      </c>
      <c r="BP63"/>
      <c r="BQ63">
        <v>10.722</v>
      </c>
      <c r="BR63"/>
      <c r="BS63">
        <v>44.436999999999998</v>
      </c>
      <c r="BT63"/>
      <c r="BU63">
        <v>21.91</v>
      </c>
      <c r="BV63"/>
      <c r="BW63" s="325">
        <v>24.62</v>
      </c>
      <c r="BX63"/>
      <c r="BY63">
        <v>7.1979999999999933</v>
      </c>
      <c r="BZ63"/>
      <c r="CA63"/>
      <c r="CC63">
        <v>6.38</v>
      </c>
      <c r="CD63"/>
      <c r="CE63"/>
      <c r="CF63"/>
      <c r="CG63"/>
      <c r="CH63"/>
      <c r="CI63"/>
      <c r="CJ63"/>
      <c r="CK63"/>
      <c r="CL63"/>
      <c r="CM63"/>
    </row>
    <row r="64" spans="1:91">
      <c r="A64" s="154" t="s">
        <v>7612</v>
      </c>
      <c r="B64" t="s">
        <v>8287</v>
      </c>
      <c r="C64">
        <v>2</v>
      </c>
      <c r="D64">
        <v>1058</v>
      </c>
      <c r="E64" s="113">
        <v>58</v>
      </c>
      <c r="F64" s="113">
        <v>10</v>
      </c>
      <c r="I64">
        <v>32</v>
      </c>
      <c r="K64" s="320">
        <v>9</v>
      </c>
      <c r="L64" s="320"/>
      <c r="M64">
        <v>2.4</v>
      </c>
      <c r="N64" s="320"/>
      <c r="O64"/>
      <c r="P64"/>
      <c r="Q64"/>
      <c r="S64" s="320">
        <v>9.6800039983679991</v>
      </c>
      <c r="T64" s="320"/>
      <c r="U64">
        <v>10.8</v>
      </c>
      <c r="V64"/>
      <c r="W64"/>
      <c r="X64"/>
      <c r="Y64" s="321">
        <v>4.4709456000000003</v>
      </c>
      <c r="Z64" s="320"/>
      <c r="AA64" s="322">
        <v>47044.025157232711</v>
      </c>
      <c r="AB64" s="320"/>
      <c r="AC64" s="321">
        <v>21.0087768</v>
      </c>
      <c r="AD64" s="320"/>
      <c r="AE64" s="320">
        <v>22.44</v>
      </c>
      <c r="AF64" s="320"/>
      <c r="AG64">
        <v>4.7699999999999996</v>
      </c>
      <c r="AH64"/>
      <c r="AI64">
        <v>128</v>
      </c>
      <c r="AJ64"/>
      <c r="AK64"/>
      <c r="AL64"/>
      <c r="AM64"/>
      <c r="AN64"/>
      <c r="AO64">
        <v>69</v>
      </c>
      <c r="AP64"/>
      <c r="AQ64" s="323"/>
      <c r="AR64" s="323"/>
      <c r="AS64">
        <v>112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  <c r="BG64">
        <v>55.637</v>
      </c>
      <c r="BH64"/>
      <c r="BI64">
        <v>4.4867999999999997</v>
      </c>
      <c r="BJ64"/>
      <c r="BK64">
        <v>0.78044000000000002</v>
      </c>
      <c r="BL64"/>
      <c r="BM64">
        <v>14.268000000000001</v>
      </c>
      <c r="BN64"/>
      <c r="BO64">
        <v>15.363</v>
      </c>
      <c r="BP64"/>
      <c r="BQ64">
        <v>11.409000000000001</v>
      </c>
      <c r="BR64"/>
      <c r="BS64">
        <v>46.076000000000001</v>
      </c>
      <c r="BT64"/>
      <c r="BU64">
        <v>21.064</v>
      </c>
      <c r="BV64"/>
      <c r="BW64">
        <v>61.156999999999996</v>
      </c>
      <c r="BX64" s="324"/>
      <c r="BY64">
        <v>6.8840000000000003</v>
      </c>
      <c r="BZ64"/>
      <c r="CA64"/>
      <c r="CC64">
        <v>8.09</v>
      </c>
      <c r="CD64"/>
      <c r="CE64"/>
      <c r="CF64"/>
      <c r="CG64"/>
      <c r="CH64"/>
      <c r="CI64"/>
      <c r="CJ64"/>
      <c r="CK64"/>
      <c r="CL64"/>
      <c r="CM64"/>
    </row>
    <row r="65" spans="1:91">
      <c r="A65" s="154" t="s">
        <v>7612</v>
      </c>
      <c r="B65" t="s">
        <v>8289</v>
      </c>
      <c r="C65">
        <v>1</v>
      </c>
      <c r="D65">
        <v>1016</v>
      </c>
      <c r="E65" s="113">
        <v>16</v>
      </c>
      <c r="F65" s="113">
        <v>10</v>
      </c>
      <c r="I65">
        <v>25.499999999999996</v>
      </c>
      <c r="K65" s="320">
        <v>9</v>
      </c>
      <c r="L65" s="320"/>
      <c r="M65">
        <v>1.9</v>
      </c>
      <c r="N65" s="320"/>
      <c r="O65"/>
      <c r="P65"/>
      <c r="Q65"/>
      <c r="S65" s="320">
        <v>7.7476547412180006</v>
      </c>
      <c r="T65" s="320"/>
      <c r="U65">
        <v>10.8</v>
      </c>
      <c r="V65"/>
      <c r="W65"/>
      <c r="X65"/>
      <c r="Y65" s="321">
        <v>3.7493116</v>
      </c>
      <c r="Z65" s="320"/>
      <c r="AA65" s="322">
        <v>38357.8947368421</v>
      </c>
      <c r="AB65" s="320"/>
      <c r="AC65" s="321">
        <v>17.043170199999999</v>
      </c>
      <c r="AD65" s="320"/>
      <c r="AE65" s="320">
        <v>18.22</v>
      </c>
      <c r="AF65" s="320"/>
      <c r="AG65">
        <v>4.75</v>
      </c>
      <c r="AH65"/>
      <c r="AI65">
        <v>128</v>
      </c>
      <c r="AJ65"/>
      <c r="AK65"/>
      <c r="AL65"/>
      <c r="AM65"/>
      <c r="AN65"/>
      <c r="AO65">
        <v>72</v>
      </c>
      <c r="AP65"/>
      <c r="AQ65" s="323"/>
      <c r="AR65" s="323"/>
      <c r="AS65">
        <v>112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  <c r="BG65">
        <v>47.484000000000002</v>
      </c>
      <c r="BH65"/>
      <c r="BI65">
        <v>4.3609</v>
      </c>
      <c r="BJ65"/>
      <c r="BK65">
        <v>0.98614999999999997</v>
      </c>
      <c r="BL65"/>
      <c r="BM65">
        <v>17.885999999999999</v>
      </c>
      <c r="BN65"/>
      <c r="BO65">
        <v>15.811999999999999</v>
      </c>
      <c r="BP65"/>
      <c r="BQ65">
        <v>10.334</v>
      </c>
      <c r="BR65"/>
      <c r="BS65">
        <v>45.459000000000003</v>
      </c>
      <c r="BT65"/>
      <c r="BU65">
        <v>22.026</v>
      </c>
      <c r="BV65"/>
      <c r="BW65" s="325">
        <v>17.53</v>
      </c>
      <c r="BX65"/>
      <c r="BY65">
        <v>6.7830000000000013</v>
      </c>
      <c r="BZ65"/>
      <c r="CA65"/>
      <c r="CC65">
        <v>5.77</v>
      </c>
      <c r="CD65"/>
      <c r="CE65"/>
      <c r="CF65"/>
      <c r="CG65"/>
      <c r="CH65"/>
      <c r="CI65"/>
      <c r="CJ65"/>
      <c r="CK65"/>
      <c r="CL65"/>
      <c r="CM65"/>
    </row>
    <row r="66" spans="1:91">
      <c r="A66" s="154" t="s">
        <v>7613</v>
      </c>
      <c r="B66" t="s">
        <v>8289</v>
      </c>
      <c r="C66">
        <v>2</v>
      </c>
      <c r="D66">
        <v>272</v>
      </c>
      <c r="E66" s="113">
        <v>72</v>
      </c>
      <c r="F66" s="113">
        <v>2</v>
      </c>
      <c r="I66">
        <v>34.5</v>
      </c>
      <c r="K66" s="320">
        <v>8</v>
      </c>
      <c r="L66" s="320"/>
      <c r="M66">
        <v>2.44</v>
      </c>
      <c r="N66" s="320"/>
      <c r="O66"/>
      <c r="P66"/>
      <c r="Q66"/>
      <c r="S66" s="320">
        <v>9.9955129393350006</v>
      </c>
      <c r="T66" s="320"/>
      <c r="U66">
        <v>10.8</v>
      </c>
      <c r="V66"/>
      <c r="W66"/>
      <c r="X66"/>
      <c r="Y66" s="321">
        <v>4.5592436999999997</v>
      </c>
      <c r="Z66" s="320"/>
      <c r="AA66" s="322">
        <v>41105.26315789474</v>
      </c>
      <c r="AB66" s="320"/>
      <c r="AC66" s="321">
        <v>21.985071899999998</v>
      </c>
      <c r="AD66" s="320"/>
      <c r="AE66" s="320">
        <v>23.43</v>
      </c>
      <c r="AF66" s="320"/>
      <c r="AG66">
        <v>5.7</v>
      </c>
      <c r="AH66"/>
      <c r="AI66">
        <v>128</v>
      </c>
      <c r="AJ66"/>
      <c r="AK66"/>
      <c r="AL66"/>
      <c r="AM66"/>
      <c r="AN66"/>
      <c r="AO66">
        <v>77</v>
      </c>
      <c r="AP66"/>
      <c r="AQ66" s="323"/>
      <c r="AR66" s="323"/>
      <c r="AS66">
        <v>112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>
        <v>52.918999999999997</v>
      </c>
      <c r="BH66"/>
      <c r="BI66">
        <v>4.5777000000000001</v>
      </c>
      <c r="BJ66"/>
      <c r="BK66">
        <v>0.89981</v>
      </c>
      <c r="BL66"/>
      <c r="BM66">
        <v>13.271000000000001</v>
      </c>
      <c r="BN66"/>
      <c r="BO66">
        <v>15.981</v>
      </c>
      <c r="BP66"/>
      <c r="BQ66">
        <v>8.6913</v>
      </c>
      <c r="BR66"/>
      <c r="BS66">
        <v>45.465000000000003</v>
      </c>
      <c r="BT66"/>
      <c r="BU66">
        <v>22.172999999999998</v>
      </c>
      <c r="BV66"/>
      <c r="BW66" s="325">
        <v>22.9</v>
      </c>
      <c r="BX66"/>
      <c r="BY66">
        <v>6.3580000000000041</v>
      </c>
      <c r="BZ66"/>
      <c r="CA66"/>
      <c r="CC66">
        <v>5.61</v>
      </c>
      <c r="CD66"/>
      <c r="CE66"/>
      <c r="CF66"/>
      <c r="CG66"/>
      <c r="CH66"/>
      <c r="CI66"/>
      <c r="CJ66"/>
      <c r="CK66"/>
      <c r="CL66"/>
      <c r="CM66"/>
    </row>
    <row r="67" spans="1:91">
      <c r="A67" s="327" t="s">
        <v>7613</v>
      </c>
      <c r="B67" s="328" t="s">
        <v>8287</v>
      </c>
      <c r="C67" s="328">
        <v>1</v>
      </c>
      <c r="D67" s="328">
        <v>925</v>
      </c>
      <c r="E67" s="113">
        <v>25</v>
      </c>
      <c r="F67" s="113">
        <v>9</v>
      </c>
      <c r="G67" s="329"/>
      <c r="H67" s="329"/>
      <c r="I67" s="328">
        <v>29.5</v>
      </c>
      <c r="J67" s="330"/>
      <c r="K67" s="331">
        <v>7</v>
      </c>
      <c r="L67" s="331"/>
      <c r="M67" s="328">
        <v>1.23</v>
      </c>
      <c r="N67" s="331"/>
      <c r="O67" s="328"/>
      <c r="P67" s="328"/>
      <c r="Q67" s="328"/>
      <c r="R67" s="332"/>
      <c r="S67" s="331">
        <v>5.1901418179799998</v>
      </c>
      <c r="T67" s="331"/>
      <c r="U67" s="328">
        <v>10.8</v>
      </c>
      <c r="V67" s="328"/>
      <c r="W67" s="328"/>
      <c r="X67" s="328"/>
      <c r="Y67" s="333">
        <v>2.3383695999999996</v>
      </c>
      <c r="Z67" s="331"/>
      <c r="AA67" s="334">
        <v>21127.819548872176</v>
      </c>
      <c r="AB67" s="331"/>
      <c r="AC67" s="333">
        <v>10.494675600000001</v>
      </c>
      <c r="AD67" s="331"/>
      <c r="AE67" s="331">
        <v>11.24</v>
      </c>
      <c r="AF67" s="331"/>
      <c r="AG67" s="328">
        <v>5.32</v>
      </c>
      <c r="AH67" s="328"/>
      <c r="AI67" s="328"/>
      <c r="AJ67" s="328"/>
      <c r="AK67" s="328"/>
      <c r="AL67" s="328"/>
      <c r="AM67" s="328"/>
      <c r="AN67" s="328"/>
      <c r="AO67" s="328">
        <v>77</v>
      </c>
      <c r="AP67" s="328"/>
      <c r="AQ67" s="335"/>
      <c r="AR67" s="335"/>
      <c r="AS67" s="328">
        <v>116</v>
      </c>
      <c r="AT67" s="328"/>
      <c r="AU67" s="328"/>
      <c r="AV67" s="328"/>
      <c r="AW67" s="328"/>
      <c r="AX67" s="328"/>
      <c r="AY67" s="328"/>
      <c r="AZ67" s="328"/>
      <c r="BA67" s="328"/>
      <c r="BB67" s="328"/>
      <c r="BC67" s="328"/>
      <c r="BD67" s="328"/>
      <c r="BE67" s="328"/>
      <c r="BF67" s="328"/>
      <c r="BG67" s="328">
        <v>46.802999999999997</v>
      </c>
      <c r="BH67" s="328"/>
      <c r="BI67" s="328">
        <v>4.1992000000000003</v>
      </c>
      <c r="BJ67" s="328"/>
      <c r="BK67" s="328">
        <v>0.87161</v>
      </c>
      <c r="BL67" s="328"/>
      <c r="BM67" s="328">
        <v>13.622</v>
      </c>
      <c r="BN67" s="328"/>
      <c r="BO67" s="328">
        <v>15.949</v>
      </c>
      <c r="BP67" s="328"/>
      <c r="BQ67" s="328">
        <v>8.9245999999999999</v>
      </c>
      <c r="BR67" s="328"/>
      <c r="BS67" s="328">
        <v>49.454999999999998</v>
      </c>
      <c r="BT67" s="328"/>
      <c r="BU67" s="328">
        <v>20.236000000000001</v>
      </c>
      <c r="BV67" s="328"/>
      <c r="BW67" s="336">
        <v>12.53</v>
      </c>
      <c r="BX67" s="328"/>
      <c r="BY67" s="328">
        <v>6.257000000000005</v>
      </c>
      <c r="BZ67" s="328"/>
      <c r="CA67" s="328"/>
      <c r="CB67" s="337"/>
      <c r="CC67" s="328">
        <v>10.17</v>
      </c>
      <c r="CD67" s="328"/>
      <c r="CE67" s="328"/>
      <c r="CF67" s="328"/>
      <c r="CG67" s="328"/>
      <c r="CH67" s="328"/>
      <c r="CI67" s="328"/>
      <c r="CJ67" s="328"/>
      <c r="CK67" s="328" t="s">
        <v>8377</v>
      </c>
      <c r="CL67" s="328"/>
      <c r="CM67" s="328"/>
    </row>
    <row r="68" spans="1:91">
      <c r="A68" s="154" t="s">
        <v>7613</v>
      </c>
      <c r="B68" t="s">
        <v>8287</v>
      </c>
      <c r="C68">
        <v>2</v>
      </c>
      <c r="D68">
        <v>1046</v>
      </c>
      <c r="E68" s="113">
        <v>46</v>
      </c>
      <c r="F68" s="113">
        <v>10</v>
      </c>
      <c r="I68">
        <v>35.499999999999993</v>
      </c>
      <c r="K68" s="320">
        <v>9</v>
      </c>
      <c r="L68" s="320"/>
      <c r="M68">
        <v>2.12</v>
      </c>
      <c r="N68" s="320"/>
      <c r="O68"/>
      <c r="P68"/>
      <c r="Q68"/>
      <c r="S68" s="320">
        <v>9.2996447370559991</v>
      </c>
      <c r="T68" s="320"/>
      <c r="U68">
        <v>10.8</v>
      </c>
      <c r="V68"/>
      <c r="W68"/>
      <c r="X68"/>
      <c r="Y68" s="321">
        <v>4.0620668000000002</v>
      </c>
      <c r="Z68" s="320"/>
      <c r="AA68" s="322">
        <v>41860.940695296522</v>
      </c>
      <c r="AB68" s="320"/>
      <c r="AC68" s="321">
        <v>19.1382218</v>
      </c>
      <c r="AD68" s="320"/>
      <c r="AE68" s="320">
        <v>20.47</v>
      </c>
      <c r="AF68" s="320"/>
      <c r="AG68">
        <v>4.8899999999999997</v>
      </c>
      <c r="AH68"/>
      <c r="AI68">
        <v>128</v>
      </c>
      <c r="AJ68"/>
      <c r="AK68"/>
      <c r="AL68"/>
      <c r="AM68"/>
      <c r="AN68"/>
      <c r="AO68">
        <v>72</v>
      </c>
      <c r="AP68"/>
      <c r="AQ68" s="323"/>
      <c r="AR68" s="323"/>
      <c r="AS68">
        <v>112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>
        <v>52.353000000000002</v>
      </c>
      <c r="BH68"/>
      <c r="BI68">
        <v>4.5641999999999996</v>
      </c>
      <c r="BJ68"/>
      <c r="BK68">
        <v>0.77946000000000004</v>
      </c>
      <c r="BL68"/>
      <c r="BM68">
        <v>10.688000000000001</v>
      </c>
      <c r="BN68"/>
      <c r="BO68">
        <v>15.814</v>
      </c>
      <c r="BP68"/>
      <c r="BQ68">
        <v>9.0109999999999992</v>
      </c>
      <c r="BR68"/>
      <c r="BS68">
        <v>48.591999999999999</v>
      </c>
      <c r="BT68"/>
      <c r="BU68">
        <v>20.125</v>
      </c>
      <c r="BV68"/>
      <c r="BW68" s="325">
        <v>24.24</v>
      </c>
      <c r="BX68"/>
      <c r="BY68">
        <v>6.1530000000000058</v>
      </c>
      <c r="BZ68"/>
      <c r="CA68"/>
      <c r="CC68">
        <v>5.0999999999999996</v>
      </c>
      <c r="CD68"/>
      <c r="CE68"/>
      <c r="CF68"/>
      <c r="CG68"/>
      <c r="CH68"/>
      <c r="CI68"/>
      <c r="CJ68"/>
      <c r="CK68"/>
      <c r="CL68"/>
      <c r="CM68"/>
    </row>
    <row r="69" spans="1:91">
      <c r="A69" s="154" t="s">
        <v>7613</v>
      </c>
      <c r="B69" t="s">
        <v>8289</v>
      </c>
      <c r="C69">
        <v>1</v>
      </c>
      <c r="D69">
        <v>1713</v>
      </c>
      <c r="E69" s="113">
        <v>13</v>
      </c>
      <c r="F69" s="113">
        <v>17</v>
      </c>
      <c r="I69">
        <v>27</v>
      </c>
      <c r="K69" s="320">
        <v>8</v>
      </c>
      <c r="L69" s="320"/>
      <c r="M69">
        <v>2.87</v>
      </c>
      <c r="N69" s="320"/>
      <c r="O69"/>
      <c r="P69"/>
      <c r="Q69"/>
      <c r="S69" s="320">
        <v>12.29552200416</v>
      </c>
      <c r="T69" s="320"/>
      <c r="U69">
        <v>10.8</v>
      </c>
      <c r="V69"/>
      <c r="W69"/>
      <c r="X69"/>
      <c r="Y69" s="321">
        <v>5.8233709999999999</v>
      </c>
      <c r="Z69" s="320"/>
      <c r="AA69" s="322">
        <v>56415.478615071283</v>
      </c>
      <c r="AB69" s="320"/>
      <c r="AC69" s="321">
        <v>25.865705999999999</v>
      </c>
      <c r="AD69" s="320"/>
      <c r="AE69" s="320">
        <v>27.7</v>
      </c>
      <c r="AF69" s="320"/>
      <c r="AG69">
        <v>4.91</v>
      </c>
      <c r="AH69"/>
      <c r="AI69">
        <v>125</v>
      </c>
      <c r="AJ69"/>
      <c r="AK69"/>
      <c r="AL69"/>
      <c r="AM69"/>
      <c r="AN69"/>
      <c r="AO69">
        <v>77</v>
      </c>
      <c r="AP69"/>
      <c r="AQ69" s="323"/>
      <c r="AR69" s="323"/>
      <c r="AS69">
        <v>112</v>
      </c>
      <c r="AT69"/>
      <c r="AU69"/>
      <c r="AV69"/>
      <c r="AW69"/>
      <c r="AX69"/>
      <c r="AY69"/>
      <c r="AZ69"/>
      <c r="BA69"/>
      <c r="BB69"/>
      <c r="BC69"/>
      <c r="BD69"/>
      <c r="BE69"/>
      <c r="BF69"/>
      <c r="BG69">
        <v>48.322000000000003</v>
      </c>
      <c r="BH69"/>
      <c r="BI69">
        <v>4.7405999999999997</v>
      </c>
      <c r="BJ69"/>
      <c r="BK69">
        <v>0.92103000000000002</v>
      </c>
      <c r="BL69"/>
      <c r="BM69">
        <v>15.544</v>
      </c>
      <c r="BN69"/>
      <c r="BO69">
        <v>15.412000000000001</v>
      </c>
      <c r="BP69"/>
      <c r="BQ69">
        <v>9.1923999999999992</v>
      </c>
      <c r="BR69"/>
      <c r="BS69">
        <v>47.536000000000001</v>
      </c>
      <c r="BT69"/>
      <c r="BU69">
        <v>20.768999999999998</v>
      </c>
      <c r="BV69"/>
      <c r="BW69" s="325">
        <v>20.63</v>
      </c>
      <c r="BX69"/>
      <c r="BY69">
        <v>6.4249999999999972</v>
      </c>
      <c r="BZ69"/>
      <c r="CA69"/>
      <c r="CC69">
        <v>5.14</v>
      </c>
      <c r="CD69"/>
      <c r="CE69"/>
      <c r="CF69"/>
      <c r="CG69"/>
      <c r="CH69"/>
      <c r="CI69"/>
      <c r="CJ69"/>
      <c r="CK69"/>
      <c r="CL69"/>
      <c r="CM69"/>
    </row>
    <row r="70" spans="1:91">
      <c r="A70" s="154" t="s">
        <v>7614</v>
      </c>
      <c r="B70" t="s">
        <v>8287</v>
      </c>
      <c r="C70">
        <v>1</v>
      </c>
      <c r="D70">
        <v>327</v>
      </c>
      <c r="E70" s="113">
        <v>27</v>
      </c>
      <c r="F70" s="113">
        <v>3</v>
      </c>
      <c r="I70">
        <v>25.499999999999996</v>
      </c>
      <c r="K70" s="320">
        <v>7</v>
      </c>
      <c r="L70" s="320"/>
      <c r="M70">
        <v>1.76</v>
      </c>
      <c r="N70" s="320"/>
      <c r="O70"/>
      <c r="P70"/>
      <c r="Q70"/>
      <c r="S70" s="320">
        <v>7.2244540995199991</v>
      </c>
      <c r="T70" s="320"/>
      <c r="U70">
        <v>10.8</v>
      </c>
      <c r="V70"/>
      <c r="W70"/>
      <c r="X70"/>
      <c r="Y70" s="321">
        <v>3.1879119999999994</v>
      </c>
      <c r="Z70" s="320"/>
      <c r="AA70" s="322">
        <v>42072.538860103625</v>
      </c>
      <c r="AB70" s="320"/>
      <c r="AC70" s="321">
        <v>15.207135999999998</v>
      </c>
      <c r="AD70" s="320"/>
      <c r="AE70" s="320">
        <v>16.239999999999998</v>
      </c>
      <c r="AF70" s="320"/>
      <c r="AG70">
        <v>3.86</v>
      </c>
      <c r="AH70"/>
      <c r="AI70">
        <v>123</v>
      </c>
      <c r="AJ70"/>
      <c r="AK70"/>
      <c r="AL70"/>
      <c r="AM70"/>
      <c r="AN70"/>
      <c r="AO70">
        <v>77</v>
      </c>
      <c r="AP70"/>
      <c r="AQ70" s="323"/>
      <c r="AR70" s="323"/>
      <c r="AS70">
        <v>109</v>
      </c>
      <c r="AT70"/>
      <c r="AU70"/>
      <c r="AV70"/>
      <c r="AW70"/>
      <c r="AX70"/>
      <c r="AY70"/>
      <c r="AZ70"/>
      <c r="BA70"/>
      <c r="BB70"/>
      <c r="BC70"/>
      <c r="BD70"/>
      <c r="BE70"/>
      <c r="BF70"/>
      <c r="BG70">
        <v>35.935000000000002</v>
      </c>
      <c r="BH70"/>
      <c r="BI70">
        <v>4.8303000000000003</v>
      </c>
      <c r="BJ70"/>
      <c r="BK70">
        <v>1.0633999999999999</v>
      </c>
      <c r="BL70"/>
      <c r="BM70">
        <v>23.193999999999999</v>
      </c>
      <c r="BN70"/>
      <c r="BO70">
        <v>16.672000000000001</v>
      </c>
      <c r="BP70"/>
      <c r="BQ70">
        <v>8.6416000000000004</v>
      </c>
      <c r="BR70"/>
      <c r="BS70">
        <v>47.506999999999998</v>
      </c>
      <c r="BT70"/>
      <c r="BU70">
        <v>19.548999999999999</v>
      </c>
      <c r="BV70"/>
      <c r="BW70">
        <v>38.468000000000004</v>
      </c>
      <c r="BX70" s="324"/>
      <c r="BY70">
        <v>6.7349999999999994</v>
      </c>
      <c r="BZ70"/>
      <c r="CA70"/>
      <c r="CC70">
        <v>9.31</v>
      </c>
      <c r="CD70"/>
      <c r="CE70"/>
      <c r="CF70"/>
      <c r="CG70"/>
      <c r="CH70"/>
      <c r="CI70"/>
      <c r="CJ70"/>
      <c r="CK70"/>
      <c r="CL70"/>
      <c r="CM70"/>
    </row>
    <row r="71" spans="1:91">
      <c r="A71" s="327" t="s">
        <v>7614</v>
      </c>
      <c r="B71" s="328" t="s">
        <v>8289</v>
      </c>
      <c r="C71" s="328">
        <v>2</v>
      </c>
      <c r="D71" s="328">
        <v>948</v>
      </c>
      <c r="E71" s="113">
        <v>48</v>
      </c>
      <c r="F71" s="113">
        <v>9</v>
      </c>
      <c r="G71" s="329"/>
      <c r="H71" s="329"/>
      <c r="I71" s="328">
        <v>26.499999999999996</v>
      </c>
      <c r="J71" s="330"/>
      <c r="K71" s="331">
        <v>8</v>
      </c>
      <c r="L71" s="331"/>
      <c r="M71" s="328">
        <v>1.19</v>
      </c>
      <c r="N71" s="331"/>
      <c r="O71" s="328"/>
      <c r="P71" s="328"/>
      <c r="Q71" s="328"/>
      <c r="R71" s="332"/>
      <c r="S71" s="331">
        <v>4.7305881534119996</v>
      </c>
      <c r="T71" s="331"/>
      <c r="U71" s="328">
        <v>10.8</v>
      </c>
      <c r="V71" s="328"/>
      <c r="W71" s="328"/>
      <c r="X71" s="328"/>
      <c r="Y71" s="333">
        <v>2.4275108000000003</v>
      </c>
      <c r="Z71" s="331"/>
      <c r="AA71" s="334">
        <v>28391.089108910892</v>
      </c>
      <c r="AB71" s="331"/>
      <c r="AC71" s="333">
        <v>10.6840756</v>
      </c>
      <c r="AD71" s="331"/>
      <c r="AE71" s="331">
        <v>11.47</v>
      </c>
      <c r="AF71" s="331"/>
      <c r="AG71" s="328">
        <v>4.04</v>
      </c>
      <c r="AH71" s="328"/>
      <c r="AI71" s="328">
        <v>100</v>
      </c>
      <c r="AJ71" s="328"/>
      <c r="AK71" s="328"/>
      <c r="AL71" s="328"/>
      <c r="AM71" s="328"/>
      <c r="AN71" s="328"/>
      <c r="AO71" s="328">
        <v>81</v>
      </c>
      <c r="AP71" s="328"/>
      <c r="AQ71" s="335"/>
      <c r="AR71" s="335"/>
      <c r="AS71" s="328">
        <v>114</v>
      </c>
      <c r="AT71" s="328"/>
      <c r="AU71" s="328"/>
      <c r="AV71" s="328"/>
      <c r="AW71" s="328"/>
      <c r="AX71" s="328"/>
      <c r="AY71" s="328"/>
      <c r="AZ71" s="328"/>
      <c r="BA71" s="328"/>
      <c r="BB71" s="328"/>
      <c r="BC71" s="328"/>
      <c r="BD71" s="328"/>
      <c r="BE71" s="328"/>
      <c r="BF71" s="328"/>
      <c r="BG71" s="328">
        <v>40.344999999999999</v>
      </c>
      <c r="BH71" s="328"/>
      <c r="BI71" s="328">
        <v>4.4378000000000002</v>
      </c>
      <c r="BJ71" s="328"/>
      <c r="BK71" s="328">
        <v>1.1736</v>
      </c>
      <c r="BL71" s="328"/>
      <c r="BM71" s="328">
        <v>20.055</v>
      </c>
      <c r="BN71" s="328"/>
      <c r="BO71" s="328">
        <v>17.978000000000002</v>
      </c>
      <c r="BP71" s="328"/>
      <c r="BQ71" s="328">
        <v>6.7502000000000004</v>
      </c>
      <c r="BR71" s="328"/>
      <c r="BS71" s="328">
        <v>44.277000000000001</v>
      </c>
      <c r="BT71" s="328"/>
      <c r="BU71" s="328">
        <v>20.95</v>
      </c>
      <c r="BV71" s="328"/>
      <c r="BW71" s="336">
        <v>8.7799999999999994</v>
      </c>
      <c r="BX71" s="328"/>
      <c r="BY71" s="328">
        <v>6.8539999999999992</v>
      </c>
      <c r="BZ71" s="328"/>
      <c r="CA71" s="328"/>
      <c r="CB71" s="337"/>
      <c r="CC71" s="328">
        <v>5.24</v>
      </c>
      <c r="CD71" s="328"/>
      <c r="CE71" s="328"/>
      <c r="CF71" s="328"/>
      <c r="CG71" s="328"/>
      <c r="CH71" s="328"/>
      <c r="CI71" s="328"/>
      <c r="CJ71" s="328"/>
      <c r="CK71" s="328" t="s">
        <v>8377</v>
      </c>
      <c r="CL71" s="328"/>
      <c r="CM71" s="328"/>
    </row>
    <row r="72" spans="1:91">
      <c r="A72" s="154" t="s">
        <v>7614</v>
      </c>
      <c r="B72" t="s">
        <v>8287</v>
      </c>
      <c r="C72">
        <v>2</v>
      </c>
      <c r="D72">
        <v>1370</v>
      </c>
      <c r="E72" s="113">
        <v>70</v>
      </c>
      <c r="F72" s="113">
        <v>13</v>
      </c>
      <c r="I72">
        <v>21.499999999999996</v>
      </c>
      <c r="K72" s="320">
        <v>9</v>
      </c>
      <c r="L72" s="320"/>
      <c r="M72">
        <v>1.1000000000000001</v>
      </c>
      <c r="N72" s="320"/>
      <c r="O72"/>
      <c r="P72"/>
      <c r="Q72"/>
      <c r="S72" s="320">
        <v>4.5598524191639997</v>
      </c>
      <c r="T72" s="320"/>
      <c r="U72">
        <v>10.8</v>
      </c>
      <c r="V72"/>
      <c r="W72"/>
      <c r="X72"/>
      <c r="Y72" s="321">
        <v>1.9498556</v>
      </c>
      <c r="Z72" s="320"/>
      <c r="AA72" s="322">
        <v>28152.173913043476</v>
      </c>
      <c r="AB72" s="320"/>
      <c r="AC72" s="321">
        <v>9.6531371999999998</v>
      </c>
      <c r="AD72" s="320"/>
      <c r="AE72" s="320">
        <v>10.36</v>
      </c>
      <c r="AF72" s="320"/>
      <c r="AG72">
        <v>3.68</v>
      </c>
      <c r="AH72"/>
      <c r="AI72">
        <v>130</v>
      </c>
      <c r="AJ72"/>
      <c r="AK72"/>
      <c r="AL72"/>
      <c r="AM72"/>
      <c r="AN72"/>
      <c r="AO72">
        <v>77</v>
      </c>
      <c r="AP72"/>
      <c r="AQ72" s="323"/>
      <c r="AR72" s="323"/>
      <c r="AS72">
        <v>112</v>
      </c>
      <c r="AT72"/>
      <c r="AU72"/>
      <c r="AV72"/>
      <c r="AW72"/>
      <c r="AX72"/>
      <c r="AY72"/>
      <c r="AZ72"/>
      <c r="BA72"/>
      <c r="BB72"/>
      <c r="BC72"/>
      <c r="BD72"/>
      <c r="BE72"/>
      <c r="BF72"/>
      <c r="BG72">
        <v>41.026000000000003</v>
      </c>
      <c r="BH72"/>
      <c r="BI72">
        <v>4.7009999999999996</v>
      </c>
      <c r="BJ72"/>
      <c r="BK72">
        <v>0.94511000000000001</v>
      </c>
      <c r="BL72"/>
      <c r="BM72">
        <v>20.428000000000001</v>
      </c>
      <c r="BN72"/>
      <c r="BO72">
        <v>16.355</v>
      </c>
      <c r="BP72"/>
      <c r="BQ72">
        <v>9.4245000000000001</v>
      </c>
      <c r="BR72"/>
      <c r="BS72">
        <v>47.237000000000002</v>
      </c>
      <c r="BT72"/>
      <c r="BU72">
        <v>19.628</v>
      </c>
      <c r="BV72"/>
      <c r="BW72">
        <v>65.620999999999995</v>
      </c>
      <c r="BX72" s="324"/>
      <c r="BY72">
        <v>6.578000000000003</v>
      </c>
      <c r="BZ72"/>
      <c r="CA72"/>
      <c r="CC72">
        <v>7.48</v>
      </c>
      <c r="CD72"/>
      <c r="CE72"/>
      <c r="CF72"/>
      <c r="CG72"/>
      <c r="CH72"/>
      <c r="CI72"/>
      <c r="CJ72"/>
      <c r="CK72"/>
      <c r="CL72"/>
      <c r="CM72"/>
    </row>
    <row r="73" spans="1:91">
      <c r="A73" s="154" t="s">
        <v>7614</v>
      </c>
      <c r="B73" t="s">
        <v>8289</v>
      </c>
      <c r="C73">
        <v>1</v>
      </c>
      <c r="D73">
        <v>1712</v>
      </c>
      <c r="E73" s="113">
        <v>12</v>
      </c>
      <c r="F73" s="113">
        <v>17</v>
      </c>
      <c r="I73">
        <v>22.5</v>
      </c>
      <c r="K73" s="320">
        <v>8</v>
      </c>
      <c r="L73" s="320"/>
      <c r="M73">
        <v>1.39</v>
      </c>
      <c r="N73" s="320"/>
      <c r="O73"/>
      <c r="P73"/>
      <c r="Q73"/>
      <c r="S73" s="320">
        <v>5.7844067700249999</v>
      </c>
      <c r="T73" s="320"/>
      <c r="U73">
        <v>10.8</v>
      </c>
      <c r="V73"/>
      <c r="W73"/>
      <c r="X73"/>
      <c r="Y73" s="321">
        <v>2.4072647000000003</v>
      </c>
      <c r="Z73" s="320"/>
      <c r="AA73" s="322">
        <v>41526.479750778817</v>
      </c>
      <c r="AB73" s="320"/>
      <c r="AC73" s="321">
        <v>12.460217499999999</v>
      </c>
      <c r="AD73" s="320"/>
      <c r="AE73" s="320">
        <v>13.33</v>
      </c>
      <c r="AF73" s="320"/>
      <c r="AG73">
        <v>3.21</v>
      </c>
      <c r="AH73"/>
      <c r="AI73">
        <v>108</v>
      </c>
      <c r="AJ73"/>
      <c r="AK73"/>
      <c r="AL73"/>
      <c r="AM73"/>
      <c r="AN73"/>
      <c r="AO73">
        <v>79</v>
      </c>
      <c r="AP73"/>
      <c r="AQ73" s="323"/>
      <c r="AR73" s="323"/>
      <c r="AS73">
        <v>112</v>
      </c>
      <c r="AT73"/>
      <c r="AU73"/>
      <c r="AV73"/>
      <c r="AW73"/>
      <c r="AX73"/>
      <c r="AY73"/>
      <c r="AZ73"/>
      <c r="BA73"/>
      <c r="BB73"/>
      <c r="BC73"/>
      <c r="BD73"/>
      <c r="BE73"/>
      <c r="BF73"/>
      <c r="BG73">
        <v>35.774000000000001</v>
      </c>
      <c r="BH73"/>
      <c r="BI73">
        <v>4.5545999999999998</v>
      </c>
      <c r="BJ73"/>
      <c r="BK73">
        <v>1.1032</v>
      </c>
      <c r="BL73"/>
      <c r="BM73">
        <v>28.966000000000001</v>
      </c>
      <c r="BN73"/>
      <c r="BO73">
        <v>17.423999999999999</v>
      </c>
      <c r="BP73"/>
      <c r="BQ73">
        <v>8.5923999999999996</v>
      </c>
      <c r="BR73"/>
      <c r="BS73">
        <v>46.423000000000002</v>
      </c>
      <c r="BT73"/>
      <c r="BU73">
        <v>21.023</v>
      </c>
      <c r="BV73"/>
      <c r="BW73">
        <v>42.332000000000001</v>
      </c>
      <c r="BX73" s="324"/>
      <c r="BY73">
        <v>6.6219999999999999</v>
      </c>
      <c r="BZ73"/>
      <c r="CA73"/>
      <c r="CC73">
        <v>5.72</v>
      </c>
      <c r="CD73"/>
      <c r="CE73"/>
      <c r="CF73"/>
      <c r="CG73"/>
      <c r="CH73"/>
      <c r="CI73"/>
      <c r="CJ73"/>
      <c r="CK73"/>
      <c r="CL73"/>
      <c r="CM73"/>
    </row>
    <row r="74" spans="1:91">
      <c r="A74" s="154" t="s">
        <v>7615</v>
      </c>
      <c r="B74" t="s">
        <v>8287</v>
      </c>
      <c r="C74">
        <v>1</v>
      </c>
      <c r="D74">
        <v>422</v>
      </c>
      <c r="E74" s="113">
        <v>22</v>
      </c>
      <c r="F74" s="113">
        <v>4</v>
      </c>
      <c r="I74">
        <v>35.499999999999993</v>
      </c>
      <c r="K74" s="320">
        <v>8</v>
      </c>
      <c r="L74" s="320"/>
      <c r="M74">
        <v>2.69</v>
      </c>
      <c r="N74" s="320"/>
      <c r="O74"/>
      <c r="P74"/>
      <c r="Q74"/>
      <c r="S74" s="320">
        <v>12.22123450968</v>
      </c>
      <c r="T74" s="320"/>
      <c r="U74">
        <v>10.8</v>
      </c>
      <c r="V74"/>
      <c r="W74"/>
      <c r="X74"/>
      <c r="Y74" s="321">
        <v>4.6478768000000006</v>
      </c>
      <c r="Z74" s="320"/>
      <c r="AA74" s="322">
        <v>55042.735042735054</v>
      </c>
      <c r="AB74" s="320"/>
      <c r="AC74" s="321">
        <v>24.112132800000001</v>
      </c>
      <c r="AD74" s="320"/>
      <c r="AE74" s="320">
        <v>25.76</v>
      </c>
      <c r="AF74" s="320"/>
      <c r="AG74">
        <v>4.68</v>
      </c>
      <c r="AH74"/>
      <c r="AI74">
        <v>160</v>
      </c>
      <c r="AJ74"/>
      <c r="AK74"/>
      <c r="AL74"/>
      <c r="AM74"/>
      <c r="AN74"/>
      <c r="AO74">
        <v>90</v>
      </c>
      <c r="AP74"/>
      <c r="AQ74" s="323"/>
      <c r="AR74" s="323"/>
      <c r="AS74">
        <v>118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>
        <v>57.268000000000001</v>
      </c>
      <c r="BH74"/>
      <c r="BI74">
        <v>4.3262999999999998</v>
      </c>
      <c r="BJ74"/>
      <c r="BK74">
        <v>0.69562000000000002</v>
      </c>
      <c r="BL74"/>
      <c r="BM74">
        <v>10.747999999999999</v>
      </c>
      <c r="BN74"/>
      <c r="BO74">
        <v>14.116</v>
      </c>
      <c r="BP74"/>
      <c r="BQ74">
        <v>10.141999999999999</v>
      </c>
      <c r="BR74"/>
      <c r="BS74">
        <v>50.685000000000002</v>
      </c>
      <c r="BT74"/>
      <c r="BU74">
        <v>18.530999999999999</v>
      </c>
      <c r="BV74"/>
      <c r="BW74">
        <v>76.224000000000004</v>
      </c>
      <c r="BX74" s="324"/>
      <c r="BY74">
        <v>5.8449999999999989</v>
      </c>
      <c r="BZ74"/>
      <c r="CA74"/>
      <c r="CC74">
        <v>5.87</v>
      </c>
      <c r="CD74"/>
      <c r="CE74"/>
      <c r="CF74"/>
      <c r="CG74"/>
      <c r="CH74"/>
      <c r="CI74"/>
      <c r="CJ74"/>
      <c r="CK74"/>
      <c r="CL74"/>
      <c r="CM74"/>
    </row>
    <row r="75" spans="1:91">
      <c r="A75" s="154" t="s">
        <v>7615</v>
      </c>
      <c r="B75" t="s">
        <v>8289</v>
      </c>
      <c r="C75">
        <v>2</v>
      </c>
      <c r="D75">
        <v>649</v>
      </c>
      <c r="E75" s="113">
        <v>49</v>
      </c>
      <c r="F75" s="113">
        <v>6</v>
      </c>
      <c r="I75">
        <v>31</v>
      </c>
      <c r="K75" s="320">
        <v>9</v>
      </c>
      <c r="L75" s="320"/>
      <c r="M75">
        <v>2.67</v>
      </c>
      <c r="N75" s="320"/>
      <c r="O75"/>
      <c r="P75"/>
      <c r="Q75"/>
      <c r="S75" s="320">
        <v>11.749296216299999</v>
      </c>
      <c r="T75" s="320"/>
      <c r="U75">
        <v>10.8</v>
      </c>
      <c r="V75"/>
      <c r="W75"/>
      <c r="X75"/>
      <c r="Y75" s="321">
        <v>4.8480480000000004</v>
      </c>
      <c r="Z75" s="320"/>
      <c r="AA75" s="322">
        <v>53878.406708595394</v>
      </c>
      <c r="AB75" s="320"/>
      <c r="AC75" s="321">
        <v>23.994804999999999</v>
      </c>
      <c r="AD75" s="320"/>
      <c r="AE75" s="320">
        <v>25.7</v>
      </c>
      <c r="AF75" s="320"/>
      <c r="AG75">
        <v>4.7699999999999996</v>
      </c>
      <c r="AH75"/>
      <c r="AI75">
        <v>153</v>
      </c>
      <c r="AJ75"/>
      <c r="AK75"/>
      <c r="AL75"/>
      <c r="AM75"/>
      <c r="AN75"/>
      <c r="AO75">
        <v>77</v>
      </c>
      <c r="AP75"/>
      <c r="AQ75" s="323"/>
      <c r="AR75" s="323"/>
      <c r="AS75">
        <v>116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>
        <v>53.000999999999998</v>
      </c>
      <c r="BH75"/>
      <c r="BI75">
        <v>4.0353000000000003</v>
      </c>
      <c r="BJ75"/>
      <c r="BK75">
        <v>0.82287999999999994</v>
      </c>
      <c r="BL75"/>
      <c r="BM75">
        <v>9.9725000000000001</v>
      </c>
      <c r="BN75"/>
      <c r="BO75">
        <v>14.676</v>
      </c>
      <c r="BP75"/>
      <c r="BQ75">
        <v>9.2411999999999992</v>
      </c>
      <c r="BR75"/>
      <c r="BS75">
        <v>48.966000000000001</v>
      </c>
      <c r="BT75"/>
      <c r="BU75">
        <v>20.370999999999999</v>
      </c>
      <c r="BV75"/>
      <c r="BW75" s="325">
        <v>29.02</v>
      </c>
      <c r="BX75"/>
      <c r="BY75">
        <v>6.2710000000000008</v>
      </c>
      <c r="BZ75"/>
      <c r="CA75"/>
      <c r="CC75">
        <v>5.39</v>
      </c>
      <c r="CD75"/>
      <c r="CE75"/>
      <c r="CF75"/>
      <c r="CG75"/>
      <c r="CH75"/>
      <c r="CI75"/>
      <c r="CJ75"/>
      <c r="CK75"/>
      <c r="CL75"/>
      <c r="CM75"/>
    </row>
    <row r="76" spans="1:91">
      <c r="A76" s="154" t="s">
        <v>7615</v>
      </c>
      <c r="B76" t="s">
        <v>8287</v>
      </c>
      <c r="C76">
        <v>2</v>
      </c>
      <c r="D76">
        <v>1253</v>
      </c>
      <c r="E76" s="113">
        <v>53</v>
      </c>
      <c r="F76" s="113">
        <v>12</v>
      </c>
      <c r="I76">
        <v>32.5</v>
      </c>
      <c r="K76" s="320">
        <v>9</v>
      </c>
      <c r="L76" s="320"/>
      <c r="M76">
        <v>2.19</v>
      </c>
      <c r="N76" s="320"/>
      <c r="O76"/>
      <c r="P76"/>
      <c r="Q76"/>
      <c r="S76" s="320">
        <v>10.056171634199998</v>
      </c>
      <c r="T76" s="320"/>
      <c r="U76">
        <v>10.8</v>
      </c>
      <c r="V76"/>
      <c r="W76"/>
      <c r="X76"/>
      <c r="Y76" s="321">
        <v>3.6955394999999993</v>
      </c>
      <c r="Z76" s="320"/>
      <c r="AA76" s="322">
        <v>47209.82142857142</v>
      </c>
      <c r="AB76" s="320"/>
      <c r="AC76" s="321">
        <v>19.781594999999999</v>
      </c>
      <c r="AD76" s="320"/>
      <c r="AE76" s="320">
        <v>21.15</v>
      </c>
      <c r="AF76" s="320"/>
      <c r="AG76">
        <v>4.4800000000000004</v>
      </c>
      <c r="AH76"/>
      <c r="AI76">
        <v>145</v>
      </c>
      <c r="AJ76"/>
      <c r="AK76"/>
      <c r="AL76"/>
      <c r="AM76"/>
      <c r="AN76"/>
      <c r="AO76">
        <v>85</v>
      </c>
      <c r="AP76"/>
      <c r="AQ76" s="323"/>
      <c r="AR76" s="323"/>
      <c r="AS76">
        <v>114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54.564</v>
      </c>
      <c r="BH76"/>
      <c r="BI76">
        <v>4.5054999999999996</v>
      </c>
      <c r="BJ76"/>
      <c r="BK76">
        <v>0.70611000000000002</v>
      </c>
      <c r="BL76"/>
      <c r="BM76">
        <v>12.956</v>
      </c>
      <c r="BN76"/>
      <c r="BO76">
        <v>16.308</v>
      </c>
      <c r="BP76"/>
      <c r="BQ76">
        <v>8.7965</v>
      </c>
      <c r="BR76"/>
      <c r="BS76">
        <v>50.835999999999999</v>
      </c>
      <c r="BT76"/>
      <c r="BU76">
        <v>17.64</v>
      </c>
      <c r="BV76"/>
      <c r="BW76">
        <v>52.985999999999997</v>
      </c>
      <c r="BX76" s="324"/>
      <c r="BY76">
        <v>6.0819999999999936</v>
      </c>
      <c r="BZ76"/>
      <c r="CA76"/>
      <c r="CC76">
        <v>5.07</v>
      </c>
      <c r="CD76"/>
      <c r="CE76"/>
      <c r="CF76"/>
      <c r="CG76"/>
      <c r="CH76"/>
      <c r="CI76"/>
      <c r="CJ76"/>
      <c r="CK76"/>
      <c r="CL76"/>
      <c r="CM76"/>
    </row>
    <row r="77" spans="1:91">
      <c r="A77" s="154" t="s">
        <v>7615</v>
      </c>
      <c r="B77" t="s">
        <v>8289</v>
      </c>
      <c r="C77">
        <v>1</v>
      </c>
      <c r="D77">
        <v>1514</v>
      </c>
      <c r="E77" s="113">
        <v>14</v>
      </c>
      <c r="F77" s="113">
        <v>15</v>
      </c>
      <c r="I77">
        <v>25</v>
      </c>
      <c r="K77" s="320">
        <v>8</v>
      </c>
      <c r="L77" s="320"/>
      <c r="M77">
        <v>3.11</v>
      </c>
      <c r="N77" s="320"/>
      <c r="O77"/>
      <c r="P77"/>
      <c r="Q77"/>
      <c r="S77" s="320">
        <v>13.649615231891998</v>
      </c>
      <c r="T77" s="320"/>
      <c r="U77">
        <v>10.8</v>
      </c>
      <c r="V77"/>
      <c r="W77"/>
      <c r="X77"/>
      <c r="Y77" s="321">
        <v>5.8919589999999991</v>
      </c>
      <c r="Z77" s="320"/>
      <c r="AA77" s="322">
        <v>67104.072398190052</v>
      </c>
      <c r="AB77" s="320"/>
      <c r="AC77" s="321">
        <v>27.755531399999999</v>
      </c>
      <c r="AD77" s="320"/>
      <c r="AE77" s="320">
        <v>29.66</v>
      </c>
      <c r="AF77" s="320"/>
      <c r="AG77">
        <v>4.42</v>
      </c>
      <c r="AH77"/>
      <c r="AI77">
        <v>148</v>
      </c>
      <c r="AJ77"/>
      <c r="AK77"/>
      <c r="AL77"/>
      <c r="AM77"/>
      <c r="AN77"/>
      <c r="AO77">
        <v>85</v>
      </c>
      <c r="AP77"/>
      <c r="AQ77" s="323"/>
      <c r="AR77" s="323"/>
      <c r="AS77">
        <v>112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>
        <v>48.905000000000001</v>
      </c>
      <c r="BH77"/>
      <c r="BI77">
        <v>4.2720000000000002</v>
      </c>
      <c r="BJ77"/>
      <c r="BK77">
        <v>0.87914000000000003</v>
      </c>
      <c r="BL77"/>
      <c r="BM77">
        <v>13.180999999999999</v>
      </c>
      <c r="BN77"/>
      <c r="BO77">
        <v>15.711</v>
      </c>
      <c r="BP77"/>
      <c r="BQ77">
        <v>9.9995999999999992</v>
      </c>
      <c r="BR77"/>
      <c r="BS77">
        <v>49.177999999999997</v>
      </c>
      <c r="BT77"/>
      <c r="BU77">
        <v>19.286000000000001</v>
      </c>
      <c r="BV77"/>
      <c r="BW77">
        <v>53.081000000000003</v>
      </c>
      <c r="BX77" s="324"/>
      <c r="BY77">
        <v>6.0919999999999987</v>
      </c>
      <c r="BZ77"/>
      <c r="CA77"/>
      <c r="CC77">
        <v>6.27</v>
      </c>
      <c r="CD77"/>
      <c r="CE77"/>
      <c r="CF77"/>
      <c r="CG77"/>
      <c r="CH77"/>
      <c r="CI77"/>
      <c r="CJ77"/>
      <c r="CK77"/>
      <c r="CL77"/>
      <c r="CM77"/>
    </row>
    <row r="78" spans="1:91">
      <c r="A78" s="154" t="s">
        <v>7616</v>
      </c>
      <c r="B78" t="s">
        <v>8287</v>
      </c>
      <c r="C78">
        <v>1</v>
      </c>
      <c r="D78">
        <v>314</v>
      </c>
      <c r="E78" s="113">
        <v>14</v>
      </c>
      <c r="F78" s="113">
        <v>3</v>
      </c>
      <c r="I78">
        <v>28.999999999999996</v>
      </c>
      <c r="K78" s="320">
        <v>9</v>
      </c>
      <c r="L78" s="320"/>
      <c r="M78">
        <v>2.27</v>
      </c>
      <c r="N78" s="320"/>
      <c r="O78"/>
      <c r="P78"/>
      <c r="Q78"/>
      <c r="S78" s="320">
        <v>10.812181721670001</v>
      </c>
      <c r="T78" s="320"/>
      <c r="U78">
        <v>10.8</v>
      </c>
      <c r="V78"/>
      <c r="W78"/>
      <c r="X78"/>
      <c r="Y78" s="321">
        <v>3.9667949999999994</v>
      </c>
      <c r="Z78" s="320"/>
      <c r="AA78" s="322">
        <v>48891.352549889139</v>
      </c>
      <c r="AB78" s="320"/>
      <c r="AC78" s="321">
        <v>20.650486500000003</v>
      </c>
      <c r="AD78" s="320"/>
      <c r="AE78" s="320">
        <v>22.05</v>
      </c>
      <c r="AF78" s="320"/>
      <c r="AG78">
        <v>4.51</v>
      </c>
      <c r="AH78"/>
      <c r="AI78">
        <v>123</v>
      </c>
      <c r="AJ78"/>
      <c r="AK78"/>
      <c r="AL78"/>
      <c r="AM78"/>
      <c r="AN78"/>
      <c r="AO78">
        <v>81</v>
      </c>
      <c r="AP78"/>
      <c r="AQ78" s="323"/>
      <c r="AR78" s="323"/>
      <c r="AS78">
        <v>114</v>
      </c>
      <c r="AT78"/>
      <c r="AU78"/>
      <c r="AV78"/>
      <c r="AW78"/>
      <c r="AX78"/>
      <c r="AY78"/>
      <c r="AZ78"/>
      <c r="BA78"/>
      <c r="BB78"/>
      <c r="BC78"/>
      <c r="BD78"/>
      <c r="BE78"/>
      <c r="BF78"/>
      <c r="BG78">
        <v>53.414999999999999</v>
      </c>
      <c r="BH78"/>
      <c r="BI78">
        <v>4.4154999999999998</v>
      </c>
      <c r="BJ78"/>
      <c r="BK78">
        <v>0.87156</v>
      </c>
      <c r="BL78"/>
      <c r="BM78">
        <v>10.111000000000001</v>
      </c>
      <c r="BN78"/>
      <c r="BO78">
        <v>15.343</v>
      </c>
      <c r="BP78"/>
      <c r="BQ78">
        <v>9.5168999999999997</v>
      </c>
      <c r="BR78"/>
      <c r="BS78">
        <v>52.357999999999997</v>
      </c>
      <c r="BT78"/>
      <c r="BU78">
        <v>18.175000000000001</v>
      </c>
      <c r="BV78"/>
      <c r="BW78" s="325">
        <v>26.92</v>
      </c>
      <c r="BX78"/>
      <c r="BY78">
        <v>5.9140000000000015</v>
      </c>
      <c r="BZ78"/>
      <c r="CA78"/>
      <c r="CC78">
        <v>4.53</v>
      </c>
      <c r="CD78"/>
      <c r="CE78"/>
      <c r="CF78"/>
      <c r="CG78"/>
      <c r="CH78"/>
      <c r="CI78"/>
      <c r="CJ78"/>
      <c r="CK78" t="str">
        <f>IF(F78=ET24*(B78="N+"),"submertion","")</f>
        <v/>
      </c>
      <c r="CL78"/>
      <c r="CM78"/>
    </row>
    <row r="79" spans="1:91">
      <c r="A79" s="154" t="s">
        <v>7616</v>
      </c>
      <c r="B79" t="s">
        <v>8289</v>
      </c>
      <c r="C79">
        <v>2</v>
      </c>
      <c r="D79">
        <v>454</v>
      </c>
      <c r="E79" s="113">
        <v>54</v>
      </c>
      <c r="F79" s="113">
        <v>4</v>
      </c>
      <c r="I79">
        <v>34.5</v>
      </c>
      <c r="K79" s="320">
        <v>9</v>
      </c>
      <c r="L79" s="320"/>
      <c r="M79">
        <v>2.69</v>
      </c>
      <c r="N79" s="320"/>
      <c r="O79"/>
      <c r="P79"/>
      <c r="Q79"/>
      <c r="S79" s="320">
        <v>12.253793376439999</v>
      </c>
      <c r="T79" s="320"/>
      <c r="U79">
        <v>10.8</v>
      </c>
      <c r="V79"/>
      <c r="W79"/>
      <c r="X79"/>
      <c r="Y79" s="321">
        <v>5.3012915999999999</v>
      </c>
      <c r="Z79" s="320"/>
      <c r="AA79" s="322">
        <v>56557.734204793029</v>
      </c>
      <c r="AB79" s="320"/>
      <c r="AC79" s="321">
        <v>24.0955528</v>
      </c>
      <c r="AD79" s="320"/>
      <c r="AE79" s="320">
        <v>25.96</v>
      </c>
      <c r="AF79" s="320"/>
      <c r="AG79">
        <v>4.59</v>
      </c>
      <c r="AH79"/>
      <c r="AI79">
        <v>103</v>
      </c>
      <c r="AJ79"/>
      <c r="AK79"/>
      <c r="AL79"/>
      <c r="AM79"/>
      <c r="AN79"/>
      <c r="AO79">
        <v>79</v>
      </c>
      <c r="AP79"/>
      <c r="AQ79" s="323"/>
      <c r="AR79" s="323"/>
      <c r="AS79">
        <v>116</v>
      </c>
      <c r="AT79"/>
      <c r="AU79"/>
      <c r="AV79"/>
      <c r="AW79"/>
      <c r="AX79"/>
      <c r="AY79"/>
      <c r="AZ79"/>
      <c r="BA79"/>
      <c r="BB79"/>
      <c r="BC79"/>
      <c r="BD79"/>
      <c r="BE79"/>
      <c r="BF79"/>
      <c r="BG79">
        <v>52.155999999999999</v>
      </c>
      <c r="BH79"/>
      <c r="BI79">
        <v>4.3067000000000002</v>
      </c>
      <c r="BJ79"/>
      <c r="BK79">
        <v>0.96886000000000005</v>
      </c>
      <c r="BL79"/>
      <c r="BM79">
        <v>13.132999999999999</v>
      </c>
      <c r="BN79"/>
      <c r="BO79">
        <v>12.691000000000001</v>
      </c>
      <c r="BP79"/>
      <c r="BQ79">
        <v>9.7484000000000002</v>
      </c>
      <c r="BR79"/>
      <c r="BS79">
        <v>50.854999999999997</v>
      </c>
      <c r="BT79"/>
      <c r="BU79">
        <v>19.198</v>
      </c>
      <c r="BV79"/>
      <c r="BW79" s="325">
        <v>15.98</v>
      </c>
      <c r="BX79"/>
      <c r="BY79">
        <v>6.2319999999999993</v>
      </c>
      <c r="BZ79"/>
      <c r="CA79"/>
      <c r="CC79">
        <v>5.15</v>
      </c>
      <c r="CD79"/>
      <c r="CE79"/>
      <c r="CF79"/>
      <c r="CG79"/>
      <c r="CH79"/>
      <c r="CI79"/>
      <c r="CJ79"/>
      <c r="CK79"/>
      <c r="CL79"/>
      <c r="CM79"/>
    </row>
    <row r="80" spans="1:91">
      <c r="A80" s="154" t="s">
        <v>7616</v>
      </c>
      <c r="B80" t="s">
        <v>8289</v>
      </c>
      <c r="C80">
        <v>1</v>
      </c>
      <c r="D80">
        <v>1105</v>
      </c>
      <c r="E80" s="113">
        <v>5</v>
      </c>
      <c r="F80" s="113">
        <v>11</v>
      </c>
      <c r="I80">
        <v>31</v>
      </c>
      <c r="K80" s="320">
        <v>9</v>
      </c>
      <c r="L80" s="320"/>
      <c r="M80">
        <v>2.8</v>
      </c>
      <c r="N80" s="320"/>
      <c r="O80"/>
      <c r="P80"/>
      <c r="Q80"/>
      <c r="S80" s="320">
        <v>12.449926452071997</v>
      </c>
      <c r="T80" s="320"/>
      <c r="U80">
        <v>10.8</v>
      </c>
      <c r="V80"/>
      <c r="W80"/>
      <c r="X80"/>
      <c r="Y80" s="321">
        <v>4.8435888</v>
      </c>
      <c r="Z80" s="320"/>
      <c r="AA80" s="322">
        <v>67323.232323232325</v>
      </c>
      <c r="AB80" s="320"/>
      <c r="AC80" s="321">
        <v>24.914303199999999</v>
      </c>
      <c r="AD80" s="320"/>
      <c r="AE80" s="320">
        <v>26.66</v>
      </c>
      <c r="AF80" s="320"/>
      <c r="AG80">
        <v>3.96</v>
      </c>
      <c r="AH80"/>
      <c r="AI80">
        <v>120</v>
      </c>
      <c r="AJ80"/>
      <c r="AK80"/>
      <c r="AL80"/>
      <c r="AM80"/>
      <c r="AN80"/>
      <c r="AO80">
        <v>79</v>
      </c>
      <c r="AP80"/>
      <c r="AQ80" s="323"/>
      <c r="AR80" s="323"/>
      <c r="AS80">
        <v>112</v>
      </c>
      <c r="AT80"/>
      <c r="AU80"/>
      <c r="AV80"/>
      <c r="AW80"/>
      <c r="AX80"/>
      <c r="AY80"/>
      <c r="AZ80"/>
      <c r="BA80"/>
      <c r="BB80"/>
      <c r="BC80"/>
      <c r="BD80"/>
      <c r="BE80"/>
      <c r="BF80"/>
      <c r="BG80">
        <v>41.6</v>
      </c>
      <c r="BH80"/>
      <c r="BI80">
        <v>4.5182000000000002</v>
      </c>
      <c r="BJ80"/>
      <c r="BK80">
        <v>1.0891999999999999</v>
      </c>
      <c r="BL80"/>
      <c r="BM80">
        <v>21.346</v>
      </c>
      <c r="BN80"/>
      <c r="BO80">
        <v>13.273999999999999</v>
      </c>
      <c r="BP80"/>
      <c r="BQ80">
        <v>9.8568999999999996</v>
      </c>
      <c r="BR80"/>
      <c r="BS80">
        <v>49.970999999999997</v>
      </c>
      <c r="BT80"/>
      <c r="BU80">
        <v>19.515000000000001</v>
      </c>
      <c r="BV80"/>
      <c r="BW80" s="325">
        <v>10.58</v>
      </c>
      <c r="BX80"/>
      <c r="BY80">
        <v>6.4069999999999965</v>
      </c>
      <c r="BZ80"/>
      <c r="CA80"/>
      <c r="CC80">
        <v>6.43</v>
      </c>
      <c r="CD80"/>
      <c r="CE80"/>
      <c r="CF80"/>
      <c r="CG80"/>
      <c r="CH80"/>
      <c r="CI80"/>
      <c r="CJ80"/>
      <c r="CK80"/>
      <c r="CL80"/>
      <c r="CM80"/>
    </row>
    <row r="81" spans="1:91">
      <c r="A81" s="154" t="s">
        <v>7616</v>
      </c>
      <c r="B81" t="s">
        <v>8287</v>
      </c>
      <c r="C81">
        <v>2</v>
      </c>
      <c r="D81">
        <v>1544</v>
      </c>
      <c r="E81" s="113">
        <v>44</v>
      </c>
      <c r="F81" s="113">
        <v>15</v>
      </c>
      <c r="I81">
        <v>32.5</v>
      </c>
      <c r="K81" s="320">
        <v>8</v>
      </c>
      <c r="L81" s="320"/>
      <c r="M81">
        <v>2.72</v>
      </c>
      <c r="N81" s="320"/>
      <c r="O81"/>
      <c r="P81"/>
      <c r="Q81"/>
      <c r="S81" s="320">
        <v>12.379714683300003</v>
      </c>
      <c r="T81" s="320"/>
      <c r="U81">
        <v>10.8</v>
      </c>
      <c r="V81"/>
      <c r="W81"/>
      <c r="X81"/>
      <c r="Y81" s="321">
        <v>4.2254499000000001</v>
      </c>
      <c r="Z81" s="320"/>
      <c r="AA81" s="322">
        <v>64751.243781094541</v>
      </c>
      <c r="AB81" s="320"/>
      <c r="AC81" s="321">
        <v>24.442170000000004</v>
      </c>
      <c r="AD81" s="320"/>
      <c r="AE81" s="320">
        <v>26.03</v>
      </c>
      <c r="AF81" s="320"/>
      <c r="AG81">
        <v>4.0199999999999996</v>
      </c>
      <c r="AH81"/>
      <c r="AI81">
        <v>138</v>
      </c>
      <c r="AJ81"/>
      <c r="AK81"/>
      <c r="AL81"/>
      <c r="AM81"/>
      <c r="AN81"/>
      <c r="AO81">
        <v>82</v>
      </c>
      <c r="AP81"/>
      <c r="AQ81" s="323"/>
      <c r="AR81" s="323"/>
      <c r="AS81">
        <v>112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>
        <v>49.6</v>
      </c>
      <c r="BH81"/>
      <c r="BI81">
        <v>4.6226000000000003</v>
      </c>
      <c r="BJ81"/>
      <c r="BK81">
        <v>0.86033000000000004</v>
      </c>
      <c r="BL81"/>
      <c r="BM81">
        <v>14.04</v>
      </c>
      <c r="BN81"/>
      <c r="BO81">
        <v>14.923999999999999</v>
      </c>
      <c r="BP81"/>
      <c r="BQ81">
        <v>9.4695</v>
      </c>
      <c r="BR81"/>
      <c r="BS81">
        <v>50.649000000000001</v>
      </c>
      <c r="BT81"/>
      <c r="BU81">
        <v>18.347000000000001</v>
      </c>
      <c r="BV81"/>
      <c r="BW81">
        <v>70.703999999999994</v>
      </c>
      <c r="BX81" s="324"/>
      <c r="BY81">
        <v>6.0139999999999958</v>
      </c>
      <c r="BZ81"/>
      <c r="CA81"/>
      <c r="CC81">
        <v>5.93</v>
      </c>
      <c r="CD81"/>
      <c r="CE81"/>
      <c r="CF81"/>
      <c r="CG81"/>
      <c r="CH81"/>
      <c r="CI81"/>
      <c r="CJ81"/>
      <c r="CK81"/>
      <c r="CL81"/>
      <c r="CM81"/>
    </row>
    <row r="82" spans="1:91">
      <c r="A82" s="154" t="s">
        <v>7617</v>
      </c>
      <c r="B82" t="s">
        <v>8287</v>
      </c>
      <c r="C82">
        <v>1</v>
      </c>
      <c r="D82">
        <v>621</v>
      </c>
      <c r="E82" s="113">
        <v>21</v>
      </c>
      <c r="F82" s="113">
        <v>6</v>
      </c>
      <c r="I82">
        <v>32.5</v>
      </c>
      <c r="K82" s="320">
        <v>8</v>
      </c>
      <c r="L82" s="320"/>
      <c r="M82">
        <v>2.96</v>
      </c>
      <c r="N82" s="320"/>
      <c r="O82"/>
      <c r="P82"/>
      <c r="Q82"/>
      <c r="S82" s="320">
        <v>14.474870023320001</v>
      </c>
      <c r="T82" s="320"/>
      <c r="U82">
        <v>10.8</v>
      </c>
      <c r="V82"/>
      <c r="W82"/>
      <c r="X82"/>
      <c r="Y82" s="321">
        <v>4.9223440000000007</v>
      </c>
      <c r="Z82" s="320"/>
      <c r="AA82" s="322">
        <v>72871.794871794875</v>
      </c>
      <c r="AB82" s="320"/>
      <c r="AC82" s="321">
        <v>26.677854000000004</v>
      </c>
      <c r="AD82" s="320"/>
      <c r="AE82" s="320">
        <v>28.42</v>
      </c>
      <c r="AF82" s="320"/>
      <c r="AG82">
        <v>3.9</v>
      </c>
      <c r="AH82"/>
      <c r="AI82">
        <v>160</v>
      </c>
      <c r="AJ82"/>
      <c r="AK82"/>
      <c r="AL82"/>
      <c r="AM82"/>
      <c r="AN82"/>
      <c r="AO82">
        <v>90</v>
      </c>
      <c r="AP82"/>
      <c r="AQ82" s="323"/>
      <c r="AR82" s="323"/>
      <c r="AS82">
        <v>116</v>
      </c>
      <c r="AT82"/>
      <c r="AU82"/>
      <c r="AV82"/>
      <c r="AW82"/>
      <c r="AX82"/>
      <c r="AY82"/>
      <c r="AZ82"/>
      <c r="BA82"/>
      <c r="BB82"/>
      <c r="BC82"/>
      <c r="BD82"/>
      <c r="BE82"/>
      <c r="BF82"/>
      <c r="BG82">
        <v>54.087000000000003</v>
      </c>
      <c r="BH82"/>
      <c r="BI82">
        <v>4.2276999999999996</v>
      </c>
      <c r="BJ82"/>
      <c r="BK82">
        <v>0.67683000000000004</v>
      </c>
      <c r="BL82"/>
      <c r="BM82">
        <v>9.3960000000000008</v>
      </c>
      <c r="BN82"/>
      <c r="BO82">
        <v>16.018999999999998</v>
      </c>
      <c r="BP82"/>
      <c r="BQ82">
        <v>8.7721999999999998</v>
      </c>
      <c r="BR82"/>
      <c r="BS82">
        <v>54.258000000000003</v>
      </c>
      <c r="BT82"/>
      <c r="BU82">
        <v>16.797999999999998</v>
      </c>
      <c r="BV82"/>
      <c r="BW82">
        <v>50.003</v>
      </c>
      <c r="BX82" s="324"/>
      <c r="BY82">
        <v>5.7510000000000048</v>
      </c>
      <c r="BZ82"/>
      <c r="CA82"/>
      <c r="CC82">
        <v>5.63</v>
      </c>
      <c r="CD82"/>
      <c r="CE82"/>
      <c r="CF82"/>
      <c r="CG82"/>
      <c r="CH82"/>
      <c r="CI82"/>
      <c r="CJ82"/>
      <c r="CK82"/>
      <c r="CL82"/>
      <c r="CM82"/>
    </row>
    <row r="83" spans="1:91">
      <c r="A83" s="327" t="s">
        <v>7617</v>
      </c>
      <c r="B83" s="328" t="s">
        <v>8289</v>
      </c>
      <c r="C83" s="328">
        <v>2</v>
      </c>
      <c r="D83" s="328">
        <v>942</v>
      </c>
      <c r="E83" s="113">
        <v>42</v>
      </c>
      <c r="F83" s="113">
        <v>9</v>
      </c>
      <c r="G83" s="329"/>
      <c r="H83" s="329"/>
      <c r="I83" s="328">
        <v>28.999999999999996</v>
      </c>
      <c r="J83" s="330"/>
      <c r="K83" s="331">
        <v>7</v>
      </c>
      <c r="L83" s="331"/>
      <c r="M83" s="328">
        <v>1.88</v>
      </c>
      <c r="N83" s="331"/>
      <c r="O83" s="328"/>
      <c r="P83" s="328"/>
      <c r="Q83" s="328"/>
      <c r="R83" s="332"/>
      <c r="S83" s="331">
        <v>8.6669097496800003</v>
      </c>
      <c r="T83" s="331"/>
      <c r="U83" s="328">
        <v>10.8</v>
      </c>
      <c r="V83" s="328"/>
      <c r="W83" s="328"/>
      <c r="X83" s="328"/>
      <c r="Y83" s="333">
        <v>3.9694935</v>
      </c>
      <c r="Z83" s="331"/>
      <c r="AA83" s="334">
        <v>45314.861460957167</v>
      </c>
      <c r="AB83" s="331"/>
      <c r="AC83" s="333">
        <v>16.801220799999999</v>
      </c>
      <c r="AD83" s="331"/>
      <c r="AE83" s="331">
        <v>17.989999999999998</v>
      </c>
      <c r="AF83" s="331"/>
      <c r="AG83" s="328">
        <v>3.97</v>
      </c>
      <c r="AH83" s="328"/>
      <c r="AI83" s="328">
        <v>115</v>
      </c>
      <c r="AJ83" s="328"/>
      <c r="AK83" s="328"/>
      <c r="AL83" s="328"/>
      <c r="AM83" s="328"/>
      <c r="AN83" s="328"/>
      <c r="AO83" s="328">
        <v>90</v>
      </c>
      <c r="AP83" s="328"/>
      <c r="AQ83" s="335"/>
      <c r="AR83" s="335"/>
      <c r="AS83" s="328">
        <v>118</v>
      </c>
      <c r="AT83" s="328"/>
      <c r="AU83" s="328"/>
      <c r="AV83" s="328"/>
      <c r="AW83" s="328"/>
      <c r="AX83" s="328"/>
      <c r="AY83" s="328"/>
      <c r="AZ83" s="328"/>
      <c r="BA83" s="328"/>
      <c r="BB83" s="328"/>
      <c r="BC83" s="328"/>
      <c r="BD83" s="328"/>
      <c r="BE83" s="328"/>
      <c r="BF83" s="328"/>
      <c r="BG83" s="328">
        <v>45.69</v>
      </c>
      <c r="BH83" s="328"/>
      <c r="BI83" s="328">
        <v>4.2884000000000002</v>
      </c>
      <c r="BJ83" s="328"/>
      <c r="BK83" s="328">
        <v>0.84682000000000002</v>
      </c>
      <c r="BL83" s="328"/>
      <c r="BM83" s="328">
        <v>12.539</v>
      </c>
      <c r="BN83" s="328"/>
      <c r="BO83" s="328">
        <v>16.3</v>
      </c>
      <c r="BP83" s="328"/>
      <c r="BQ83" s="328">
        <v>8.8482000000000003</v>
      </c>
      <c r="BR83" s="328"/>
      <c r="BS83" s="328">
        <v>51.585000000000001</v>
      </c>
      <c r="BT83" s="328"/>
      <c r="BU83" s="328">
        <v>18.001999999999999</v>
      </c>
      <c r="BV83" s="328"/>
      <c r="BW83" s="336">
        <v>9.43</v>
      </c>
      <c r="BX83" s="328"/>
      <c r="BY83" s="328">
        <v>6.340999999999994</v>
      </c>
      <c r="BZ83" s="328"/>
      <c r="CA83" s="328"/>
      <c r="CB83" s="337"/>
      <c r="CC83" s="328">
        <v>5.97</v>
      </c>
      <c r="CD83" s="328"/>
      <c r="CE83" s="328"/>
      <c r="CF83" s="328"/>
      <c r="CG83" s="328"/>
      <c r="CH83" s="328"/>
      <c r="CI83" s="328"/>
      <c r="CJ83" s="328"/>
      <c r="CK83" s="328" t="s">
        <v>8377</v>
      </c>
      <c r="CL83" s="328"/>
      <c r="CM83" s="328"/>
    </row>
    <row r="84" spans="1:91">
      <c r="A84" s="154" t="s">
        <v>7617</v>
      </c>
      <c r="B84" t="s">
        <v>8289</v>
      </c>
      <c r="C84">
        <v>1</v>
      </c>
      <c r="D84">
        <v>1237</v>
      </c>
      <c r="E84" s="113">
        <v>37</v>
      </c>
      <c r="F84" s="113">
        <v>12</v>
      </c>
      <c r="I84">
        <v>30.499999999999996</v>
      </c>
      <c r="K84" s="320">
        <v>9</v>
      </c>
      <c r="L84" s="320"/>
      <c r="M84">
        <v>3.17</v>
      </c>
      <c r="N84" s="320"/>
      <c r="O84"/>
      <c r="P84"/>
      <c r="Q84"/>
      <c r="S84" s="320" t="s">
        <v>8361</v>
      </c>
      <c r="T84" s="320"/>
      <c r="U84">
        <v>10.8</v>
      </c>
      <c r="V84"/>
      <c r="W84"/>
      <c r="X84"/>
      <c r="Y84" s="321">
        <v>0</v>
      </c>
      <c r="Z84" s="320"/>
      <c r="AA84" s="322">
        <v>73414.634146341472</v>
      </c>
      <c r="AB84" s="320"/>
      <c r="AC84" s="321" t="s">
        <v>8361</v>
      </c>
      <c r="AD84" s="320"/>
      <c r="AE84" s="320">
        <v>30.1</v>
      </c>
      <c r="AF84" s="320"/>
      <c r="AG84">
        <v>4.0999999999999996</v>
      </c>
      <c r="AH84"/>
      <c r="AI84">
        <v>138</v>
      </c>
      <c r="AJ84"/>
      <c r="AK84"/>
      <c r="AL84"/>
      <c r="AM84"/>
      <c r="AN84"/>
      <c r="AO84">
        <v>83</v>
      </c>
      <c r="AP84"/>
      <c r="AQ84" s="323"/>
      <c r="AR84" s="323"/>
      <c r="AS84">
        <v>116</v>
      </c>
      <c r="AT84"/>
      <c r="AU84"/>
      <c r="AV84"/>
      <c r="AW84"/>
      <c r="AX84"/>
      <c r="AY84"/>
      <c r="AZ84"/>
      <c r="BA84"/>
      <c r="BB84"/>
      <c r="BC84"/>
      <c r="BD84"/>
      <c r="BE84"/>
      <c r="BF84"/>
      <c r="BG84">
        <v>53.558</v>
      </c>
      <c r="BH84"/>
      <c r="BI84">
        <v>4.2746000000000004</v>
      </c>
      <c r="BJ84"/>
      <c r="BK84">
        <v>0.62109999999999999</v>
      </c>
      <c r="BL84"/>
      <c r="BM84">
        <v>4.4547999999999996</v>
      </c>
      <c r="BN84"/>
      <c r="BO84">
        <v>15.429</v>
      </c>
      <c r="BP84"/>
      <c r="BQ84">
        <v>9.1288999999999998</v>
      </c>
      <c r="BR84"/>
      <c r="BS84">
        <v>52.158000000000001</v>
      </c>
      <c r="BT84"/>
      <c r="BU84">
        <v>18.071999999999999</v>
      </c>
      <c r="BV84"/>
      <c r="BW84" s="325">
        <v>42.57</v>
      </c>
      <c r="BX84"/>
      <c r="BY84">
        <v>6.1080000000000041</v>
      </c>
      <c r="BZ84"/>
      <c r="CA84"/>
      <c r="CC84">
        <v>6.67</v>
      </c>
      <c r="CD84"/>
      <c r="CE84"/>
      <c r="CF84"/>
      <c r="CG84"/>
      <c r="CH84"/>
      <c r="CI84"/>
      <c r="CJ84"/>
      <c r="CK84"/>
      <c r="CL84"/>
      <c r="CM84"/>
    </row>
    <row r="85" spans="1:91" s="338" customFormat="1">
      <c r="A85" s="154" t="s">
        <v>7617</v>
      </c>
      <c r="B85" t="s">
        <v>8287</v>
      </c>
      <c r="C85">
        <v>2</v>
      </c>
      <c r="D85">
        <v>1658</v>
      </c>
      <c r="E85" s="113">
        <v>58</v>
      </c>
      <c r="F85" s="113">
        <v>16</v>
      </c>
      <c r="G85" s="113"/>
      <c r="H85" s="113"/>
      <c r="I85">
        <v>30.499999999999996</v>
      </c>
      <c r="J85" s="112"/>
      <c r="K85" s="320">
        <v>8</v>
      </c>
      <c r="L85" s="320"/>
      <c r="M85">
        <v>2.4</v>
      </c>
      <c r="N85" s="320"/>
      <c r="O85"/>
      <c r="P85"/>
      <c r="Q85"/>
      <c r="R85" s="153"/>
      <c r="S85" s="320">
        <v>10.686156726959998</v>
      </c>
      <c r="T85" s="320"/>
      <c r="U85">
        <v>10.8</v>
      </c>
      <c r="V85"/>
      <c r="W85"/>
      <c r="X85"/>
      <c r="Y85" s="321">
        <v>3.6375248</v>
      </c>
      <c r="Z85" s="320"/>
      <c r="AA85" s="322">
        <v>65380.116959064326</v>
      </c>
      <c r="AB85" s="320"/>
      <c r="AC85" s="321">
        <v>20.882003999999998</v>
      </c>
      <c r="AD85" s="320"/>
      <c r="AE85" s="320">
        <v>22.36</v>
      </c>
      <c r="AF85" s="320"/>
      <c r="AG85">
        <v>3.42</v>
      </c>
      <c r="AH85"/>
      <c r="AI85">
        <v>125</v>
      </c>
      <c r="AJ85"/>
      <c r="AK85"/>
      <c r="AL85"/>
      <c r="AM85"/>
      <c r="AN85"/>
      <c r="AO85">
        <v>80</v>
      </c>
      <c r="AP85"/>
      <c r="AQ85" s="323"/>
      <c r="AR85" s="323"/>
      <c r="AS85">
        <v>114</v>
      </c>
      <c r="AT85"/>
      <c r="AU85"/>
      <c r="AV85"/>
      <c r="AW85"/>
      <c r="AX85"/>
      <c r="AY85"/>
      <c r="AZ85"/>
      <c r="BA85"/>
      <c r="BB85"/>
      <c r="BC85"/>
      <c r="BD85"/>
      <c r="BE85"/>
      <c r="BF85"/>
      <c r="BG85">
        <v>11.42</v>
      </c>
      <c r="BH85"/>
      <c r="BI85">
        <v>4.8556999999999997</v>
      </c>
      <c r="BJ85"/>
      <c r="BK85">
        <v>1.2905</v>
      </c>
      <c r="BL85"/>
      <c r="BM85">
        <v>51.404000000000003</v>
      </c>
      <c r="BN85"/>
      <c r="BO85">
        <v>20.343</v>
      </c>
      <c r="BP85"/>
      <c r="BQ85">
        <v>9.0611999999999995</v>
      </c>
      <c r="BR85"/>
      <c r="BS85">
        <v>51.173999999999999</v>
      </c>
      <c r="BT85"/>
      <c r="BU85">
        <v>17.696999999999999</v>
      </c>
      <c r="BV85"/>
      <c r="BW85" s="325">
        <v>16.850000000000001</v>
      </c>
      <c r="BX85"/>
      <c r="BY85">
        <v>6.394999999999996</v>
      </c>
      <c r="BZ85"/>
      <c r="CA85"/>
      <c r="CB85" s="136"/>
      <c r="CC85">
        <v>8.42</v>
      </c>
      <c r="CD85"/>
      <c r="CE85"/>
      <c r="CF85"/>
      <c r="CG85"/>
      <c r="CH85"/>
      <c r="CI85"/>
      <c r="CJ85"/>
      <c r="CK85"/>
      <c r="CL85"/>
      <c r="CM85"/>
    </row>
    <row r="86" spans="1:91" s="338" customFormat="1">
      <c r="A86" s="154" t="s">
        <v>7618</v>
      </c>
      <c r="B86" t="s">
        <v>8289</v>
      </c>
      <c r="C86">
        <v>2</v>
      </c>
      <c r="D86">
        <v>474</v>
      </c>
      <c r="E86" s="113">
        <v>74</v>
      </c>
      <c r="F86" s="113">
        <v>4</v>
      </c>
      <c r="G86" s="113"/>
      <c r="H86" s="113"/>
      <c r="I86">
        <v>36</v>
      </c>
      <c r="J86" s="112"/>
      <c r="K86" s="320">
        <v>7</v>
      </c>
      <c r="L86" s="320"/>
      <c r="M86">
        <v>1.5</v>
      </c>
      <c r="N86" s="320"/>
      <c r="O86"/>
      <c r="P86"/>
      <c r="Q86"/>
      <c r="R86" s="153"/>
      <c r="S86" s="320">
        <v>5.7856371479999993</v>
      </c>
      <c r="T86" s="320"/>
      <c r="U86">
        <v>10.8</v>
      </c>
      <c r="V86"/>
      <c r="W86"/>
      <c r="X86"/>
      <c r="Y86" s="321">
        <v>2.8919519999999999</v>
      </c>
      <c r="Z86" s="320"/>
      <c r="AA86" s="322">
        <v>28857.715430861721</v>
      </c>
      <c r="AB86" s="320"/>
      <c r="AC86" s="321">
        <v>13.447151999999999</v>
      </c>
      <c r="AD86" s="320"/>
      <c r="AE86" s="320">
        <v>14.4</v>
      </c>
      <c r="AF86" s="320"/>
      <c r="AG86">
        <v>4.99</v>
      </c>
      <c r="AH86"/>
      <c r="AI86">
        <v>118</v>
      </c>
      <c r="AJ86"/>
      <c r="AK86"/>
      <c r="AL86"/>
      <c r="AM86"/>
      <c r="AN86"/>
      <c r="AO86">
        <v>72</v>
      </c>
      <c r="AP86"/>
      <c r="AQ86" s="323"/>
      <c r="AR86" s="323"/>
      <c r="AS86">
        <v>112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>
        <v>39.908000000000001</v>
      </c>
      <c r="BH86"/>
      <c r="BI86">
        <v>5.0183</v>
      </c>
      <c r="BJ86"/>
      <c r="BK86">
        <v>1.0987</v>
      </c>
      <c r="BL86"/>
      <c r="BM86">
        <v>19.292000000000002</v>
      </c>
      <c r="BN86"/>
      <c r="BO86">
        <v>16.457999999999998</v>
      </c>
      <c r="BP86"/>
      <c r="BQ86">
        <v>7.7373000000000003</v>
      </c>
      <c r="BR86"/>
      <c r="BS86">
        <v>43.024999999999999</v>
      </c>
      <c r="BT86"/>
      <c r="BU86">
        <v>21.491</v>
      </c>
      <c r="BV86"/>
      <c r="BW86" s="325">
        <v>3.59</v>
      </c>
      <c r="BX86"/>
      <c r="BY86">
        <v>6.6610000000000014</v>
      </c>
      <c r="BZ86"/>
      <c r="CA86"/>
      <c r="CB86" s="136"/>
      <c r="CC86">
        <v>5.64</v>
      </c>
      <c r="CD86"/>
      <c r="CE86"/>
      <c r="CF86"/>
      <c r="CG86"/>
      <c r="CH86"/>
      <c r="CI86"/>
      <c r="CJ86"/>
      <c r="CK86"/>
      <c r="CL86"/>
      <c r="CM86"/>
    </row>
    <row r="87" spans="1:91" s="338" customFormat="1">
      <c r="A87" s="154" t="s">
        <v>7618</v>
      </c>
      <c r="B87" t="s">
        <v>8287</v>
      </c>
      <c r="C87">
        <v>1</v>
      </c>
      <c r="D87">
        <v>623</v>
      </c>
      <c r="E87" s="113">
        <v>23</v>
      </c>
      <c r="F87" s="113">
        <v>6</v>
      </c>
      <c r="G87" s="113"/>
      <c r="H87" s="113"/>
      <c r="I87">
        <v>32</v>
      </c>
      <c r="J87" s="112"/>
      <c r="K87" s="320">
        <v>8</v>
      </c>
      <c r="L87" s="320"/>
      <c r="M87">
        <v>3.06</v>
      </c>
      <c r="N87" s="320"/>
      <c r="O87"/>
      <c r="P87"/>
      <c r="Q87"/>
      <c r="R87" s="153"/>
      <c r="S87" s="320">
        <v>14.092602489809998</v>
      </c>
      <c r="T87" s="320"/>
      <c r="U87">
        <v>10.8</v>
      </c>
      <c r="V87"/>
      <c r="W87"/>
      <c r="X87"/>
      <c r="Y87" s="321">
        <v>6.0937058000000004</v>
      </c>
      <c r="Z87" s="320"/>
      <c r="AA87" s="322">
        <v>65434.298440979946</v>
      </c>
      <c r="AB87" s="320"/>
      <c r="AC87" s="321">
        <v>27.530528999999998</v>
      </c>
      <c r="AD87" s="320"/>
      <c r="AE87" s="320">
        <v>29.38</v>
      </c>
      <c r="AF87" s="320"/>
      <c r="AG87">
        <v>4.49</v>
      </c>
      <c r="AH87"/>
      <c r="AI87">
        <v>133</v>
      </c>
      <c r="AJ87"/>
      <c r="AK87"/>
      <c r="AL87"/>
      <c r="AM87"/>
      <c r="AN87"/>
      <c r="AO87">
        <v>81</v>
      </c>
      <c r="AP87"/>
      <c r="AQ87" s="323"/>
      <c r="AR87" s="323"/>
      <c r="AS87">
        <v>112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>
        <v>48.329000000000001</v>
      </c>
      <c r="BH87"/>
      <c r="BI87">
        <v>4.2690000000000001</v>
      </c>
      <c r="BJ87"/>
      <c r="BK87">
        <v>0.87460000000000004</v>
      </c>
      <c r="BL87"/>
      <c r="BM87">
        <v>13.353</v>
      </c>
      <c r="BN87"/>
      <c r="BO87">
        <v>12.518000000000001</v>
      </c>
      <c r="BP87"/>
      <c r="BQ87">
        <v>10.75</v>
      </c>
      <c r="BR87"/>
      <c r="BS87">
        <v>51.189</v>
      </c>
      <c r="BT87"/>
      <c r="BU87">
        <v>19.73</v>
      </c>
      <c r="BV87"/>
      <c r="BW87">
        <v>54.686999999999998</v>
      </c>
      <c r="BX87" s="324"/>
      <c r="BY87">
        <v>5.7879999999999967</v>
      </c>
      <c r="BZ87"/>
      <c r="CA87"/>
      <c r="CB87" s="136"/>
      <c r="CC87">
        <v>5.64</v>
      </c>
      <c r="CD87"/>
      <c r="CE87"/>
      <c r="CF87"/>
      <c r="CG87"/>
      <c r="CH87"/>
      <c r="CI87"/>
      <c r="CJ87"/>
      <c r="CK87"/>
      <c r="CL87"/>
      <c r="CM87"/>
    </row>
    <row r="88" spans="1:91" s="338" customFormat="1">
      <c r="A88" s="154" t="s">
        <v>7618</v>
      </c>
      <c r="B88" t="s">
        <v>8289</v>
      </c>
      <c r="C88">
        <v>1</v>
      </c>
      <c r="D88">
        <v>1009</v>
      </c>
      <c r="E88" s="113">
        <v>9</v>
      </c>
      <c r="F88" s="113">
        <v>10</v>
      </c>
      <c r="G88" s="113"/>
      <c r="H88" s="113"/>
      <c r="I88">
        <v>26.499999999999996</v>
      </c>
      <c r="J88" s="112"/>
      <c r="K88" s="320">
        <v>8</v>
      </c>
      <c r="L88" s="320"/>
      <c r="M88">
        <v>2.73</v>
      </c>
      <c r="N88" s="320"/>
      <c r="O88"/>
      <c r="P88"/>
      <c r="Q88"/>
      <c r="R88" s="153"/>
      <c r="S88" s="320">
        <v>11.891567860991998</v>
      </c>
      <c r="T88" s="320"/>
      <c r="U88">
        <v>10.8</v>
      </c>
      <c r="V88"/>
      <c r="W88"/>
      <c r="X88"/>
      <c r="Y88" s="321">
        <v>4.9097663999999988</v>
      </c>
      <c r="Z88" s="320"/>
      <c r="AA88" s="322">
        <v>64950.495049504949</v>
      </c>
      <c r="AB88" s="320"/>
      <c r="AC88" s="321">
        <v>24.426028799999997</v>
      </c>
      <c r="AD88" s="320"/>
      <c r="AE88" s="320">
        <v>26.24</v>
      </c>
      <c r="AF88" s="320"/>
      <c r="AG88">
        <v>4.04</v>
      </c>
      <c r="AH88"/>
      <c r="AI88">
        <v>130</v>
      </c>
      <c r="AJ88"/>
      <c r="AK88"/>
      <c r="AL88"/>
      <c r="AM88"/>
      <c r="AN88"/>
      <c r="AO88">
        <v>81</v>
      </c>
      <c r="AP88"/>
      <c r="AQ88" s="323"/>
      <c r="AR88" s="323"/>
      <c r="AS88">
        <v>112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>
        <v>44.823999999999998</v>
      </c>
      <c r="BH88"/>
      <c r="BI88">
        <v>4.3437999999999999</v>
      </c>
      <c r="BJ88"/>
      <c r="BK88">
        <v>0.96443000000000001</v>
      </c>
      <c r="BL88"/>
      <c r="BM88">
        <v>17.797999999999998</v>
      </c>
      <c r="BN88"/>
      <c r="BO88">
        <v>14.736000000000001</v>
      </c>
      <c r="BP88"/>
      <c r="BQ88">
        <v>10.919</v>
      </c>
      <c r="BR88"/>
      <c r="BS88">
        <v>48.683999999999997</v>
      </c>
      <c r="BT88"/>
      <c r="BU88">
        <v>20.925999999999998</v>
      </c>
      <c r="BV88"/>
      <c r="BW88" s="325">
        <v>27.36</v>
      </c>
      <c r="BX88"/>
      <c r="BY88">
        <v>6.0259999999999962</v>
      </c>
      <c r="BZ88"/>
      <c r="CA88"/>
      <c r="CB88" s="136"/>
      <c r="CC88">
        <v>5.55</v>
      </c>
      <c r="CD88"/>
      <c r="CE88"/>
      <c r="CF88"/>
      <c r="CG88"/>
      <c r="CH88"/>
      <c r="CI88"/>
      <c r="CJ88"/>
      <c r="CK88"/>
      <c r="CL88"/>
      <c r="CM88"/>
    </row>
    <row r="89" spans="1:91" s="338" customFormat="1">
      <c r="A89" s="154" t="s">
        <v>7618</v>
      </c>
      <c r="B89" t="s">
        <v>8287</v>
      </c>
      <c r="C89">
        <v>2</v>
      </c>
      <c r="D89">
        <v>1350</v>
      </c>
      <c r="E89" s="113">
        <v>50</v>
      </c>
      <c r="F89" s="113">
        <v>13</v>
      </c>
      <c r="G89" s="113"/>
      <c r="H89" s="113"/>
      <c r="I89">
        <v>35</v>
      </c>
      <c r="J89" s="112"/>
      <c r="K89" s="320">
        <v>9</v>
      </c>
      <c r="L89" s="320"/>
      <c r="M89">
        <v>2.12</v>
      </c>
      <c r="N89" s="320"/>
      <c r="O89"/>
      <c r="P89"/>
      <c r="Q89"/>
      <c r="R89" s="153"/>
      <c r="S89" s="320">
        <v>9.4933069301249979</v>
      </c>
      <c r="T89" s="320"/>
      <c r="U89">
        <v>10.8</v>
      </c>
      <c r="V89"/>
      <c r="W89"/>
      <c r="X89"/>
      <c r="Y89" s="321">
        <v>3.4422507000000002</v>
      </c>
      <c r="Z89" s="320"/>
      <c r="AA89" s="322">
        <v>46750.572082379855</v>
      </c>
      <c r="AB89" s="320"/>
      <c r="AC89" s="321">
        <v>19.137802499999999</v>
      </c>
      <c r="AD89" s="320"/>
      <c r="AE89" s="320">
        <v>20.43</v>
      </c>
      <c r="AF89" s="320"/>
      <c r="AG89">
        <v>4.37</v>
      </c>
      <c r="AH89"/>
      <c r="AI89">
        <v>130</v>
      </c>
      <c r="AJ89"/>
      <c r="AK89"/>
      <c r="AL89"/>
      <c r="AM89"/>
      <c r="AN89"/>
      <c r="AO89">
        <v>79</v>
      </c>
      <c r="AP89"/>
      <c r="AQ89" s="323"/>
      <c r="AR89" s="323"/>
      <c r="AS89">
        <v>112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>
        <v>54.161000000000001</v>
      </c>
      <c r="BH89"/>
      <c r="BI89">
        <v>4.3232999999999997</v>
      </c>
      <c r="BJ89"/>
      <c r="BK89">
        <v>0.62936000000000003</v>
      </c>
      <c r="BL89"/>
      <c r="BM89">
        <v>3.524</v>
      </c>
      <c r="BN89"/>
      <c r="BO89">
        <v>15.22</v>
      </c>
      <c r="BP89"/>
      <c r="BQ89">
        <v>10.414</v>
      </c>
      <c r="BR89"/>
      <c r="BS89">
        <v>49.604999999999997</v>
      </c>
      <c r="BT89"/>
      <c r="BU89">
        <v>19.759</v>
      </c>
      <c r="BV89"/>
      <c r="BW89">
        <v>71.733000000000004</v>
      </c>
      <c r="BX89" s="324"/>
      <c r="BY89">
        <v>5.7270000000000039</v>
      </c>
      <c r="BZ89"/>
      <c r="CA89"/>
      <c r="CB89" s="136"/>
      <c r="CC89">
        <v>5.3</v>
      </c>
      <c r="CD89"/>
      <c r="CE89"/>
      <c r="CF89"/>
      <c r="CG89"/>
      <c r="CH89"/>
      <c r="CI89"/>
      <c r="CJ89"/>
      <c r="CK89"/>
      <c r="CL89"/>
      <c r="CM89"/>
    </row>
    <row r="90" spans="1:91" s="338" customFormat="1">
      <c r="A90" s="327" t="s">
        <v>7619</v>
      </c>
      <c r="B90" s="328" t="s">
        <v>8289</v>
      </c>
      <c r="C90" s="328">
        <v>2</v>
      </c>
      <c r="D90" s="328">
        <v>860</v>
      </c>
      <c r="E90" s="113">
        <v>60</v>
      </c>
      <c r="F90" s="113">
        <v>8</v>
      </c>
      <c r="G90" s="329"/>
      <c r="H90" s="329"/>
      <c r="I90" s="328">
        <v>26</v>
      </c>
      <c r="J90" s="330"/>
      <c r="K90" s="331">
        <v>7</v>
      </c>
      <c r="L90" s="331"/>
      <c r="M90" s="328">
        <v>1.53</v>
      </c>
      <c r="N90" s="331"/>
      <c r="O90" s="328"/>
      <c r="P90" s="328"/>
      <c r="Q90" s="328"/>
      <c r="R90" s="332"/>
      <c r="S90" s="331">
        <v>6.4383349294079997</v>
      </c>
      <c r="T90" s="331"/>
      <c r="U90" s="328">
        <v>10.8</v>
      </c>
      <c r="V90" s="328"/>
      <c r="W90" s="328"/>
      <c r="X90" s="328"/>
      <c r="Y90" s="333">
        <v>2.7938622</v>
      </c>
      <c r="Z90" s="331"/>
      <c r="AA90" s="334">
        <v>39833.333333333336</v>
      </c>
      <c r="AB90" s="331"/>
      <c r="AC90" s="333">
        <v>13.315550399999999</v>
      </c>
      <c r="AD90" s="331"/>
      <c r="AE90" s="331">
        <v>14.34</v>
      </c>
      <c r="AF90" s="331"/>
      <c r="AG90" s="328">
        <v>3.6</v>
      </c>
      <c r="AH90" s="328"/>
      <c r="AI90" s="328"/>
      <c r="AJ90" s="328"/>
      <c r="AK90" s="328"/>
      <c r="AL90" s="328"/>
      <c r="AM90" s="328"/>
      <c r="AN90" s="328"/>
      <c r="AO90" s="328">
        <v>77</v>
      </c>
      <c r="AP90" s="328"/>
      <c r="AQ90" s="335"/>
      <c r="AR90" s="335"/>
      <c r="AS90" s="328">
        <v>114</v>
      </c>
      <c r="AT90" s="328"/>
      <c r="AU90" s="328"/>
      <c r="AV90" s="328"/>
      <c r="AW90" s="328"/>
      <c r="AX90" s="328"/>
      <c r="AY90" s="328"/>
      <c r="AZ90" s="328"/>
      <c r="BA90" s="328"/>
      <c r="BB90" s="328"/>
      <c r="BC90" s="328"/>
      <c r="BD90" s="328"/>
      <c r="BE90" s="328"/>
      <c r="BF90" s="328"/>
      <c r="BG90" s="328">
        <v>53.433</v>
      </c>
      <c r="BH90" s="328"/>
      <c r="BI90" s="328">
        <v>4.0137</v>
      </c>
      <c r="BJ90" s="328"/>
      <c r="BK90" s="328">
        <v>0.84770999999999996</v>
      </c>
      <c r="BL90" s="328"/>
      <c r="BM90" s="328">
        <v>11.457000000000001</v>
      </c>
      <c r="BN90" s="328"/>
      <c r="BO90" s="328">
        <v>14.983000000000001</v>
      </c>
      <c r="BP90" s="328"/>
      <c r="BQ90" s="328">
        <v>10.208</v>
      </c>
      <c r="BR90" s="328"/>
      <c r="BS90" s="328">
        <v>48.351999999999997</v>
      </c>
      <c r="BT90" s="328"/>
      <c r="BU90" s="328">
        <v>20.792999999999999</v>
      </c>
      <c r="BV90" s="328"/>
      <c r="BW90" s="336">
        <v>6.08</v>
      </c>
      <c r="BX90" s="328"/>
      <c r="BY90" s="328">
        <v>6.7090000000000032</v>
      </c>
      <c r="BZ90" s="328"/>
      <c r="CA90" s="328"/>
      <c r="CB90" s="337"/>
      <c r="CC90" s="328">
        <v>7.9</v>
      </c>
      <c r="CD90" s="328"/>
      <c r="CE90" s="328"/>
      <c r="CF90" s="328"/>
      <c r="CG90" s="328"/>
      <c r="CH90" s="328"/>
      <c r="CI90" s="328"/>
      <c r="CJ90" s="328"/>
      <c r="CK90" s="328" t="s">
        <v>8377</v>
      </c>
      <c r="CL90" s="328"/>
      <c r="CM90" s="328"/>
    </row>
    <row r="91" spans="1:91" s="338" customFormat="1">
      <c r="A91" s="327" t="s">
        <v>7619</v>
      </c>
      <c r="B91" s="328" t="s">
        <v>8287</v>
      </c>
      <c r="C91" s="328">
        <v>1</v>
      </c>
      <c r="D91" s="328">
        <v>914</v>
      </c>
      <c r="E91" s="113">
        <v>14</v>
      </c>
      <c r="F91" s="113">
        <v>9</v>
      </c>
      <c r="G91" s="329"/>
      <c r="H91" s="329"/>
      <c r="I91" s="328">
        <v>16</v>
      </c>
      <c r="J91" s="330"/>
      <c r="K91" s="331">
        <v>7</v>
      </c>
      <c r="L91" s="331"/>
      <c r="M91" s="328">
        <v>0.65</v>
      </c>
      <c r="N91" s="331"/>
      <c r="O91" s="328"/>
      <c r="P91" s="328"/>
      <c r="Q91" s="328"/>
      <c r="R91" s="332"/>
      <c r="S91" s="331">
        <v>2.9277112562499998</v>
      </c>
      <c r="T91" s="331"/>
      <c r="U91" s="328">
        <v>10.8</v>
      </c>
      <c r="V91" s="328"/>
      <c r="W91" s="328"/>
      <c r="X91" s="328"/>
      <c r="Y91" s="333">
        <v>1.1721250000000001</v>
      </c>
      <c r="Z91" s="331"/>
      <c r="AA91" s="334">
        <v>17170.329670329669</v>
      </c>
      <c r="AB91" s="331"/>
      <c r="AC91" s="333">
        <v>5.850625</v>
      </c>
      <c r="AD91" s="331"/>
      <c r="AE91" s="331">
        <v>6.25</v>
      </c>
      <c r="AF91" s="331"/>
      <c r="AG91" s="328">
        <v>3.64</v>
      </c>
      <c r="AH91" s="328"/>
      <c r="AI91" s="328"/>
      <c r="AJ91" s="328"/>
      <c r="AK91" s="328"/>
      <c r="AL91" s="328"/>
      <c r="AM91" s="328"/>
      <c r="AN91" s="328"/>
      <c r="AO91" s="328">
        <v>77</v>
      </c>
      <c r="AP91" s="328"/>
      <c r="AQ91" s="335"/>
      <c r="AR91" s="335"/>
      <c r="AS91" s="328">
        <v>112</v>
      </c>
      <c r="AT91" s="328"/>
      <c r="AU91" s="328"/>
      <c r="AV91" s="328"/>
      <c r="AW91" s="328"/>
      <c r="AX91" s="328"/>
      <c r="AY91" s="328"/>
      <c r="AZ91" s="328"/>
      <c r="BA91" s="328"/>
      <c r="BB91" s="328"/>
      <c r="BC91" s="328"/>
      <c r="BD91" s="328"/>
      <c r="BE91" s="328"/>
      <c r="BF91" s="328"/>
      <c r="BG91" s="328">
        <v>44.634999999999998</v>
      </c>
      <c r="BH91" s="328"/>
      <c r="BI91" s="328">
        <v>4.1548999999999996</v>
      </c>
      <c r="BJ91" s="328"/>
      <c r="BK91" s="328">
        <v>0.82245999999999997</v>
      </c>
      <c r="BL91" s="328"/>
      <c r="BM91" s="328">
        <v>14.429</v>
      </c>
      <c r="BN91" s="328"/>
      <c r="BO91" s="328">
        <v>16.381</v>
      </c>
      <c r="BP91" s="328"/>
      <c r="BQ91" s="328">
        <v>10.718999999999999</v>
      </c>
      <c r="BR91" s="328"/>
      <c r="BS91" s="328">
        <v>50.040999999999997</v>
      </c>
      <c r="BT91" s="328"/>
      <c r="BU91" s="328">
        <v>19.088000000000001</v>
      </c>
      <c r="BV91" s="328"/>
      <c r="BW91" s="336">
        <v>12.27</v>
      </c>
      <c r="BX91" s="328"/>
      <c r="BY91" s="328">
        <v>6.3010000000000019</v>
      </c>
      <c r="BZ91" s="328"/>
      <c r="CA91" s="328"/>
      <c r="CB91" s="337"/>
      <c r="CC91" s="328">
        <v>5.57</v>
      </c>
      <c r="CD91" s="328"/>
      <c r="CE91" s="328"/>
      <c r="CF91" s="328"/>
      <c r="CG91" s="328"/>
      <c r="CH91" s="328"/>
      <c r="CI91" s="328"/>
      <c r="CJ91" s="328"/>
      <c r="CK91" s="328" t="s">
        <v>8377</v>
      </c>
      <c r="CL91" s="328"/>
      <c r="CM91" s="328"/>
    </row>
    <row r="92" spans="1:91" s="338" customFormat="1">
      <c r="A92" s="154" t="s">
        <v>7619</v>
      </c>
      <c r="B92" t="s">
        <v>8289</v>
      </c>
      <c r="C92">
        <v>1</v>
      </c>
      <c r="D92">
        <v>1223</v>
      </c>
      <c r="E92" s="113">
        <v>23</v>
      </c>
      <c r="F92" s="113">
        <v>12</v>
      </c>
      <c r="G92" s="113"/>
      <c r="H92" s="113"/>
      <c r="I92">
        <v>32.999999999999993</v>
      </c>
      <c r="J92" s="112"/>
      <c r="K92" s="320">
        <v>9</v>
      </c>
      <c r="L92" s="320"/>
      <c r="M92">
        <v>2.12</v>
      </c>
      <c r="N92" s="320"/>
      <c r="O92"/>
      <c r="P92"/>
      <c r="Q92"/>
      <c r="R92" s="153"/>
      <c r="S92" s="320">
        <v>9.0351883510000004</v>
      </c>
      <c r="T92" s="320"/>
      <c r="U92">
        <v>10.8</v>
      </c>
      <c r="V92"/>
      <c r="W92"/>
      <c r="X92"/>
      <c r="Y92" s="321">
        <v>4.0127009999999999</v>
      </c>
      <c r="Z92" s="320"/>
      <c r="AA92" s="322">
        <v>57344.632768361582</v>
      </c>
      <c r="AB92" s="320"/>
      <c r="AC92" s="321">
        <v>18.8993</v>
      </c>
      <c r="AD92" s="320"/>
      <c r="AE92" s="320">
        <v>20.3</v>
      </c>
      <c r="AF92" s="320"/>
      <c r="AG92">
        <v>3.54</v>
      </c>
      <c r="AH92"/>
      <c r="AI92">
        <v>100</v>
      </c>
      <c r="AJ92"/>
      <c r="AK92"/>
      <c r="AL92"/>
      <c r="AM92"/>
      <c r="AN92"/>
      <c r="AO92">
        <v>72</v>
      </c>
      <c r="AP92"/>
      <c r="AQ92" s="323"/>
      <c r="AR92" s="323"/>
      <c r="AS92">
        <v>112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49.993000000000002</v>
      </c>
      <c r="BH92"/>
      <c r="BI92">
        <v>4.2324999999999999</v>
      </c>
      <c r="BJ92"/>
      <c r="BK92">
        <v>0.83108000000000004</v>
      </c>
      <c r="BL92"/>
      <c r="BM92">
        <v>17.11</v>
      </c>
      <c r="BN92"/>
      <c r="BO92">
        <v>16.033000000000001</v>
      </c>
      <c r="BP92"/>
      <c r="BQ92">
        <v>10.544</v>
      </c>
      <c r="BR92"/>
      <c r="BS92">
        <v>47.807000000000002</v>
      </c>
      <c r="BT92"/>
      <c r="BU92">
        <v>21.074999999999999</v>
      </c>
      <c r="BV92"/>
      <c r="BW92" s="325">
        <v>26.25</v>
      </c>
      <c r="BX92"/>
      <c r="BY92">
        <v>6.3259999999999934</v>
      </c>
      <c r="BZ92"/>
      <c r="CA92"/>
      <c r="CB92" s="136"/>
      <c r="CC92">
        <v>5.88</v>
      </c>
      <c r="CD92"/>
      <c r="CE92"/>
      <c r="CF92"/>
      <c r="CG92"/>
      <c r="CH92"/>
      <c r="CI92"/>
      <c r="CJ92"/>
      <c r="CK92"/>
      <c r="CL92"/>
      <c r="CM92"/>
    </row>
    <row r="93" spans="1:91" s="338" customFormat="1">
      <c r="A93" s="154" t="s">
        <v>7619</v>
      </c>
      <c r="B93" t="s">
        <v>8287</v>
      </c>
      <c r="C93">
        <v>2</v>
      </c>
      <c r="D93">
        <v>1774</v>
      </c>
      <c r="E93" s="113">
        <v>74</v>
      </c>
      <c r="F93" s="113">
        <v>17</v>
      </c>
      <c r="G93" s="113"/>
      <c r="H93" s="113"/>
      <c r="I93">
        <v>31</v>
      </c>
      <c r="J93" s="112"/>
      <c r="K93" s="320">
        <v>9</v>
      </c>
      <c r="L93" s="320"/>
      <c r="M93">
        <v>2.16</v>
      </c>
      <c r="N93" s="320"/>
      <c r="O93"/>
      <c r="P93"/>
      <c r="Q93"/>
      <c r="R93" s="153"/>
      <c r="S93" s="320">
        <v>9.2961747805490003</v>
      </c>
      <c r="T93" s="320"/>
      <c r="U93">
        <v>10.8</v>
      </c>
      <c r="V93"/>
      <c r="W93"/>
      <c r="X93"/>
      <c r="Y93" s="321">
        <v>3.3220911000000002</v>
      </c>
      <c r="Z93" s="320"/>
      <c r="AA93" s="322">
        <v>60203.48837209303</v>
      </c>
      <c r="AB93" s="320"/>
      <c r="AC93" s="321">
        <v>19.326364900000002</v>
      </c>
      <c r="AD93" s="320"/>
      <c r="AE93" s="320">
        <v>20.71</v>
      </c>
      <c r="AF93" s="320"/>
      <c r="AG93">
        <v>3.44</v>
      </c>
      <c r="AH93"/>
      <c r="AI93">
        <v>110</v>
      </c>
      <c r="AJ93"/>
      <c r="AK93"/>
      <c r="AL93"/>
      <c r="AM93"/>
      <c r="AN93"/>
      <c r="AO93">
        <v>72</v>
      </c>
      <c r="AP93"/>
      <c r="AQ93" s="323"/>
      <c r="AR93" s="323"/>
      <c r="AS93">
        <v>112</v>
      </c>
      <c r="AT93"/>
      <c r="AU93"/>
      <c r="AV93"/>
      <c r="AW93"/>
      <c r="AX93"/>
      <c r="AY93"/>
      <c r="AZ93"/>
      <c r="BA93"/>
      <c r="BB93"/>
      <c r="BC93"/>
      <c r="BD93"/>
      <c r="BE93"/>
      <c r="BF93"/>
      <c r="BG93">
        <v>52.335000000000001</v>
      </c>
      <c r="BH93"/>
      <c r="BI93">
        <v>4.5773999999999999</v>
      </c>
      <c r="BJ93"/>
      <c r="BK93">
        <v>0.61453999999999998</v>
      </c>
      <c r="BL93"/>
      <c r="BM93">
        <v>8.7853999999999992</v>
      </c>
      <c r="BN93"/>
      <c r="BO93">
        <v>16.047999999999998</v>
      </c>
      <c r="BP93"/>
      <c r="BQ93">
        <v>11.606999999999999</v>
      </c>
      <c r="BR93"/>
      <c r="BS93">
        <v>48.100999999999999</v>
      </c>
      <c r="BT93"/>
      <c r="BU93">
        <v>19.768000000000001</v>
      </c>
      <c r="BV93"/>
      <c r="BW93">
        <v>51.878999999999998</v>
      </c>
      <c r="BX93" s="324"/>
      <c r="BY93">
        <v>6.4779999999999944</v>
      </c>
      <c r="BZ93"/>
      <c r="CA93"/>
      <c r="CB93" s="136"/>
      <c r="CC93">
        <v>5.76</v>
      </c>
      <c r="CD93"/>
      <c r="CE93"/>
      <c r="CF93"/>
      <c r="CG93"/>
      <c r="CH93"/>
      <c r="CI93"/>
      <c r="CJ93"/>
      <c r="CK93"/>
      <c r="CL93"/>
      <c r="CM93"/>
    </row>
    <row r="94" spans="1:91" s="338" customFormat="1">
      <c r="A94" s="154" t="s">
        <v>7620</v>
      </c>
      <c r="B94" t="s">
        <v>8289</v>
      </c>
      <c r="C94">
        <v>2</v>
      </c>
      <c r="D94">
        <v>242</v>
      </c>
      <c r="E94" s="113">
        <v>42</v>
      </c>
      <c r="F94" s="113">
        <v>2</v>
      </c>
      <c r="G94" s="113"/>
      <c r="H94" s="113"/>
      <c r="I94">
        <v>30.499999999999996</v>
      </c>
      <c r="J94" s="112"/>
      <c r="K94" s="320">
        <v>9</v>
      </c>
      <c r="L94" s="320"/>
      <c r="M94">
        <v>2.73</v>
      </c>
      <c r="N94" s="320"/>
      <c r="O94"/>
      <c r="P94"/>
      <c r="Q94"/>
      <c r="R94" s="153"/>
      <c r="S94" s="320">
        <v>11.831278669056001</v>
      </c>
      <c r="T94" s="320"/>
      <c r="U94">
        <v>10.8</v>
      </c>
      <c r="V94"/>
      <c r="W94"/>
      <c r="X94"/>
      <c r="Y94" s="321">
        <v>4.7500991999999993</v>
      </c>
      <c r="Z94" s="320"/>
      <c r="AA94" s="322">
        <v>77000</v>
      </c>
      <c r="AB94" s="320"/>
      <c r="AC94" s="321">
        <v>24.579878400000002</v>
      </c>
      <c r="AD94" s="320"/>
      <c r="AE94" s="320">
        <v>26.18</v>
      </c>
      <c r="AF94" s="320"/>
      <c r="AG94">
        <v>3.4</v>
      </c>
      <c r="AH94"/>
      <c r="AI94">
        <v>115</v>
      </c>
      <c r="AJ94"/>
      <c r="AK94"/>
      <c r="AL94"/>
      <c r="AM94"/>
      <c r="AN94"/>
      <c r="AO94">
        <v>77</v>
      </c>
      <c r="AP94"/>
      <c r="AQ94" s="323"/>
      <c r="AR94" s="323"/>
      <c r="AS94">
        <v>112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>
        <v>47.634</v>
      </c>
      <c r="BH94"/>
      <c r="BI94">
        <v>3.8597999999999999</v>
      </c>
      <c r="BJ94"/>
      <c r="BK94">
        <v>0.75478999999999996</v>
      </c>
      <c r="BL94"/>
      <c r="BM94">
        <v>12.227</v>
      </c>
      <c r="BN94"/>
      <c r="BO94">
        <v>14.18</v>
      </c>
      <c r="BP94"/>
      <c r="BQ94">
        <v>11.752000000000001</v>
      </c>
      <c r="BR94"/>
      <c r="BS94">
        <v>48.134</v>
      </c>
      <c r="BT94"/>
      <c r="BU94">
        <v>22.792000000000002</v>
      </c>
      <c r="BV94"/>
      <c r="BW94" s="325">
        <v>47.59</v>
      </c>
      <c r="BX94"/>
      <c r="BY94">
        <v>5.9819999999999993</v>
      </c>
      <c r="BZ94"/>
      <c r="CA94"/>
      <c r="CB94" s="136"/>
      <c r="CC94">
        <v>5.75</v>
      </c>
      <c r="CD94"/>
      <c r="CE94"/>
      <c r="CF94"/>
      <c r="CG94"/>
      <c r="CH94"/>
      <c r="CI94"/>
      <c r="CJ94"/>
      <c r="CK94"/>
      <c r="CL94"/>
      <c r="CM94"/>
    </row>
    <row r="95" spans="1:91" s="338" customFormat="1">
      <c r="A95" s="154" t="s">
        <v>7620</v>
      </c>
      <c r="B95" t="s">
        <v>8287</v>
      </c>
      <c r="C95">
        <v>1</v>
      </c>
      <c r="D95">
        <v>715</v>
      </c>
      <c r="E95" s="113">
        <v>15</v>
      </c>
      <c r="F95" s="113">
        <v>7</v>
      </c>
      <c r="G95" s="113"/>
      <c r="H95" s="113"/>
      <c r="I95">
        <v>27</v>
      </c>
      <c r="J95" s="112"/>
      <c r="K95" s="320">
        <v>8</v>
      </c>
      <c r="L95" s="320"/>
      <c r="M95">
        <v>2.13</v>
      </c>
      <c r="N95" s="320"/>
      <c r="O95"/>
      <c r="P95"/>
      <c r="Q95"/>
      <c r="R95" s="153"/>
      <c r="S95" s="320">
        <v>9.567240828420001</v>
      </c>
      <c r="T95" s="320"/>
      <c r="U95">
        <v>10.8</v>
      </c>
      <c r="V95"/>
      <c r="W95"/>
      <c r="X95"/>
      <c r="Y95" s="321">
        <v>3.7013657999999996</v>
      </c>
      <c r="Z95" s="320"/>
      <c r="AA95" s="322">
        <v>65094.936708860754</v>
      </c>
      <c r="AB95" s="320"/>
      <c r="AC95" s="321">
        <v>19.1325684</v>
      </c>
      <c r="AD95" s="320"/>
      <c r="AE95" s="320">
        <v>20.57</v>
      </c>
      <c r="AF95" s="320"/>
      <c r="AG95">
        <v>3.16</v>
      </c>
      <c r="AH95"/>
      <c r="AI95">
        <v>118</v>
      </c>
      <c r="AJ95"/>
      <c r="AK95"/>
      <c r="AL95"/>
      <c r="AM95"/>
      <c r="AN95"/>
      <c r="AO95">
        <v>77</v>
      </c>
      <c r="AP95"/>
      <c r="AQ95" s="323"/>
      <c r="AR95" s="323"/>
      <c r="AS95">
        <v>112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>
        <v>46.924999999999997</v>
      </c>
      <c r="BH95"/>
      <c r="BI95">
        <v>4.1577000000000002</v>
      </c>
      <c r="BJ95"/>
      <c r="BK95">
        <v>0.83487999999999996</v>
      </c>
      <c r="BL95"/>
      <c r="BM95">
        <v>10.757</v>
      </c>
      <c r="BN95"/>
      <c r="BO95">
        <v>15.372999999999999</v>
      </c>
      <c r="BP95"/>
      <c r="BQ95">
        <v>10.743</v>
      </c>
      <c r="BR95"/>
      <c r="BS95">
        <v>50.005000000000003</v>
      </c>
      <c r="BT95"/>
      <c r="BU95">
        <v>20.166</v>
      </c>
      <c r="BV95"/>
      <c r="BW95" s="325">
        <v>19.11</v>
      </c>
      <c r="BX95"/>
      <c r="BY95">
        <v>6.3520000000000039</v>
      </c>
      <c r="BZ95"/>
      <c r="CA95"/>
      <c r="CB95" s="136"/>
      <c r="CC95">
        <v>5.08</v>
      </c>
      <c r="CD95"/>
      <c r="CE95"/>
      <c r="CF95"/>
      <c r="CG95"/>
      <c r="CH95"/>
      <c r="CI95"/>
      <c r="CJ95"/>
      <c r="CK95"/>
      <c r="CL95"/>
      <c r="CM95"/>
    </row>
    <row r="96" spans="1:91" s="338" customFormat="1">
      <c r="A96" s="154" t="s">
        <v>7620</v>
      </c>
      <c r="B96" t="s">
        <v>8287</v>
      </c>
      <c r="C96">
        <v>2</v>
      </c>
      <c r="D96">
        <v>1068</v>
      </c>
      <c r="E96" s="113">
        <v>68</v>
      </c>
      <c r="F96" s="113">
        <v>10</v>
      </c>
      <c r="G96" s="113"/>
      <c r="H96" s="113"/>
      <c r="I96">
        <v>32</v>
      </c>
      <c r="J96" s="112"/>
      <c r="K96" s="320">
        <v>8</v>
      </c>
      <c r="L96" s="320"/>
      <c r="M96">
        <v>2.61</v>
      </c>
      <c r="N96" s="320"/>
      <c r="O96"/>
      <c r="P96"/>
      <c r="Q96"/>
      <c r="R96" s="153"/>
      <c r="S96" s="320">
        <v>11.415911708915999</v>
      </c>
      <c r="T96" s="320"/>
      <c r="U96">
        <v>10.8</v>
      </c>
      <c r="V96"/>
      <c r="W96"/>
      <c r="X96"/>
      <c r="Y96" s="321">
        <v>4.5861288</v>
      </c>
      <c r="Z96" s="320"/>
      <c r="AA96" s="322">
        <v>84444.444444444423</v>
      </c>
      <c r="AB96" s="320"/>
      <c r="AC96" s="321">
        <v>23.412932399999995</v>
      </c>
      <c r="AD96" s="320"/>
      <c r="AE96" s="320">
        <v>25.08</v>
      </c>
      <c r="AF96" s="320"/>
      <c r="AG96">
        <v>2.97</v>
      </c>
      <c r="AH96"/>
      <c r="AI96">
        <v>108</v>
      </c>
      <c r="AJ96"/>
      <c r="AK96"/>
      <c r="AL96"/>
      <c r="AM96"/>
      <c r="AN96"/>
      <c r="AO96">
        <v>79</v>
      </c>
      <c r="AP96"/>
      <c r="AQ96" s="323"/>
      <c r="AR96" s="323"/>
      <c r="AS96">
        <v>112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>
        <v>47.12</v>
      </c>
      <c r="BH96"/>
      <c r="BI96">
        <v>4.0843999999999996</v>
      </c>
      <c r="BJ96"/>
      <c r="BK96">
        <v>0.78744000000000003</v>
      </c>
      <c r="BL96"/>
      <c r="BM96">
        <v>12.346</v>
      </c>
      <c r="BN96"/>
      <c r="BO96">
        <v>15.175000000000001</v>
      </c>
      <c r="BP96"/>
      <c r="BQ96">
        <v>10.984</v>
      </c>
      <c r="BR96"/>
      <c r="BS96">
        <v>48.759</v>
      </c>
      <c r="BT96"/>
      <c r="BU96">
        <v>20.611000000000001</v>
      </c>
      <c r="BV96"/>
      <c r="BW96">
        <v>44.619</v>
      </c>
      <c r="BX96" s="324"/>
      <c r="BY96">
        <v>6.3880000000000052</v>
      </c>
      <c r="BZ96"/>
      <c r="CA96"/>
      <c r="CB96" s="136"/>
      <c r="CC96">
        <v>5.57</v>
      </c>
      <c r="CD96"/>
      <c r="CE96"/>
      <c r="CF96"/>
      <c r="CG96"/>
      <c r="CH96"/>
      <c r="CI96"/>
      <c r="CJ96"/>
      <c r="CK96"/>
      <c r="CL96"/>
      <c r="CM96"/>
    </row>
    <row r="97" spans="1:91" s="338" customFormat="1">
      <c r="A97" s="154" t="s">
        <v>7620</v>
      </c>
      <c r="B97" t="s">
        <v>8289</v>
      </c>
      <c r="C97">
        <v>1</v>
      </c>
      <c r="D97">
        <v>1620</v>
      </c>
      <c r="E97" s="113">
        <v>20</v>
      </c>
      <c r="F97" s="113">
        <v>16</v>
      </c>
      <c r="G97" s="113"/>
      <c r="H97" s="113"/>
      <c r="I97">
        <v>30.499999999999996</v>
      </c>
      <c r="J97" s="112"/>
      <c r="K97" s="320">
        <v>8</v>
      </c>
      <c r="L97" s="320"/>
      <c r="M97">
        <v>2.2400000000000002</v>
      </c>
      <c r="N97" s="320"/>
      <c r="O97"/>
      <c r="P97"/>
      <c r="Q97"/>
      <c r="R97" s="153"/>
      <c r="S97" s="320">
        <v>9.8676368201610014</v>
      </c>
      <c r="T97" s="320"/>
      <c r="U97">
        <v>10.8</v>
      </c>
      <c r="V97"/>
      <c r="W97"/>
      <c r="X97"/>
      <c r="Y97" s="321">
        <v>4.3987320000000008</v>
      </c>
      <c r="Z97" s="320"/>
      <c r="AA97" s="322">
        <v>66330.275229357809</v>
      </c>
      <c r="AB97" s="320"/>
      <c r="AC97" s="321">
        <v>20.240891100000002</v>
      </c>
      <c r="AD97" s="320"/>
      <c r="AE97" s="320">
        <v>21.69</v>
      </c>
      <c r="AF97" s="320"/>
      <c r="AG97">
        <v>3.27</v>
      </c>
      <c r="AH97"/>
      <c r="AI97">
        <v>100</v>
      </c>
      <c r="AJ97"/>
      <c r="AK97"/>
      <c r="AL97"/>
      <c r="AM97"/>
      <c r="AN97"/>
      <c r="AO97">
        <v>79</v>
      </c>
      <c r="AP97"/>
      <c r="AQ97" s="323"/>
      <c r="AR97" s="323"/>
      <c r="AS97">
        <v>112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>
        <v>41.325000000000003</v>
      </c>
      <c r="BH97"/>
      <c r="BI97">
        <v>4.0266999999999999</v>
      </c>
      <c r="BJ97"/>
      <c r="BK97">
        <v>0.84614</v>
      </c>
      <c r="BL97"/>
      <c r="BM97">
        <v>13.718</v>
      </c>
      <c r="BN97"/>
      <c r="BO97">
        <v>15.526</v>
      </c>
      <c r="BP97"/>
      <c r="BQ97">
        <v>10.862</v>
      </c>
      <c r="BR97"/>
      <c r="BS97">
        <v>48.750999999999998</v>
      </c>
      <c r="BT97"/>
      <c r="BU97">
        <v>21.652999999999999</v>
      </c>
      <c r="BV97"/>
      <c r="BW97" s="325">
        <v>27.77</v>
      </c>
      <c r="BX97"/>
      <c r="BY97">
        <v>6.3080000000000069</v>
      </c>
      <c r="BZ97"/>
      <c r="CA97"/>
      <c r="CB97" s="136"/>
      <c r="CC97">
        <v>4.83</v>
      </c>
      <c r="CD97"/>
      <c r="CE97"/>
      <c r="CF97"/>
      <c r="CG97"/>
      <c r="CH97"/>
      <c r="CI97"/>
      <c r="CJ97"/>
      <c r="CK97"/>
      <c r="CL97"/>
      <c r="CM97"/>
    </row>
    <row r="98" spans="1:91" s="338" customFormat="1">
      <c r="A98" s="154" t="s">
        <v>7621</v>
      </c>
      <c r="B98" t="s">
        <v>8287</v>
      </c>
      <c r="C98">
        <v>1</v>
      </c>
      <c r="D98">
        <v>322</v>
      </c>
      <c r="E98" s="113">
        <v>22</v>
      </c>
      <c r="F98" s="113">
        <v>3</v>
      </c>
      <c r="G98" s="113"/>
      <c r="H98" s="113"/>
      <c r="I98">
        <v>35.499999999999993</v>
      </c>
      <c r="J98" s="112"/>
      <c r="K98" s="320">
        <v>8</v>
      </c>
      <c r="L98" s="320"/>
      <c r="M98">
        <v>1.72</v>
      </c>
      <c r="N98" s="320"/>
      <c r="O98"/>
      <c r="P98"/>
      <c r="Q98"/>
      <c r="R98" s="153"/>
      <c r="S98" s="320">
        <v>7.2113251448000009</v>
      </c>
      <c r="T98" s="320"/>
      <c r="U98">
        <v>10.8</v>
      </c>
      <c r="V98"/>
      <c r="W98"/>
      <c r="X98"/>
      <c r="Y98" s="321">
        <v>3.0356009999999998</v>
      </c>
      <c r="Z98" s="320"/>
      <c r="AA98" s="322">
        <v>34915.61181434599</v>
      </c>
      <c r="AB98" s="320"/>
      <c r="AC98" s="321">
        <v>15.551704000000001</v>
      </c>
      <c r="AD98" s="320"/>
      <c r="AE98" s="320">
        <v>16.55</v>
      </c>
      <c r="AF98" s="320"/>
      <c r="AG98">
        <v>4.74</v>
      </c>
      <c r="AH98"/>
      <c r="AI98">
        <v>118</v>
      </c>
      <c r="AJ98"/>
      <c r="AK98"/>
      <c r="AL98"/>
      <c r="AM98"/>
      <c r="AN98"/>
      <c r="AO98">
        <v>80</v>
      </c>
      <c r="AP98"/>
      <c r="AQ98" s="323"/>
      <c r="AR98" s="323"/>
      <c r="AS98">
        <v>116</v>
      </c>
      <c r="AT98"/>
      <c r="AU98"/>
      <c r="AV98"/>
      <c r="AW98"/>
      <c r="AX98"/>
      <c r="AY98"/>
      <c r="AZ98"/>
      <c r="BA98"/>
      <c r="BB98"/>
      <c r="BC98"/>
      <c r="BD98"/>
      <c r="BE98"/>
      <c r="BF98"/>
      <c r="BG98">
        <v>51.061999999999998</v>
      </c>
      <c r="BH98"/>
      <c r="BI98">
        <v>4.2077999999999998</v>
      </c>
      <c r="BJ98"/>
      <c r="BK98">
        <v>0.76495000000000002</v>
      </c>
      <c r="BL98"/>
      <c r="BM98">
        <v>18.422000000000001</v>
      </c>
      <c r="BN98"/>
      <c r="BO98">
        <v>16.527000000000001</v>
      </c>
      <c r="BP98"/>
      <c r="BQ98">
        <v>12.023999999999999</v>
      </c>
      <c r="BR98"/>
      <c r="BS98">
        <v>46.37</v>
      </c>
      <c r="BT98"/>
      <c r="BU98">
        <v>20.861000000000001</v>
      </c>
      <c r="BV98"/>
      <c r="BW98">
        <v>78.022999999999996</v>
      </c>
      <c r="BX98" s="324"/>
      <c r="BY98">
        <v>6.4050000000000011</v>
      </c>
      <c r="BZ98"/>
      <c r="CA98"/>
      <c r="CB98" s="136"/>
      <c r="CC98">
        <v>5.46</v>
      </c>
      <c r="CD98"/>
      <c r="CE98"/>
      <c r="CF98"/>
      <c r="CG98"/>
      <c r="CH98"/>
      <c r="CI98"/>
      <c r="CJ98"/>
      <c r="CK98" t="str">
        <f>IF(F98=ET44*(B98="N+"),"submertion","")</f>
        <v/>
      </c>
      <c r="CL98"/>
      <c r="CM98"/>
    </row>
    <row r="99" spans="1:91" s="338" customFormat="1">
      <c r="A99" s="154" t="s">
        <v>7621</v>
      </c>
      <c r="B99" t="s">
        <v>8289</v>
      </c>
      <c r="C99">
        <v>2</v>
      </c>
      <c r="D99">
        <v>459</v>
      </c>
      <c r="E99" s="113">
        <v>59</v>
      </c>
      <c r="F99" s="113">
        <v>4</v>
      </c>
      <c r="G99" s="113"/>
      <c r="H99" s="113"/>
      <c r="I99">
        <v>39.5</v>
      </c>
      <c r="J99" s="112"/>
      <c r="K99" s="320">
        <v>7</v>
      </c>
      <c r="L99" s="320"/>
      <c r="M99">
        <v>1.59</v>
      </c>
      <c r="N99" s="320"/>
      <c r="O99"/>
      <c r="P99"/>
      <c r="Q99"/>
      <c r="R99" s="153"/>
      <c r="S99" s="320">
        <v>6.2472886353089994</v>
      </c>
      <c r="T99" s="320"/>
      <c r="U99">
        <v>10.8</v>
      </c>
      <c r="V99"/>
      <c r="W99"/>
      <c r="X99"/>
      <c r="Y99" s="321">
        <v>3.0258341999999998</v>
      </c>
      <c r="Z99" s="320"/>
      <c r="AA99" s="322">
        <v>28485.436893203881</v>
      </c>
      <c r="AB99" s="320"/>
      <c r="AC99" s="321">
        <v>13.6133199</v>
      </c>
      <c r="AD99" s="320"/>
      <c r="AE99" s="320">
        <v>14.67</v>
      </c>
      <c r="AF99" s="320"/>
      <c r="AG99">
        <v>5.15</v>
      </c>
      <c r="AH99"/>
      <c r="AI99">
        <v>100</v>
      </c>
      <c r="AJ99"/>
      <c r="AK99"/>
      <c r="AL99"/>
      <c r="AM99"/>
      <c r="AN99"/>
      <c r="AO99">
        <v>72</v>
      </c>
      <c r="AP99"/>
      <c r="AQ99" s="323"/>
      <c r="AR99" s="323"/>
      <c r="AS99">
        <v>118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>
        <v>53.771000000000001</v>
      </c>
      <c r="BH99"/>
      <c r="BI99">
        <v>4.1142000000000003</v>
      </c>
      <c r="BJ99"/>
      <c r="BK99">
        <v>0.93505000000000005</v>
      </c>
      <c r="BL99"/>
      <c r="BM99">
        <v>16.343</v>
      </c>
      <c r="BN99"/>
      <c r="BO99">
        <v>15.355</v>
      </c>
      <c r="BP99"/>
      <c r="BQ99">
        <v>10.048999999999999</v>
      </c>
      <c r="BR99"/>
      <c r="BS99">
        <v>45.890999999999998</v>
      </c>
      <c r="BT99"/>
      <c r="BU99">
        <v>20.957999999999998</v>
      </c>
      <c r="BV99"/>
      <c r="BW99" s="325">
        <v>6.55</v>
      </c>
      <c r="BX99"/>
      <c r="BY99">
        <v>6.8469999999999942</v>
      </c>
      <c r="BZ99"/>
      <c r="CA99"/>
      <c r="CB99" s="136"/>
      <c r="CC99">
        <v>9.33</v>
      </c>
      <c r="CD99"/>
      <c r="CE99"/>
      <c r="CF99"/>
      <c r="CG99"/>
      <c r="CH99"/>
      <c r="CI99"/>
      <c r="CJ99"/>
      <c r="CK99"/>
      <c r="CL99"/>
      <c r="CM99"/>
    </row>
    <row r="100" spans="1:91" s="338" customFormat="1">
      <c r="A100" s="154" t="s">
        <v>7621</v>
      </c>
      <c r="B100" t="s">
        <v>8289</v>
      </c>
      <c r="C100">
        <v>1</v>
      </c>
      <c r="D100">
        <v>1629</v>
      </c>
      <c r="E100" s="113">
        <v>29</v>
      </c>
      <c r="F100" s="113">
        <v>16</v>
      </c>
      <c r="G100" s="113"/>
      <c r="H100" s="113"/>
      <c r="I100">
        <v>30.499999999999996</v>
      </c>
      <c r="J100" s="112"/>
      <c r="K100" s="320">
        <v>8</v>
      </c>
      <c r="L100" s="320"/>
      <c r="M100">
        <v>2.2200000000000002</v>
      </c>
      <c r="N100" s="320"/>
      <c r="O100"/>
      <c r="P100"/>
      <c r="Q100"/>
      <c r="R100" s="153"/>
      <c r="S100" s="320">
        <v>8.7503735536140006</v>
      </c>
      <c r="T100" s="320"/>
      <c r="U100">
        <v>10.8</v>
      </c>
      <c r="V100"/>
      <c r="W100"/>
      <c r="X100"/>
      <c r="Y100" s="321">
        <v>4.0178446000000001</v>
      </c>
      <c r="Z100" s="320"/>
      <c r="AA100" s="322">
        <v>44860.215053763437</v>
      </c>
      <c r="AB100" s="320"/>
      <c r="AC100" s="321">
        <v>19.5063946</v>
      </c>
      <c r="AD100" s="320"/>
      <c r="AE100" s="320">
        <v>20.86</v>
      </c>
      <c r="AF100" s="320"/>
      <c r="AG100">
        <v>4.6500000000000004</v>
      </c>
      <c r="AH100"/>
      <c r="AI100">
        <v>105</v>
      </c>
      <c r="AJ100"/>
      <c r="AK100"/>
      <c r="AL100"/>
      <c r="AM100"/>
      <c r="AN100"/>
      <c r="AO100">
        <v>81</v>
      </c>
      <c r="AP100"/>
      <c r="AQ100" s="323"/>
      <c r="AR100" s="323"/>
      <c r="AS100">
        <v>114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>
        <v>49.527000000000001</v>
      </c>
      <c r="BH100"/>
      <c r="BI100">
        <v>4.1151999999999997</v>
      </c>
      <c r="BJ100"/>
      <c r="BK100">
        <v>0.76246999999999998</v>
      </c>
      <c r="BL100"/>
      <c r="BM100">
        <v>16.288</v>
      </c>
      <c r="BN100"/>
      <c r="BO100">
        <v>16.382999999999999</v>
      </c>
      <c r="BP100"/>
      <c r="BQ100">
        <v>11.693</v>
      </c>
      <c r="BR100"/>
      <c r="BS100">
        <v>44.859000000000002</v>
      </c>
      <c r="BT100"/>
      <c r="BU100">
        <v>21.766999999999999</v>
      </c>
      <c r="BV100"/>
      <c r="BW100">
        <v>57.612000000000002</v>
      </c>
      <c r="BX100" s="324"/>
      <c r="BY100">
        <v>6.7379999999999995</v>
      </c>
      <c r="BZ100"/>
      <c r="CA100"/>
      <c r="CB100" s="136"/>
      <c r="CC100">
        <v>7.64</v>
      </c>
      <c r="CD100"/>
      <c r="CE100"/>
      <c r="CF100"/>
      <c r="CG100"/>
      <c r="CH100"/>
      <c r="CI100"/>
      <c r="CJ100"/>
      <c r="CK100"/>
      <c r="CL100"/>
      <c r="CM100"/>
    </row>
    <row r="101" spans="1:91" s="338" customFormat="1">
      <c r="A101" s="154" t="s">
        <v>7621</v>
      </c>
      <c r="B101" t="s">
        <v>8287</v>
      </c>
      <c r="C101">
        <v>2</v>
      </c>
      <c r="D101">
        <v>1743</v>
      </c>
      <c r="E101" s="113">
        <v>43</v>
      </c>
      <c r="F101" s="113">
        <v>17</v>
      </c>
      <c r="G101" s="113"/>
      <c r="H101" s="113"/>
      <c r="I101">
        <v>29.999999999999996</v>
      </c>
      <c r="J101" s="112"/>
      <c r="K101" s="320">
        <v>8</v>
      </c>
      <c r="L101" s="320"/>
      <c r="M101">
        <v>1.6</v>
      </c>
      <c r="N101" s="320"/>
      <c r="O101"/>
      <c r="P101"/>
      <c r="Q101"/>
      <c r="R101" s="153"/>
      <c r="S101" s="320">
        <v>6.582656946008</v>
      </c>
      <c r="T101" s="320"/>
      <c r="U101">
        <v>10.8</v>
      </c>
      <c r="V101"/>
      <c r="W101"/>
      <c r="X101"/>
      <c r="Y101" s="321">
        <v>2.7831361999999999</v>
      </c>
      <c r="Z101" s="320"/>
      <c r="AA101" s="322">
        <v>32500</v>
      </c>
      <c r="AB101" s="320"/>
      <c r="AC101" s="321">
        <v>14.293965399999999</v>
      </c>
      <c r="AD101" s="320"/>
      <c r="AE101" s="320">
        <v>15.34</v>
      </c>
      <c r="AF101" s="320"/>
      <c r="AG101">
        <v>4.72</v>
      </c>
      <c r="AH101"/>
      <c r="AI101">
        <v>105</v>
      </c>
      <c r="AJ101"/>
      <c r="AK101"/>
      <c r="AL101"/>
      <c r="AM101"/>
      <c r="AN101"/>
      <c r="AO101">
        <v>79</v>
      </c>
      <c r="AP101"/>
      <c r="AQ101" s="323"/>
      <c r="AR101" s="323"/>
      <c r="AS101">
        <v>112</v>
      </c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>
        <v>59.152000000000001</v>
      </c>
      <c r="BH101"/>
      <c r="BI101">
        <v>4.5088999999999997</v>
      </c>
      <c r="BJ101"/>
      <c r="BK101">
        <v>0.55874999999999997</v>
      </c>
      <c r="BL101"/>
      <c r="BM101">
        <v>7.9531000000000001</v>
      </c>
      <c r="BN101"/>
      <c r="BO101">
        <v>17.571999999999999</v>
      </c>
      <c r="BP101"/>
      <c r="BQ101">
        <v>11.356</v>
      </c>
      <c r="BR101"/>
      <c r="BS101">
        <v>46.052</v>
      </c>
      <c r="BT101"/>
      <c r="BU101">
        <v>20.056000000000001</v>
      </c>
      <c r="BV101"/>
      <c r="BW101">
        <v>77.146000000000001</v>
      </c>
      <c r="BX101" s="324"/>
      <c r="BY101">
        <v>6.6200000000000045</v>
      </c>
      <c r="BZ101"/>
      <c r="CA101"/>
      <c r="CB101" s="136"/>
      <c r="CC101">
        <v>5.77</v>
      </c>
      <c r="CD101"/>
      <c r="CE101"/>
      <c r="CF101"/>
      <c r="CG101"/>
      <c r="CH101"/>
      <c r="CI101"/>
      <c r="CJ101"/>
      <c r="CK101"/>
      <c r="CL101"/>
      <c r="CM101"/>
    </row>
    <row r="102" spans="1:91" s="338" customFormat="1">
      <c r="A102" s="154" t="s">
        <v>7622</v>
      </c>
      <c r="B102" t="s">
        <v>8287</v>
      </c>
      <c r="C102">
        <v>1</v>
      </c>
      <c r="D102">
        <v>535</v>
      </c>
      <c r="E102" s="113">
        <v>35</v>
      </c>
      <c r="F102" s="113">
        <v>5</v>
      </c>
      <c r="G102" s="113"/>
      <c r="H102" s="113"/>
      <c r="I102">
        <v>28.999999999999996</v>
      </c>
      <c r="J102" s="112"/>
      <c r="K102" s="320">
        <v>9</v>
      </c>
      <c r="L102" s="320"/>
      <c r="M102">
        <v>3.42</v>
      </c>
      <c r="N102" s="320"/>
      <c r="O102"/>
      <c r="P102"/>
      <c r="Q102"/>
      <c r="R102" s="153"/>
      <c r="S102" s="320">
        <v>15.371397548175</v>
      </c>
      <c r="T102" s="320"/>
      <c r="U102">
        <v>10.8</v>
      </c>
      <c r="V102"/>
      <c r="W102"/>
      <c r="X102"/>
      <c r="Y102" s="321">
        <v>5.3542484999999997</v>
      </c>
      <c r="Z102" s="320"/>
      <c r="AA102" s="322">
        <v>71255.506607929521</v>
      </c>
      <c r="AB102" s="320"/>
      <c r="AC102" s="321">
        <v>30.2747475</v>
      </c>
      <c r="AD102" s="320"/>
      <c r="AE102" s="320">
        <v>32.35</v>
      </c>
      <c r="AF102" s="320"/>
      <c r="AG102">
        <v>4.54</v>
      </c>
      <c r="AH102"/>
      <c r="AI102">
        <v>138</v>
      </c>
      <c r="AJ102"/>
      <c r="AK102"/>
      <c r="AL102"/>
      <c r="AM102"/>
      <c r="AN102"/>
      <c r="AO102">
        <v>83</v>
      </c>
      <c r="AP102"/>
      <c r="AQ102" s="323"/>
      <c r="AR102" s="323"/>
      <c r="AS102">
        <v>114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39.591000000000001</v>
      </c>
      <c r="BH102"/>
      <c r="BI102">
        <v>4.3939000000000004</v>
      </c>
      <c r="BJ102"/>
      <c r="BK102">
        <v>1.0232000000000001</v>
      </c>
      <c r="BL102"/>
      <c r="BM102">
        <v>27.908000000000001</v>
      </c>
      <c r="BN102"/>
      <c r="BO102">
        <v>17.262</v>
      </c>
      <c r="BP102"/>
      <c r="BQ102">
        <v>8.6959999999999997</v>
      </c>
      <c r="BR102"/>
      <c r="BS102">
        <v>50.773000000000003</v>
      </c>
      <c r="BT102"/>
      <c r="BU102">
        <v>18.22</v>
      </c>
      <c r="BV102"/>
      <c r="BW102" s="325">
        <v>41.98</v>
      </c>
      <c r="BX102"/>
      <c r="BY102">
        <v>6.0360000000000014</v>
      </c>
      <c r="BZ102"/>
      <c r="CA102"/>
      <c r="CB102" s="136"/>
      <c r="CC102">
        <v>7.03</v>
      </c>
      <c r="CD102"/>
      <c r="CE102"/>
      <c r="CF102"/>
      <c r="CG102"/>
      <c r="CH102"/>
      <c r="CI102"/>
      <c r="CJ102"/>
      <c r="CK102"/>
      <c r="CL102"/>
      <c r="CM102"/>
    </row>
    <row r="103" spans="1:91" s="338" customFormat="1">
      <c r="A103" s="154" t="s">
        <v>7622</v>
      </c>
      <c r="B103" t="s">
        <v>8289</v>
      </c>
      <c r="C103">
        <v>2</v>
      </c>
      <c r="D103">
        <v>750</v>
      </c>
      <c r="E103" s="113">
        <v>50</v>
      </c>
      <c r="F103" s="113">
        <v>7</v>
      </c>
      <c r="G103" s="113"/>
      <c r="H103" s="113"/>
      <c r="I103">
        <v>25.499999999999996</v>
      </c>
      <c r="J103" s="112"/>
      <c r="K103" s="320">
        <v>8</v>
      </c>
      <c r="L103" s="320"/>
      <c r="M103">
        <v>2.95</v>
      </c>
      <c r="N103" s="320"/>
      <c r="O103"/>
      <c r="P103"/>
      <c r="Q103"/>
      <c r="R103" s="153"/>
      <c r="S103" s="320">
        <v>13.202667859391999</v>
      </c>
      <c r="T103" s="320"/>
      <c r="U103">
        <v>10.8</v>
      </c>
      <c r="V103"/>
      <c r="W103"/>
      <c r="X103"/>
      <c r="Y103" s="321">
        <v>5.2642461999999997</v>
      </c>
      <c r="Z103" s="320"/>
      <c r="AA103" s="322">
        <v>67281.323877068557</v>
      </c>
      <c r="AB103" s="320"/>
      <c r="AC103" s="321">
        <v>26.5412268</v>
      </c>
      <c r="AD103" s="320"/>
      <c r="AE103" s="320">
        <v>28.46</v>
      </c>
      <c r="AF103" s="320"/>
      <c r="AG103">
        <v>4.2300000000000004</v>
      </c>
      <c r="AH103"/>
      <c r="AI103">
        <v>133</v>
      </c>
      <c r="AJ103"/>
      <c r="AK103"/>
      <c r="AL103"/>
      <c r="AM103"/>
      <c r="AN103"/>
      <c r="AO103">
        <v>81</v>
      </c>
      <c r="AP103"/>
      <c r="AQ103" s="323"/>
      <c r="AR103" s="323"/>
      <c r="AS103">
        <v>112</v>
      </c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>
        <v>28.302</v>
      </c>
      <c r="BH103"/>
      <c r="BI103">
        <v>4.6950000000000003</v>
      </c>
      <c r="BJ103"/>
      <c r="BK103">
        <v>1.1752</v>
      </c>
      <c r="BL103"/>
      <c r="BM103">
        <v>34.024000000000001</v>
      </c>
      <c r="BN103"/>
      <c r="BO103">
        <v>17.335000000000001</v>
      </c>
      <c r="BP103"/>
      <c r="BQ103">
        <v>8.6644000000000005</v>
      </c>
      <c r="BR103"/>
      <c r="BS103">
        <v>49.744</v>
      </c>
      <c r="BT103"/>
      <c r="BU103">
        <v>18.780999999999999</v>
      </c>
      <c r="BV103"/>
      <c r="BW103" s="325">
        <v>11.86</v>
      </c>
      <c r="BX103"/>
      <c r="BY103">
        <v>6.3319999999999936</v>
      </c>
      <c r="BZ103"/>
      <c r="CA103"/>
      <c r="CB103" s="136"/>
      <c r="CC103">
        <v>5.2</v>
      </c>
      <c r="CD103"/>
      <c r="CE103"/>
      <c r="CF103"/>
      <c r="CG103"/>
      <c r="CH103"/>
      <c r="CI103"/>
      <c r="CJ103"/>
      <c r="CK103"/>
      <c r="CL103"/>
      <c r="CM103"/>
    </row>
    <row r="104" spans="1:91" s="338" customFormat="1">
      <c r="A104" s="154" t="s">
        <v>7622</v>
      </c>
      <c r="B104" t="s">
        <v>8289</v>
      </c>
      <c r="C104">
        <v>1</v>
      </c>
      <c r="D104">
        <v>1120</v>
      </c>
      <c r="E104" s="113">
        <v>20</v>
      </c>
      <c r="F104" s="113">
        <v>11</v>
      </c>
      <c r="G104" s="113"/>
      <c r="H104" s="113"/>
      <c r="I104">
        <v>26</v>
      </c>
      <c r="J104" s="112"/>
      <c r="K104" s="320">
        <v>9</v>
      </c>
      <c r="L104" s="320"/>
      <c r="M104">
        <v>3.15</v>
      </c>
      <c r="N104" s="320"/>
      <c r="O104"/>
      <c r="P104"/>
      <c r="Q104"/>
      <c r="R104" s="153"/>
      <c r="S104" s="320">
        <v>14.110208792064</v>
      </c>
      <c r="T104" s="320"/>
      <c r="U104">
        <v>10.8</v>
      </c>
      <c r="V104"/>
      <c r="W104"/>
      <c r="X104"/>
      <c r="Y104" s="321">
        <v>5.5372463999999999</v>
      </c>
      <c r="Z104" s="320"/>
      <c r="AA104" s="322">
        <v>72000</v>
      </c>
      <c r="AB104" s="320"/>
      <c r="AC104" s="321">
        <v>28.279238400000001</v>
      </c>
      <c r="AD104" s="320"/>
      <c r="AE104" s="320">
        <v>30.24</v>
      </c>
      <c r="AF104" s="320"/>
      <c r="AG104">
        <v>4.2</v>
      </c>
      <c r="AH104"/>
      <c r="AI104">
        <v>133</v>
      </c>
      <c r="AJ104"/>
      <c r="AK104"/>
      <c r="AL104"/>
      <c r="AM104"/>
      <c r="AN104"/>
      <c r="AO104">
        <v>79</v>
      </c>
      <c r="AP104"/>
      <c r="AQ104" s="323"/>
      <c r="AR104" s="323"/>
      <c r="AS104">
        <v>112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>
        <v>29.815000000000001</v>
      </c>
      <c r="BH104"/>
      <c r="BI104">
        <v>3.9796</v>
      </c>
      <c r="BJ104"/>
      <c r="BK104">
        <v>1.1227</v>
      </c>
      <c r="BL104"/>
      <c r="BM104">
        <v>35.671999999999997</v>
      </c>
      <c r="BN104"/>
      <c r="BO104">
        <v>16.222999999999999</v>
      </c>
      <c r="BP104"/>
      <c r="BQ104">
        <v>10.16</v>
      </c>
      <c r="BR104"/>
      <c r="BS104">
        <v>49.896000000000001</v>
      </c>
      <c r="BT104"/>
      <c r="BU104">
        <v>19.074000000000002</v>
      </c>
      <c r="BV104"/>
      <c r="BW104">
        <v>49.493000000000002</v>
      </c>
      <c r="BX104" s="324"/>
      <c r="BY104">
        <v>6.3439999999999941</v>
      </c>
      <c r="BZ104"/>
      <c r="CA104"/>
      <c r="CB104" s="136"/>
      <c r="CC104">
        <v>5.64</v>
      </c>
      <c r="CD104"/>
      <c r="CE104"/>
      <c r="CF104"/>
      <c r="CG104"/>
      <c r="CH104"/>
      <c r="CI104"/>
      <c r="CJ104"/>
      <c r="CK104"/>
      <c r="CL104"/>
      <c r="CM104"/>
    </row>
    <row r="105" spans="1:91" s="338" customFormat="1">
      <c r="A105" s="154" t="s">
        <v>7622</v>
      </c>
      <c r="B105" t="s">
        <v>8287</v>
      </c>
      <c r="C105">
        <v>2</v>
      </c>
      <c r="D105">
        <v>1464</v>
      </c>
      <c r="E105" s="113">
        <v>64</v>
      </c>
      <c r="F105" s="113">
        <v>14</v>
      </c>
      <c r="G105" s="113"/>
      <c r="H105" s="113"/>
      <c r="I105">
        <v>26</v>
      </c>
      <c r="J105" s="112"/>
      <c r="K105" s="320">
        <v>9</v>
      </c>
      <c r="L105" s="320"/>
      <c r="M105">
        <v>3.08</v>
      </c>
      <c r="N105" s="320"/>
      <c r="O105"/>
      <c r="P105"/>
      <c r="Q105"/>
      <c r="R105" s="153"/>
      <c r="S105" s="320">
        <v>13.953362233440002</v>
      </c>
      <c r="T105" s="320"/>
      <c r="U105">
        <v>10.8</v>
      </c>
      <c r="V105"/>
      <c r="W105"/>
      <c r="X105"/>
      <c r="Y105" s="321">
        <v>5.3823441000000001</v>
      </c>
      <c r="Z105" s="320"/>
      <c r="AA105" s="322">
        <v>71195.121951219524</v>
      </c>
      <c r="AB105" s="320"/>
      <c r="AC105" s="321">
        <v>27.273968400000005</v>
      </c>
      <c r="AD105" s="320"/>
      <c r="AE105" s="320">
        <v>29.19</v>
      </c>
      <c r="AF105" s="320"/>
      <c r="AG105">
        <v>4.0999999999999996</v>
      </c>
      <c r="AH105"/>
      <c r="AI105">
        <v>135</v>
      </c>
      <c r="AJ105"/>
      <c r="AK105"/>
      <c r="AL105"/>
      <c r="AM105"/>
      <c r="AN105"/>
      <c r="AO105">
        <v>81</v>
      </c>
      <c r="AP105"/>
      <c r="AQ105" s="323"/>
      <c r="AR105" s="323"/>
      <c r="AS105">
        <v>112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>
        <v>37.378</v>
      </c>
      <c r="BH105"/>
      <c r="BI105">
        <v>4.3284000000000002</v>
      </c>
      <c r="BJ105"/>
      <c r="BK105">
        <v>0.92486000000000002</v>
      </c>
      <c r="BL105"/>
      <c r="BM105">
        <v>25.606000000000002</v>
      </c>
      <c r="BN105"/>
      <c r="BO105">
        <v>16.632000000000001</v>
      </c>
      <c r="BP105"/>
      <c r="BQ105">
        <v>10.456</v>
      </c>
      <c r="BR105"/>
      <c r="BS105">
        <v>51.16</v>
      </c>
      <c r="BT105"/>
      <c r="BU105">
        <v>17.457000000000001</v>
      </c>
      <c r="BV105"/>
      <c r="BW105">
        <v>39.149000000000001</v>
      </c>
      <c r="BX105" s="324"/>
      <c r="BY105">
        <v>6.0090000000000003</v>
      </c>
      <c r="BZ105"/>
      <c r="CA105"/>
      <c r="CB105" s="136"/>
      <c r="CC105">
        <v>6.87</v>
      </c>
      <c r="CD105"/>
      <c r="CE105"/>
      <c r="CF105"/>
      <c r="CG105"/>
      <c r="CH105"/>
      <c r="CI105"/>
      <c r="CJ105"/>
      <c r="CK105"/>
      <c r="CL105"/>
      <c r="CM105"/>
    </row>
    <row r="106" spans="1:91" s="338" customFormat="1">
      <c r="A106" s="154" t="s">
        <v>7623</v>
      </c>
      <c r="B106" t="s">
        <v>8287</v>
      </c>
      <c r="C106">
        <v>1</v>
      </c>
      <c r="D106">
        <v>333</v>
      </c>
      <c r="E106" s="113">
        <v>33</v>
      </c>
      <c r="F106" s="113">
        <v>3</v>
      </c>
      <c r="G106" s="113"/>
      <c r="H106" s="113"/>
      <c r="I106">
        <v>34.5</v>
      </c>
      <c r="J106" s="112"/>
      <c r="K106" s="320">
        <v>8</v>
      </c>
      <c r="L106" s="320"/>
      <c r="M106">
        <v>2.5299999999999998</v>
      </c>
      <c r="N106" s="320"/>
      <c r="O106"/>
      <c r="P106"/>
      <c r="Q106"/>
      <c r="R106" s="153"/>
      <c r="S106" s="320">
        <v>11.553126896011999</v>
      </c>
      <c r="T106" s="320"/>
      <c r="U106">
        <v>10.8</v>
      </c>
      <c r="V106"/>
      <c r="W106"/>
      <c r="X106"/>
      <c r="Y106" s="321">
        <v>3.9567457999999993</v>
      </c>
      <c r="Z106" s="320"/>
      <c r="AA106" s="322">
        <v>54861.751152073724</v>
      </c>
      <c r="AB106" s="320"/>
      <c r="AC106" s="321">
        <v>22.354256599999999</v>
      </c>
      <c r="AD106" s="320"/>
      <c r="AE106" s="320">
        <v>23.81</v>
      </c>
      <c r="AF106" s="320"/>
      <c r="AG106">
        <v>4.34</v>
      </c>
      <c r="AH106"/>
      <c r="AI106">
        <v>113</v>
      </c>
      <c r="AJ106"/>
      <c r="AK106"/>
      <c r="AL106"/>
      <c r="AM106"/>
      <c r="AN106"/>
      <c r="AO106">
        <v>79</v>
      </c>
      <c r="AP106"/>
      <c r="AQ106" s="323"/>
      <c r="AR106" s="323"/>
      <c r="AS106">
        <v>115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>
        <v>45.284999999999997</v>
      </c>
      <c r="BH106"/>
      <c r="BI106">
        <v>4.3658000000000001</v>
      </c>
      <c r="BJ106"/>
      <c r="BK106">
        <v>0.93020999999999998</v>
      </c>
      <c r="BL106"/>
      <c r="BM106">
        <v>15.728</v>
      </c>
      <c r="BN106"/>
      <c r="BO106">
        <v>14.404999999999999</v>
      </c>
      <c r="BP106"/>
      <c r="BQ106">
        <v>11.146000000000001</v>
      </c>
      <c r="BR106"/>
      <c r="BS106">
        <v>51.682000000000002</v>
      </c>
      <c r="BT106"/>
      <c r="BU106">
        <v>19.225000000000001</v>
      </c>
      <c r="BV106"/>
      <c r="BW106">
        <v>38.953000000000003</v>
      </c>
      <c r="BX106" s="324"/>
      <c r="BY106">
        <v>5.9069999999999965</v>
      </c>
      <c r="BZ106"/>
      <c r="CA106"/>
      <c r="CB106" s="136"/>
      <c r="CC106">
        <v>7.5</v>
      </c>
      <c r="CD106"/>
      <c r="CE106"/>
      <c r="CF106"/>
      <c r="CG106"/>
      <c r="CH106"/>
      <c r="CI106"/>
      <c r="CJ106"/>
      <c r="CK106" t="str">
        <f>IF(F106=ET52*(B106="N+"),"submertion","")</f>
        <v/>
      </c>
      <c r="CL106"/>
      <c r="CM106"/>
    </row>
    <row r="107" spans="1:91" s="338" customFormat="1">
      <c r="A107" s="154" t="s">
        <v>7623</v>
      </c>
      <c r="B107" t="s">
        <v>8289</v>
      </c>
      <c r="C107">
        <v>2</v>
      </c>
      <c r="D107">
        <v>443</v>
      </c>
      <c r="E107" s="113">
        <v>43</v>
      </c>
      <c r="F107" s="113">
        <v>4</v>
      </c>
      <c r="G107" s="113"/>
      <c r="H107" s="113"/>
      <c r="I107">
        <v>35.499999999999993</v>
      </c>
      <c r="J107" s="112"/>
      <c r="K107" s="320">
        <v>8</v>
      </c>
      <c r="L107" s="320"/>
      <c r="M107">
        <v>2.58</v>
      </c>
      <c r="N107" s="320"/>
      <c r="O107"/>
      <c r="P107"/>
      <c r="Q107"/>
      <c r="R107" s="153"/>
      <c r="S107" s="320">
        <v>11.912757129234</v>
      </c>
      <c r="T107" s="320"/>
      <c r="U107">
        <v>10.8</v>
      </c>
      <c r="V107"/>
      <c r="W107"/>
      <c r="X107"/>
      <c r="Y107" s="321">
        <v>4.7249006999999992</v>
      </c>
      <c r="Z107" s="320"/>
      <c r="AA107" s="322">
        <v>54571.428571428572</v>
      </c>
      <c r="AB107" s="320"/>
      <c r="AC107" s="321">
        <v>23.361553799999999</v>
      </c>
      <c r="AD107" s="320"/>
      <c r="AE107" s="320">
        <v>24.83</v>
      </c>
      <c r="AF107" s="320"/>
      <c r="AG107">
        <v>4.55</v>
      </c>
      <c r="AH107"/>
      <c r="AI107">
        <v>118</v>
      </c>
      <c r="AJ107"/>
      <c r="AK107"/>
      <c r="AL107"/>
      <c r="AM107"/>
      <c r="AN107"/>
      <c r="AO107">
        <v>72</v>
      </c>
      <c r="AP107"/>
      <c r="AQ107" s="323"/>
      <c r="AR107" s="323"/>
      <c r="AS107">
        <v>115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>
        <v>48.396999999999998</v>
      </c>
      <c r="BH107"/>
      <c r="BI107">
        <v>4.1516000000000002</v>
      </c>
      <c r="BJ107"/>
      <c r="BK107">
        <v>0.88712000000000002</v>
      </c>
      <c r="BL107"/>
      <c r="BM107">
        <v>12.882</v>
      </c>
      <c r="BN107"/>
      <c r="BO107">
        <v>13.874000000000001</v>
      </c>
      <c r="BP107"/>
      <c r="BQ107">
        <v>10.073</v>
      </c>
      <c r="BR107"/>
      <c r="BS107">
        <v>50.993000000000002</v>
      </c>
      <c r="BT107"/>
      <c r="BU107">
        <v>19.311</v>
      </c>
      <c r="BV107"/>
      <c r="BW107" s="325">
        <v>24.21</v>
      </c>
      <c r="BX107"/>
      <c r="BY107">
        <v>5.945999999999998</v>
      </c>
      <c r="BZ107"/>
      <c r="CA107"/>
      <c r="CB107" s="136"/>
      <c r="CC107">
        <v>5.42</v>
      </c>
      <c r="CD107"/>
      <c r="CE107"/>
      <c r="CF107"/>
      <c r="CG107"/>
      <c r="CH107"/>
      <c r="CI107"/>
      <c r="CJ107"/>
      <c r="CK107"/>
      <c r="CL107"/>
      <c r="CM107"/>
    </row>
    <row r="108" spans="1:91" s="338" customFormat="1">
      <c r="A108" s="154" t="s">
        <v>7623</v>
      </c>
      <c r="B108" t="s">
        <v>8289</v>
      </c>
      <c r="C108">
        <v>1</v>
      </c>
      <c r="D108">
        <v>1025</v>
      </c>
      <c r="E108" s="113">
        <v>25</v>
      </c>
      <c r="F108" s="113">
        <v>10</v>
      </c>
      <c r="G108" s="113"/>
      <c r="H108" s="113"/>
      <c r="I108">
        <v>28.5</v>
      </c>
      <c r="J108" s="112"/>
      <c r="K108" s="320">
        <v>8</v>
      </c>
      <c r="L108" s="320"/>
      <c r="M108">
        <v>2.6</v>
      </c>
      <c r="N108" s="320"/>
      <c r="O108"/>
      <c r="P108"/>
      <c r="Q108"/>
      <c r="R108" s="153"/>
      <c r="S108" s="320">
        <v>10.241020769616</v>
      </c>
      <c r="T108" s="320"/>
      <c r="U108">
        <v>10.8</v>
      </c>
      <c r="V108"/>
      <c r="W108"/>
      <c r="X108"/>
      <c r="Y108" s="321">
        <v>4.8930752000000002</v>
      </c>
      <c r="Z108" s="320"/>
      <c r="AA108" s="322">
        <v>61020.408163265311</v>
      </c>
      <c r="AB108" s="320"/>
      <c r="AC108" s="321">
        <v>22.237467200000001</v>
      </c>
      <c r="AD108" s="320"/>
      <c r="AE108" s="320">
        <v>23.92</v>
      </c>
      <c r="AF108" s="320"/>
      <c r="AG108">
        <v>3.92</v>
      </c>
      <c r="AH108"/>
      <c r="AI108">
        <v>108</v>
      </c>
      <c r="AJ108"/>
      <c r="AK108"/>
      <c r="AL108"/>
      <c r="AM108"/>
      <c r="AN108"/>
      <c r="AO108">
        <v>79</v>
      </c>
      <c r="AP108"/>
      <c r="AQ108" s="323"/>
      <c r="AR108" s="323"/>
      <c r="AS108">
        <v>112</v>
      </c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>
        <v>38.436</v>
      </c>
      <c r="BH108"/>
      <c r="BI108">
        <v>4.6340000000000003</v>
      </c>
      <c r="BJ108"/>
      <c r="BK108">
        <v>1.1425000000000001</v>
      </c>
      <c r="BL108"/>
      <c r="BM108">
        <v>23.946999999999999</v>
      </c>
      <c r="BN108"/>
      <c r="BO108">
        <v>15.629</v>
      </c>
      <c r="BP108"/>
      <c r="BQ108">
        <v>9.4624000000000006</v>
      </c>
      <c r="BR108"/>
      <c r="BS108">
        <v>46.052999999999997</v>
      </c>
      <c r="BT108"/>
      <c r="BU108">
        <v>20.617000000000001</v>
      </c>
      <c r="BV108"/>
      <c r="BW108" s="325">
        <v>13.13</v>
      </c>
      <c r="BX108"/>
      <c r="BY108">
        <v>6.847999999999999</v>
      </c>
      <c r="BZ108"/>
      <c r="CA108"/>
      <c r="CB108" s="136"/>
      <c r="CC108">
        <v>9.57</v>
      </c>
      <c r="CD108"/>
      <c r="CE108"/>
      <c r="CF108"/>
      <c r="CG108"/>
      <c r="CH108"/>
      <c r="CI108"/>
      <c r="CJ108"/>
      <c r="CK108"/>
      <c r="CL108"/>
      <c r="CM108"/>
    </row>
    <row r="109" spans="1:91" s="338" customFormat="1">
      <c r="A109" s="154" t="s">
        <v>7623</v>
      </c>
      <c r="B109" t="s">
        <v>8287</v>
      </c>
      <c r="C109">
        <v>2</v>
      </c>
      <c r="D109">
        <v>1568</v>
      </c>
      <c r="E109" s="113">
        <v>68</v>
      </c>
      <c r="F109" s="113">
        <v>15</v>
      </c>
      <c r="G109" s="113"/>
      <c r="H109" s="113"/>
      <c r="I109">
        <v>37</v>
      </c>
      <c r="J109" s="112"/>
      <c r="K109" s="320">
        <v>8</v>
      </c>
      <c r="L109" s="320"/>
      <c r="M109">
        <v>2.42</v>
      </c>
      <c r="N109" s="320"/>
      <c r="O109"/>
      <c r="P109"/>
      <c r="Q109"/>
      <c r="R109" s="153"/>
      <c r="S109" s="320">
        <v>11.17088834472</v>
      </c>
      <c r="T109" s="320"/>
      <c r="U109">
        <v>10.8</v>
      </c>
      <c r="V109"/>
      <c r="W109"/>
      <c r="X109"/>
      <c r="Y109" s="321">
        <v>3.8368728000000001</v>
      </c>
      <c r="Z109" s="320"/>
      <c r="AA109" s="322">
        <v>55550.239234449757</v>
      </c>
      <c r="AB109" s="320"/>
      <c r="AC109" s="321">
        <v>21.767124599999999</v>
      </c>
      <c r="AD109" s="320"/>
      <c r="AE109" s="320">
        <v>23.22</v>
      </c>
      <c r="AF109" s="320"/>
      <c r="AG109">
        <v>4.18</v>
      </c>
      <c r="AH109"/>
      <c r="AI109">
        <v>108</v>
      </c>
      <c r="AJ109"/>
      <c r="AK109"/>
      <c r="AL109"/>
      <c r="AM109"/>
      <c r="AN109"/>
      <c r="AO109">
        <v>79</v>
      </c>
      <c r="AP109"/>
      <c r="AQ109" s="323"/>
      <c r="AR109" s="323"/>
      <c r="AS109">
        <v>112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>
        <v>51.645000000000003</v>
      </c>
      <c r="BH109"/>
      <c r="BI109">
        <v>4.6128999999999998</v>
      </c>
      <c r="BJ109"/>
      <c r="BK109">
        <v>0.74963999999999997</v>
      </c>
      <c r="BL109"/>
      <c r="BM109">
        <v>13.26</v>
      </c>
      <c r="BN109"/>
      <c r="BO109">
        <v>15.118</v>
      </c>
      <c r="BP109"/>
      <c r="BQ109">
        <v>9.8305000000000007</v>
      </c>
      <c r="BR109"/>
      <c r="BS109">
        <v>51.32</v>
      </c>
      <c r="BT109"/>
      <c r="BU109">
        <v>18.562999999999999</v>
      </c>
      <c r="BV109"/>
      <c r="BW109">
        <v>50.406999999999996</v>
      </c>
      <c r="BX109" s="324"/>
      <c r="BY109">
        <v>6.061000000000007</v>
      </c>
      <c r="BZ109"/>
      <c r="CA109"/>
      <c r="CB109" s="136"/>
      <c r="CC109">
        <v>5.7</v>
      </c>
      <c r="CD109"/>
      <c r="CE109"/>
      <c r="CF109"/>
      <c r="CG109"/>
      <c r="CH109"/>
      <c r="CI109"/>
      <c r="CJ109"/>
      <c r="CK109"/>
      <c r="CL109"/>
      <c r="CM109"/>
    </row>
    <row r="110" spans="1:91" s="338" customFormat="1">
      <c r="A110" s="154" t="s">
        <v>7624</v>
      </c>
      <c r="B110" t="s">
        <v>8287</v>
      </c>
      <c r="C110">
        <v>1</v>
      </c>
      <c r="D110">
        <v>636</v>
      </c>
      <c r="E110" s="113">
        <v>36</v>
      </c>
      <c r="F110" s="113">
        <v>6</v>
      </c>
      <c r="G110" s="113"/>
      <c r="H110" s="113"/>
      <c r="I110">
        <v>25.499999999999996</v>
      </c>
      <c r="J110" s="112"/>
      <c r="K110" s="320">
        <v>9</v>
      </c>
      <c r="L110" s="320"/>
      <c r="M110">
        <v>3.3</v>
      </c>
      <c r="N110" s="320"/>
      <c r="O110"/>
      <c r="P110"/>
      <c r="Q110"/>
      <c r="R110" s="153"/>
      <c r="S110" s="320">
        <v>14.499781066316</v>
      </c>
      <c r="T110" s="320"/>
      <c r="U110">
        <v>10.8</v>
      </c>
      <c r="V110"/>
      <c r="W110"/>
      <c r="X110"/>
      <c r="Y110" s="321">
        <v>5.5215362000000008</v>
      </c>
      <c r="Z110" s="320"/>
      <c r="AA110" s="322">
        <v>59388.145315487571</v>
      </c>
      <c r="AB110" s="320"/>
      <c r="AC110" s="321">
        <v>29.064084399999999</v>
      </c>
      <c r="AD110" s="320"/>
      <c r="AE110" s="320">
        <v>31.06</v>
      </c>
      <c r="AF110" s="320"/>
      <c r="AG110">
        <v>5.23</v>
      </c>
      <c r="AH110"/>
      <c r="AI110">
        <v>160</v>
      </c>
      <c r="AJ110"/>
      <c r="AK110"/>
      <c r="AL110"/>
      <c r="AM110"/>
      <c r="AN110"/>
      <c r="AO110">
        <v>85</v>
      </c>
      <c r="AP110"/>
      <c r="AQ110" s="323"/>
      <c r="AR110" s="323"/>
      <c r="AS110">
        <v>114</v>
      </c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>
        <v>34.008000000000003</v>
      </c>
      <c r="BH110"/>
      <c r="BI110">
        <v>4.3323</v>
      </c>
      <c r="BJ110"/>
      <c r="BK110">
        <v>1.0474000000000001</v>
      </c>
      <c r="BL110"/>
      <c r="BM110">
        <v>29.904</v>
      </c>
      <c r="BN110"/>
      <c r="BO110">
        <v>15.236000000000001</v>
      </c>
      <c r="BP110"/>
      <c r="BQ110">
        <v>10.105</v>
      </c>
      <c r="BR110"/>
      <c r="BS110">
        <v>49.889000000000003</v>
      </c>
      <c r="BT110"/>
      <c r="BU110">
        <v>19.850999999999999</v>
      </c>
      <c r="BV110"/>
      <c r="BW110" s="325">
        <v>25.8</v>
      </c>
      <c r="BX110"/>
      <c r="BY110">
        <v>6.3220000000000027</v>
      </c>
      <c r="BZ110"/>
      <c r="CA110"/>
      <c r="CB110" s="136"/>
      <c r="CC110">
        <v>7.5</v>
      </c>
      <c r="CD110"/>
      <c r="CE110"/>
      <c r="CF110"/>
      <c r="CG110"/>
      <c r="CH110"/>
      <c r="CI110"/>
      <c r="CJ110"/>
      <c r="CK110"/>
      <c r="CL110"/>
      <c r="CM110"/>
    </row>
    <row r="111" spans="1:91" s="338" customFormat="1">
      <c r="A111" s="154" t="s">
        <v>7624</v>
      </c>
      <c r="B111" t="s">
        <v>8289</v>
      </c>
      <c r="C111">
        <v>2</v>
      </c>
      <c r="D111">
        <v>655</v>
      </c>
      <c r="E111" s="113">
        <v>55</v>
      </c>
      <c r="F111" s="113">
        <v>6</v>
      </c>
      <c r="G111" s="113"/>
      <c r="H111" s="113"/>
      <c r="I111">
        <v>29.5</v>
      </c>
      <c r="J111" s="112"/>
      <c r="K111" s="320">
        <v>9</v>
      </c>
      <c r="L111" s="320"/>
      <c r="M111">
        <v>1.5</v>
      </c>
      <c r="N111" s="320"/>
      <c r="O111"/>
      <c r="P111"/>
      <c r="Q111"/>
      <c r="R111" s="153"/>
      <c r="S111" s="320">
        <v>6.2349883115400004</v>
      </c>
      <c r="T111" s="320"/>
      <c r="U111">
        <v>10.8</v>
      </c>
      <c r="V111"/>
      <c r="W111"/>
      <c r="X111"/>
      <c r="Y111" s="321">
        <v>2.8016023999999997</v>
      </c>
      <c r="Z111" s="320"/>
      <c r="AA111" s="322">
        <v>26206.261510128916</v>
      </c>
      <c r="AB111" s="320"/>
      <c r="AC111" s="321">
        <v>13.150654500000002</v>
      </c>
      <c r="AD111" s="320"/>
      <c r="AE111" s="320">
        <v>14.23</v>
      </c>
      <c r="AF111" s="320"/>
      <c r="AG111">
        <v>5.43</v>
      </c>
      <c r="AH111"/>
      <c r="AI111">
        <v>138</v>
      </c>
      <c r="AJ111"/>
      <c r="AK111"/>
      <c r="AL111"/>
      <c r="AM111"/>
      <c r="AN111"/>
      <c r="AO111">
        <v>75</v>
      </c>
      <c r="AP111"/>
      <c r="AQ111" s="323"/>
      <c r="AR111" s="323"/>
      <c r="AS111">
        <v>114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>
        <v>43.344999999999999</v>
      </c>
      <c r="BH111"/>
      <c r="BI111">
        <v>4.2107999999999999</v>
      </c>
      <c r="BJ111"/>
      <c r="BK111">
        <v>1.1027</v>
      </c>
      <c r="BL111"/>
      <c r="BM111">
        <v>29.837</v>
      </c>
      <c r="BN111"/>
      <c r="BO111">
        <v>13.993</v>
      </c>
      <c r="BP111"/>
      <c r="BQ111">
        <v>10</v>
      </c>
      <c r="BR111"/>
      <c r="BS111">
        <v>47.411999999999999</v>
      </c>
      <c r="BT111"/>
      <c r="BU111">
        <v>21.946000000000002</v>
      </c>
      <c r="BV111"/>
      <c r="BW111" s="325">
        <v>25.24</v>
      </c>
      <c r="BX111"/>
      <c r="BY111">
        <v>6.4129999999999967</v>
      </c>
      <c r="BZ111"/>
      <c r="CA111"/>
      <c r="CB111" s="136"/>
      <c r="CC111">
        <v>6.78</v>
      </c>
      <c r="CD111"/>
      <c r="CE111"/>
      <c r="CF111"/>
      <c r="CG111"/>
      <c r="CH111"/>
      <c r="CI111"/>
      <c r="CJ111"/>
      <c r="CK111"/>
      <c r="CL111"/>
      <c r="CM111"/>
    </row>
    <row r="112" spans="1:91" s="338" customFormat="1">
      <c r="A112" s="154" t="s">
        <v>7624</v>
      </c>
      <c r="B112" t="s">
        <v>8287</v>
      </c>
      <c r="C112">
        <v>2</v>
      </c>
      <c r="D112">
        <v>1168</v>
      </c>
      <c r="E112" s="113">
        <v>68</v>
      </c>
      <c r="F112" s="113">
        <v>11</v>
      </c>
      <c r="G112" s="113"/>
      <c r="H112" s="113"/>
      <c r="I112">
        <v>27.999999999999996</v>
      </c>
      <c r="J112" s="112"/>
      <c r="K112" s="320">
        <v>9</v>
      </c>
      <c r="L112" s="320"/>
      <c r="M112">
        <v>2.33</v>
      </c>
      <c r="N112" s="320"/>
      <c r="O112"/>
      <c r="P112"/>
      <c r="Q112"/>
      <c r="R112" s="153"/>
      <c r="S112" s="320">
        <v>10.176281988191999</v>
      </c>
      <c r="T112" s="320"/>
      <c r="U112">
        <v>10.8</v>
      </c>
      <c r="V112"/>
      <c r="W112"/>
      <c r="X112"/>
      <c r="Y112" s="321">
        <v>3.7533942000000002</v>
      </c>
      <c r="Z112" s="320"/>
      <c r="AA112" s="322">
        <v>44637.096774193553</v>
      </c>
      <c r="AB112" s="320"/>
      <c r="AC112" s="321">
        <v>20.689387199999999</v>
      </c>
      <c r="AD112" s="320"/>
      <c r="AE112" s="320">
        <v>22.14</v>
      </c>
      <c r="AF112" s="320"/>
      <c r="AG112">
        <v>4.96</v>
      </c>
      <c r="AH112"/>
      <c r="AI112">
        <v>150</v>
      </c>
      <c r="AJ112"/>
      <c r="AK112"/>
      <c r="AL112"/>
      <c r="AM112"/>
      <c r="AN112"/>
      <c r="AO112">
        <v>72</v>
      </c>
      <c r="AP112"/>
      <c r="AQ112" s="323"/>
      <c r="AR112" s="323"/>
      <c r="AS112">
        <v>112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>
        <v>33.677999999999997</v>
      </c>
      <c r="BH112"/>
      <c r="BI112">
        <v>4.6715</v>
      </c>
      <c r="BJ112"/>
      <c r="BK112">
        <v>1.0044</v>
      </c>
      <c r="BL112"/>
      <c r="BM112">
        <v>31.145</v>
      </c>
      <c r="BN112"/>
      <c r="BO112">
        <v>16.957000000000001</v>
      </c>
      <c r="BP112"/>
      <c r="BQ112">
        <v>9.3361000000000001</v>
      </c>
      <c r="BR112"/>
      <c r="BS112">
        <v>49.186</v>
      </c>
      <c r="BT112"/>
      <c r="BU112">
        <v>18.96</v>
      </c>
      <c r="BV112"/>
      <c r="BW112">
        <v>51.667000000000002</v>
      </c>
      <c r="BX112" s="324"/>
      <c r="BY112">
        <v>6.546999999999997</v>
      </c>
      <c r="BZ112"/>
      <c r="CA112"/>
      <c r="CB112" s="136"/>
      <c r="CC112">
        <v>6.61</v>
      </c>
      <c r="CD112"/>
      <c r="CE112"/>
      <c r="CF112"/>
      <c r="CG112"/>
      <c r="CH112"/>
      <c r="CI112"/>
      <c r="CJ112"/>
      <c r="CK112"/>
      <c r="CL112"/>
      <c r="CM112"/>
    </row>
    <row r="113" spans="1:91">
      <c r="A113" s="154" t="s">
        <v>7624</v>
      </c>
      <c r="B113" t="s">
        <v>8289</v>
      </c>
      <c r="C113">
        <v>1</v>
      </c>
      <c r="D113">
        <v>1127</v>
      </c>
      <c r="E113" s="113">
        <v>27</v>
      </c>
      <c r="F113" s="113">
        <v>11</v>
      </c>
      <c r="I113">
        <v>27.999999999999996</v>
      </c>
      <c r="K113" s="320">
        <v>9</v>
      </c>
      <c r="L113" s="320"/>
      <c r="M113">
        <v>3.08</v>
      </c>
      <c r="N113" s="320"/>
      <c r="O113"/>
      <c r="P113"/>
      <c r="Q113"/>
      <c r="S113" s="320">
        <v>12.430958516411998</v>
      </c>
      <c r="T113" s="320"/>
      <c r="U113">
        <v>10.8</v>
      </c>
      <c r="V113"/>
      <c r="W113"/>
      <c r="X113"/>
      <c r="Y113" s="321">
        <v>5.1459086999999997</v>
      </c>
      <c r="Z113" s="320"/>
      <c r="AA113" s="322">
        <v>57307.692307692298</v>
      </c>
      <c r="AB113" s="320"/>
      <c r="AC113" s="321">
        <v>26.335660599999997</v>
      </c>
      <c r="AD113" s="320"/>
      <c r="AE113" s="320">
        <v>28.31</v>
      </c>
      <c r="AF113" s="320"/>
      <c r="AG113">
        <v>4.9400000000000004</v>
      </c>
      <c r="AH113"/>
      <c r="AI113">
        <v>145</v>
      </c>
      <c r="AJ113"/>
      <c r="AK113"/>
      <c r="AL113"/>
      <c r="AM113"/>
      <c r="AN113"/>
      <c r="AO113">
        <v>79</v>
      </c>
      <c r="AP113"/>
      <c r="AQ113" s="323"/>
      <c r="AR113" s="323"/>
      <c r="AS113">
        <v>112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40.965000000000003</v>
      </c>
      <c r="BH113"/>
      <c r="BI113">
        <v>4.3745000000000003</v>
      </c>
      <c r="BJ113"/>
      <c r="BK113">
        <v>1.0842000000000001</v>
      </c>
      <c r="BL113"/>
      <c r="BM113">
        <v>24.841999999999999</v>
      </c>
      <c r="BN113"/>
      <c r="BO113">
        <v>14.430999999999999</v>
      </c>
      <c r="BP113"/>
      <c r="BQ113">
        <v>9.4123999999999999</v>
      </c>
      <c r="BR113"/>
      <c r="BS113">
        <v>47.201999999999998</v>
      </c>
      <c r="BT113"/>
      <c r="BU113">
        <v>21.917999999999999</v>
      </c>
      <c r="BV113"/>
      <c r="BW113" s="325">
        <v>21.81</v>
      </c>
      <c r="BX113"/>
      <c r="BY113">
        <v>6.6269999999999953</v>
      </c>
      <c r="BZ113"/>
      <c r="CA113"/>
      <c r="CC113">
        <v>9.65</v>
      </c>
      <c r="CD113"/>
      <c r="CE113"/>
      <c r="CF113"/>
      <c r="CG113"/>
      <c r="CH113"/>
      <c r="CI113"/>
      <c r="CJ113"/>
      <c r="CK113"/>
      <c r="CL113"/>
      <c r="CM113"/>
    </row>
    <row r="114" spans="1:91">
      <c r="A114" s="154" t="s">
        <v>7625</v>
      </c>
      <c r="B114" t="s">
        <v>8289</v>
      </c>
      <c r="C114">
        <v>2</v>
      </c>
      <c r="D114">
        <v>575</v>
      </c>
      <c r="E114" s="113">
        <v>75</v>
      </c>
      <c r="F114" s="113">
        <v>5</v>
      </c>
      <c r="I114">
        <v>34</v>
      </c>
      <c r="K114" s="320">
        <v>8</v>
      </c>
      <c r="L114" s="320"/>
      <c r="M114">
        <v>2.3199999999999998</v>
      </c>
      <c r="N114" s="320"/>
      <c r="O114"/>
      <c r="P114"/>
      <c r="Q114"/>
      <c r="S114" s="320">
        <v>9.6998427810900019</v>
      </c>
      <c r="T114" s="320"/>
      <c r="U114">
        <v>10.8</v>
      </c>
      <c r="V114"/>
      <c r="W114"/>
      <c r="X114"/>
      <c r="Y114" s="321">
        <v>4.0535460000000008</v>
      </c>
      <c r="Z114" s="320"/>
      <c r="AA114" s="322">
        <v>54292.682926829279</v>
      </c>
      <c r="AB114" s="320"/>
      <c r="AC114" s="321">
        <v>20.811987000000002</v>
      </c>
      <c r="AD114" s="320"/>
      <c r="AE114" s="320">
        <v>22.26</v>
      </c>
      <c r="AF114" s="320"/>
      <c r="AG114">
        <v>4.0999999999999996</v>
      </c>
      <c r="AH114"/>
      <c r="AI114">
        <v>125</v>
      </c>
      <c r="AJ114"/>
      <c r="AK114"/>
      <c r="AL114"/>
      <c r="AM114"/>
      <c r="AN114"/>
      <c r="AO114">
        <v>65</v>
      </c>
      <c r="AP114"/>
      <c r="AQ114" s="323"/>
      <c r="AR114" s="323"/>
      <c r="AS114">
        <v>110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>
        <v>42.862000000000002</v>
      </c>
      <c r="BH114"/>
      <c r="BI114">
        <v>3.8858999999999999</v>
      </c>
      <c r="BJ114"/>
      <c r="BK114">
        <v>0.92510000000000003</v>
      </c>
      <c r="BL114"/>
      <c r="BM114">
        <v>19.582999999999998</v>
      </c>
      <c r="BN114"/>
      <c r="BO114">
        <v>15.773</v>
      </c>
      <c r="BP114"/>
      <c r="BQ114">
        <v>10.170999999999999</v>
      </c>
      <c r="BR114"/>
      <c r="BS114">
        <v>46.606999999999999</v>
      </c>
      <c r="BT114"/>
      <c r="BU114">
        <v>21.545999999999999</v>
      </c>
      <c r="BV114"/>
      <c r="BW114" s="325">
        <v>16.36</v>
      </c>
      <c r="BX114"/>
      <c r="BY114">
        <v>6.7199999999999989</v>
      </c>
      <c r="BZ114"/>
      <c r="CA114"/>
      <c r="CC114">
        <v>5.71</v>
      </c>
      <c r="CD114"/>
      <c r="CE114"/>
      <c r="CF114"/>
      <c r="CG114"/>
      <c r="CH114"/>
      <c r="CI114"/>
      <c r="CJ114"/>
      <c r="CK114"/>
      <c r="CL114"/>
      <c r="CM114"/>
    </row>
    <row r="115" spans="1:91">
      <c r="A115" s="327" t="s">
        <v>7625</v>
      </c>
      <c r="B115" s="328" t="s">
        <v>8287</v>
      </c>
      <c r="C115" s="328">
        <v>1</v>
      </c>
      <c r="D115" s="328">
        <v>826</v>
      </c>
      <c r="E115" s="113">
        <v>26</v>
      </c>
      <c r="F115" s="113">
        <v>8</v>
      </c>
      <c r="G115" s="329"/>
      <c r="H115" s="329"/>
      <c r="I115" s="328">
        <v>21.999999999999996</v>
      </c>
      <c r="J115" s="330"/>
      <c r="K115" s="331">
        <v>7</v>
      </c>
      <c r="L115" s="331"/>
      <c r="M115" s="328">
        <v>1.75</v>
      </c>
      <c r="N115" s="331"/>
      <c r="O115" s="328"/>
      <c r="P115" s="328"/>
      <c r="Q115" s="328"/>
      <c r="R115" s="332"/>
      <c r="S115" s="331">
        <v>7.5335945400539996</v>
      </c>
      <c r="T115" s="331"/>
      <c r="U115" s="328">
        <v>10.8</v>
      </c>
      <c r="V115" s="328"/>
      <c r="W115" s="328"/>
      <c r="X115" s="328"/>
      <c r="Y115" s="333">
        <v>3.0392128999999999</v>
      </c>
      <c r="Z115" s="331"/>
      <c r="AA115" s="334">
        <v>41246.819338422392</v>
      </c>
      <c r="AB115" s="331"/>
      <c r="AC115" s="333">
        <v>15.1331697</v>
      </c>
      <c r="AD115" s="331"/>
      <c r="AE115" s="331">
        <v>16.21</v>
      </c>
      <c r="AF115" s="331"/>
      <c r="AG115" s="328">
        <v>3.93</v>
      </c>
      <c r="AH115" s="328"/>
      <c r="AI115" s="328">
        <v>100</v>
      </c>
      <c r="AJ115" s="328"/>
      <c r="AK115" s="328"/>
      <c r="AL115" s="328"/>
      <c r="AM115" s="328"/>
      <c r="AN115" s="328"/>
      <c r="AO115" s="328">
        <v>65</v>
      </c>
      <c r="AP115" s="328"/>
      <c r="AQ115" s="335"/>
      <c r="AR115" s="335"/>
      <c r="AS115" s="328">
        <v>112</v>
      </c>
      <c r="AT115" s="328"/>
      <c r="AU115" s="328"/>
      <c r="AV115" s="328"/>
      <c r="AW115" s="328"/>
      <c r="AX115" s="328"/>
      <c r="AY115" s="328"/>
      <c r="AZ115" s="328"/>
      <c r="BA115" s="328"/>
      <c r="BB115" s="328"/>
      <c r="BC115" s="328"/>
      <c r="BD115" s="328"/>
      <c r="BE115" s="328"/>
      <c r="BF115" s="328"/>
      <c r="BG115" s="328">
        <v>38.137</v>
      </c>
      <c r="BH115" s="328"/>
      <c r="BI115" s="328">
        <v>4.0170000000000003</v>
      </c>
      <c r="BJ115" s="328"/>
      <c r="BK115" s="328">
        <v>0.96192999999999995</v>
      </c>
      <c r="BL115" s="328"/>
      <c r="BM115" s="328">
        <v>30.231999999999999</v>
      </c>
      <c r="BN115" s="328"/>
      <c r="BO115" s="328">
        <v>15.409000000000001</v>
      </c>
      <c r="BP115" s="328"/>
      <c r="BQ115" s="328">
        <v>10.298999999999999</v>
      </c>
      <c r="BR115" s="328"/>
      <c r="BS115" s="328">
        <v>49.781999999999996</v>
      </c>
      <c r="BT115" s="328"/>
      <c r="BU115" s="328">
        <v>19.152000000000001</v>
      </c>
      <c r="BV115" s="328"/>
      <c r="BW115" s="336">
        <v>22.47</v>
      </c>
      <c r="BX115" s="328"/>
      <c r="BY115" s="328">
        <v>6.7630000000000052</v>
      </c>
      <c r="BZ115" s="328"/>
      <c r="CA115" s="328"/>
      <c r="CB115" s="337"/>
      <c r="CC115" s="328">
        <v>8.98</v>
      </c>
      <c r="CD115" s="328"/>
      <c r="CE115" s="328"/>
      <c r="CF115" s="328"/>
      <c r="CG115" s="328"/>
      <c r="CH115" s="328"/>
      <c r="CI115" s="328"/>
      <c r="CJ115" s="328"/>
      <c r="CK115" s="328" t="s">
        <v>8377</v>
      </c>
      <c r="CL115" s="328"/>
      <c r="CM115" s="328"/>
    </row>
    <row r="116" spans="1:91">
      <c r="A116" s="154" t="s">
        <v>7625</v>
      </c>
      <c r="B116" t="s">
        <v>8287</v>
      </c>
      <c r="C116">
        <v>2</v>
      </c>
      <c r="D116">
        <v>1557</v>
      </c>
      <c r="E116" s="113">
        <v>57</v>
      </c>
      <c r="F116" s="113">
        <v>15</v>
      </c>
      <c r="I116">
        <v>25.499999999999996</v>
      </c>
      <c r="K116" s="320">
        <v>8</v>
      </c>
      <c r="L116" s="320"/>
      <c r="M116">
        <v>2.2200000000000002</v>
      </c>
      <c r="N116" s="320"/>
      <c r="O116"/>
      <c r="P116"/>
      <c r="Q116"/>
      <c r="S116" s="320">
        <v>9.770461470719999</v>
      </c>
      <c r="T116" s="320"/>
      <c r="U116">
        <v>10.8</v>
      </c>
      <c r="V116"/>
      <c r="W116"/>
      <c r="X116"/>
      <c r="Y116" s="321">
        <v>3.4535880000000003</v>
      </c>
      <c r="Z116" s="320"/>
      <c r="AA116" s="322">
        <v>56557.37704918033</v>
      </c>
      <c r="AB116" s="320"/>
      <c r="AC116" s="321">
        <v>19.395071999999999</v>
      </c>
      <c r="AD116" s="320"/>
      <c r="AE116" s="320">
        <v>20.7</v>
      </c>
      <c r="AF116" s="320"/>
      <c r="AG116">
        <v>3.66</v>
      </c>
      <c r="AH116"/>
      <c r="AI116">
        <v>120</v>
      </c>
      <c r="AJ116"/>
      <c r="AK116"/>
      <c r="AL116"/>
      <c r="AM116"/>
      <c r="AN116"/>
      <c r="AO116">
        <v>63</v>
      </c>
      <c r="AP116"/>
      <c r="AQ116" s="323"/>
      <c r="AR116" s="323"/>
      <c r="AS116">
        <v>112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>
        <v>44.875</v>
      </c>
      <c r="BH116"/>
      <c r="BI116">
        <v>4.1368999999999998</v>
      </c>
      <c r="BJ116"/>
      <c r="BK116">
        <v>0.84033999999999998</v>
      </c>
      <c r="BL116"/>
      <c r="BM116">
        <v>28.77</v>
      </c>
      <c r="BN116"/>
      <c r="BO116">
        <v>16.213000000000001</v>
      </c>
      <c r="BP116"/>
      <c r="BQ116">
        <v>9.4499999999999993</v>
      </c>
      <c r="BR116"/>
      <c r="BS116">
        <v>50.375999999999998</v>
      </c>
      <c r="BT116"/>
      <c r="BU116">
        <v>18.116</v>
      </c>
      <c r="BV116"/>
      <c r="BW116" s="325">
        <v>24.96</v>
      </c>
      <c r="BX116"/>
      <c r="BY116">
        <v>6.5480000000000018</v>
      </c>
      <c r="BZ116"/>
      <c r="CA116"/>
      <c r="CC116">
        <v>8.3800000000000008</v>
      </c>
      <c r="CD116"/>
      <c r="CE116"/>
      <c r="CF116"/>
      <c r="CG116"/>
      <c r="CH116"/>
      <c r="CI116"/>
      <c r="CJ116"/>
      <c r="CK116"/>
      <c r="CL116"/>
      <c r="CM116"/>
    </row>
    <row r="117" spans="1:91">
      <c r="A117" s="154" t="s">
        <v>7625</v>
      </c>
      <c r="B117" t="s">
        <v>8289</v>
      </c>
      <c r="C117">
        <v>1</v>
      </c>
      <c r="D117">
        <v>1633</v>
      </c>
      <c r="E117" s="113">
        <v>33</v>
      </c>
      <c r="F117" s="113">
        <v>16</v>
      </c>
      <c r="I117">
        <v>21.999999999999996</v>
      </c>
      <c r="K117" s="320">
        <v>8</v>
      </c>
      <c r="L117" s="320"/>
      <c r="M117">
        <v>2.21</v>
      </c>
      <c r="N117" s="320"/>
      <c r="O117"/>
      <c r="P117"/>
      <c r="Q117"/>
      <c r="S117" s="320">
        <v>9.2739966449499995</v>
      </c>
      <c r="T117" s="320"/>
      <c r="U117">
        <v>10.8</v>
      </c>
      <c r="V117"/>
      <c r="W117"/>
      <c r="X117"/>
      <c r="Y117" s="321">
        <v>3.9789544000000001</v>
      </c>
      <c r="Z117" s="320"/>
      <c r="AA117" s="322">
        <v>56775.956284153006</v>
      </c>
      <c r="AB117" s="320"/>
      <c r="AC117" s="321">
        <v>19.419948999999999</v>
      </c>
      <c r="AD117" s="320"/>
      <c r="AE117" s="320">
        <v>20.78</v>
      </c>
      <c r="AF117" s="320"/>
      <c r="AG117">
        <v>3.66</v>
      </c>
      <c r="AH117"/>
      <c r="AI117">
        <v>120</v>
      </c>
      <c r="AJ117"/>
      <c r="AK117"/>
      <c r="AL117"/>
      <c r="AM117"/>
      <c r="AN117"/>
      <c r="AO117">
        <v>65</v>
      </c>
      <c r="AP117"/>
      <c r="AQ117" s="323"/>
      <c r="AR117" s="323"/>
      <c r="AS117">
        <v>112</v>
      </c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35.692</v>
      </c>
      <c r="BH117"/>
      <c r="BI117">
        <v>3.8893</v>
      </c>
      <c r="BJ117"/>
      <c r="BK117">
        <v>1.0808</v>
      </c>
      <c r="BL117"/>
      <c r="BM117">
        <v>27.786000000000001</v>
      </c>
      <c r="BN117"/>
      <c r="BO117">
        <v>16.175000000000001</v>
      </c>
      <c r="BP117"/>
      <c r="BQ117">
        <v>10.404999999999999</v>
      </c>
      <c r="BR117"/>
      <c r="BS117">
        <v>47.755000000000003</v>
      </c>
      <c r="BT117"/>
      <c r="BU117">
        <v>20.273</v>
      </c>
      <c r="BV117"/>
      <c r="BW117" s="325">
        <v>7.32</v>
      </c>
      <c r="BX117"/>
      <c r="BY117">
        <v>6.6770000000000067</v>
      </c>
      <c r="BZ117"/>
      <c r="CA117"/>
      <c r="CC117">
        <v>7.57</v>
      </c>
      <c r="CD117"/>
      <c r="CE117"/>
      <c r="CF117"/>
      <c r="CG117"/>
      <c r="CH117"/>
      <c r="CI117"/>
      <c r="CJ117"/>
      <c r="CK117"/>
      <c r="CL117"/>
      <c r="CM117"/>
    </row>
    <row r="118" spans="1:91">
      <c r="A118" s="154" t="s">
        <v>7626</v>
      </c>
      <c r="B118" t="s">
        <v>8287</v>
      </c>
      <c r="C118">
        <v>1</v>
      </c>
      <c r="D118">
        <v>635</v>
      </c>
      <c r="E118" s="113">
        <v>35</v>
      </c>
      <c r="F118" s="113">
        <v>6</v>
      </c>
      <c r="I118">
        <v>29.999999999999996</v>
      </c>
      <c r="K118" s="320">
        <v>9</v>
      </c>
      <c r="L118" s="320"/>
      <c r="M118">
        <v>3.39</v>
      </c>
      <c r="N118" s="320"/>
      <c r="O118"/>
      <c r="P118"/>
      <c r="Q118"/>
      <c r="S118" s="320">
        <v>14.635061196756</v>
      </c>
      <c r="T118" s="320"/>
      <c r="U118">
        <v>10.8</v>
      </c>
      <c r="V118"/>
      <c r="W118"/>
      <c r="X118"/>
      <c r="Y118" s="321">
        <v>6.3086478000000001</v>
      </c>
      <c r="Z118" s="320"/>
      <c r="AA118" s="322">
        <v>62313.725490196091</v>
      </c>
      <c r="AB118" s="320"/>
      <c r="AC118" s="321">
        <v>29.770868400000001</v>
      </c>
      <c r="AD118" s="320"/>
      <c r="AE118" s="320">
        <v>31.78</v>
      </c>
      <c r="AF118" s="320"/>
      <c r="AG118">
        <v>5.0999999999999996</v>
      </c>
      <c r="AH118"/>
      <c r="AI118">
        <v>140</v>
      </c>
      <c r="AJ118"/>
      <c r="AK118"/>
      <c r="AL118"/>
      <c r="AM118"/>
      <c r="AN118"/>
      <c r="AO118">
        <v>77</v>
      </c>
      <c r="AP118"/>
      <c r="AQ118" s="323"/>
      <c r="AR118" s="323"/>
      <c r="AS118">
        <v>112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41.393000000000001</v>
      </c>
      <c r="BH118"/>
      <c r="BI118">
        <v>4.2733999999999996</v>
      </c>
      <c r="BJ118"/>
      <c r="BK118">
        <v>0.92891000000000001</v>
      </c>
      <c r="BL118"/>
      <c r="BM118">
        <v>26.471</v>
      </c>
      <c r="BN118"/>
      <c r="BO118">
        <v>15.554</v>
      </c>
      <c r="BP118"/>
      <c r="BQ118">
        <v>9.0487000000000002</v>
      </c>
      <c r="BR118"/>
      <c r="BS118">
        <v>49.158999999999999</v>
      </c>
      <c r="BT118"/>
      <c r="BU118">
        <v>18.564</v>
      </c>
      <c r="BV118"/>
      <c r="BW118">
        <v>70.421000000000006</v>
      </c>
      <c r="BX118" s="324"/>
      <c r="BY118">
        <v>6.4419999999999931</v>
      </c>
      <c r="BZ118"/>
      <c r="CA118"/>
      <c r="CC118">
        <v>7.87</v>
      </c>
      <c r="CD118"/>
      <c r="CE118"/>
      <c r="CF118"/>
      <c r="CG118"/>
      <c r="CH118"/>
      <c r="CI118"/>
      <c r="CJ118"/>
      <c r="CK118"/>
      <c r="CL118"/>
      <c r="CM118"/>
    </row>
    <row r="119" spans="1:91">
      <c r="A119" s="327" t="s">
        <v>7626</v>
      </c>
      <c r="B119" s="328" t="s">
        <v>8289</v>
      </c>
      <c r="C119" s="328">
        <v>2</v>
      </c>
      <c r="D119" s="328">
        <v>957</v>
      </c>
      <c r="E119" s="113">
        <v>57</v>
      </c>
      <c r="F119" s="113">
        <v>9</v>
      </c>
      <c r="G119" s="329"/>
      <c r="H119" s="329"/>
      <c r="I119" s="328">
        <v>30.499999999999996</v>
      </c>
      <c r="J119" s="330"/>
      <c r="K119" s="331">
        <v>8</v>
      </c>
      <c r="L119" s="331"/>
      <c r="M119" s="328">
        <v>1.4</v>
      </c>
      <c r="N119" s="331"/>
      <c r="O119" s="328"/>
      <c r="P119" s="328"/>
      <c r="Q119" s="328"/>
      <c r="R119" s="332"/>
      <c r="S119" s="331">
        <v>5.6691736657919991</v>
      </c>
      <c r="T119" s="331"/>
      <c r="U119" s="328">
        <v>10.8</v>
      </c>
      <c r="V119" s="328"/>
      <c r="W119" s="328"/>
      <c r="X119" s="328"/>
      <c r="Y119" s="333">
        <v>2.5048271999999998</v>
      </c>
      <c r="Z119" s="331"/>
      <c r="AA119" s="334">
        <v>27732.18142548596</v>
      </c>
      <c r="AB119" s="331"/>
      <c r="AC119" s="333">
        <v>11.964825599999999</v>
      </c>
      <c r="AD119" s="331"/>
      <c r="AE119" s="331">
        <v>12.84</v>
      </c>
      <c r="AF119" s="331"/>
      <c r="AG119" s="328">
        <v>4.63</v>
      </c>
      <c r="AH119" s="328"/>
      <c r="AI119" s="328"/>
      <c r="AJ119" s="328"/>
      <c r="AK119" s="328"/>
      <c r="AL119" s="328"/>
      <c r="AM119" s="328"/>
      <c r="AN119" s="328"/>
      <c r="AO119" s="328">
        <v>80</v>
      </c>
      <c r="AP119" s="328"/>
      <c r="AQ119" s="335"/>
      <c r="AR119" s="335"/>
      <c r="AS119" s="328">
        <v>114</v>
      </c>
      <c r="AT119" s="328"/>
      <c r="AU119" s="328"/>
      <c r="AV119" s="328"/>
      <c r="AW119" s="328"/>
      <c r="AX119" s="328"/>
      <c r="AY119" s="328"/>
      <c r="AZ119" s="328"/>
      <c r="BA119" s="328"/>
      <c r="BB119" s="328"/>
      <c r="BC119" s="328"/>
      <c r="BD119" s="328"/>
      <c r="BE119" s="328"/>
      <c r="BF119" s="328"/>
      <c r="BG119" s="328">
        <v>31.814</v>
      </c>
      <c r="BH119" s="328"/>
      <c r="BI119" s="328">
        <v>4.4443999999999999</v>
      </c>
      <c r="BJ119" s="328"/>
      <c r="BK119" s="328">
        <v>1.2245999999999999</v>
      </c>
      <c r="BL119" s="328"/>
      <c r="BM119" s="328">
        <v>29.638999999999999</v>
      </c>
      <c r="BN119" s="328"/>
      <c r="BO119" s="328">
        <v>17.155000000000001</v>
      </c>
      <c r="BP119" s="328"/>
      <c r="BQ119" s="328">
        <v>8.2028999999999996</v>
      </c>
      <c r="BR119" s="328"/>
      <c r="BS119" s="328">
        <v>47.381999999999998</v>
      </c>
      <c r="BT119" s="328"/>
      <c r="BU119" s="328">
        <v>19.605</v>
      </c>
      <c r="BV119" s="328"/>
      <c r="BW119" s="336">
        <v>12.94</v>
      </c>
      <c r="BX119" s="328"/>
      <c r="BY119" s="328">
        <v>6.7579999999999956</v>
      </c>
      <c r="BZ119" s="328"/>
      <c r="CA119" s="328"/>
      <c r="CB119" s="337"/>
      <c r="CC119" s="328">
        <v>9.8699999999999992</v>
      </c>
      <c r="CD119" s="328"/>
      <c r="CE119" s="328"/>
      <c r="CF119" s="328"/>
      <c r="CG119" s="328"/>
      <c r="CH119" s="328"/>
      <c r="CI119" s="328"/>
      <c r="CJ119" s="328"/>
      <c r="CK119" s="328" t="s">
        <v>8377</v>
      </c>
      <c r="CL119" s="328"/>
      <c r="CM119" s="328"/>
    </row>
    <row r="120" spans="1:91">
      <c r="A120" s="154" t="s">
        <v>7626</v>
      </c>
      <c r="B120" t="s">
        <v>8289</v>
      </c>
      <c r="C120">
        <v>1</v>
      </c>
      <c r="D120">
        <v>1226</v>
      </c>
      <c r="E120" s="113">
        <v>26</v>
      </c>
      <c r="F120" s="113">
        <v>12</v>
      </c>
      <c r="I120">
        <v>24.5</v>
      </c>
      <c r="K120" s="320">
        <v>9</v>
      </c>
      <c r="L120" s="320"/>
      <c r="M120">
        <v>3.11</v>
      </c>
      <c r="N120" s="320"/>
      <c r="O120"/>
      <c r="P120"/>
      <c r="Q120"/>
      <c r="S120" s="320">
        <v>12.180828139568</v>
      </c>
      <c r="T120" s="320"/>
      <c r="U120">
        <v>10.8</v>
      </c>
      <c r="V120"/>
      <c r="W120"/>
      <c r="X120"/>
      <c r="Y120" s="321">
        <v>6.1262651000000004</v>
      </c>
      <c r="Z120" s="320"/>
      <c r="AA120" s="322">
        <v>63207.96460176992</v>
      </c>
      <c r="AB120" s="320"/>
      <c r="AC120" s="321">
        <v>26.6638096</v>
      </c>
      <c r="AD120" s="320"/>
      <c r="AE120" s="320">
        <v>28.57</v>
      </c>
      <c r="AF120" s="320"/>
      <c r="AG120">
        <v>4.5199999999999996</v>
      </c>
      <c r="AH120"/>
      <c r="AI120">
        <v>128</v>
      </c>
      <c r="AJ120"/>
      <c r="AK120"/>
      <c r="AL120"/>
      <c r="AM120"/>
      <c r="AN120"/>
      <c r="AO120">
        <v>79</v>
      </c>
      <c r="AP120"/>
      <c r="AQ120" s="323"/>
      <c r="AR120" s="323"/>
      <c r="AS120">
        <v>112</v>
      </c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>
        <v>33.548000000000002</v>
      </c>
      <c r="BH120"/>
      <c r="BI120">
        <v>4.9023000000000003</v>
      </c>
      <c r="BJ120"/>
      <c r="BK120">
        <v>1.1272</v>
      </c>
      <c r="BL120"/>
      <c r="BM120">
        <v>29.135000000000002</v>
      </c>
      <c r="BN120"/>
      <c r="BO120">
        <v>17.042000000000002</v>
      </c>
      <c r="BP120"/>
      <c r="BQ120">
        <v>7.4549000000000003</v>
      </c>
      <c r="BR120"/>
      <c r="BS120">
        <v>45.683</v>
      </c>
      <c r="BT120"/>
      <c r="BU120">
        <v>20.158000000000001</v>
      </c>
      <c r="BV120"/>
      <c r="BW120" s="325">
        <v>15.99</v>
      </c>
      <c r="BX120"/>
      <c r="BY120">
        <v>6.6620000000000061</v>
      </c>
      <c r="BZ120"/>
      <c r="CA120"/>
      <c r="CC120">
        <v>9.7100000000000009</v>
      </c>
      <c r="CD120"/>
      <c r="CE120"/>
      <c r="CF120"/>
      <c r="CG120"/>
      <c r="CH120"/>
      <c r="CI120"/>
      <c r="CJ120"/>
      <c r="CK120"/>
      <c r="CL120"/>
      <c r="CM120"/>
    </row>
    <row r="121" spans="1:91">
      <c r="A121" s="154" t="s">
        <v>7626</v>
      </c>
      <c r="B121" t="s">
        <v>8287</v>
      </c>
      <c r="C121">
        <v>2</v>
      </c>
      <c r="D121">
        <v>1546</v>
      </c>
      <c r="E121" s="113">
        <v>46</v>
      </c>
      <c r="F121" s="113">
        <v>15</v>
      </c>
      <c r="I121">
        <v>22.5</v>
      </c>
      <c r="K121" s="320">
        <v>8</v>
      </c>
      <c r="L121" s="320"/>
      <c r="M121">
        <v>2.76</v>
      </c>
      <c r="N121" s="320"/>
      <c r="O121"/>
      <c r="P121"/>
      <c r="Q121"/>
      <c r="S121" s="320">
        <v>12.140322309503999</v>
      </c>
      <c r="T121" s="320"/>
      <c r="U121">
        <v>10.8</v>
      </c>
      <c r="V121"/>
      <c r="W121"/>
      <c r="X121"/>
      <c r="Y121" s="321">
        <v>4.4673920000000003</v>
      </c>
      <c r="Z121" s="320"/>
      <c r="AA121" s="322">
        <v>59954.853273137705</v>
      </c>
      <c r="AB121" s="320"/>
      <c r="AC121" s="321">
        <v>24.8298816</v>
      </c>
      <c r="AD121" s="320"/>
      <c r="AE121" s="320">
        <v>26.56</v>
      </c>
      <c r="AF121" s="320"/>
      <c r="AG121">
        <v>4.43</v>
      </c>
      <c r="AH121"/>
      <c r="AI121">
        <v>135</v>
      </c>
      <c r="AJ121"/>
      <c r="AK121"/>
      <c r="AL121"/>
      <c r="AM121"/>
      <c r="AN121"/>
      <c r="AO121">
        <v>77</v>
      </c>
      <c r="AP121"/>
      <c r="AQ121" s="323"/>
      <c r="AR121" s="323"/>
      <c r="AS121">
        <v>112</v>
      </c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>
        <v>43.817999999999998</v>
      </c>
      <c r="BH121"/>
      <c r="BI121">
        <v>4.6201999999999996</v>
      </c>
      <c r="BJ121"/>
      <c r="BK121">
        <v>1.0247999999999999</v>
      </c>
      <c r="BL121"/>
      <c r="BM121">
        <v>25.838000000000001</v>
      </c>
      <c r="BN121"/>
      <c r="BO121">
        <v>15.305999999999999</v>
      </c>
      <c r="BP121"/>
      <c r="BQ121">
        <v>7.9782000000000002</v>
      </c>
      <c r="BR121"/>
      <c r="BS121">
        <v>48.893999999999998</v>
      </c>
      <c r="BT121"/>
      <c r="BU121">
        <v>17.922000000000001</v>
      </c>
      <c r="BV121"/>
      <c r="BW121" s="325">
        <v>58.59</v>
      </c>
      <c r="BX121"/>
      <c r="BY121">
        <v>5.992999999999995</v>
      </c>
      <c r="BZ121"/>
      <c r="CA121"/>
      <c r="CC121">
        <v>5.41</v>
      </c>
      <c r="CD121"/>
      <c r="CE121"/>
      <c r="CF121"/>
      <c r="CG121"/>
      <c r="CH121"/>
      <c r="CI121"/>
      <c r="CJ121"/>
      <c r="CK121"/>
      <c r="CL121"/>
      <c r="CM121"/>
    </row>
    <row r="122" spans="1:91">
      <c r="A122" s="154" t="s">
        <v>7627</v>
      </c>
      <c r="B122" t="s">
        <v>8289</v>
      </c>
      <c r="C122">
        <v>2</v>
      </c>
      <c r="D122">
        <v>262</v>
      </c>
      <c r="E122" s="113">
        <v>62</v>
      </c>
      <c r="F122" s="113">
        <v>2</v>
      </c>
      <c r="I122">
        <v>31.499999999999996</v>
      </c>
      <c r="K122" s="320">
        <v>6</v>
      </c>
      <c r="L122" s="320"/>
      <c r="M122">
        <v>2.36</v>
      </c>
      <c r="N122" s="320"/>
      <c r="O122"/>
      <c r="P122"/>
      <c r="Q122"/>
      <c r="S122" s="320">
        <v>9.3345643819999999</v>
      </c>
      <c r="T122" s="320"/>
      <c r="U122">
        <v>10.8</v>
      </c>
      <c r="V122"/>
      <c r="W122"/>
      <c r="X122"/>
      <c r="Y122" s="321">
        <v>3.9710185</v>
      </c>
      <c r="Z122" s="320"/>
      <c r="AA122" s="322">
        <v>48210.2908277405</v>
      </c>
      <c r="AB122" s="320"/>
      <c r="AC122" s="321">
        <v>20.215624000000002</v>
      </c>
      <c r="AD122" s="320"/>
      <c r="AE122" s="320">
        <v>21.55</v>
      </c>
      <c r="AF122" s="320"/>
      <c r="AG122">
        <v>4.47</v>
      </c>
      <c r="AH122"/>
      <c r="AI122">
        <v>133</v>
      </c>
      <c r="AJ122"/>
      <c r="AK122"/>
      <c r="AL122"/>
      <c r="AM122"/>
      <c r="AN122"/>
      <c r="AO122">
        <v>90</v>
      </c>
      <c r="AP122"/>
      <c r="AQ122" s="323"/>
      <c r="AR122" s="323"/>
      <c r="AS122">
        <v>112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49.348999999999997</v>
      </c>
      <c r="BH122"/>
      <c r="BI122">
        <v>3.9152999999999998</v>
      </c>
      <c r="BJ122"/>
      <c r="BK122">
        <v>0.89758000000000004</v>
      </c>
      <c r="BL122"/>
      <c r="BM122">
        <v>20.98</v>
      </c>
      <c r="BN122"/>
      <c r="BO122">
        <v>15.54</v>
      </c>
      <c r="BP122"/>
      <c r="BQ122">
        <v>6.6544999999999996</v>
      </c>
      <c r="BR122"/>
      <c r="BS122">
        <v>46.174999999999997</v>
      </c>
      <c r="BT122"/>
      <c r="BU122">
        <v>22.053999999999998</v>
      </c>
      <c r="BV122"/>
      <c r="BW122" s="325">
        <v>28.61</v>
      </c>
      <c r="BX122"/>
      <c r="BY122">
        <v>6.644999999999996</v>
      </c>
      <c r="BZ122"/>
      <c r="CA122"/>
      <c r="CC122">
        <v>10.24</v>
      </c>
      <c r="CD122"/>
      <c r="CE122"/>
      <c r="CF122"/>
      <c r="CG122"/>
      <c r="CH122"/>
      <c r="CI122"/>
      <c r="CJ122"/>
      <c r="CK122"/>
      <c r="CL122"/>
      <c r="CM122"/>
    </row>
    <row r="123" spans="1:91">
      <c r="A123" s="327" t="s">
        <v>7627</v>
      </c>
      <c r="B123" s="328" t="s">
        <v>8287</v>
      </c>
      <c r="C123" s="328">
        <v>1</v>
      </c>
      <c r="D123" s="328">
        <v>909</v>
      </c>
      <c r="E123" s="113">
        <v>9</v>
      </c>
      <c r="F123" s="113">
        <v>9</v>
      </c>
      <c r="G123" s="329"/>
      <c r="H123" s="329"/>
      <c r="I123" s="328">
        <v>24.5</v>
      </c>
      <c r="J123" s="330"/>
      <c r="K123" s="331">
        <v>8</v>
      </c>
      <c r="L123" s="331"/>
      <c r="M123" s="328">
        <v>2.13</v>
      </c>
      <c r="N123" s="331"/>
      <c r="O123" s="328"/>
      <c r="P123" s="328"/>
      <c r="Q123" s="328"/>
      <c r="R123" s="332"/>
      <c r="S123" s="331">
        <v>9.2253308850670006</v>
      </c>
      <c r="T123" s="331"/>
      <c r="U123" s="328">
        <v>10.8</v>
      </c>
      <c r="V123" s="328"/>
      <c r="W123" s="328"/>
      <c r="X123" s="328"/>
      <c r="Y123" s="333">
        <v>3.6475492999999997</v>
      </c>
      <c r="Z123" s="331"/>
      <c r="AA123" s="334">
        <v>45691.964285714283</v>
      </c>
      <c r="AB123" s="331"/>
      <c r="AC123" s="333">
        <v>19.1687221</v>
      </c>
      <c r="AD123" s="331"/>
      <c r="AE123" s="331">
        <v>20.47</v>
      </c>
      <c r="AF123" s="331"/>
      <c r="AG123" s="328">
        <v>4.4800000000000004</v>
      </c>
      <c r="AH123" s="328"/>
      <c r="AI123" s="328">
        <v>128</v>
      </c>
      <c r="AJ123" s="328"/>
      <c r="AK123" s="328"/>
      <c r="AL123" s="328"/>
      <c r="AM123" s="328"/>
      <c r="AN123" s="328"/>
      <c r="AO123" s="328">
        <v>90</v>
      </c>
      <c r="AP123" s="328"/>
      <c r="AQ123" s="335"/>
      <c r="AR123" s="335"/>
      <c r="AS123" s="328">
        <v>112</v>
      </c>
      <c r="AT123" s="328"/>
      <c r="AU123" s="328"/>
      <c r="AV123" s="328"/>
      <c r="AW123" s="328"/>
      <c r="AX123" s="328"/>
      <c r="AY123" s="328"/>
      <c r="AZ123" s="328"/>
      <c r="BA123" s="328"/>
      <c r="BB123" s="328"/>
      <c r="BC123" s="328"/>
      <c r="BD123" s="328"/>
      <c r="BE123" s="328"/>
      <c r="BF123" s="328"/>
      <c r="BG123" s="328">
        <v>48.929000000000002</v>
      </c>
      <c r="BH123" s="328"/>
      <c r="BI123" s="328">
        <v>3.7464</v>
      </c>
      <c r="BJ123" s="328"/>
      <c r="BK123" s="328">
        <v>0.93910000000000005</v>
      </c>
      <c r="BL123" s="328"/>
      <c r="BM123" s="328">
        <v>13.765000000000001</v>
      </c>
      <c r="BN123" s="328"/>
      <c r="BO123" s="328">
        <v>13.727</v>
      </c>
      <c r="BP123" s="328"/>
      <c r="BQ123" s="328">
        <v>7.8315000000000001</v>
      </c>
      <c r="BR123" s="328"/>
      <c r="BS123" s="328">
        <v>48.127000000000002</v>
      </c>
      <c r="BT123" s="328"/>
      <c r="BU123" s="328">
        <v>20.983000000000001</v>
      </c>
      <c r="BV123" s="328"/>
      <c r="BW123" s="336">
        <v>22.62</v>
      </c>
      <c r="BX123" s="328"/>
      <c r="BY123" s="328">
        <v>6.3149999999999977</v>
      </c>
      <c r="BZ123" s="328"/>
      <c r="CA123" s="328"/>
      <c r="CB123" s="337"/>
      <c r="CC123" s="328">
        <v>5.55</v>
      </c>
      <c r="CD123" s="328"/>
      <c r="CE123" s="328"/>
      <c r="CF123" s="328"/>
      <c r="CG123" s="328"/>
      <c r="CH123" s="328"/>
      <c r="CI123" s="328"/>
      <c r="CJ123" s="328"/>
      <c r="CK123" s="328" t="s">
        <v>8377</v>
      </c>
      <c r="CL123" s="328"/>
      <c r="CM123" s="328"/>
    </row>
    <row r="124" spans="1:91">
      <c r="A124" s="154" t="s">
        <v>7627</v>
      </c>
      <c r="B124" t="s">
        <v>8287</v>
      </c>
      <c r="C124">
        <v>2</v>
      </c>
      <c r="D124">
        <v>1273</v>
      </c>
      <c r="E124" s="113">
        <v>73</v>
      </c>
      <c r="F124" s="113">
        <v>12</v>
      </c>
      <c r="I124">
        <v>32</v>
      </c>
      <c r="K124" s="320">
        <v>9</v>
      </c>
      <c r="L124" s="320"/>
      <c r="M124">
        <v>2.46</v>
      </c>
      <c r="N124" s="320"/>
      <c r="O124"/>
      <c r="P124"/>
      <c r="Q124"/>
      <c r="S124" s="320">
        <v>10.78101925488</v>
      </c>
      <c r="T124" s="320"/>
      <c r="U124">
        <v>10.8</v>
      </c>
      <c r="V124"/>
      <c r="W124"/>
      <c r="X124"/>
      <c r="Y124" s="321">
        <v>3.7354463999999994</v>
      </c>
      <c r="Z124" s="320"/>
      <c r="AA124" s="322">
        <v>51806.167400881059</v>
      </c>
      <c r="AB124" s="320"/>
      <c r="AC124" s="321">
        <v>21.993552000000001</v>
      </c>
      <c r="AD124" s="320"/>
      <c r="AE124" s="320">
        <v>23.52</v>
      </c>
      <c r="AF124" s="320"/>
      <c r="AG124">
        <v>4.54</v>
      </c>
      <c r="AH124"/>
      <c r="AI124">
        <v>138</v>
      </c>
      <c r="AJ124"/>
      <c r="AK124"/>
      <c r="AL124"/>
      <c r="AM124"/>
      <c r="AN124"/>
      <c r="AO124">
        <v>85</v>
      </c>
      <c r="AP124"/>
      <c r="AQ124" s="323"/>
      <c r="AR124" s="323"/>
      <c r="AS124">
        <v>120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>
        <v>54.656999999999996</v>
      </c>
      <c r="BH124"/>
      <c r="BI124">
        <v>4.4229000000000003</v>
      </c>
      <c r="BJ124"/>
      <c r="BK124">
        <v>0.63414000000000004</v>
      </c>
      <c r="BL124"/>
      <c r="BM124">
        <v>18.2</v>
      </c>
      <c r="BN124"/>
      <c r="BO124">
        <v>14.757999999999999</v>
      </c>
      <c r="BP124"/>
      <c r="BQ124">
        <v>8.8673000000000002</v>
      </c>
      <c r="BR124"/>
      <c r="BS124">
        <v>49.018999999999998</v>
      </c>
      <c r="BT124"/>
      <c r="BU124">
        <v>18.934999999999999</v>
      </c>
      <c r="BV124"/>
      <c r="BW124">
        <v>88.373999999999995</v>
      </c>
      <c r="BX124" s="324"/>
      <c r="BY124">
        <v>6.5280000000000058</v>
      </c>
      <c r="BZ124"/>
      <c r="CA124"/>
      <c r="CC124">
        <v>6.03</v>
      </c>
      <c r="CD124"/>
      <c r="CE124"/>
      <c r="CF124"/>
      <c r="CG124"/>
      <c r="CH124"/>
      <c r="CI124"/>
      <c r="CJ124"/>
      <c r="CK124"/>
      <c r="CL124"/>
      <c r="CM124"/>
    </row>
    <row r="125" spans="1:91">
      <c r="A125" s="154" t="s">
        <v>7627</v>
      </c>
      <c r="B125" t="s">
        <v>8289</v>
      </c>
      <c r="C125">
        <v>1</v>
      </c>
      <c r="D125">
        <v>1227</v>
      </c>
      <c r="E125" s="113">
        <v>27</v>
      </c>
      <c r="F125" s="113">
        <v>12</v>
      </c>
      <c r="I125">
        <v>34</v>
      </c>
      <c r="K125" s="320">
        <v>9</v>
      </c>
      <c r="L125" s="320"/>
      <c r="M125">
        <v>2.75</v>
      </c>
      <c r="N125" s="320"/>
      <c r="O125"/>
      <c r="P125"/>
      <c r="Q125"/>
      <c r="S125" s="320">
        <v>11.024524595130002</v>
      </c>
      <c r="T125" s="320"/>
      <c r="U125">
        <v>10.8</v>
      </c>
      <c r="V125"/>
      <c r="W125"/>
      <c r="X125"/>
      <c r="Y125" s="321">
        <v>4.7368326999999999</v>
      </c>
      <c r="Z125" s="320"/>
      <c r="AA125" s="322">
        <v>57659.090909090904</v>
      </c>
      <c r="AB125" s="320"/>
      <c r="AC125" s="321">
        <v>23.658793500000002</v>
      </c>
      <c r="AD125" s="320"/>
      <c r="AE125" s="320">
        <v>25.37</v>
      </c>
      <c r="AF125" s="320"/>
      <c r="AG125">
        <v>4.4000000000000004</v>
      </c>
      <c r="AH125"/>
      <c r="AI125">
        <v>135</v>
      </c>
      <c r="AJ125"/>
      <c r="AK125"/>
      <c r="AL125"/>
      <c r="AM125"/>
      <c r="AN125"/>
      <c r="AO125">
        <v>79</v>
      </c>
      <c r="AP125"/>
      <c r="AQ125" s="323"/>
      <c r="AR125" s="323"/>
      <c r="AS125">
        <v>120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49.78</v>
      </c>
      <c r="BH125"/>
      <c r="BI125">
        <v>4.3860000000000001</v>
      </c>
      <c r="BJ125"/>
      <c r="BK125">
        <v>0.65659999999999996</v>
      </c>
      <c r="BL125"/>
      <c r="BM125">
        <v>16.86</v>
      </c>
      <c r="BN125"/>
      <c r="BO125">
        <v>15.896000000000001</v>
      </c>
      <c r="BP125"/>
      <c r="BQ125">
        <v>8.3597000000000001</v>
      </c>
      <c r="BR125"/>
      <c r="BS125">
        <v>46.597999999999999</v>
      </c>
      <c r="BT125"/>
      <c r="BU125">
        <v>21.443000000000001</v>
      </c>
      <c r="BV125"/>
      <c r="BW125">
        <v>69.182000000000002</v>
      </c>
      <c r="BX125" s="324"/>
      <c r="BY125">
        <v>6.671999999999997</v>
      </c>
      <c r="BZ125"/>
      <c r="CA125"/>
      <c r="CC125">
        <v>9.32</v>
      </c>
      <c r="CD125"/>
      <c r="CE125"/>
      <c r="CF125"/>
      <c r="CG125"/>
      <c r="CH125"/>
      <c r="CI125"/>
      <c r="CJ125"/>
      <c r="CK125"/>
      <c r="CL125"/>
      <c r="CM125"/>
    </row>
    <row r="126" spans="1:91">
      <c r="A126" s="154" t="s">
        <v>7628</v>
      </c>
      <c r="B126" t="s">
        <v>8287</v>
      </c>
      <c r="C126">
        <v>1</v>
      </c>
      <c r="D126">
        <v>424</v>
      </c>
      <c r="E126" s="113">
        <v>24</v>
      </c>
      <c r="F126" s="113">
        <v>4</v>
      </c>
      <c r="I126">
        <v>32.999999999999993</v>
      </c>
      <c r="K126" s="320">
        <v>8</v>
      </c>
      <c r="L126" s="320"/>
      <c r="M126">
        <v>2.71</v>
      </c>
      <c r="N126" s="320"/>
      <c r="O126"/>
      <c r="P126"/>
      <c r="Q126"/>
      <c r="S126" s="320">
        <v>11.629804758539001</v>
      </c>
      <c r="T126" s="320"/>
      <c r="U126">
        <v>10.8</v>
      </c>
      <c r="V126"/>
      <c r="W126"/>
      <c r="X126"/>
      <c r="Y126" s="321">
        <v>5.0014297999999995</v>
      </c>
      <c r="Z126" s="320"/>
      <c r="AA126" s="322">
        <v>53454.935622317593</v>
      </c>
      <c r="AB126" s="320"/>
      <c r="AC126" s="321">
        <v>23.244268300000002</v>
      </c>
      <c r="AD126" s="320"/>
      <c r="AE126" s="320">
        <v>24.91</v>
      </c>
      <c r="AF126" s="320"/>
      <c r="AG126">
        <v>4.66</v>
      </c>
      <c r="AH126"/>
      <c r="AI126">
        <v>133</v>
      </c>
      <c r="AJ126"/>
      <c r="AK126"/>
      <c r="AL126"/>
      <c r="AM126"/>
      <c r="AN126"/>
      <c r="AO126">
        <v>81</v>
      </c>
      <c r="AP126"/>
      <c r="AQ126" s="323"/>
      <c r="AR126" s="323"/>
      <c r="AS126">
        <v>114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>
        <v>3.1577999999999999</v>
      </c>
      <c r="BH126"/>
      <c r="BI126">
        <v>4.4214000000000002</v>
      </c>
      <c r="BJ126"/>
      <c r="BK126">
        <v>1.3986000000000001</v>
      </c>
      <c r="BL126"/>
      <c r="BM126">
        <v>64.992999999999995</v>
      </c>
      <c r="BN126"/>
      <c r="BO126">
        <v>19.317</v>
      </c>
      <c r="BP126"/>
      <c r="BQ126">
        <v>9.2050000000000001</v>
      </c>
      <c r="BR126"/>
      <c r="BS126">
        <v>50.033000000000001</v>
      </c>
      <c r="BT126"/>
      <c r="BU126">
        <v>19.350999999999999</v>
      </c>
      <c r="BV126"/>
      <c r="BW126">
        <v>50.241</v>
      </c>
      <c r="BX126" s="324"/>
      <c r="BY126">
        <v>6.4779999999999944</v>
      </c>
      <c r="BZ126"/>
      <c r="CA126"/>
      <c r="CC126">
        <v>9.65</v>
      </c>
      <c r="CD126"/>
      <c r="CE126"/>
      <c r="CF126"/>
      <c r="CG126"/>
      <c r="CH126"/>
      <c r="CI126"/>
      <c r="CJ126"/>
      <c r="CK126"/>
      <c r="CL126"/>
      <c r="CM126"/>
    </row>
    <row r="127" spans="1:91">
      <c r="A127" s="327" t="s">
        <v>7628</v>
      </c>
      <c r="B127" s="328" t="s">
        <v>8289</v>
      </c>
      <c r="C127" s="328">
        <v>2</v>
      </c>
      <c r="D127" s="328">
        <v>853</v>
      </c>
      <c r="E127" s="113">
        <v>53</v>
      </c>
      <c r="F127" s="113">
        <v>8</v>
      </c>
      <c r="G127" s="329"/>
      <c r="H127" s="329"/>
      <c r="I127" s="328">
        <v>28.999999999999996</v>
      </c>
      <c r="J127" s="330"/>
      <c r="K127" s="331">
        <v>8</v>
      </c>
      <c r="L127" s="331"/>
      <c r="M127" s="328">
        <v>2.99</v>
      </c>
      <c r="N127" s="331"/>
      <c r="O127" s="328"/>
      <c r="P127" s="328"/>
      <c r="Q127" s="328"/>
      <c r="R127" s="332"/>
      <c r="S127" s="331">
        <v>12.867453527040002</v>
      </c>
      <c r="T127" s="331"/>
      <c r="U127" s="328">
        <v>10.8</v>
      </c>
      <c r="V127" s="328"/>
      <c r="W127" s="328"/>
      <c r="X127" s="328"/>
      <c r="Y127" s="333">
        <v>5.0290559999999997</v>
      </c>
      <c r="Z127" s="331"/>
      <c r="AA127" s="334">
        <v>64573.991031390135</v>
      </c>
      <c r="AB127" s="331"/>
      <c r="AC127" s="333">
        <v>26.959968000000003</v>
      </c>
      <c r="AD127" s="331"/>
      <c r="AE127" s="331">
        <v>28.8</v>
      </c>
      <c r="AF127" s="331"/>
      <c r="AG127" s="328">
        <v>4.46</v>
      </c>
      <c r="AH127" s="328"/>
      <c r="AI127" s="328">
        <v>120</v>
      </c>
      <c r="AJ127" s="328"/>
      <c r="AK127" s="328"/>
      <c r="AL127" s="328"/>
      <c r="AM127" s="328"/>
      <c r="AN127" s="328"/>
      <c r="AO127" s="328">
        <v>80</v>
      </c>
      <c r="AP127" s="328"/>
      <c r="AQ127" s="335"/>
      <c r="AR127" s="335"/>
      <c r="AS127" s="328">
        <v>114</v>
      </c>
      <c r="AT127" s="328"/>
      <c r="AU127" s="328"/>
      <c r="AV127" s="328"/>
      <c r="AW127" s="328"/>
      <c r="AX127" s="328"/>
      <c r="AY127" s="328"/>
      <c r="AZ127" s="328"/>
      <c r="BA127" s="328"/>
      <c r="BB127" s="328"/>
      <c r="BC127" s="328"/>
      <c r="BD127" s="328"/>
      <c r="BE127" s="328"/>
      <c r="BF127" s="328"/>
      <c r="BG127" s="328">
        <v>-0.74256999999999995</v>
      </c>
      <c r="BH127" s="328"/>
      <c r="BI127" s="328">
        <v>4.5559000000000003</v>
      </c>
      <c r="BJ127" s="328"/>
      <c r="BK127" s="328">
        <v>1.5156000000000001</v>
      </c>
      <c r="BL127" s="328"/>
      <c r="BM127" s="328">
        <v>62.59</v>
      </c>
      <c r="BN127" s="328"/>
      <c r="BO127" s="328">
        <v>18.675999999999998</v>
      </c>
      <c r="BP127" s="328"/>
      <c r="BQ127" s="328">
        <v>9.5050000000000008</v>
      </c>
      <c r="BR127" s="328"/>
      <c r="BS127" s="328">
        <v>47.728000000000002</v>
      </c>
      <c r="BT127" s="328"/>
      <c r="BU127" s="328">
        <v>20.628</v>
      </c>
      <c r="BV127" s="328"/>
      <c r="BW127" s="336">
        <v>14.82</v>
      </c>
      <c r="BX127" s="328"/>
      <c r="BY127" s="328">
        <v>6.3880000000000052</v>
      </c>
      <c r="BZ127" s="328"/>
      <c r="CA127" s="328"/>
      <c r="CB127" s="337"/>
      <c r="CC127" s="328">
        <v>5.34</v>
      </c>
      <c r="CD127" s="328"/>
      <c r="CE127" s="328"/>
      <c r="CF127" s="328"/>
      <c r="CG127" s="328"/>
      <c r="CH127" s="328"/>
      <c r="CI127" s="328"/>
      <c r="CJ127" s="328"/>
      <c r="CK127" s="328" t="s">
        <v>8377</v>
      </c>
      <c r="CL127" s="328"/>
      <c r="CM127" s="328"/>
    </row>
    <row r="128" spans="1:91">
      <c r="A128" s="154" t="s">
        <v>7628</v>
      </c>
      <c r="B128" t="s">
        <v>8289</v>
      </c>
      <c r="C128">
        <v>1</v>
      </c>
      <c r="D128">
        <v>1213</v>
      </c>
      <c r="E128" s="113">
        <v>13</v>
      </c>
      <c r="F128" s="113">
        <v>12</v>
      </c>
      <c r="I128">
        <v>28.999999999999996</v>
      </c>
      <c r="K128" s="320">
        <v>9</v>
      </c>
      <c r="L128" s="320"/>
      <c r="M128">
        <v>3.23</v>
      </c>
      <c r="N128" s="320"/>
      <c r="O128"/>
      <c r="P128"/>
      <c r="Q128"/>
      <c r="S128" s="320">
        <v>14.021000386395</v>
      </c>
      <c r="T128" s="320"/>
      <c r="U128">
        <v>10.8</v>
      </c>
      <c r="V128"/>
      <c r="W128"/>
      <c r="X128"/>
      <c r="Y128" s="321">
        <v>5.7978635000000001</v>
      </c>
      <c r="Z128" s="320"/>
      <c r="AA128" s="322">
        <v>68171.806167400879</v>
      </c>
      <c r="AB128" s="320"/>
      <c r="AC128" s="321">
        <v>28.937321499999999</v>
      </c>
      <c r="AD128" s="320"/>
      <c r="AE128" s="320">
        <v>30.95</v>
      </c>
      <c r="AF128" s="320"/>
      <c r="AG128">
        <v>4.54</v>
      </c>
      <c r="AH128"/>
      <c r="AI128">
        <v>129</v>
      </c>
      <c r="AJ128"/>
      <c r="AK128"/>
      <c r="AL128"/>
      <c r="AM128"/>
      <c r="AN128"/>
      <c r="AO128">
        <v>79</v>
      </c>
      <c r="AP128"/>
      <c r="AQ128" s="323"/>
      <c r="AR128" s="323"/>
      <c r="AS128">
        <v>112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3.2343000000000002</v>
      </c>
      <c r="BH128"/>
      <c r="BI128">
        <v>4.5236999999999998</v>
      </c>
      <c r="BJ128"/>
      <c r="BK128">
        <v>1.3418000000000001</v>
      </c>
      <c r="BL128"/>
      <c r="BM128">
        <v>61.756999999999998</v>
      </c>
      <c r="BN128"/>
      <c r="BO128">
        <v>19.158999999999999</v>
      </c>
      <c r="BP128"/>
      <c r="BQ128">
        <v>9.7258999999999993</v>
      </c>
      <c r="BR128"/>
      <c r="BS128">
        <v>48.453000000000003</v>
      </c>
      <c r="BT128"/>
      <c r="BU128">
        <v>20.54</v>
      </c>
      <c r="BV128"/>
      <c r="BW128">
        <v>40.698999999999998</v>
      </c>
      <c r="BX128" s="324"/>
      <c r="BY128">
        <v>6.3059999999999974</v>
      </c>
      <c r="BZ128"/>
      <c r="CA128"/>
      <c r="CC128">
        <v>5.84</v>
      </c>
      <c r="CD128"/>
      <c r="CE128"/>
      <c r="CF128"/>
      <c r="CG128"/>
      <c r="CH128"/>
      <c r="CI128"/>
      <c r="CJ128"/>
      <c r="CK128"/>
      <c r="CL128"/>
      <c r="CM128"/>
    </row>
    <row r="129" spans="1:91">
      <c r="A129" s="154" t="s">
        <v>7628</v>
      </c>
      <c r="B129" t="s">
        <v>8287</v>
      </c>
      <c r="C129">
        <v>2</v>
      </c>
      <c r="D129">
        <v>1668</v>
      </c>
      <c r="E129" s="113">
        <v>68</v>
      </c>
      <c r="F129" s="113">
        <v>16</v>
      </c>
      <c r="I129">
        <v>27.999999999999996</v>
      </c>
      <c r="K129" s="320">
        <v>8</v>
      </c>
      <c r="L129" s="320"/>
      <c r="M129">
        <v>2.74</v>
      </c>
      <c r="N129" s="320"/>
      <c r="O129"/>
      <c r="P129"/>
      <c r="Q129"/>
      <c r="S129" s="320">
        <v>12.303157971492</v>
      </c>
      <c r="T129" s="320"/>
      <c r="U129">
        <v>10.8</v>
      </c>
      <c r="V129"/>
      <c r="W129"/>
      <c r="X129"/>
      <c r="Y129" s="321">
        <v>4.2693030000000007</v>
      </c>
      <c r="Z129" s="320"/>
      <c r="AA129" s="322">
        <v>58340.707964601774</v>
      </c>
      <c r="AB129" s="320"/>
      <c r="AC129" s="321">
        <v>24.703152300000003</v>
      </c>
      <c r="AD129" s="320"/>
      <c r="AE129" s="320">
        <v>26.37</v>
      </c>
      <c r="AF129" s="320"/>
      <c r="AG129">
        <v>4.5199999999999996</v>
      </c>
      <c r="AH129"/>
      <c r="AI129">
        <v>120</v>
      </c>
      <c r="AJ129"/>
      <c r="AK129"/>
      <c r="AL129"/>
      <c r="AM129"/>
      <c r="AN129"/>
      <c r="AO129">
        <v>80</v>
      </c>
      <c r="AP129"/>
      <c r="AQ129" s="323"/>
      <c r="AR129" s="323"/>
      <c r="AS129">
        <v>112</v>
      </c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>
        <v>4.0057999999999998</v>
      </c>
      <c r="BH129"/>
      <c r="BI129">
        <v>4.2184999999999997</v>
      </c>
      <c r="BJ129"/>
      <c r="BK129">
        <v>1.2963</v>
      </c>
      <c r="BL129"/>
      <c r="BM129">
        <v>59.444000000000003</v>
      </c>
      <c r="BN129"/>
      <c r="BO129">
        <v>18.986000000000001</v>
      </c>
      <c r="BP129"/>
      <c r="BQ129">
        <v>10.27</v>
      </c>
      <c r="BR129"/>
      <c r="BS129">
        <v>49.804000000000002</v>
      </c>
      <c r="BT129"/>
      <c r="BU129">
        <v>19.126000000000001</v>
      </c>
      <c r="BV129"/>
      <c r="BW129">
        <v>47.896999999999998</v>
      </c>
      <c r="BX129" s="324"/>
      <c r="BY129">
        <v>6.4099999999999966</v>
      </c>
      <c r="BZ129"/>
      <c r="CA129"/>
      <c r="CC129">
        <v>5.41</v>
      </c>
      <c r="CD129"/>
      <c r="CE129"/>
      <c r="CF129"/>
      <c r="CG129"/>
      <c r="CH129"/>
      <c r="CI129"/>
      <c r="CJ129"/>
      <c r="CK129"/>
      <c r="CL129"/>
      <c r="CM129"/>
    </row>
    <row r="130" spans="1:91">
      <c r="A130" s="154" t="s">
        <v>7629</v>
      </c>
      <c r="B130" t="s">
        <v>8287</v>
      </c>
      <c r="C130">
        <v>1</v>
      </c>
      <c r="D130">
        <v>521</v>
      </c>
      <c r="E130" s="113">
        <v>21</v>
      </c>
      <c r="F130" s="113">
        <v>5</v>
      </c>
      <c r="I130">
        <v>21.499999999999996</v>
      </c>
      <c r="K130" s="320">
        <v>8</v>
      </c>
      <c r="L130" s="320"/>
      <c r="M130">
        <v>2.75</v>
      </c>
      <c r="N130" s="320"/>
      <c r="O130"/>
      <c r="P130"/>
      <c r="Q130"/>
      <c r="S130" s="320">
        <v>12.690995512012998</v>
      </c>
      <c r="T130" s="320"/>
      <c r="U130">
        <v>10.8</v>
      </c>
      <c r="V130"/>
      <c r="W130"/>
      <c r="X130"/>
      <c r="Y130" s="321">
        <v>4.5884293000000005</v>
      </c>
      <c r="Z130" s="320"/>
      <c r="AA130" s="322">
        <v>62094.117647058825</v>
      </c>
      <c r="AB130" s="320"/>
      <c r="AC130" s="321">
        <v>24.928785699999999</v>
      </c>
      <c r="AD130" s="320"/>
      <c r="AE130" s="320">
        <v>26.39</v>
      </c>
      <c r="AF130" s="320"/>
      <c r="AG130">
        <v>4.25</v>
      </c>
      <c r="AH130"/>
      <c r="AI130">
        <v>140</v>
      </c>
      <c r="AJ130"/>
      <c r="AK130"/>
      <c r="AL130"/>
      <c r="AM130"/>
      <c r="AN130"/>
      <c r="AO130">
        <v>83</v>
      </c>
      <c r="AP130"/>
      <c r="AQ130" s="323"/>
      <c r="AR130" s="323"/>
      <c r="AS130">
        <v>114</v>
      </c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>
        <v>45.64</v>
      </c>
      <c r="BH130"/>
      <c r="BI130">
        <v>4.2389999999999999</v>
      </c>
      <c r="BJ130"/>
      <c r="BK130">
        <v>0.81827000000000005</v>
      </c>
      <c r="BL130"/>
      <c r="BM130">
        <v>21.454000000000001</v>
      </c>
      <c r="BN130"/>
      <c r="BO130">
        <v>14.942</v>
      </c>
      <c r="BP130"/>
      <c r="BQ130">
        <v>9.7643000000000004</v>
      </c>
      <c r="BR130"/>
      <c r="BS130">
        <v>50.908999999999999</v>
      </c>
      <c r="BT130"/>
      <c r="BU130">
        <v>18.209</v>
      </c>
      <c r="BV130"/>
      <c r="BW130">
        <v>57.777000000000001</v>
      </c>
      <c r="BX130" s="324"/>
      <c r="BY130">
        <v>5.9140000000000015</v>
      </c>
      <c r="BZ130"/>
      <c r="CA130"/>
      <c r="CC130">
        <v>5.67</v>
      </c>
      <c r="CD130"/>
      <c r="CE130"/>
      <c r="CF130"/>
      <c r="CG130"/>
      <c r="CH130"/>
      <c r="CI130"/>
      <c r="CJ130"/>
      <c r="CK130"/>
      <c r="CL130"/>
      <c r="CM130"/>
    </row>
    <row r="131" spans="1:91">
      <c r="A131" s="154" t="s">
        <v>7629</v>
      </c>
      <c r="B131" t="s">
        <v>8289</v>
      </c>
      <c r="C131">
        <v>2</v>
      </c>
      <c r="D131">
        <v>764</v>
      </c>
      <c r="E131" s="113">
        <v>64</v>
      </c>
      <c r="F131" s="113">
        <v>7</v>
      </c>
      <c r="I131">
        <v>31</v>
      </c>
      <c r="K131" s="320">
        <v>9</v>
      </c>
      <c r="L131" s="320"/>
      <c r="M131">
        <v>1.98</v>
      </c>
      <c r="N131" s="320"/>
      <c r="O131"/>
      <c r="P131"/>
      <c r="Q131"/>
      <c r="S131" s="320">
        <v>7.8878070685500008</v>
      </c>
      <c r="T131" s="320"/>
      <c r="U131">
        <v>10.8</v>
      </c>
      <c r="V131"/>
      <c r="W131"/>
      <c r="X131"/>
      <c r="Y131" s="321">
        <v>4.1142177000000002</v>
      </c>
      <c r="Z131" s="320"/>
      <c r="AA131" s="322">
        <v>39299.363057324845</v>
      </c>
      <c r="AB131" s="320"/>
      <c r="AC131" s="321">
        <v>17.496577500000001</v>
      </c>
      <c r="AD131" s="320"/>
      <c r="AE131" s="320">
        <v>18.510000000000002</v>
      </c>
      <c r="AF131" s="320"/>
      <c r="AG131">
        <v>4.71</v>
      </c>
      <c r="AH131"/>
      <c r="AI131">
        <v>113</v>
      </c>
      <c r="AJ131"/>
      <c r="AK131"/>
      <c r="AL131"/>
      <c r="AM131"/>
      <c r="AN131"/>
      <c r="AO131">
        <v>79</v>
      </c>
      <c r="AP131"/>
      <c r="AQ131" s="323"/>
      <c r="AR131" s="323"/>
      <c r="AS131">
        <v>112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>
        <v>32.505000000000003</v>
      </c>
      <c r="BH131"/>
      <c r="BI131">
        <v>4.5929000000000002</v>
      </c>
      <c r="BJ131"/>
      <c r="BK131">
        <v>1.1806000000000001</v>
      </c>
      <c r="BL131"/>
      <c r="BM131">
        <v>29.106000000000002</v>
      </c>
      <c r="BN131"/>
      <c r="BO131">
        <v>16.783999999999999</v>
      </c>
      <c r="BP131"/>
      <c r="BQ131">
        <v>9.0513999999999992</v>
      </c>
      <c r="BR131"/>
      <c r="BS131">
        <v>45.082000000000001</v>
      </c>
      <c r="BT131"/>
      <c r="BU131">
        <v>19.477</v>
      </c>
      <c r="BV131"/>
      <c r="BW131" s="325">
        <v>11.66</v>
      </c>
      <c r="BX131"/>
      <c r="BY131">
        <v>7.0019999999999953</v>
      </c>
      <c r="BZ131"/>
      <c r="CA131"/>
      <c r="CC131">
        <v>8.1</v>
      </c>
      <c r="CD131"/>
      <c r="CE131"/>
      <c r="CF131"/>
      <c r="CG131"/>
      <c r="CH131"/>
      <c r="CI131"/>
      <c r="CJ131"/>
      <c r="CK131"/>
      <c r="CL131"/>
      <c r="CM131"/>
    </row>
    <row r="132" spans="1:91">
      <c r="A132" s="154" t="s">
        <v>7629</v>
      </c>
      <c r="B132" t="s">
        <v>8289</v>
      </c>
      <c r="C132">
        <v>1</v>
      </c>
      <c r="D132">
        <v>1103</v>
      </c>
      <c r="E132" s="113">
        <v>3</v>
      </c>
      <c r="F132" s="113">
        <v>11</v>
      </c>
      <c r="I132">
        <v>28.999999999999996</v>
      </c>
      <c r="K132" s="320">
        <v>9</v>
      </c>
      <c r="L132" s="320"/>
      <c r="M132">
        <v>3.76</v>
      </c>
      <c r="N132" s="320"/>
      <c r="O132"/>
      <c r="P132"/>
      <c r="Q132"/>
      <c r="S132" s="320">
        <v>16.26221365296</v>
      </c>
      <c r="T132" s="320"/>
      <c r="U132">
        <v>10.8</v>
      </c>
      <c r="V132"/>
      <c r="W132"/>
      <c r="X132"/>
      <c r="Y132" s="321">
        <v>6.4626891999999998</v>
      </c>
      <c r="Z132" s="320"/>
      <c r="AA132" s="322">
        <v>96397.849462365586</v>
      </c>
      <c r="AB132" s="320"/>
      <c r="AC132" s="321">
        <v>33.4200856</v>
      </c>
      <c r="AD132" s="320"/>
      <c r="AE132" s="320">
        <v>35.86</v>
      </c>
      <c r="AF132" s="320"/>
      <c r="AG132">
        <v>3.72</v>
      </c>
      <c r="AH132"/>
      <c r="AI132">
        <v>138</v>
      </c>
      <c r="AJ132"/>
      <c r="AK132"/>
      <c r="AL132"/>
      <c r="AM132"/>
      <c r="AN132"/>
      <c r="AO132">
        <v>81</v>
      </c>
      <c r="AP132"/>
      <c r="AQ132" s="323"/>
      <c r="AR132" s="323"/>
      <c r="AS132">
        <v>112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>
        <v>36.823</v>
      </c>
      <c r="BH132"/>
      <c r="BI132">
        <v>4.5678000000000001</v>
      </c>
      <c r="BJ132"/>
      <c r="BK132">
        <v>0.91735</v>
      </c>
      <c r="BL132"/>
      <c r="BM132">
        <v>24.722999999999999</v>
      </c>
      <c r="BN132"/>
      <c r="BO132">
        <v>15.739000000000001</v>
      </c>
      <c r="BP132"/>
      <c r="BQ132">
        <v>10.066000000000001</v>
      </c>
      <c r="BR132"/>
      <c r="BS132">
        <v>48.66</v>
      </c>
      <c r="BT132"/>
      <c r="BU132">
        <v>19.683</v>
      </c>
      <c r="BV132"/>
      <c r="BW132">
        <v>53.804000000000002</v>
      </c>
      <c r="BX132" s="324"/>
      <c r="BY132">
        <v>6.3769999999999953</v>
      </c>
      <c r="BZ132"/>
      <c r="CA132"/>
      <c r="CC132">
        <v>6.26</v>
      </c>
      <c r="CD132"/>
      <c r="CE132"/>
      <c r="CF132"/>
      <c r="CG132"/>
      <c r="CH132"/>
      <c r="CI132"/>
      <c r="CJ132"/>
      <c r="CK132"/>
      <c r="CL132"/>
      <c r="CM132"/>
    </row>
    <row r="133" spans="1:91">
      <c r="A133" s="154" t="s">
        <v>7629</v>
      </c>
      <c r="B133" t="s">
        <v>8287</v>
      </c>
      <c r="C133">
        <v>2</v>
      </c>
      <c r="D133">
        <v>1755</v>
      </c>
      <c r="E133" s="113">
        <v>55</v>
      </c>
      <c r="F133" s="113">
        <v>17</v>
      </c>
      <c r="I133">
        <v>26.499999999999996</v>
      </c>
      <c r="K133" s="320">
        <v>8</v>
      </c>
      <c r="L133" s="320"/>
      <c r="M133">
        <v>2.97</v>
      </c>
      <c r="N133" s="320"/>
      <c r="O133"/>
      <c r="P133"/>
      <c r="Q133"/>
      <c r="S133" s="320">
        <v>13.473097729519999</v>
      </c>
      <c r="T133" s="320"/>
      <c r="U133">
        <v>10.8</v>
      </c>
      <c r="V133"/>
      <c r="W133"/>
      <c r="X133"/>
      <c r="Y133" s="321">
        <v>4.7184280000000003</v>
      </c>
      <c r="Z133" s="320"/>
      <c r="AA133" s="322">
        <v>69249.39467312349</v>
      </c>
      <c r="AB133" s="320"/>
      <c r="AC133" s="321">
        <v>26.731276000000001</v>
      </c>
      <c r="AD133" s="320"/>
      <c r="AE133" s="320">
        <v>28.6</v>
      </c>
      <c r="AF133" s="320"/>
      <c r="AG133">
        <v>4.13</v>
      </c>
      <c r="AH133"/>
      <c r="AI133">
        <v>130</v>
      </c>
      <c r="AJ133"/>
      <c r="AK133"/>
      <c r="AL133"/>
      <c r="AM133"/>
      <c r="AN133"/>
      <c r="AO133">
        <v>83</v>
      </c>
      <c r="AP133"/>
      <c r="AQ133" s="323"/>
      <c r="AR133" s="323"/>
      <c r="AS133">
        <v>112</v>
      </c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>
        <v>37.054000000000002</v>
      </c>
      <c r="BH133"/>
      <c r="BI133">
        <v>4.6805000000000003</v>
      </c>
      <c r="BJ133"/>
      <c r="BK133">
        <v>0.89603999999999995</v>
      </c>
      <c r="BL133"/>
      <c r="BM133">
        <v>30.344999999999999</v>
      </c>
      <c r="BN133"/>
      <c r="BO133">
        <v>18.265000000000001</v>
      </c>
      <c r="BP133"/>
      <c r="BQ133">
        <v>9.4505999999999997</v>
      </c>
      <c r="BR133"/>
      <c r="BS133">
        <v>50.402000000000001</v>
      </c>
      <c r="BT133"/>
      <c r="BU133">
        <v>17.044</v>
      </c>
      <c r="BV133"/>
      <c r="BW133">
        <v>38.438000000000002</v>
      </c>
      <c r="BX133" s="324"/>
      <c r="BY133">
        <v>6.1979999999999933</v>
      </c>
      <c r="BZ133"/>
      <c r="CA133"/>
      <c r="CC133">
        <v>5.37</v>
      </c>
      <c r="CD133"/>
      <c r="CE133"/>
      <c r="CF133"/>
      <c r="CG133"/>
      <c r="CH133"/>
      <c r="CI133"/>
      <c r="CJ133"/>
      <c r="CK133"/>
      <c r="CL133"/>
      <c r="CM133"/>
    </row>
    <row r="134" spans="1:91">
      <c r="A134" s="327" t="s">
        <v>7630</v>
      </c>
      <c r="B134" s="328" t="s">
        <v>8289</v>
      </c>
      <c r="C134" s="328">
        <v>2</v>
      </c>
      <c r="D134" s="328">
        <v>341</v>
      </c>
      <c r="E134" s="113">
        <v>41</v>
      </c>
      <c r="F134" s="113">
        <v>3</v>
      </c>
      <c r="G134" s="329"/>
      <c r="H134" s="329"/>
      <c r="I134" s="328">
        <v>28.5</v>
      </c>
      <c r="J134" s="330"/>
      <c r="K134" s="331">
        <v>8</v>
      </c>
      <c r="L134" s="331"/>
      <c r="M134" s="328">
        <v>2.8</v>
      </c>
      <c r="N134" s="331"/>
      <c r="O134" s="328"/>
      <c r="P134" s="328"/>
      <c r="Q134" s="328"/>
      <c r="R134" s="332"/>
      <c r="S134" s="331" t="s">
        <v>8361</v>
      </c>
      <c r="T134" s="331"/>
      <c r="U134" s="328">
        <v>10.8</v>
      </c>
      <c r="V134" s="328"/>
      <c r="W134" s="328"/>
      <c r="X134" s="328"/>
      <c r="Y134" s="333">
        <v>0</v>
      </c>
      <c r="Z134" s="331"/>
      <c r="AA134" s="334">
        <v>62867.132867132867</v>
      </c>
      <c r="AB134" s="331"/>
      <c r="AC134" s="333" t="s">
        <v>8361</v>
      </c>
      <c r="AD134" s="331"/>
      <c r="AE134" s="331">
        <v>26.97</v>
      </c>
      <c r="AF134" s="331"/>
      <c r="AG134" s="328">
        <v>4.29</v>
      </c>
      <c r="AH134" s="328"/>
      <c r="AI134" s="328">
        <v>128</v>
      </c>
      <c r="AJ134" s="328"/>
      <c r="AK134" s="328"/>
      <c r="AL134" s="328"/>
      <c r="AM134" s="328"/>
      <c r="AN134" s="328"/>
      <c r="AO134" s="328">
        <v>65</v>
      </c>
      <c r="AP134" s="328"/>
      <c r="AQ134" s="335"/>
      <c r="AR134" s="335"/>
      <c r="AS134" s="328">
        <v>116</v>
      </c>
      <c r="AT134" s="328"/>
      <c r="AU134" s="328"/>
      <c r="AV134" s="328"/>
      <c r="AW134" s="328"/>
      <c r="AX134" s="328"/>
      <c r="AY134" s="328"/>
      <c r="AZ134" s="328"/>
      <c r="BA134" s="328"/>
      <c r="BB134" s="328"/>
      <c r="BC134" s="328"/>
      <c r="BD134" s="328"/>
      <c r="BE134" s="328"/>
      <c r="BF134" s="328"/>
      <c r="BG134" s="328">
        <v>42.496000000000002</v>
      </c>
      <c r="BH134" s="328"/>
      <c r="BI134" s="328">
        <v>4.3387000000000002</v>
      </c>
      <c r="BJ134" s="328"/>
      <c r="BK134" s="328">
        <v>0.92703000000000002</v>
      </c>
      <c r="BL134" s="328"/>
      <c r="BM134" s="328">
        <v>24.254999999999999</v>
      </c>
      <c r="BN134" s="328"/>
      <c r="BO134" s="328">
        <v>16.564</v>
      </c>
      <c r="BP134" s="328"/>
      <c r="BQ134" s="328">
        <v>10.147</v>
      </c>
      <c r="BR134" s="328"/>
      <c r="BS134" s="328">
        <v>49.689</v>
      </c>
      <c r="BT134" s="328"/>
      <c r="BU134" s="328">
        <v>19.059000000000001</v>
      </c>
      <c r="BV134" s="328"/>
      <c r="BW134" s="336">
        <v>27.71</v>
      </c>
      <c r="BX134" s="328"/>
      <c r="BY134" s="328">
        <v>6.2950000000000017</v>
      </c>
      <c r="BZ134" s="328"/>
      <c r="CA134" s="328"/>
      <c r="CB134" s="337"/>
      <c r="CC134" s="328">
        <v>5.34</v>
      </c>
      <c r="CD134" s="328"/>
      <c r="CE134" s="328"/>
      <c r="CF134" s="328"/>
      <c r="CG134" s="328"/>
      <c r="CH134" s="328"/>
      <c r="CI134" s="328"/>
      <c r="CJ134" s="328"/>
      <c r="CK134" s="328" t="s">
        <v>8377</v>
      </c>
      <c r="CL134" s="328"/>
      <c r="CM134" s="328"/>
    </row>
    <row r="135" spans="1:91">
      <c r="A135" s="154" t="s">
        <v>7630</v>
      </c>
      <c r="B135" t="s">
        <v>8287</v>
      </c>
      <c r="C135">
        <v>1</v>
      </c>
      <c r="D135">
        <v>524</v>
      </c>
      <c r="E135" s="113">
        <v>24</v>
      </c>
      <c r="F135" s="113">
        <v>5</v>
      </c>
      <c r="I135">
        <v>27</v>
      </c>
      <c r="K135" s="320">
        <v>9</v>
      </c>
      <c r="L135" s="320"/>
      <c r="M135">
        <v>2.42</v>
      </c>
      <c r="N135" s="320"/>
      <c r="O135"/>
      <c r="P135"/>
      <c r="Q135"/>
      <c r="S135" s="320">
        <v>10.655782782300001</v>
      </c>
      <c r="T135" s="320"/>
      <c r="U135">
        <v>10.8</v>
      </c>
      <c r="V135"/>
      <c r="W135"/>
      <c r="X135"/>
      <c r="Y135" s="321">
        <v>3.8818837000000004</v>
      </c>
      <c r="Z135" s="320"/>
      <c r="AA135" s="322">
        <v>50498.866213151923</v>
      </c>
      <c r="AB135" s="320"/>
      <c r="AC135" s="321">
        <v>20.973886</v>
      </c>
      <c r="AD135" s="320"/>
      <c r="AE135" s="320">
        <v>22.27</v>
      </c>
      <c r="AF135" s="320"/>
      <c r="AG135">
        <v>4.41</v>
      </c>
      <c r="AH135"/>
      <c r="AI135">
        <v>133</v>
      </c>
      <c r="AJ135"/>
      <c r="AK135"/>
      <c r="AL135"/>
      <c r="AM135"/>
      <c r="AN135"/>
      <c r="AO135">
        <v>65</v>
      </c>
      <c r="AP135"/>
      <c r="AQ135" s="323"/>
      <c r="AR135" s="323"/>
      <c r="AS135">
        <v>112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41.905000000000001</v>
      </c>
      <c r="BH135"/>
      <c r="BI135">
        <v>4.2404999999999999</v>
      </c>
      <c r="BJ135"/>
      <c r="BK135">
        <v>0.88804000000000005</v>
      </c>
      <c r="BL135"/>
      <c r="BM135">
        <v>27.564</v>
      </c>
      <c r="BN135"/>
      <c r="BO135">
        <v>17.196000000000002</v>
      </c>
      <c r="BP135"/>
      <c r="BQ135">
        <v>9.9887999999999995</v>
      </c>
      <c r="BR135"/>
      <c r="BS135">
        <v>50.805</v>
      </c>
      <c r="BT135"/>
      <c r="BU135">
        <v>18.091000000000001</v>
      </c>
      <c r="BV135"/>
      <c r="BW135">
        <v>52.421999999999997</v>
      </c>
      <c r="BX135" s="324"/>
      <c r="BY135">
        <v>6.4680000000000035</v>
      </c>
      <c r="BZ135"/>
      <c r="CA135"/>
      <c r="CC135">
        <v>9.5500000000000007</v>
      </c>
      <c r="CD135"/>
      <c r="CE135"/>
      <c r="CF135"/>
      <c r="CG135"/>
      <c r="CH135"/>
      <c r="CI135"/>
      <c r="CJ135"/>
      <c r="CK135"/>
      <c r="CL135"/>
      <c r="CM135"/>
    </row>
    <row r="136" spans="1:91">
      <c r="A136" s="154" t="s">
        <v>7630</v>
      </c>
      <c r="B136" t="s">
        <v>8287</v>
      </c>
      <c r="C136">
        <v>2</v>
      </c>
      <c r="D136">
        <v>1151</v>
      </c>
      <c r="E136" s="113">
        <v>51</v>
      </c>
      <c r="F136" s="113">
        <v>11</v>
      </c>
      <c r="I136">
        <v>27.499999999999996</v>
      </c>
      <c r="K136" s="320">
        <v>9</v>
      </c>
      <c r="L136" s="320"/>
      <c r="M136">
        <v>2.38</v>
      </c>
      <c r="N136" s="320"/>
      <c r="O136"/>
      <c r="P136"/>
      <c r="Q136"/>
      <c r="S136" s="320">
        <v>10.5069057372</v>
      </c>
      <c r="T136" s="320"/>
      <c r="U136">
        <v>10.8</v>
      </c>
      <c r="V136"/>
      <c r="W136"/>
      <c r="X136"/>
      <c r="Y136" s="321">
        <v>3.8119320000000005</v>
      </c>
      <c r="Z136" s="320"/>
      <c r="AA136" s="322">
        <v>59530.026109660575</v>
      </c>
      <c r="AB136" s="320"/>
      <c r="AC136" s="321">
        <v>21.34422</v>
      </c>
      <c r="AD136" s="320"/>
      <c r="AE136" s="320">
        <v>22.8</v>
      </c>
      <c r="AF136" s="320"/>
      <c r="AG136">
        <v>3.83</v>
      </c>
      <c r="AH136"/>
      <c r="AI136">
        <v>130</v>
      </c>
      <c r="AJ136"/>
      <c r="AK136"/>
      <c r="AL136"/>
      <c r="AM136"/>
      <c r="AN136"/>
      <c r="AO136">
        <v>65</v>
      </c>
      <c r="AP136"/>
      <c r="AQ136" s="323"/>
      <c r="AR136" s="323"/>
      <c r="AS136">
        <v>112</v>
      </c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>
        <v>46.097000000000001</v>
      </c>
      <c r="BH136"/>
      <c r="BI136">
        <v>4.3594999999999997</v>
      </c>
      <c r="BJ136"/>
      <c r="BK136">
        <v>0.85031000000000001</v>
      </c>
      <c r="BL136"/>
      <c r="BM136">
        <v>19.097999999999999</v>
      </c>
      <c r="BN136"/>
      <c r="BO136">
        <v>17.07</v>
      </c>
      <c r="BP136"/>
      <c r="BQ136">
        <v>9.9191000000000003</v>
      </c>
      <c r="BR136"/>
      <c r="BS136">
        <v>49.225999999999999</v>
      </c>
      <c r="BT136"/>
      <c r="BU136">
        <v>18.414999999999999</v>
      </c>
      <c r="BV136"/>
      <c r="BW136" s="325">
        <v>23.87</v>
      </c>
      <c r="BX136"/>
      <c r="BY136">
        <v>6.6580000000000013</v>
      </c>
      <c r="BZ136"/>
      <c r="CA136"/>
      <c r="CC136">
        <v>5.83</v>
      </c>
      <c r="CD136"/>
      <c r="CE136"/>
      <c r="CF136"/>
      <c r="CG136"/>
      <c r="CH136"/>
      <c r="CI136"/>
      <c r="CJ136"/>
      <c r="CK136"/>
      <c r="CL136"/>
      <c r="CM136"/>
    </row>
    <row r="137" spans="1:91">
      <c r="A137" s="154" t="s">
        <v>7630</v>
      </c>
      <c r="B137" t="s">
        <v>8289</v>
      </c>
      <c r="C137">
        <v>1</v>
      </c>
      <c r="D137">
        <v>1636</v>
      </c>
      <c r="E137" s="113">
        <v>36</v>
      </c>
      <c r="F137" s="113">
        <v>16</v>
      </c>
      <c r="I137">
        <v>31.499999999999996</v>
      </c>
      <c r="K137" s="320">
        <v>8</v>
      </c>
      <c r="L137" s="320"/>
      <c r="M137">
        <v>2.4</v>
      </c>
      <c r="N137" s="320"/>
      <c r="O137"/>
      <c r="P137"/>
      <c r="Q137"/>
      <c r="S137" s="320">
        <v>9.6568621147439995</v>
      </c>
      <c r="T137" s="320"/>
      <c r="U137">
        <v>10.8</v>
      </c>
      <c r="V137"/>
      <c r="W137"/>
      <c r="X137"/>
      <c r="Y137" s="321">
        <v>4.5669780000000006</v>
      </c>
      <c r="Z137" s="320"/>
      <c r="AA137" s="322">
        <v>57704.081632653069</v>
      </c>
      <c r="AB137" s="320"/>
      <c r="AC137" s="321">
        <v>21.093602400000002</v>
      </c>
      <c r="AD137" s="320"/>
      <c r="AE137" s="320">
        <v>22.62</v>
      </c>
      <c r="AF137" s="320"/>
      <c r="AG137">
        <v>3.92</v>
      </c>
      <c r="AH137"/>
      <c r="AI137">
        <v>125</v>
      </c>
      <c r="AJ137"/>
      <c r="AK137"/>
      <c r="AL137"/>
      <c r="AM137"/>
      <c r="AN137"/>
      <c r="AO137">
        <v>72</v>
      </c>
      <c r="AP137"/>
      <c r="AQ137" s="323"/>
      <c r="AR137" s="323"/>
      <c r="AS137">
        <v>112</v>
      </c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>
        <v>35.1</v>
      </c>
      <c r="BH137"/>
      <c r="BI137">
        <v>4.3803000000000001</v>
      </c>
      <c r="BJ137"/>
      <c r="BK137">
        <v>1.1914</v>
      </c>
      <c r="BL137"/>
      <c r="BM137">
        <v>31.603000000000002</v>
      </c>
      <c r="BN137"/>
      <c r="BO137">
        <v>17.425999999999998</v>
      </c>
      <c r="BP137"/>
      <c r="BQ137">
        <v>9.3320000000000007</v>
      </c>
      <c r="BR137"/>
      <c r="BS137">
        <v>45.780999999999999</v>
      </c>
      <c r="BT137"/>
      <c r="BU137">
        <v>20.870999999999999</v>
      </c>
      <c r="BV137"/>
      <c r="BW137" s="325">
        <v>4.9000000000000004</v>
      </c>
      <c r="BX137"/>
      <c r="BY137">
        <v>6.8629999999999995</v>
      </c>
      <c r="BZ137"/>
      <c r="CA137"/>
      <c r="CC137">
        <v>7.36</v>
      </c>
      <c r="CD137"/>
      <c r="CE137"/>
      <c r="CF137"/>
      <c r="CG137"/>
      <c r="CH137"/>
      <c r="CI137"/>
      <c r="CJ137"/>
      <c r="CK137"/>
      <c r="CL137"/>
      <c r="CM137"/>
    </row>
    <row r="138" spans="1:91">
      <c r="A138" s="327" t="s">
        <v>7631</v>
      </c>
      <c r="B138" s="328" t="s">
        <v>8289</v>
      </c>
      <c r="C138" s="328">
        <v>2</v>
      </c>
      <c r="D138" s="328">
        <v>467</v>
      </c>
      <c r="E138" s="113">
        <v>67</v>
      </c>
      <c r="F138" s="113">
        <v>4</v>
      </c>
      <c r="G138" s="329"/>
      <c r="H138" s="329"/>
      <c r="I138" s="328">
        <v>26.499999999999996</v>
      </c>
      <c r="J138" s="330"/>
      <c r="K138" s="331">
        <v>7</v>
      </c>
      <c r="L138" s="331"/>
      <c r="M138" s="328">
        <v>0.81</v>
      </c>
      <c r="N138" s="331"/>
      <c r="O138" s="328"/>
      <c r="P138" s="328"/>
      <c r="Q138" s="328"/>
      <c r="R138" s="332"/>
      <c r="S138" s="331">
        <v>2.8563800003200002</v>
      </c>
      <c r="T138" s="331"/>
      <c r="U138" s="328">
        <v>10.8</v>
      </c>
      <c r="V138" s="328"/>
      <c r="W138" s="328"/>
      <c r="X138" s="328"/>
      <c r="Y138" s="333">
        <v>1.7049340000000002</v>
      </c>
      <c r="Z138" s="331"/>
      <c r="AA138" s="334">
        <v>22713.864306784661</v>
      </c>
      <c r="AB138" s="331"/>
      <c r="AC138" s="333">
        <v>7.1366680000000002</v>
      </c>
      <c r="AD138" s="331"/>
      <c r="AE138" s="331">
        <v>7.7</v>
      </c>
      <c r="AF138" s="331"/>
      <c r="AG138" s="328">
        <v>3.39</v>
      </c>
      <c r="AH138" s="328"/>
      <c r="AI138" s="328">
        <v>100</v>
      </c>
      <c r="AJ138" s="328"/>
      <c r="AK138" s="328"/>
      <c r="AL138" s="328"/>
      <c r="AM138" s="328"/>
      <c r="AN138" s="328"/>
      <c r="AO138" s="328">
        <v>77</v>
      </c>
      <c r="AP138" s="328"/>
      <c r="AQ138" s="335"/>
      <c r="AR138" s="335"/>
      <c r="AS138" s="328">
        <v>114</v>
      </c>
      <c r="AT138" s="328"/>
      <c r="AU138" s="328"/>
      <c r="AV138" s="328"/>
      <c r="AW138" s="328"/>
      <c r="AX138" s="328"/>
      <c r="AY138" s="328"/>
      <c r="AZ138" s="328"/>
      <c r="BA138" s="328"/>
      <c r="BB138" s="328"/>
      <c r="BC138" s="328"/>
      <c r="BD138" s="328"/>
      <c r="BE138" s="328"/>
      <c r="BF138" s="328"/>
      <c r="BG138" s="328">
        <v>-0.83115000000000006</v>
      </c>
      <c r="BH138" s="328"/>
      <c r="BI138" s="328">
        <v>5.1882999999999999</v>
      </c>
      <c r="BJ138" s="328"/>
      <c r="BK138" s="328">
        <v>1.6089</v>
      </c>
      <c r="BL138" s="328"/>
      <c r="BM138" s="328">
        <v>62.914000000000001</v>
      </c>
      <c r="BN138" s="328"/>
      <c r="BO138" s="328">
        <v>20.885999999999999</v>
      </c>
      <c r="BP138" s="328"/>
      <c r="BQ138" s="328">
        <v>9.0343999999999998</v>
      </c>
      <c r="BR138" s="328"/>
      <c r="BS138" s="328">
        <v>40.024000000000001</v>
      </c>
      <c r="BT138" s="328"/>
      <c r="BU138" s="328">
        <v>22.923999999999999</v>
      </c>
      <c r="BV138" s="328"/>
      <c r="BW138" s="336">
        <v>3.81</v>
      </c>
      <c r="BX138" s="328"/>
      <c r="BY138" s="328">
        <v>7.5030000000000001</v>
      </c>
      <c r="BZ138" s="328"/>
      <c r="CA138" s="328"/>
      <c r="CB138" s="337"/>
      <c r="CC138" s="328">
        <v>6.54</v>
      </c>
      <c r="CD138" s="328"/>
      <c r="CE138" s="328"/>
      <c r="CF138" s="328"/>
      <c r="CG138" s="328"/>
      <c r="CH138" s="328"/>
      <c r="CI138" s="328"/>
      <c r="CJ138" s="328"/>
      <c r="CK138" s="328"/>
      <c r="CL138" s="328"/>
      <c r="CM138" s="328"/>
    </row>
    <row r="139" spans="1:91">
      <c r="A139" s="327" t="s">
        <v>7631</v>
      </c>
      <c r="B139" s="328" t="s">
        <v>8287</v>
      </c>
      <c r="C139" s="328">
        <v>1</v>
      </c>
      <c r="D139" s="328">
        <v>624</v>
      </c>
      <c r="E139" s="113">
        <v>24</v>
      </c>
      <c r="F139" s="113">
        <v>6</v>
      </c>
      <c r="G139" s="329"/>
      <c r="H139" s="329"/>
      <c r="I139" s="328">
        <v>28.5</v>
      </c>
      <c r="J139" s="330"/>
      <c r="K139" s="331">
        <v>8</v>
      </c>
      <c r="L139" s="331"/>
      <c r="M139" s="328">
        <v>1.67</v>
      </c>
      <c r="N139" s="331"/>
      <c r="O139" s="328"/>
      <c r="P139" s="328"/>
      <c r="Q139" s="328"/>
      <c r="R139" s="332"/>
      <c r="S139" s="331">
        <v>7.0913895123599993</v>
      </c>
      <c r="T139" s="331"/>
      <c r="U139" s="328">
        <v>10.8</v>
      </c>
      <c r="V139" s="328"/>
      <c r="W139" s="328"/>
      <c r="X139" s="328"/>
      <c r="Y139" s="333">
        <v>2.5528033000000003</v>
      </c>
      <c r="Z139" s="331"/>
      <c r="AA139" s="334">
        <v>39010.152284263961</v>
      </c>
      <c r="AB139" s="331"/>
      <c r="AC139" s="333">
        <v>14.439807599999998</v>
      </c>
      <c r="AD139" s="331"/>
      <c r="AE139" s="331">
        <v>15.37</v>
      </c>
      <c r="AF139" s="331"/>
      <c r="AG139" s="328">
        <v>3.94</v>
      </c>
      <c r="AH139" s="328"/>
      <c r="AI139" s="328">
        <v>120</v>
      </c>
      <c r="AJ139" s="328"/>
      <c r="AK139" s="328"/>
      <c r="AL139" s="328"/>
      <c r="AM139" s="328"/>
      <c r="AN139" s="328"/>
      <c r="AO139" s="328">
        <v>77</v>
      </c>
      <c r="AP139" s="328"/>
      <c r="AQ139" s="335"/>
      <c r="AR139" s="335"/>
      <c r="AS139" s="328">
        <v>112</v>
      </c>
      <c r="AT139" s="328"/>
      <c r="AU139" s="328"/>
      <c r="AV139" s="328"/>
      <c r="AW139" s="328"/>
      <c r="AX139" s="328"/>
      <c r="AY139" s="328"/>
      <c r="AZ139" s="328"/>
      <c r="BA139" s="328"/>
      <c r="BB139" s="328"/>
      <c r="BC139" s="328"/>
      <c r="BD139" s="328"/>
      <c r="BE139" s="328"/>
      <c r="BF139" s="328"/>
      <c r="BG139" s="328">
        <v>12.13</v>
      </c>
      <c r="BH139" s="328"/>
      <c r="BI139" s="328">
        <v>4.5496999999999996</v>
      </c>
      <c r="BJ139" s="328"/>
      <c r="BK139" s="328">
        <v>1.1404000000000001</v>
      </c>
      <c r="BL139" s="328"/>
      <c r="BM139" s="328">
        <v>51.87</v>
      </c>
      <c r="BN139" s="328"/>
      <c r="BO139" s="328">
        <v>18.427</v>
      </c>
      <c r="BP139" s="328"/>
      <c r="BQ139" s="328">
        <v>11.548999999999999</v>
      </c>
      <c r="BR139" s="328"/>
      <c r="BS139" s="328">
        <v>49.11</v>
      </c>
      <c r="BT139" s="328"/>
      <c r="BU139" s="328">
        <v>20.741</v>
      </c>
      <c r="BV139" s="328"/>
      <c r="BW139" s="328">
        <v>82.034000000000006</v>
      </c>
      <c r="BX139" s="339"/>
      <c r="BY139" s="328">
        <v>6.2950000000000017</v>
      </c>
      <c r="BZ139" s="328"/>
      <c r="CA139" s="328"/>
      <c r="CB139" s="337"/>
      <c r="CC139" s="328">
        <v>9.5500000000000007</v>
      </c>
      <c r="CD139" s="328"/>
      <c r="CE139" s="328"/>
      <c r="CF139" s="328"/>
      <c r="CG139" s="328"/>
      <c r="CH139" s="328"/>
      <c r="CI139" s="328"/>
      <c r="CJ139" s="328"/>
      <c r="CK139" s="328"/>
      <c r="CL139" s="328"/>
      <c r="CM139" s="328"/>
    </row>
    <row r="140" spans="1:91">
      <c r="A140" s="327" t="s">
        <v>7631</v>
      </c>
      <c r="B140" s="328" t="s">
        <v>8289</v>
      </c>
      <c r="C140" s="328">
        <v>1</v>
      </c>
      <c r="D140" s="328">
        <v>1235</v>
      </c>
      <c r="E140" s="113">
        <v>35</v>
      </c>
      <c r="F140" s="113">
        <v>12</v>
      </c>
      <c r="G140" s="329"/>
      <c r="H140" s="329"/>
      <c r="I140" s="328">
        <v>28.5</v>
      </c>
      <c r="J140" s="330"/>
      <c r="K140" s="331">
        <v>9</v>
      </c>
      <c r="L140" s="331"/>
      <c r="M140" s="328">
        <v>1.63</v>
      </c>
      <c r="N140" s="331"/>
      <c r="O140" s="328"/>
      <c r="P140" s="328"/>
      <c r="Q140" s="328"/>
      <c r="R140" s="332"/>
      <c r="S140" s="331">
        <v>6.9051980715519994</v>
      </c>
      <c r="T140" s="331"/>
      <c r="U140" s="328">
        <v>10.8</v>
      </c>
      <c r="V140" s="328"/>
      <c r="W140" s="328"/>
      <c r="X140" s="328"/>
      <c r="Y140" s="333">
        <v>3.2260370999999997</v>
      </c>
      <c r="Z140" s="331"/>
      <c r="AA140" s="334">
        <v>42121.21212121212</v>
      </c>
      <c r="AB140" s="331"/>
      <c r="AC140" s="333">
        <v>14.306547199999999</v>
      </c>
      <c r="AD140" s="331"/>
      <c r="AE140" s="331">
        <v>15.29</v>
      </c>
      <c r="AF140" s="331"/>
      <c r="AG140" s="328">
        <v>3.63</v>
      </c>
      <c r="AH140" s="328"/>
      <c r="AI140" s="328">
        <v>113</v>
      </c>
      <c r="AJ140" s="328"/>
      <c r="AK140" s="328"/>
      <c r="AL140" s="328"/>
      <c r="AM140" s="328"/>
      <c r="AN140" s="328"/>
      <c r="AO140" s="328">
        <v>77</v>
      </c>
      <c r="AP140" s="328"/>
      <c r="AQ140" s="335"/>
      <c r="AR140" s="335"/>
      <c r="AS140" s="328">
        <v>112</v>
      </c>
      <c r="AT140" s="328"/>
      <c r="AU140" s="328"/>
      <c r="AV140" s="328"/>
      <c r="AW140" s="328"/>
      <c r="AX140" s="328"/>
      <c r="AY140" s="328"/>
      <c r="AZ140" s="328"/>
      <c r="BA140" s="328"/>
      <c r="BB140" s="328"/>
      <c r="BC140" s="328"/>
      <c r="BD140" s="328"/>
      <c r="BE140" s="328"/>
      <c r="BF140" s="328"/>
      <c r="BG140" s="328">
        <v>-0.16869000000000001</v>
      </c>
      <c r="BH140" s="328"/>
      <c r="BI140" s="328">
        <v>4.5332999999999997</v>
      </c>
      <c r="BJ140" s="328"/>
      <c r="BK140" s="328">
        <v>1.3675999999999999</v>
      </c>
      <c r="BL140" s="328"/>
      <c r="BM140" s="328">
        <v>62.56</v>
      </c>
      <c r="BN140" s="328"/>
      <c r="BO140" s="328">
        <v>20.739000000000001</v>
      </c>
      <c r="BP140" s="328"/>
      <c r="BQ140" s="328">
        <v>11.052</v>
      </c>
      <c r="BR140" s="328"/>
      <c r="BS140" s="328">
        <v>48.265999999999998</v>
      </c>
      <c r="BT140" s="328"/>
      <c r="BU140" s="328">
        <v>20.579000000000001</v>
      </c>
      <c r="BV140" s="328"/>
      <c r="BW140" s="336">
        <v>22.43</v>
      </c>
      <c r="BX140" s="328"/>
      <c r="BY140" s="328">
        <v>6.429000000000002</v>
      </c>
      <c r="BZ140" s="328"/>
      <c r="CA140" s="328"/>
      <c r="CB140" s="337"/>
      <c r="CC140" s="328">
        <v>7.81</v>
      </c>
      <c r="CD140" s="328"/>
      <c r="CE140" s="328"/>
      <c r="CF140" s="328"/>
      <c r="CG140" s="328"/>
      <c r="CH140" s="328"/>
      <c r="CI140" s="328"/>
      <c r="CJ140" s="328"/>
      <c r="CK140" s="328"/>
      <c r="CL140" s="328"/>
      <c r="CM140" s="328"/>
    </row>
    <row r="141" spans="1:91">
      <c r="A141" s="327" t="s">
        <v>7631</v>
      </c>
      <c r="B141" s="328" t="s">
        <v>8287</v>
      </c>
      <c r="C141" s="328">
        <v>2</v>
      </c>
      <c r="D141" s="328">
        <v>1751</v>
      </c>
      <c r="E141" s="113">
        <v>51</v>
      </c>
      <c r="F141" s="113">
        <v>17</v>
      </c>
      <c r="G141" s="329"/>
      <c r="H141" s="329"/>
      <c r="I141" s="328">
        <v>28.5</v>
      </c>
      <c r="J141" s="330"/>
      <c r="K141" s="331">
        <v>8</v>
      </c>
      <c r="L141" s="331"/>
      <c r="M141" s="328">
        <v>1.55</v>
      </c>
      <c r="N141" s="331"/>
      <c r="O141" s="328"/>
      <c r="P141" s="328"/>
      <c r="Q141" s="328"/>
      <c r="R141" s="332"/>
      <c r="S141" s="331">
        <v>7.0917036478200002</v>
      </c>
      <c r="T141" s="331"/>
      <c r="U141" s="328">
        <v>10.8</v>
      </c>
      <c r="V141" s="328"/>
      <c r="W141" s="328"/>
      <c r="X141" s="328"/>
      <c r="Y141" s="333">
        <v>2.2493295</v>
      </c>
      <c r="Z141" s="331"/>
      <c r="AA141" s="334">
        <v>40909.090909090912</v>
      </c>
      <c r="AB141" s="331"/>
      <c r="AC141" s="333">
        <v>13.947417</v>
      </c>
      <c r="AD141" s="331"/>
      <c r="AE141" s="331">
        <v>14.85</v>
      </c>
      <c r="AF141" s="331"/>
      <c r="AG141" s="328">
        <v>3.63</v>
      </c>
      <c r="AH141" s="328"/>
      <c r="AI141" s="328">
        <v>115</v>
      </c>
      <c r="AJ141" s="328"/>
      <c r="AK141" s="328"/>
      <c r="AL141" s="328"/>
      <c r="AM141" s="328"/>
      <c r="AN141" s="328"/>
      <c r="AO141" s="328">
        <v>77</v>
      </c>
      <c r="AP141" s="328"/>
      <c r="AQ141" s="335"/>
      <c r="AR141" s="335"/>
      <c r="AS141" s="328">
        <v>112</v>
      </c>
      <c r="AT141" s="328"/>
      <c r="AU141" s="328"/>
      <c r="AV141" s="328"/>
      <c r="AW141" s="328"/>
      <c r="AX141" s="328"/>
      <c r="AY141" s="328"/>
      <c r="AZ141" s="328"/>
      <c r="BA141" s="328"/>
      <c r="BB141" s="328"/>
      <c r="BC141" s="328"/>
      <c r="BD141" s="328"/>
      <c r="BE141" s="328"/>
      <c r="BF141" s="328"/>
      <c r="BG141" s="328">
        <v>-0.98533000000000004</v>
      </c>
      <c r="BH141" s="328"/>
      <c r="BI141" s="328">
        <v>4.9119999999999999</v>
      </c>
      <c r="BJ141" s="328"/>
      <c r="BK141" s="328">
        <v>1.1979</v>
      </c>
      <c r="BL141" s="328"/>
      <c r="BM141" s="328">
        <v>62.878999999999998</v>
      </c>
      <c r="BN141" s="328"/>
      <c r="BO141" s="328">
        <v>18.943999999999999</v>
      </c>
      <c r="BP141" s="328"/>
      <c r="BQ141" s="328">
        <v>12.43</v>
      </c>
      <c r="BR141" s="328"/>
      <c r="BS141" s="328">
        <v>50.845999999999997</v>
      </c>
      <c r="BT141" s="328"/>
      <c r="BU141" s="328">
        <v>19.486999999999998</v>
      </c>
      <c r="BV141" s="328"/>
      <c r="BW141" s="328">
        <v>75.858000000000004</v>
      </c>
      <c r="BX141" s="339"/>
      <c r="BY141" s="328">
        <v>5.8659999999999997</v>
      </c>
      <c r="BZ141" s="328"/>
      <c r="CA141" s="328"/>
      <c r="CB141" s="337"/>
      <c r="CC141" s="328">
        <v>5.86</v>
      </c>
      <c r="CD141" s="328"/>
      <c r="CE141" s="328"/>
      <c r="CF141" s="328"/>
      <c r="CG141" s="328"/>
      <c r="CH141" s="328"/>
      <c r="CI141" s="328"/>
      <c r="CJ141" s="328"/>
      <c r="CK141" s="328"/>
      <c r="CL141" s="328"/>
      <c r="CM141" s="328"/>
    </row>
    <row r="142" spans="1:91">
      <c r="A142" s="154" t="s">
        <v>7632</v>
      </c>
      <c r="B142" t="s">
        <v>8287</v>
      </c>
      <c r="C142">
        <v>1</v>
      </c>
      <c r="D142">
        <v>425</v>
      </c>
      <c r="E142" s="113">
        <v>25</v>
      </c>
      <c r="F142" s="113">
        <v>4</v>
      </c>
      <c r="I142">
        <v>31</v>
      </c>
      <c r="K142" s="320">
        <v>9</v>
      </c>
      <c r="L142" s="320"/>
      <c r="M142">
        <v>2.65</v>
      </c>
      <c r="N142" s="320"/>
      <c r="O142"/>
      <c r="P142"/>
      <c r="Q142"/>
      <c r="S142" s="320">
        <v>10.959392684928</v>
      </c>
      <c r="T142" s="320"/>
      <c r="U142">
        <v>10.8</v>
      </c>
      <c r="V142"/>
      <c r="W142"/>
      <c r="X142"/>
      <c r="Y142" s="321">
        <v>4.1818240000000007</v>
      </c>
      <c r="Z142" s="320"/>
      <c r="AA142" s="322">
        <v>50144.329896907228</v>
      </c>
      <c r="AB142" s="320"/>
      <c r="AC142" s="321">
        <v>22.764249599999999</v>
      </c>
      <c r="AD142" s="320"/>
      <c r="AE142" s="320">
        <v>24.32</v>
      </c>
      <c r="AF142" s="320"/>
      <c r="AG142">
        <v>4.8499999999999996</v>
      </c>
      <c r="AH142"/>
      <c r="AI142">
        <v>130</v>
      </c>
      <c r="AJ142"/>
      <c r="AK142"/>
      <c r="AL142"/>
      <c r="AM142"/>
      <c r="AN142"/>
      <c r="AO142">
        <v>83</v>
      </c>
      <c r="AP142"/>
      <c r="AQ142" s="323"/>
      <c r="AR142" s="323"/>
      <c r="AS142">
        <v>114</v>
      </c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>
        <v>19.03</v>
      </c>
      <c r="BH142"/>
      <c r="BI142">
        <v>4.4360999999999997</v>
      </c>
      <c r="BJ142"/>
      <c r="BK142">
        <v>1.1343000000000001</v>
      </c>
      <c r="BL142"/>
      <c r="BM142">
        <v>47.798000000000002</v>
      </c>
      <c r="BN142"/>
      <c r="BO142">
        <v>16.648</v>
      </c>
      <c r="BP142"/>
      <c r="BQ142">
        <v>10.130000000000001</v>
      </c>
      <c r="BR142"/>
      <c r="BS142">
        <v>48.143000000000001</v>
      </c>
      <c r="BT142"/>
      <c r="BU142">
        <v>20.077999999999999</v>
      </c>
      <c r="BV142"/>
      <c r="BW142">
        <v>68.995000000000005</v>
      </c>
      <c r="BX142" s="324"/>
      <c r="BY142">
        <v>6.6869999999999976</v>
      </c>
      <c r="BZ142"/>
      <c r="CA142"/>
      <c r="CC142">
        <v>9.81</v>
      </c>
      <c r="CD142"/>
      <c r="CE142"/>
      <c r="CF142"/>
      <c r="CG142"/>
      <c r="CH142"/>
      <c r="CI142"/>
      <c r="CJ142"/>
      <c r="CK142"/>
      <c r="CL142"/>
      <c r="CM142"/>
    </row>
    <row r="143" spans="1:91">
      <c r="A143" s="154" t="s">
        <v>7632</v>
      </c>
      <c r="B143" t="s">
        <v>8289</v>
      </c>
      <c r="C143">
        <v>2</v>
      </c>
      <c r="D143">
        <v>570</v>
      </c>
      <c r="E143" s="113">
        <v>70</v>
      </c>
      <c r="F143" s="113">
        <v>5</v>
      </c>
      <c r="I143">
        <v>25.499999999999996</v>
      </c>
      <c r="K143" s="320">
        <v>9</v>
      </c>
      <c r="L143" s="320"/>
      <c r="M143">
        <v>2.37</v>
      </c>
      <c r="N143" s="320"/>
      <c r="O143"/>
      <c r="P143"/>
      <c r="Q143"/>
      <c r="S143" s="320">
        <v>9.5156021980799999</v>
      </c>
      <c r="T143" s="320"/>
      <c r="U143">
        <v>10.8</v>
      </c>
      <c r="V143"/>
      <c r="W143"/>
      <c r="X143"/>
      <c r="Y143" s="321">
        <v>4.7866983999999997</v>
      </c>
      <c r="Z143" s="320"/>
      <c r="AA143" s="322">
        <v>45049.701789264407</v>
      </c>
      <c r="AB143" s="320"/>
      <c r="AC143" s="321">
        <v>21.078332</v>
      </c>
      <c r="AD143" s="320"/>
      <c r="AE143" s="320">
        <v>22.66</v>
      </c>
      <c r="AF143" s="320"/>
      <c r="AG143">
        <v>5.03</v>
      </c>
      <c r="AH143"/>
      <c r="AI143">
        <v>118</v>
      </c>
      <c r="AJ143"/>
      <c r="AK143"/>
      <c r="AL143"/>
      <c r="AM143"/>
      <c r="AN143"/>
      <c r="AO143">
        <v>81</v>
      </c>
      <c r="AP143"/>
      <c r="AQ143" s="323"/>
      <c r="AR143" s="323"/>
      <c r="AS143">
        <v>114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18.93</v>
      </c>
      <c r="BH143"/>
      <c r="BI143">
        <v>4.6006</v>
      </c>
      <c r="BJ143"/>
      <c r="BK143">
        <v>1.2986</v>
      </c>
      <c r="BL143"/>
      <c r="BM143">
        <v>45.610999999999997</v>
      </c>
      <c r="BN143"/>
      <c r="BO143">
        <v>17.943999999999999</v>
      </c>
      <c r="BP143"/>
      <c r="BQ143">
        <v>9.7505000000000006</v>
      </c>
      <c r="BR143"/>
      <c r="BS143">
        <v>45.143999999999998</v>
      </c>
      <c r="BT143"/>
      <c r="BU143">
        <v>21.931999999999999</v>
      </c>
      <c r="BV143"/>
      <c r="BW143">
        <v>47.036999999999999</v>
      </c>
      <c r="BX143" s="324"/>
      <c r="BY143">
        <v>6.6979999999999933</v>
      </c>
      <c r="BZ143"/>
      <c r="CA143"/>
      <c r="CC143">
        <v>6.05</v>
      </c>
      <c r="CD143"/>
      <c r="CE143"/>
      <c r="CF143"/>
      <c r="CG143"/>
      <c r="CH143"/>
      <c r="CI143"/>
      <c r="CJ143"/>
      <c r="CK143"/>
      <c r="CL143"/>
      <c r="CM143"/>
    </row>
    <row r="144" spans="1:91">
      <c r="A144" s="154" t="s">
        <v>7632</v>
      </c>
      <c r="B144" t="s">
        <v>8287</v>
      </c>
      <c r="C144">
        <v>2</v>
      </c>
      <c r="D144">
        <v>1555</v>
      </c>
      <c r="E144" s="113">
        <v>55</v>
      </c>
      <c r="F144" s="113">
        <v>15</v>
      </c>
      <c r="I144">
        <v>27.999999999999996</v>
      </c>
      <c r="K144" s="320">
        <v>8</v>
      </c>
      <c r="L144" s="320"/>
      <c r="M144">
        <v>2.16</v>
      </c>
      <c r="N144" s="320"/>
      <c r="O144"/>
      <c r="P144"/>
      <c r="Q144"/>
      <c r="S144" s="320">
        <v>9.3246713801009999</v>
      </c>
      <c r="T144" s="320"/>
      <c r="U144">
        <v>10.8</v>
      </c>
      <c r="V144"/>
      <c r="W144"/>
      <c r="X144"/>
      <c r="Y144" s="321">
        <v>3.3157227999999996</v>
      </c>
      <c r="Z144" s="320"/>
      <c r="AA144" s="322">
        <v>48414.918414918408</v>
      </c>
      <c r="AB144" s="320"/>
      <c r="AC144" s="321">
        <v>19.500745299999998</v>
      </c>
      <c r="AD144" s="320"/>
      <c r="AE144" s="320">
        <v>20.77</v>
      </c>
      <c r="AF144" s="320"/>
      <c r="AG144">
        <v>4.29</v>
      </c>
      <c r="AH144"/>
      <c r="AI144">
        <v>120</v>
      </c>
      <c r="AJ144"/>
      <c r="AK144"/>
      <c r="AL144"/>
      <c r="AM144"/>
      <c r="AN144"/>
      <c r="AO144">
        <v>81</v>
      </c>
      <c r="AP144"/>
      <c r="AQ144" s="323"/>
      <c r="AR144" s="323"/>
      <c r="AS144">
        <v>112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>
        <v>18.777000000000001</v>
      </c>
      <c r="BH144"/>
      <c r="BI144">
        <v>4.8855000000000004</v>
      </c>
      <c r="BJ144"/>
      <c r="BK144">
        <v>1.2198</v>
      </c>
      <c r="BL144"/>
      <c r="BM144">
        <v>49.924999999999997</v>
      </c>
      <c r="BN144"/>
      <c r="BO144">
        <v>18.559999999999999</v>
      </c>
      <c r="BP144"/>
      <c r="BQ144">
        <v>8.4837000000000007</v>
      </c>
      <c r="BR144"/>
      <c r="BS144">
        <v>47.817</v>
      </c>
      <c r="BT144"/>
      <c r="BU144">
        <v>19.382000000000001</v>
      </c>
      <c r="BV144"/>
      <c r="BW144">
        <v>60.530999999999999</v>
      </c>
      <c r="BX144" s="324"/>
      <c r="BY144">
        <v>6.3289999999999935</v>
      </c>
      <c r="BZ144"/>
      <c r="CA144"/>
      <c r="CC144">
        <v>5.48</v>
      </c>
      <c r="CD144"/>
      <c r="CE144"/>
      <c r="CF144"/>
      <c r="CG144"/>
      <c r="CH144"/>
      <c r="CI144"/>
      <c r="CJ144"/>
      <c r="CK144"/>
      <c r="CL144"/>
      <c r="CM144"/>
    </row>
    <row r="145" spans="1:91">
      <c r="A145" s="154" t="s">
        <v>7632</v>
      </c>
      <c r="B145" t="s">
        <v>8289</v>
      </c>
      <c r="C145">
        <v>1</v>
      </c>
      <c r="D145">
        <v>1704</v>
      </c>
      <c r="E145" s="113">
        <v>4</v>
      </c>
      <c r="F145" s="113">
        <v>17</v>
      </c>
      <c r="I145">
        <v>24.5</v>
      </c>
      <c r="K145" s="320">
        <v>8</v>
      </c>
      <c r="L145" s="320"/>
      <c r="M145">
        <v>2.48</v>
      </c>
      <c r="N145" s="320"/>
      <c r="O145"/>
      <c r="P145"/>
      <c r="Q145"/>
      <c r="S145" s="320">
        <v>10.392623920620002</v>
      </c>
      <c r="T145" s="320"/>
      <c r="U145">
        <v>10.8</v>
      </c>
      <c r="V145"/>
      <c r="W145"/>
      <c r="X145"/>
      <c r="Y145" s="321">
        <v>4.4109492000000001</v>
      </c>
      <c r="Z145" s="320"/>
      <c r="AA145" s="322">
        <v>51447.368421052641</v>
      </c>
      <c r="AB145" s="320"/>
      <c r="AC145" s="321">
        <v>21.974043600000002</v>
      </c>
      <c r="AD145" s="320"/>
      <c r="AE145" s="320">
        <v>23.46</v>
      </c>
      <c r="AF145" s="320"/>
      <c r="AG145">
        <v>4.5599999999999996</v>
      </c>
      <c r="AH145"/>
      <c r="AI145">
        <v>125</v>
      </c>
      <c r="AJ145"/>
      <c r="AK145"/>
      <c r="AL145"/>
      <c r="AM145"/>
      <c r="AN145"/>
      <c r="AO145">
        <v>83</v>
      </c>
      <c r="AP145"/>
      <c r="AQ145" s="323"/>
      <c r="AR145" s="323"/>
      <c r="AS145">
        <v>114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>
        <v>16.905999999999999</v>
      </c>
      <c r="BH145"/>
      <c r="BI145">
        <v>4.6463000000000001</v>
      </c>
      <c r="BJ145"/>
      <c r="BK145">
        <v>1.1914</v>
      </c>
      <c r="BL145"/>
      <c r="BM145">
        <v>46.593000000000004</v>
      </c>
      <c r="BN145"/>
      <c r="BO145">
        <v>18.077999999999999</v>
      </c>
      <c r="BP145"/>
      <c r="BQ145">
        <v>9.7324999999999999</v>
      </c>
      <c r="BR145"/>
      <c r="BS145">
        <v>47.295000000000002</v>
      </c>
      <c r="BT145"/>
      <c r="BU145">
        <v>20.597000000000001</v>
      </c>
      <c r="BV145"/>
      <c r="BW145">
        <v>62.125999999999998</v>
      </c>
      <c r="BX145" s="324"/>
      <c r="BY145">
        <v>6.5949999999999989</v>
      </c>
      <c r="BZ145"/>
      <c r="CA145"/>
      <c r="CC145">
        <v>7.02</v>
      </c>
      <c r="CD145"/>
      <c r="CE145"/>
      <c r="CF145"/>
      <c r="CG145"/>
      <c r="CH145"/>
      <c r="CI145"/>
      <c r="CJ145"/>
      <c r="CK145"/>
      <c r="CL145"/>
      <c r="CM145"/>
    </row>
    <row r="146" spans="1:91">
      <c r="A146" s="154" t="s">
        <v>7633</v>
      </c>
      <c r="B146" t="s">
        <v>8287</v>
      </c>
      <c r="C146">
        <v>1</v>
      </c>
      <c r="D146">
        <v>729</v>
      </c>
      <c r="E146" s="113">
        <v>29</v>
      </c>
      <c r="F146" s="113">
        <v>7</v>
      </c>
      <c r="I146">
        <v>17</v>
      </c>
      <c r="K146" s="320">
        <v>9</v>
      </c>
      <c r="L146" s="320"/>
      <c r="M146">
        <v>2.38</v>
      </c>
      <c r="N146" s="320"/>
      <c r="O146"/>
      <c r="P146"/>
      <c r="Q146"/>
      <c r="S146" s="320">
        <v>10.465963281861001</v>
      </c>
      <c r="T146" s="320"/>
      <c r="U146">
        <v>10.8</v>
      </c>
      <c r="V146"/>
      <c r="W146"/>
      <c r="X146"/>
      <c r="Y146" s="321">
        <v>3.9975391</v>
      </c>
      <c r="Z146" s="320"/>
      <c r="AA146" s="322">
        <v>46268.343815513632</v>
      </c>
      <c r="AB146" s="320"/>
      <c r="AC146" s="321">
        <v>20.609186699999999</v>
      </c>
      <c r="AD146" s="320"/>
      <c r="AE146" s="320">
        <v>22.07</v>
      </c>
      <c r="AF146" s="320"/>
      <c r="AG146">
        <v>4.7699999999999996</v>
      </c>
      <c r="AH146"/>
      <c r="AI146">
        <v>138</v>
      </c>
      <c r="AJ146"/>
      <c r="AK146"/>
      <c r="AL146"/>
      <c r="AM146"/>
      <c r="AN146"/>
      <c r="AO146">
        <v>79</v>
      </c>
      <c r="AP146"/>
      <c r="AQ146" s="323"/>
      <c r="AR146" s="323"/>
      <c r="AS146">
        <v>112</v>
      </c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>
        <v>57.351999999999997</v>
      </c>
      <c r="BH146"/>
      <c r="BI146">
        <v>4.3019999999999996</v>
      </c>
      <c r="BJ146"/>
      <c r="BK146">
        <v>0.78622999999999998</v>
      </c>
      <c r="BL146"/>
      <c r="BM146">
        <v>7.5903</v>
      </c>
      <c r="BN146"/>
      <c r="BO146">
        <v>13.173999999999999</v>
      </c>
      <c r="BP146"/>
      <c r="BQ146">
        <v>11.071999999999999</v>
      </c>
      <c r="BR146"/>
      <c r="BS146">
        <v>50.783000000000001</v>
      </c>
      <c r="BT146"/>
      <c r="BU146">
        <v>17.72</v>
      </c>
      <c r="BV146"/>
      <c r="BW146">
        <v>44.667000000000002</v>
      </c>
      <c r="BX146" s="324"/>
      <c r="BY146">
        <v>6.1539999999999964</v>
      </c>
      <c r="BZ146"/>
      <c r="CA146"/>
      <c r="CC146">
        <v>8.86</v>
      </c>
      <c r="CD146"/>
      <c r="CE146"/>
      <c r="CF146"/>
      <c r="CG146"/>
      <c r="CH146"/>
      <c r="CI146"/>
      <c r="CJ146"/>
      <c r="CK146"/>
      <c r="CL146"/>
      <c r="CM146"/>
    </row>
    <row r="147" spans="1:91">
      <c r="A147" s="327" t="s">
        <v>7633</v>
      </c>
      <c r="B147" s="328" t="s">
        <v>8289</v>
      </c>
      <c r="C147" s="328">
        <v>2</v>
      </c>
      <c r="D147" s="328">
        <v>960</v>
      </c>
      <c r="E147" s="113">
        <v>60</v>
      </c>
      <c r="F147" s="113">
        <v>9</v>
      </c>
      <c r="G147" s="329"/>
      <c r="H147" s="329"/>
      <c r="I147" s="328">
        <v>29.999999999999996</v>
      </c>
      <c r="J147" s="330"/>
      <c r="K147" s="331">
        <v>8</v>
      </c>
      <c r="L147" s="331"/>
      <c r="M147" s="328">
        <v>0.79</v>
      </c>
      <c r="N147" s="331"/>
      <c r="O147" s="328"/>
      <c r="P147" s="328"/>
      <c r="Q147" s="328"/>
      <c r="R147" s="332"/>
      <c r="S147" s="331">
        <v>3.212685070614</v>
      </c>
      <c r="T147" s="331"/>
      <c r="U147" s="328">
        <v>10.8</v>
      </c>
      <c r="V147" s="328"/>
      <c r="W147" s="328"/>
      <c r="X147" s="328"/>
      <c r="Y147" s="333">
        <v>1.3985469000000001</v>
      </c>
      <c r="Z147" s="331"/>
      <c r="AA147" s="334">
        <v>16021.276595744681</v>
      </c>
      <c r="AB147" s="331"/>
      <c r="AC147" s="333">
        <v>7.0328694</v>
      </c>
      <c r="AD147" s="331"/>
      <c r="AE147" s="331">
        <v>7.53</v>
      </c>
      <c r="AF147" s="331"/>
      <c r="AG147" s="328">
        <v>4.7</v>
      </c>
      <c r="AH147" s="328"/>
      <c r="AI147" s="328"/>
      <c r="AJ147" s="328"/>
      <c r="AK147" s="328"/>
      <c r="AL147" s="328"/>
      <c r="AM147" s="328"/>
      <c r="AN147" s="328"/>
      <c r="AO147" s="328">
        <v>80</v>
      </c>
      <c r="AP147" s="328"/>
      <c r="AQ147" s="335"/>
      <c r="AR147" s="335"/>
      <c r="AS147" s="328">
        <v>114</v>
      </c>
      <c r="AT147" s="328"/>
      <c r="AU147" s="328"/>
      <c r="AV147" s="328"/>
      <c r="AW147" s="328"/>
      <c r="AX147" s="328"/>
      <c r="AY147" s="328"/>
      <c r="AZ147" s="328"/>
      <c r="BA147" s="328"/>
      <c r="BB147" s="328"/>
      <c r="BC147" s="328"/>
      <c r="BD147" s="328"/>
      <c r="BE147" s="328"/>
      <c r="BF147" s="328"/>
      <c r="BG147" s="328">
        <v>44.817</v>
      </c>
      <c r="BH147" s="328"/>
      <c r="BI147" s="328">
        <v>4.5490000000000004</v>
      </c>
      <c r="BJ147" s="328"/>
      <c r="BK147" s="328">
        <v>1.1208</v>
      </c>
      <c r="BL147" s="328"/>
      <c r="BM147" s="328">
        <v>20.591000000000001</v>
      </c>
      <c r="BN147" s="328"/>
      <c r="BO147" s="328">
        <v>15.025</v>
      </c>
      <c r="BP147" s="328"/>
      <c r="BQ147" s="328">
        <v>8.9293999999999993</v>
      </c>
      <c r="BR147" s="328"/>
      <c r="BS147" s="328">
        <v>45.680999999999997</v>
      </c>
      <c r="BT147" s="328"/>
      <c r="BU147" s="328">
        <v>20.550999999999998</v>
      </c>
      <c r="BV147" s="328"/>
      <c r="BW147" s="336">
        <v>7.48</v>
      </c>
      <c r="BX147" s="328"/>
      <c r="BY147" s="328">
        <v>6.8220000000000027</v>
      </c>
      <c r="BZ147" s="328"/>
      <c r="CA147" s="328"/>
      <c r="CB147" s="337"/>
      <c r="CC147" s="328">
        <v>6.3</v>
      </c>
      <c r="CD147" s="328"/>
      <c r="CE147" s="328"/>
      <c r="CF147" s="328"/>
      <c r="CG147" s="328"/>
      <c r="CH147" s="328"/>
      <c r="CI147" s="328"/>
      <c r="CJ147" s="328"/>
      <c r="CK147" s="328" t="s">
        <v>8377</v>
      </c>
      <c r="CL147" s="328"/>
      <c r="CM147" s="328"/>
    </row>
    <row r="148" spans="1:91">
      <c r="A148" s="154" t="s">
        <v>7633</v>
      </c>
      <c r="B148" t="s">
        <v>8287</v>
      </c>
      <c r="C148">
        <v>2</v>
      </c>
      <c r="D148">
        <v>1342</v>
      </c>
      <c r="E148" s="113">
        <v>42</v>
      </c>
      <c r="F148" s="113">
        <v>13</v>
      </c>
      <c r="I148">
        <v>25.499999999999996</v>
      </c>
      <c r="K148" s="320">
        <v>9</v>
      </c>
      <c r="L148" s="320"/>
      <c r="M148">
        <v>1.99</v>
      </c>
      <c r="N148" s="320"/>
      <c r="O148"/>
      <c r="P148"/>
      <c r="Q148"/>
      <c r="S148" s="320">
        <v>8.9314307136000011</v>
      </c>
      <c r="T148" s="320"/>
      <c r="U148">
        <v>10.8</v>
      </c>
      <c r="V148"/>
      <c r="W148"/>
      <c r="X148"/>
      <c r="Y148" s="321">
        <v>3.1080959999999997</v>
      </c>
      <c r="Z148" s="320"/>
      <c r="AA148" s="322">
        <v>46153.846153846149</v>
      </c>
      <c r="AB148" s="320"/>
      <c r="AC148" s="321">
        <v>18.041471999999999</v>
      </c>
      <c r="AD148" s="320"/>
      <c r="AE148" s="320">
        <v>19.2</v>
      </c>
      <c r="AF148" s="320"/>
      <c r="AG148">
        <v>4.16</v>
      </c>
      <c r="AH148"/>
      <c r="AI148">
        <v>135</v>
      </c>
      <c r="AJ148"/>
      <c r="AK148"/>
      <c r="AL148"/>
      <c r="AM148"/>
      <c r="AN148"/>
      <c r="AO148">
        <v>81</v>
      </c>
      <c r="AP148"/>
      <c r="AQ148" s="323"/>
      <c r="AR148" s="323"/>
      <c r="AS148">
        <v>114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>
        <v>57.962000000000003</v>
      </c>
      <c r="BH148"/>
      <c r="BI148">
        <v>4.6073000000000004</v>
      </c>
      <c r="BJ148"/>
      <c r="BK148">
        <v>0.77237</v>
      </c>
      <c r="BL148"/>
      <c r="BM148">
        <v>5.7385999999999999</v>
      </c>
      <c r="BN148"/>
      <c r="BO148">
        <v>14.41</v>
      </c>
      <c r="BP148"/>
      <c r="BQ148">
        <v>10.459</v>
      </c>
      <c r="BR148"/>
      <c r="BS148">
        <v>49.505000000000003</v>
      </c>
      <c r="BT148"/>
      <c r="BU148">
        <v>18.401</v>
      </c>
      <c r="BV148"/>
      <c r="BW148">
        <v>57.238</v>
      </c>
      <c r="BX148" s="324"/>
      <c r="BY148">
        <v>6.1919999999999931</v>
      </c>
      <c r="BZ148"/>
      <c r="CA148"/>
      <c r="CC148">
        <v>5.16</v>
      </c>
      <c r="CD148"/>
      <c r="CE148"/>
      <c r="CF148"/>
      <c r="CG148"/>
      <c r="CH148"/>
      <c r="CI148"/>
      <c r="CJ148"/>
      <c r="CK148"/>
      <c r="CL148"/>
      <c r="CM148"/>
    </row>
    <row r="149" spans="1:91">
      <c r="A149" s="154" t="s">
        <v>7633</v>
      </c>
      <c r="B149" t="s">
        <v>8289</v>
      </c>
      <c r="C149">
        <v>1</v>
      </c>
      <c r="D149">
        <v>1703</v>
      </c>
      <c r="E149" s="113">
        <v>3</v>
      </c>
      <c r="F149" s="113">
        <v>17</v>
      </c>
      <c r="I149">
        <v>27.499999999999996</v>
      </c>
      <c r="K149" s="320">
        <v>8</v>
      </c>
      <c r="L149" s="320"/>
      <c r="M149">
        <v>2.82</v>
      </c>
      <c r="N149" s="320"/>
      <c r="O149"/>
      <c r="P149"/>
      <c r="Q149"/>
      <c r="S149" s="320">
        <v>12.42044101944</v>
      </c>
      <c r="T149" s="320"/>
      <c r="U149">
        <v>10.8</v>
      </c>
      <c r="V149"/>
      <c r="W149"/>
      <c r="X149"/>
      <c r="Y149" s="321">
        <v>4.6361052000000003</v>
      </c>
      <c r="Z149" s="320"/>
      <c r="AA149" s="322">
        <v>65097.087378640776</v>
      </c>
      <c r="AB149" s="320"/>
      <c r="AC149" s="321">
        <v>25.126317</v>
      </c>
      <c r="AD149" s="320"/>
      <c r="AE149" s="320">
        <v>26.82</v>
      </c>
      <c r="AF149" s="320"/>
      <c r="AG149">
        <v>4.12</v>
      </c>
      <c r="AH149"/>
      <c r="AI149">
        <v>128</v>
      </c>
      <c r="AJ149"/>
      <c r="AK149"/>
      <c r="AL149"/>
      <c r="AM149"/>
      <c r="AN149"/>
      <c r="AO149">
        <v>79</v>
      </c>
      <c r="AP149"/>
      <c r="AQ149" s="323"/>
      <c r="AR149" s="323"/>
      <c r="AS149">
        <v>114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>
        <v>54.551000000000002</v>
      </c>
      <c r="BH149"/>
      <c r="BI149">
        <v>4.4116</v>
      </c>
      <c r="BJ149"/>
      <c r="BK149">
        <v>0.81691000000000003</v>
      </c>
      <c r="BL149"/>
      <c r="BM149">
        <v>8.6849000000000007</v>
      </c>
      <c r="BN149"/>
      <c r="BO149">
        <v>14.333</v>
      </c>
      <c r="BP149"/>
      <c r="BQ149">
        <v>10.35</v>
      </c>
      <c r="BR149"/>
      <c r="BS149">
        <v>49.432000000000002</v>
      </c>
      <c r="BT149"/>
      <c r="BU149">
        <v>18.802</v>
      </c>
      <c r="BV149"/>
      <c r="BW149">
        <v>57.212000000000003</v>
      </c>
      <c r="BX149" s="324"/>
      <c r="BY149">
        <v>6.3340000000000032</v>
      </c>
      <c r="BZ149"/>
      <c r="CA149"/>
      <c r="CC149">
        <v>6.53</v>
      </c>
      <c r="CD149"/>
      <c r="CE149"/>
      <c r="CF149"/>
      <c r="CG149"/>
      <c r="CH149"/>
      <c r="CI149"/>
      <c r="CJ149"/>
      <c r="CK149"/>
      <c r="CL149"/>
      <c r="CM149"/>
    </row>
    <row r="150" spans="1:91">
      <c r="A150" s="154" t="s">
        <v>7634</v>
      </c>
      <c r="B150" t="s">
        <v>8287</v>
      </c>
      <c r="C150">
        <v>1</v>
      </c>
      <c r="D150">
        <v>519</v>
      </c>
      <c r="E150" s="113">
        <v>19</v>
      </c>
      <c r="F150" s="113">
        <v>5</v>
      </c>
      <c r="I150">
        <v>34</v>
      </c>
      <c r="K150" s="320">
        <v>8</v>
      </c>
      <c r="L150" s="320"/>
      <c r="M150">
        <v>2.5299999999999998</v>
      </c>
      <c r="N150" s="320"/>
      <c r="O150"/>
      <c r="P150"/>
      <c r="Q150"/>
      <c r="S150" s="320">
        <v>11.196290303380001</v>
      </c>
      <c r="T150" s="320"/>
      <c r="U150">
        <v>10.8</v>
      </c>
      <c r="V150"/>
      <c r="W150"/>
      <c r="X150"/>
      <c r="Y150" s="321">
        <v>4.1069854000000001</v>
      </c>
      <c r="Z150" s="320"/>
      <c r="AA150" s="322">
        <v>48830.645161290318</v>
      </c>
      <c r="AB150" s="320"/>
      <c r="AC150" s="321">
        <v>22.638434</v>
      </c>
      <c r="AD150" s="320"/>
      <c r="AE150" s="320">
        <v>24.22</v>
      </c>
      <c r="AF150" s="320"/>
      <c r="AG150">
        <v>4.96</v>
      </c>
      <c r="AH150"/>
      <c r="AI150">
        <v>128</v>
      </c>
      <c r="AJ150"/>
      <c r="AK150"/>
      <c r="AL150"/>
      <c r="AM150"/>
      <c r="AN150"/>
      <c r="AO150">
        <v>79</v>
      </c>
      <c r="AP150"/>
      <c r="AQ150" s="323"/>
      <c r="AR150" s="323"/>
      <c r="AS150">
        <v>112</v>
      </c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>
        <v>50.26</v>
      </c>
      <c r="BH150"/>
      <c r="BI150">
        <v>4.2443</v>
      </c>
      <c r="BJ150"/>
      <c r="BK150">
        <v>0.90147999999999995</v>
      </c>
      <c r="BL150"/>
      <c r="BM150">
        <v>17.207999999999998</v>
      </c>
      <c r="BN150"/>
      <c r="BO150">
        <v>13.307</v>
      </c>
      <c r="BP150"/>
      <c r="BQ150">
        <v>9.9392999999999994</v>
      </c>
      <c r="BR150"/>
      <c r="BS150">
        <v>49.457000000000001</v>
      </c>
      <c r="BT150"/>
      <c r="BU150">
        <v>19.841999999999999</v>
      </c>
      <c r="BV150"/>
      <c r="BW150">
        <v>57.917999999999999</v>
      </c>
      <c r="BX150" s="324"/>
      <c r="BY150">
        <v>6.090999999999994</v>
      </c>
      <c r="BZ150"/>
      <c r="CA150"/>
      <c r="CC150">
        <v>5.93</v>
      </c>
      <c r="CD150"/>
      <c r="CE150"/>
      <c r="CF150"/>
      <c r="CG150"/>
      <c r="CH150"/>
      <c r="CI150"/>
      <c r="CJ150"/>
      <c r="CK150"/>
      <c r="CL150"/>
      <c r="CM150"/>
    </row>
    <row r="151" spans="1:91">
      <c r="A151" s="327" t="s">
        <v>7634</v>
      </c>
      <c r="B151" s="328" t="s">
        <v>8289</v>
      </c>
      <c r="C151" s="328">
        <v>2</v>
      </c>
      <c r="D151" s="328">
        <v>865</v>
      </c>
      <c r="E151" s="113">
        <v>65</v>
      </c>
      <c r="F151" s="113">
        <v>8</v>
      </c>
      <c r="G151" s="329"/>
      <c r="H151" s="329"/>
      <c r="I151" s="328">
        <v>32.5</v>
      </c>
      <c r="J151" s="330"/>
      <c r="K151" s="331">
        <v>8</v>
      </c>
      <c r="L151" s="331"/>
      <c r="M151" s="328">
        <v>2.38</v>
      </c>
      <c r="N151" s="331"/>
      <c r="O151" s="328"/>
      <c r="P151" s="328"/>
      <c r="Q151" s="328"/>
      <c r="R151" s="332"/>
      <c r="S151" s="331">
        <v>9.838366083263999</v>
      </c>
      <c r="T151" s="331"/>
      <c r="U151" s="328">
        <v>10.8</v>
      </c>
      <c r="V151" s="328"/>
      <c r="W151" s="328"/>
      <c r="X151" s="328"/>
      <c r="Y151" s="333">
        <v>4.2203952000000005</v>
      </c>
      <c r="Z151" s="331"/>
      <c r="AA151" s="334">
        <v>41862.197392923648</v>
      </c>
      <c r="AB151" s="331"/>
      <c r="AC151" s="333">
        <v>20.876726399999999</v>
      </c>
      <c r="AD151" s="331"/>
      <c r="AE151" s="331">
        <v>22.48</v>
      </c>
      <c r="AF151" s="331"/>
      <c r="AG151" s="328">
        <v>5.37</v>
      </c>
      <c r="AH151" s="328"/>
      <c r="AI151" s="328">
        <v>115</v>
      </c>
      <c r="AJ151" s="328"/>
      <c r="AK151" s="328"/>
      <c r="AL151" s="328"/>
      <c r="AM151" s="328"/>
      <c r="AN151" s="328"/>
      <c r="AO151" s="328">
        <v>81</v>
      </c>
      <c r="AP151" s="328"/>
      <c r="AQ151" s="335"/>
      <c r="AR151" s="335"/>
      <c r="AS151" s="328">
        <v>112</v>
      </c>
      <c r="AT151" s="328"/>
      <c r="AU151" s="328"/>
      <c r="AV151" s="328"/>
      <c r="AW151" s="328"/>
      <c r="AX151" s="328"/>
      <c r="AY151" s="328"/>
      <c r="AZ151" s="328"/>
      <c r="BA151" s="328"/>
      <c r="BB151" s="328"/>
      <c r="BC151" s="328"/>
      <c r="BD151" s="328"/>
      <c r="BE151" s="328"/>
      <c r="BF151" s="328"/>
      <c r="BG151" s="328">
        <v>52.362000000000002</v>
      </c>
      <c r="BH151" s="328"/>
      <c r="BI151" s="328">
        <v>4.4748000000000001</v>
      </c>
      <c r="BJ151" s="328"/>
      <c r="BK151" s="328">
        <v>0.73072000000000004</v>
      </c>
      <c r="BL151" s="328"/>
      <c r="BM151" s="328">
        <v>4.3231000000000002</v>
      </c>
      <c r="BN151" s="328"/>
      <c r="BO151" s="328">
        <v>16.111999999999998</v>
      </c>
      <c r="BP151" s="328"/>
      <c r="BQ151" s="328">
        <v>8.3622999999999994</v>
      </c>
      <c r="BR151" s="328"/>
      <c r="BS151" s="328">
        <v>47.125999999999998</v>
      </c>
      <c r="BT151" s="328"/>
      <c r="BU151" s="328">
        <v>20.74</v>
      </c>
      <c r="BV151" s="328"/>
      <c r="BW151" s="336">
        <v>13.28</v>
      </c>
      <c r="BX151" s="328"/>
      <c r="BY151" s="328">
        <v>6.5750000000000028</v>
      </c>
      <c r="BZ151" s="328"/>
      <c r="CA151" s="328"/>
      <c r="CB151" s="337"/>
      <c r="CC151" s="328">
        <v>7.16</v>
      </c>
      <c r="CD151" s="328"/>
      <c r="CE151" s="328"/>
      <c r="CF151" s="328"/>
      <c r="CG151" s="328"/>
      <c r="CH151" s="328"/>
      <c r="CI151" s="328"/>
      <c r="CJ151" s="328"/>
      <c r="CK151" s="328" t="s">
        <v>8377</v>
      </c>
      <c r="CL151" s="328"/>
      <c r="CM151" s="328"/>
    </row>
    <row r="152" spans="1:91">
      <c r="A152" s="154" t="s">
        <v>7634</v>
      </c>
      <c r="B152" t="s">
        <v>8289</v>
      </c>
      <c r="C152">
        <v>1</v>
      </c>
      <c r="D152">
        <v>1136</v>
      </c>
      <c r="E152" s="113">
        <v>36</v>
      </c>
      <c r="F152" s="113">
        <v>11</v>
      </c>
      <c r="I152">
        <v>28.5</v>
      </c>
      <c r="K152" s="320">
        <v>8</v>
      </c>
      <c r="L152" s="320"/>
      <c r="M152">
        <v>2.62</v>
      </c>
      <c r="N152" s="320"/>
      <c r="O152"/>
      <c r="P152"/>
      <c r="Q152"/>
      <c r="S152" s="320">
        <v>11.407044394328</v>
      </c>
      <c r="T152" s="320"/>
      <c r="U152">
        <v>10.8</v>
      </c>
      <c r="V152"/>
      <c r="W152"/>
      <c r="X152"/>
      <c r="Y152" s="321">
        <v>4.7838300999999994</v>
      </c>
      <c r="Z152" s="320"/>
      <c r="AA152" s="322">
        <v>49342.629482071716</v>
      </c>
      <c r="AB152" s="320"/>
      <c r="AC152" s="321">
        <v>23.162922399999999</v>
      </c>
      <c r="AD152" s="320"/>
      <c r="AE152" s="320">
        <v>24.77</v>
      </c>
      <c r="AF152" s="320"/>
      <c r="AG152">
        <v>5.0199999999999996</v>
      </c>
      <c r="AH152"/>
      <c r="AI152">
        <v>123</v>
      </c>
      <c r="AJ152"/>
      <c r="AK152"/>
      <c r="AL152"/>
      <c r="AM152"/>
      <c r="AN152"/>
      <c r="AO152">
        <v>79</v>
      </c>
      <c r="AP152"/>
      <c r="AQ152" s="323"/>
      <c r="AR152" s="323"/>
      <c r="AS152">
        <v>112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56.56</v>
      </c>
      <c r="BH152"/>
      <c r="BI152">
        <v>4.375</v>
      </c>
      <c r="BJ152"/>
      <c r="BK152">
        <v>0.60438000000000003</v>
      </c>
      <c r="BL152"/>
      <c r="BM152">
        <v>2.0842999999999998</v>
      </c>
      <c r="BN152"/>
      <c r="BO152">
        <v>15.877000000000001</v>
      </c>
      <c r="BP152"/>
      <c r="BQ152">
        <v>9.9581</v>
      </c>
      <c r="BR152"/>
      <c r="BS152">
        <v>49.247</v>
      </c>
      <c r="BT152"/>
      <c r="BU152">
        <v>20.568999999999999</v>
      </c>
      <c r="BV152"/>
      <c r="BW152">
        <v>53.384999999999998</v>
      </c>
      <c r="BX152" s="324"/>
      <c r="BY152">
        <v>6.2180000000000035</v>
      </c>
      <c r="BZ152"/>
      <c r="CA152"/>
      <c r="CC152">
        <v>7.1</v>
      </c>
      <c r="CD152"/>
      <c r="CE152"/>
      <c r="CF152"/>
      <c r="CG152"/>
      <c r="CH152"/>
      <c r="CI152"/>
      <c r="CJ152"/>
      <c r="CK152"/>
      <c r="CL152"/>
      <c r="CM152"/>
    </row>
    <row r="153" spans="1:91">
      <c r="A153" s="154" t="s">
        <v>7634</v>
      </c>
      <c r="B153" t="s">
        <v>8287</v>
      </c>
      <c r="C153">
        <v>2</v>
      </c>
      <c r="D153">
        <v>1255</v>
      </c>
      <c r="E153" s="113">
        <v>55</v>
      </c>
      <c r="F153" s="113">
        <v>12</v>
      </c>
      <c r="I153">
        <v>35.499999999999993</v>
      </c>
      <c r="K153" s="320">
        <v>9</v>
      </c>
      <c r="L153" s="320"/>
      <c r="M153">
        <v>2.36</v>
      </c>
      <c r="N153" s="320"/>
      <c r="O153"/>
      <c r="P153"/>
      <c r="Q153"/>
      <c r="S153" s="320">
        <v>10.298788167900002</v>
      </c>
      <c r="T153" s="320"/>
      <c r="U153">
        <v>10.8</v>
      </c>
      <c r="V153"/>
      <c r="W153"/>
      <c r="X153"/>
      <c r="Y153" s="321">
        <v>3.6293340000000005</v>
      </c>
      <c r="Z153" s="320"/>
      <c r="AA153" s="322">
        <v>48497.854077253214</v>
      </c>
      <c r="AB153" s="320"/>
      <c r="AC153" s="321">
        <v>21.145238000000003</v>
      </c>
      <c r="AD153" s="320"/>
      <c r="AE153" s="320">
        <v>22.6</v>
      </c>
      <c r="AF153" s="320"/>
      <c r="AG153">
        <v>4.66</v>
      </c>
      <c r="AH153"/>
      <c r="AI153">
        <v>130</v>
      </c>
      <c r="AJ153"/>
      <c r="AK153"/>
      <c r="AL153"/>
      <c r="AM153"/>
      <c r="AN153"/>
      <c r="AO153">
        <v>79</v>
      </c>
      <c r="AP153"/>
      <c r="AQ153" s="323"/>
      <c r="AR153" s="323"/>
      <c r="AS153">
        <v>112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>
        <v>55.622999999999998</v>
      </c>
      <c r="BH153"/>
      <c r="BI153">
        <v>4.4549000000000003</v>
      </c>
      <c r="BJ153"/>
      <c r="BK153">
        <v>0.64754</v>
      </c>
      <c r="BL153"/>
      <c r="BM153">
        <v>7.5629999999999997</v>
      </c>
      <c r="BN153"/>
      <c r="BO153">
        <v>15.772</v>
      </c>
      <c r="BP153"/>
      <c r="BQ153">
        <v>10.273</v>
      </c>
      <c r="BR153"/>
      <c r="BS153">
        <v>48.704999999999998</v>
      </c>
      <c r="BT153"/>
      <c r="BU153">
        <v>20.004000000000001</v>
      </c>
      <c r="BV153"/>
      <c r="BW153">
        <v>74.057000000000002</v>
      </c>
      <c r="BX153" s="324"/>
      <c r="BY153">
        <v>6.195999999999998</v>
      </c>
      <c r="BZ153"/>
      <c r="CA153"/>
      <c r="CC153">
        <v>5.9</v>
      </c>
      <c r="CD153"/>
      <c r="CE153"/>
      <c r="CF153"/>
      <c r="CG153"/>
      <c r="CH153"/>
      <c r="CI153"/>
      <c r="CJ153"/>
      <c r="CK153"/>
      <c r="CL153"/>
      <c r="CM153"/>
    </row>
    <row r="154" spans="1:91">
      <c r="A154" s="154" t="s">
        <v>7635</v>
      </c>
      <c r="B154" t="s">
        <v>8289</v>
      </c>
      <c r="C154">
        <v>2</v>
      </c>
      <c r="D154">
        <v>573</v>
      </c>
      <c r="E154" s="113">
        <v>73</v>
      </c>
      <c r="F154" s="113">
        <v>5</v>
      </c>
      <c r="I154">
        <v>18</v>
      </c>
      <c r="K154" s="320">
        <v>9</v>
      </c>
      <c r="L154" s="320"/>
      <c r="M154">
        <v>1.86</v>
      </c>
      <c r="N154" s="320"/>
      <c r="O154"/>
      <c r="P154"/>
      <c r="Q154"/>
      <c r="S154" s="320">
        <v>7.822980026004001</v>
      </c>
      <c r="T154" s="320"/>
      <c r="U154">
        <v>10.8</v>
      </c>
      <c r="V154"/>
      <c r="W154"/>
      <c r="X154"/>
      <c r="Y154" s="321">
        <v>3.6156276000000003</v>
      </c>
      <c r="Z154" s="320"/>
      <c r="AA154" s="322">
        <v>43125</v>
      </c>
      <c r="AB154" s="320"/>
      <c r="AC154" s="321">
        <v>16.686532200000002</v>
      </c>
      <c r="AD154" s="320"/>
      <c r="AE154" s="320">
        <v>17.940000000000001</v>
      </c>
      <c r="AF154" s="320"/>
      <c r="AG154">
        <v>4.16</v>
      </c>
      <c r="AH154"/>
      <c r="AI154">
        <v>118</v>
      </c>
      <c r="AJ154"/>
      <c r="AK154"/>
      <c r="AL154"/>
      <c r="AM154"/>
      <c r="AN154"/>
      <c r="AO154">
        <v>72</v>
      </c>
      <c r="AP154"/>
      <c r="AQ154" s="323"/>
      <c r="AR154" s="323"/>
      <c r="AS154">
        <v>110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49.415999999999997</v>
      </c>
      <c r="BH154"/>
      <c r="BI154">
        <v>4.2312000000000003</v>
      </c>
      <c r="BJ154"/>
      <c r="BK154">
        <v>0.85101000000000004</v>
      </c>
      <c r="BL154"/>
      <c r="BM154">
        <v>11.843999999999999</v>
      </c>
      <c r="BN154"/>
      <c r="BO154">
        <v>16.393000000000001</v>
      </c>
      <c r="BP154"/>
      <c r="BQ154">
        <v>9.8102999999999998</v>
      </c>
      <c r="BR154"/>
      <c r="BS154">
        <v>46.881999999999998</v>
      </c>
      <c r="BT154"/>
      <c r="BU154">
        <v>20.353000000000002</v>
      </c>
      <c r="BV154"/>
      <c r="BW154" s="325">
        <v>23.15</v>
      </c>
      <c r="BX154"/>
      <c r="BY154">
        <v>6.5330000000000013</v>
      </c>
      <c r="BZ154"/>
      <c r="CA154"/>
      <c r="CC154">
        <v>5.23</v>
      </c>
      <c r="CD154"/>
      <c r="CE154"/>
      <c r="CF154"/>
      <c r="CG154"/>
      <c r="CH154"/>
      <c r="CI154"/>
      <c r="CJ154"/>
      <c r="CK154"/>
      <c r="CL154"/>
      <c r="CM154"/>
    </row>
    <row r="155" spans="1:91">
      <c r="A155" s="327" t="s">
        <v>7635</v>
      </c>
      <c r="B155" s="328" t="s">
        <v>8287</v>
      </c>
      <c r="C155" s="328">
        <v>1</v>
      </c>
      <c r="D155" s="328">
        <v>804</v>
      </c>
      <c r="E155" s="113">
        <v>4</v>
      </c>
      <c r="F155" s="113">
        <v>8</v>
      </c>
      <c r="G155" s="329"/>
      <c r="H155" s="329"/>
      <c r="I155" s="328">
        <v>28.5</v>
      </c>
      <c r="J155" s="330"/>
      <c r="K155" s="331">
        <v>9</v>
      </c>
      <c r="L155" s="331"/>
      <c r="M155" s="328">
        <v>2.12</v>
      </c>
      <c r="N155" s="331"/>
      <c r="O155" s="328"/>
      <c r="P155" s="328"/>
      <c r="Q155" s="328"/>
      <c r="R155" s="332"/>
      <c r="S155" s="331">
        <v>9.9348486076249998</v>
      </c>
      <c r="T155" s="331"/>
      <c r="U155" s="328">
        <v>10.8</v>
      </c>
      <c r="V155" s="328"/>
      <c r="W155" s="328"/>
      <c r="X155" s="328"/>
      <c r="Y155" s="333">
        <v>3.4290099999999994</v>
      </c>
      <c r="Z155" s="331"/>
      <c r="AA155" s="334">
        <v>49852.579852579845</v>
      </c>
      <c r="AB155" s="331"/>
      <c r="AC155" s="333">
        <v>19.047237499999998</v>
      </c>
      <c r="AD155" s="331"/>
      <c r="AE155" s="331">
        <v>20.29</v>
      </c>
      <c r="AF155" s="331"/>
      <c r="AG155" s="328">
        <v>4.07</v>
      </c>
      <c r="AH155" s="328"/>
      <c r="AI155" s="328">
        <v>118</v>
      </c>
      <c r="AJ155" s="328"/>
      <c r="AK155" s="328"/>
      <c r="AL155" s="328"/>
      <c r="AM155" s="328"/>
      <c r="AN155" s="328"/>
      <c r="AO155" s="328">
        <v>72</v>
      </c>
      <c r="AP155" s="328"/>
      <c r="AQ155" s="335"/>
      <c r="AR155" s="335"/>
      <c r="AS155" s="328">
        <v>112</v>
      </c>
      <c r="AT155" s="328"/>
      <c r="AU155" s="328"/>
      <c r="AV155" s="328"/>
      <c r="AW155" s="328"/>
      <c r="AX155" s="328"/>
      <c r="AY155" s="328"/>
      <c r="AZ155" s="328"/>
      <c r="BA155" s="328"/>
      <c r="BB155" s="328"/>
      <c r="BC155" s="328"/>
      <c r="BD155" s="328"/>
      <c r="BE155" s="328"/>
      <c r="BF155" s="328"/>
      <c r="BG155" s="328">
        <v>50.094999999999999</v>
      </c>
      <c r="BH155" s="328"/>
      <c r="BI155" s="328">
        <v>4.2637999999999998</v>
      </c>
      <c r="BJ155" s="328"/>
      <c r="BK155" s="328">
        <v>0.84938000000000002</v>
      </c>
      <c r="BL155" s="328"/>
      <c r="BM155" s="328">
        <v>13.904999999999999</v>
      </c>
      <c r="BN155" s="328"/>
      <c r="BO155" s="328">
        <v>15.156000000000001</v>
      </c>
      <c r="BP155" s="328"/>
      <c r="BQ155" s="328">
        <v>9.5189000000000004</v>
      </c>
      <c r="BR155" s="328"/>
      <c r="BS155" s="328">
        <v>52.158999999999999</v>
      </c>
      <c r="BT155" s="328"/>
      <c r="BU155" s="328">
        <v>17.960999999999999</v>
      </c>
      <c r="BV155" s="328"/>
      <c r="BW155" s="336">
        <v>12.89</v>
      </c>
      <c r="BX155" s="328"/>
      <c r="BY155" s="328">
        <v>6.1689999999999969</v>
      </c>
      <c r="BZ155" s="328"/>
      <c r="CA155" s="328"/>
      <c r="CB155" s="337"/>
      <c r="CC155" s="328">
        <v>5.94</v>
      </c>
      <c r="CD155" s="328"/>
      <c r="CE155" s="328"/>
      <c r="CF155" s="328"/>
      <c r="CG155" s="328"/>
      <c r="CH155" s="328"/>
      <c r="CI155" s="328"/>
      <c r="CJ155" s="328"/>
      <c r="CK155" s="328" t="s">
        <v>8377</v>
      </c>
      <c r="CL155" s="328"/>
      <c r="CM155" s="328"/>
    </row>
    <row r="156" spans="1:91">
      <c r="A156" s="154" t="s">
        <v>7635</v>
      </c>
      <c r="B156" t="s">
        <v>8287</v>
      </c>
      <c r="C156">
        <v>2</v>
      </c>
      <c r="D156">
        <v>1059</v>
      </c>
      <c r="E156" s="113">
        <v>59</v>
      </c>
      <c r="F156" s="113">
        <v>10</v>
      </c>
      <c r="I156">
        <v>32</v>
      </c>
      <c r="K156" s="320">
        <v>9</v>
      </c>
      <c r="L156" s="320"/>
      <c r="M156">
        <v>2.27</v>
      </c>
      <c r="N156" s="320"/>
      <c r="O156"/>
      <c r="P156"/>
      <c r="Q156"/>
      <c r="S156" s="320">
        <v>9.5777213081399992</v>
      </c>
      <c r="T156" s="320"/>
      <c r="U156">
        <v>10.8</v>
      </c>
      <c r="V156"/>
      <c r="W156"/>
      <c r="X156"/>
      <c r="Y156" s="321">
        <v>3.8992392000000002</v>
      </c>
      <c r="Z156" s="320"/>
      <c r="AA156" s="322">
        <v>56339.522546419095</v>
      </c>
      <c r="AB156" s="320"/>
      <c r="AC156" s="321">
        <v>19.848142799999998</v>
      </c>
      <c r="AD156" s="320"/>
      <c r="AE156" s="320">
        <v>21.24</v>
      </c>
      <c r="AF156" s="320"/>
      <c r="AG156">
        <v>3.77</v>
      </c>
      <c r="AH156"/>
      <c r="AI156">
        <v>123</v>
      </c>
      <c r="AJ156"/>
      <c r="AK156"/>
      <c r="AL156"/>
      <c r="AM156"/>
      <c r="AN156"/>
      <c r="AO156">
        <v>69</v>
      </c>
      <c r="AP156"/>
      <c r="AQ156" s="323"/>
      <c r="AR156" s="323"/>
      <c r="AS156">
        <v>112</v>
      </c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>
        <v>56.484000000000002</v>
      </c>
      <c r="BH156"/>
      <c r="BI156">
        <v>3.9676</v>
      </c>
      <c r="BJ156"/>
      <c r="BK156">
        <v>0.76027</v>
      </c>
      <c r="BL156"/>
      <c r="BM156">
        <v>10.925000000000001</v>
      </c>
      <c r="BN156"/>
      <c r="BO156">
        <v>15.005000000000001</v>
      </c>
      <c r="BP156"/>
      <c r="BQ156">
        <v>10.364000000000001</v>
      </c>
      <c r="BR156"/>
      <c r="BS156">
        <v>48.255000000000003</v>
      </c>
      <c r="BT156"/>
      <c r="BU156">
        <v>19.923999999999999</v>
      </c>
      <c r="BV156"/>
      <c r="BW156">
        <v>50.704999999999998</v>
      </c>
      <c r="BX156" s="324"/>
      <c r="BY156">
        <v>6.3780000000000001</v>
      </c>
      <c r="BZ156"/>
      <c r="CA156"/>
      <c r="CC156">
        <v>8.02</v>
      </c>
      <c r="CD156"/>
      <c r="CE156"/>
      <c r="CF156"/>
      <c r="CG156"/>
      <c r="CH156"/>
      <c r="CI156"/>
      <c r="CJ156"/>
      <c r="CK156"/>
      <c r="CL156"/>
      <c r="CM156"/>
    </row>
    <row r="157" spans="1:91">
      <c r="A157" s="154" t="s">
        <v>7635</v>
      </c>
      <c r="B157" t="s">
        <v>8289</v>
      </c>
      <c r="C157">
        <v>1</v>
      </c>
      <c r="D157">
        <v>1716</v>
      </c>
      <c r="E157" s="113">
        <v>16</v>
      </c>
      <c r="F157" s="113">
        <v>17</v>
      </c>
      <c r="I157">
        <v>28.5</v>
      </c>
      <c r="K157" s="320">
        <v>8</v>
      </c>
      <c r="L157" s="320"/>
      <c r="M157">
        <v>2.35</v>
      </c>
      <c r="N157" s="320"/>
      <c r="O157"/>
      <c r="P157"/>
      <c r="Q157"/>
      <c r="S157" s="320">
        <v>10.432009462308001</v>
      </c>
      <c r="T157" s="320"/>
      <c r="U157">
        <v>10.8</v>
      </c>
      <c r="V157"/>
      <c r="W157"/>
      <c r="X157"/>
      <c r="Y157" s="321">
        <v>4.1642650000000003</v>
      </c>
      <c r="Z157" s="320"/>
      <c r="AA157" s="322">
        <v>59315.789473684214</v>
      </c>
      <c r="AB157" s="320"/>
      <c r="AC157" s="321">
        <v>21.0879732</v>
      </c>
      <c r="AD157" s="320"/>
      <c r="AE157" s="320">
        <v>22.54</v>
      </c>
      <c r="AF157" s="320"/>
      <c r="AG157">
        <v>3.8</v>
      </c>
      <c r="AH157"/>
      <c r="AI157">
        <v>100</v>
      </c>
      <c r="AJ157"/>
      <c r="AK157"/>
      <c r="AL157"/>
      <c r="AM157"/>
      <c r="AN157"/>
      <c r="AO157">
        <v>72</v>
      </c>
      <c r="AP157"/>
      <c r="AQ157" s="323"/>
      <c r="AR157" s="323"/>
      <c r="AS157">
        <v>114</v>
      </c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>
        <v>50.779000000000003</v>
      </c>
      <c r="BH157"/>
      <c r="BI157">
        <v>4.4831000000000003</v>
      </c>
      <c r="BJ157"/>
      <c r="BK157">
        <v>0.82908999999999999</v>
      </c>
      <c r="BL157"/>
      <c r="BM157">
        <v>13.779</v>
      </c>
      <c r="BN157"/>
      <c r="BO157">
        <v>16.553999999999998</v>
      </c>
      <c r="BP157"/>
      <c r="BQ157">
        <v>9.8854000000000006</v>
      </c>
      <c r="BR157"/>
      <c r="BS157">
        <v>49.469000000000001</v>
      </c>
      <c r="BT157"/>
      <c r="BU157">
        <v>19.372</v>
      </c>
      <c r="BV157"/>
      <c r="BW157" s="324">
        <v>37.453000000000003</v>
      </c>
      <c r="BX157" s="324"/>
      <c r="BY157">
        <v>6.186000000000007</v>
      </c>
      <c r="BZ157"/>
      <c r="CA157"/>
      <c r="CC157">
        <v>5.75</v>
      </c>
      <c r="CD157"/>
      <c r="CE157"/>
      <c r="CF157"/>
      <c r="CG157"/>
      <c r="CH157"/>
      <c r="CI157"/>
      <c r="CJ157"/>
      <c r="CK157"/>
      <c r="CL157"/>
      <c r="CM157"/>
    </row>
    <row r="158" spans="1:91">
      <c r="A158" s="327" t="s">
        <v>7636</v>
      </c>
      <c r="B158" s="328" t="s">
        <v>8289</v>
      </c>
      <c r="C158" s="328">
        <v>2</v>
      </c>
      <c r="D158" s="328">
        <v>348</v>
      </c>
      <c r="E158" s="113">
        <v>48</v>
      </c>
      <c r="F158" s="113">
        <v>3</v>
      </c>
      <c r="G158" s="329"/>
      <c r="H158" s="329"/>
      <c r="I158" s="328">
        <v>35.499999999999993</v>
      </c>
      <c r="J158" s="330"/>
      <c r="K158" s="331">
        <v>8</v>
      </c>
      <c r="L158" s="331"/>
      <c r="M158" s="328">
        <v>2.87</v>
      </c>
      <c r="N158" s="331"/>
      <c r="O158" s="328"/>
      <c r="P158" s="328"/>
      <c r="Q158" s="328"/>
      <c r="R158" s="332"/>
      <c r="S158" s="331">
        <v>13.232281948892998</v>
      </c>
      <c r="T158" s="331"/>
      <c r="U158" s="328">
        <v>10.8</v>
      </c>
      <c r="V158" s="328"/>
      <c r="W158" s="328"/>
      <c r="X158" s="328"/>
      <c r="Y158" s="333">
        <v>5.8771772999999996</v>
      </c>
      <c r="Z158" s="331"/>
      <c r="AA158" s="334">
        <v>58291.139240506323</v>
      </c>
      <c r="AB158" s="331"/>
      <c r="AC158" s="333">
        <v>25.760277899999998</v>
      </c>
      <c r="AD158" s="331"/>
      <c r="AE158" s="331">
        <v>27.63</v>
      </c>
      <c r="AF158" s="331"/>
      <c r="AG158" s="328">
        <v>4.74</v>
      </c>
      <c r="AH158" s="328"/>
      <c r="AI158" s="328">
        <v>125</v>
      </c>
      <c r="AJ158" s="328"/>
      <c r="AK158" s="328"/>
      <c r="AL158" s="328"/>
      <c r="AM158" s="328"/>
      <c r="AN158" s="328"/>
      <c r="AO158" s="328">
        <v>77</v>
      </c>
      <c r="AP158" s="328"/>
      <c r="AQ158" s="335"/>
      <c r="AR158" s="335"/>
      <c r="AS158" s="328">
        <v>112</v>
      </c>
      <c r="AT158" s="328"/>
      <c r="AU158" s="328"/>
      <c r="AV158" s="328"/>
      <c r="AW158" s="328"/>
      <c r="AX158" s="328"/>
      <c r="AY158" s="328"/>
      <c r="AZ158" s="328"/>
      <c r="BA158" s="328"/>
      <c r="BB158" s="328"/>
      <c r="BC158" s="328"/>
      <c r="BD158" s="328"/>
      <c r="BE158" s="328"/>
      <c r="BF158" s="328"/>
      <c r="BG158" s="328">
        <v>54.15</v>
      </c>
      <c r="BH158" s="328"/>
      <c r="BI158" s="328">
        <v>3.8477000000000001</v>
      </c>
      <c r="BJ158" s="328"/>
      <c r="BK158" s="328">
        <v>0.79654000000000003</v>
      </c>
      <c r="BL158" s="328"/>
      <c r="BM158" s="328">
        <v>7.1002999999999998</v>
      </c>
      <c r="BN158" s="328"/>
      <c r="BO158" s="328">
        <v>15.183</v>
      </c>
      <c r="BP158" s="328"/>
      <c r="BQ158" s="328">
        <v>8.7272999999999996</v>
      </c>
      <c r="BR158" s="328"/>
      <c r="BS158" s="328">
        <v>51.366999999999997</v>
      </c>
      <c r="BT158" s="328"/>
      <c r="BU158" s="328">
        <v>19.271000000000001</v>
      </c>
      <c r="BV158" s="328"/>
      <c r="BW158" s="328">
        <v>5</v>
      </c>
      <c r="BX158" s="328"/>
      <c r="BY158" s="328">
        <v>5.8289999999999935</v>
      </c>
      <c r="BZ158" s="328"/>
      <c r="CA158" s="328"/>
      <c r="CB158" s="337"/>
      <c r="CC158" s="328">
        <v>5.4</v>
      </c>
      <c r="CD158" s="328"/>
      <c r="CE158" s="328"/>
      <c r="CF158" s="328"/>
      <c r="CG158" s="328"/>
      <c r="CH158" s="328"/>
      <c r="CI158" s="328"/>
      <c r="CJ158" s="328"/>
      <c r="CK158" s="328" t="s">
        <v>8377</v>
      </c>
      <c r="CL158" s="328"/>
      <c r="CM158" s="328"/>
    </row>
    <row r="159" spans="1:91">
      <c r="A159" s="154" t="s">
        <v>7636</v>
      </c>
      <c r="B159" t="s">
        <v>8287</v>
      </c>
      <c r="C159">
        <v>1</v>
      </c>
      <c r="D159">
        <v>611</v>
      </c>
      <c r="E159" s="113">
        <v>11</v>
      </c>
      <c r="F159" s="113">
        <v>6</v>
      </c>
      <c r="I159">
        <v>27.499999999999996</v>
      </c>
      <c r="K159" s="320">
        <v>9</v>
      </c>
      <c r="L159" s="320"/>
      <c r="M159">
        <v>3.09</v>
      </c>
      <c r="N159" s="320"/>
      <c r="O159"/>
      <c r="P159"/>
      <c r="Q159"/>
      <c r="S159" s="320">
        <v>14.596627277726</v>
      </c>
      <c r="T159" s="320"/>
      <c r="U159">
        <v>10.8</v>
      </c>
      <c r="V159"/>
      <c r="W159"/>
      <c r="X159"/>
      <c r="Y159" s="321">
        <v>5.0226573000000005</v>
      </c>
      <c r="Z159" s="320"/>
      <c r="AA159" s="322">
        <v>67477.272727272721</v>
      </c>
      <c r="AB159" s="320"/>
      <c r="AC159" s="321">
        <v>27.854564199999999</v>
      </c>
      <c r="AD159" s="320"/>
      <c r="AE159" s="320">
        <v>29.69</v>
      </c>
      <c r="AF159" s="320"/>
      <c r="AG159">
        <v>4.4000000000000004</v>
      </c>
      <c r="AH159"/>
      <c r="AI159">
        <v>143</v>
      </c>
      <c r="AJ159"/>
      <c r="AK159"/>
      <c r="AL159"/>
      <c r="AM159"/>
      <c r="AN159"/>
      <c r="AO159">
        <v>77</v>
      </c>
      <c r="AP159"/>
      <c r="AQ159" s="323"/>
      <c r="AR159" s="323"/>
      <c r="AS159">
        <v>112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>
        <v>43.612000000000002</v>
      </c>
      <c r="BH159"/>
      <c r="BI159">
        <v>3.8816000000000002</v>
      </c>
      <c r="BJ159"/>
      <c r="BK159">
        <v>0.90090000000000003</v>
      </c>
      <c r="BL159"/>
      <c r="BM159">
        <v>19.978000000000002</v>
      </c>
      <c r="BN159"/>
      <c r="BO159">
        <v>16.335000000000001</v>
      </c>
      <c r="BP159"/>
      <c r="BQ159">
        <v>8.8503000000000007</v>
      </c>
      <c r="BR159"/>
      <c r="BS159">
        <v>52.402999999999999</v>
      </c>
      <c r="BT159"/>
      <c r="BU159">
        <v>18.241</v>
      </c>
      <c r="BV159"/>
      <c r="BW159" s="325">
        <v>8.8800000000000008</v>
      </c>
      <c r="BX159"/>
      <c r="BY159">
        <v>5.8979999999999961</v>
      </c>
      <c r="BZ159"/>
      <c r="CA159"/>
      <c r="CC159">
        <v>5.57</v>
      </c>
      <c r="CD159"/>
      <c r="CE159"/>
      <c r="CF159"/>
      <c r="CG159"/>
      <c r="CH159"/>
      <c r="CI159"/>
      <c r="CJ159"/>
      <c r="CK159"/>
      <c r="CL159"/>
      <c r="CM159"/>
    </row>
    <row r="160" spans="1:91">
      <c r="A160" s="154" t="s">
        <v>7636</v>
      </c>
      <c r="B160" t="s">
        <v>8289</v>
      </c>
      <c r="C160">
        <v>1</v>
      </c>
      <c r="D160">
        <v>1123</v>
      </c>
      <c r="E160" s="113">
        <v>23</v>
      </c>
      <c r="F160" s="113">
        <v>11</v>
      </c>
      <c r="I160">
        <v>28.5</v>
      </c>
      <c r="K160" s="320">
        <v>9</v>
      </c>
      <c r="L160" s="320"/>
      <c r="M160">
        <v>2.92</v>
      </c>
      <c r="N160" s="320"/>
      <c r="O160"/>
      <c r="P160"/>
      <c r="Q160"/>
      <c r="S160" s="320">
        <v>12.288539090256</v>
      </c>
      <c r="T160" s="320"/>
      <c r="U160">
        <v>10.8</v>
      </c>
      <c r="V160"/>
      <c r="W160"/>
      <c r="X160"/>
      <c r="Y160" s="321">
        <v>5.9055076</v>
      </c>
      <c r="Z160" s="320"/>
      <c r="AA160" s="322">
        <v>68606.356968215157</v>
      </c>
      <c r="AB160" s="320"/>
      <c r="AC160" s="321">
        <v>26.199341399999998</v>
      </c>
      <c r="AD160" s="320"/>
      <c r="AE160" s="320">
        <v>28.06</v>
      </c>
      <c r="AF160" s="320"/>
      <c r="AG160">
        <v>4.09</v>
      </c>
      <c r="AH160"/>
      <c r="AI160">
        <v>128</v>
      </c>
      <c r="AJ160"/>
      <c r="AK160"/>
      <c r="AL160"/>
      <c r="AM160"/>
      <c r="AN160"/>
      <c r="AO160">
        <v>79</v>
      </c>
      <c r="AP160"/>
      <c r="AQ160" s="323"/>
      <c r="AR160" s="323"/>
      <c r="AS160">
        <v>112</v>
      </c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>
        <v>50.561</v>
      </c>
      <c r="BH160"/>
      <c r="BI160">
        <v>4.1593999999999998</v>
      </c>
      <c r="BJ160"/>
      <c r="BK160">
        <v>1.0439000000000001</v>
      </c>
      <c r="BL160"/>
      <c r="BM160">
        <v>12.685</v>
      </c>
      <c r="BN160"/>
      <c r="BO160">
        <v>15.395</v>
      </c>
      <c r="BP160"/>
      <c r="BQ160">
        <v>8.1698000000000004</v>
      </c>
      <c r="BR160"/>
      <c r="BS160">
        <v>46.904000000000003</v>
      </c>
      <c r="BT160"/>
      <c r="BU160">
        <v>20.48</v>
      </c>
      <c r="BV160"/>
      <c r="BW160" s="325">
        <v>10.96</v>
      </c>
      <c r="BX160"/>
      <c r="BY160">
        <v>6.5460000000000065</v>
      </c>
      <c r="BZ160"/>
      <c r="CA160"/>
      <c r="CC160">
        <v>5.57</v>
      </c>
      <c r="CD160"/>
      <c r="CE160"/>
      <c r="CF160"/>
      <c r="CG160"/>
      <c r="CH160"/>
      <c r="CI160"/>
      <c r="CJ160"/>
      <c r="CK160"/>
      <c r="CL160"/>
      <c r="CM160"/>
    </row>
    <row r="161" spans="1:91">
      <c r="A161" s="154" t="s">
        <v>7636</v>
      </c>
      <c r="B161" t="s">
        <v>8287</v>
      </c>
      <c r="C161">
        <v>2</v>
      </c>
      <c r="D161">
        <v>1675</v>
      </c>
      <c r="E161" s="113">
        <v>75</v>
      </c>
      <c r="F161" s="113">
        <v>16</v>
      </c>
      <c r="I161">
        <v>35</v>
      </c>
      <c r="K161" s="320">
        <v>8</v>
      </c>
      <c r="L161" s="320"/>
      <c r="M161">
        <v>2.85</v>
      </c>
      <c r="N161" s="320"/>
      <c r="O161"/>
      <c r="P161"/>
      <c r="Q161"/>
      <c r="S161" s="320">
        <v>14.210345811114001</v>
      </c>
      <c r="T161" s="320"/>
      <c r="U161">
        <v>10.8</v>
      </c>
      <c r="V161"/>
      <c r="W161"/>
      <c r="X161"/>
      <c r="Y161" s="321">
        <v>4.2728586000000002</v>
      </c>
      <c r="Z161" s="320"/>
      <c r="AA161" s="322">
        <v>62745.995423340959</v>
      </c>
      <c r="AB161" s="320"/>
      <c r="AC161" s="321">
        <v>25.691717400000002</v>
      </c>
      <c r="AD161" s="320"/>
      <c r="AE161" s="320">
        <v>27.42</v>
      </c>
      <c r="AF161" s="320"/>
      <c r="AG161">
        <v>4.37</v>
      </c>
      <c r="AH161"/>
      <c r="AI161">
        <v>123</v>
      </c>
      <c r="AJ161"/>
      <c r="AK161"/>
      <c r="AL161"/>
      <c r="AM161"/>
      <c r="AN161"/>
      <c r="AO161">
        <v>77</v>
      </c>
      <c r="AP161"/>
      <c r="AQ161" s="323"/>
      <c r="AR161" s="323"/>
      <c r="AS161">
        <v>112</v>
      </c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>
        <v>57.905000000000001</v>
      </c>
      <c r="BH161"/>
      <c r="BI161">
        <v>3.9708999999999999</v>
      </c>
      <c r="BJ161"/>
      <c r="BK161">
        <v>0.7994</v>
      </c>
      <c r="BL161"/>
      <c r="BM161">
        <v>9.7119999999999997</v>
      </c>
      <c r="BN161"/>
      <c r="BO161">
        <v>15.265000000000001</v>
      </c>
      <c r="BP161"/>
      <c r="BQ161">
        <v>7.7302</v>
      </c>
      <c r="BR161"/>
      <c r="BS161">
        <v>55.311</v>
      </c>
      <c r="BT161"/>
      <c r="BU161">
        <v>15.409000000000001</v>
      </c>
      <c r="BV161"/>
      <c r="BW161" s="325">
        <v>9.82</v>
      </c>
      <c r="BX161"/>
      <c r="BY161">
        <v>5.6470000000000056</v>
      </c>
      <c r="BZ161"/>
      <c r="CA161"/>
      <c r="CC161">
        <v>5.45</v>
      </c>
      <c r="CD161"/>
      <c r="CE161"/>
      <c r="CF161"/>
      <c r="CG161"/>
      <c r="CH161"/>
      <c r="CI161"/>
      <c r="CJ161"/>
      <c r="CK161"/>
      <c r="CL161"/>
      <c r="CM161"/>
    </row>
    <row r="162" spans="1:91">
      <c r="A162" s="154" t="s">
        <v>7637</v>
      </c>
      <c r="B162" t="s">
        <v>8289</v>
      </c>
      <c r="C162">
        <v>2</v>
      </c>
      <c r="D162">
        <v>266</v>
      </c>
      <c r="E162" s="113">
        <v>66</v>
      </c>
      <c r="F162" s="113">
        <v>2</v>
      </c>
      <c r="I162">
        <v>26</v>
      </c>
      <c r="K162" s="320">
        <v>7</v>
      </c>
      <c r="L162" s="320"/>
      <c r="M162">
        <v>2.39</v>
      </c>
      <c r="N162" s="320"/>
      <c r="O162"/>
      <c r="P162"/>
      <c r="Q162"/>
      <c r="S162" s="320">
        <v>10.670509624320003</v>
      </c>
      <c r="T162" s="320"/>
      <c r="U162">
        <v>10.8</v>
      </c>
      <c r="V162"/>
      <c r="W162"/>
      <c r="X162"/>
      <c r="Y162" s="321">
        <v>4.4306360000000007</v>
      </c>
      <c r="Z162" s="320"/>
      <c r="AA162" s="322">
        <v>45702.479338842983</v>
      </c>
      <c r="AB162" s="320"/>
      <c r="AC162" s="321">
        <v>20.583544800000002</v>
      </c>
      <c r="AD162" s="320"/>
      <c r="AE162" s="320">
        <v>22.12</v>
      </c>
      <c r="AF162" s="320"/>
      <c r="AG162">
        <v>4.84</v>
      </c>
      <c r="AH162"/>
      <c r="AI162">
        <v>135</v>
      </c>
      <c r="AJ162"/>
      <c r="AK162"/>
      <c r="AL162"/>
      <c r="AM162"/>
      <c r="AN162"/>
      <c r="AO162">
        <v>83</v>
      </c>
      <c r="AP162"/>
      <c r="AQ162" s="323"/>
      <c r="AR162" s="323"/>
      <c r="AS162">
        <v>116</v>
      </c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>
        <v>48.374000000000002</v>
      </c>
      <c r="BH162"/>
      <c r="BI162">
        <v>3.9756999999999998</v>
      </c>
      <c r="BJ162"/>
      <c r="BK162">
        <v>0.86902000000000001</v>
      </c>
      <c r="BL162"/>
      <c r="BM162">
        <v>14.143000000000001</v>
      </c>
      <c r="BN162"/>
      <c r="BO162">
        <v>15.226000000000001</v>
      </c>
      <c r="BP162"/>
      <c r="BQ162">
        <v>8.1798999999999999</v>
      </c>
      <c r="BR162"/>
      <c r="BS162">
        <v>51.84</v>
      </c>
      <c r="BT162"/>
      <c r="BU162">
        <v>18.734999999999999</v>
      </c>
      <c r="BV162"/>
      <c r="BW162" s="325">
        <v>19.78</v>
      </c>
      <c r="BX162"/>
      <c r="BY162">
        <v>5.8329999999999984</v>
      </c>
      <c r="BZ162"/>
      <c r="CA162"/>
      <c r="CC162">
        <v>9.0500000000000007</v>
      </c>
      <c r="CD162"/>
      <c r="CE162"/>
      <c r="CF162"/>
      <c r="CG162"/>
      <c r="CH162"/>
      <c r="CI162"/>
      <c r="CJ162"/>
      <c r="CK162"/>
      <c r="CL162"/>
      <c r="CM162"/>
    </row>
    <row r="163" spans="1:91">
      <c r="A163" s="154" t="s">
        <v>7637</v>
      </c>
      <c r="B163" t="s">
        <v>8287</v>
      </c>
      <c r="C163">
        <v>1</v>
      </c>
      <c r="D163">
        <v>310</v>
      </c>
      <c r="E163" s="113">
        <v>10</v>
      </c>
      <c r="F163" s="113">
        <v>3</v>
      </c>
      <c r="I163">
        <v>26</v>
      </c>
      <c r="K163" s="320">
        <v>9</v>
      </c>
      <c r="L163" s="320"/>
      <c r="M163">
        <v>3.55</v>
      </c>
      <c r="N163" s="320"/>
      <c r="O163"/>
      <c r="P163"/>
      <c r="Q163"/>
      <c r="S163" s="320">
        <v>18.094386862691998</v>
      </c>
      <c r="T163" s="320"/>
      <c r="U163">
        <v>10.8</v>
      </c>
      <c r="V163"/>
      <c r="W163"/>
      <c r="X163"/>
      <c r="Y163" s="321">
        <v>5.9160383999999997</v>
      </c>
      <c r="Z163" s="320"/>
      <c r="AA163" s="322">
        <v>78413.793103448275</v>
      </c>
      <c r="AB163" s="320"/>
      <c r="AC163" s="321">
        <v>31.963798799999999</v>
      </c>
      <c r="AD163" s="320"/>
      <c r="AE163" s="320">
        <v>34.11</v>
      </c>
      <c r="AF163" s="320"/>
      <c r="AG163">
        <v>4.3499999999999996</v>
      </c>
      <c r="AH163"/>
      <c r="AI163">
        <v>148</v>
      </c>
      <c r="AJ163"/>
      <c r="AK163"/>
      <c r="AL163"/>
      <c r="AM163"/>
      <c r="AN163"/>
      <c r="AO163">
        <v>81</v>
      </c>
      <c r="AP163"/>
      <c r="AQ163" s="323"/>
      <c r="AR163" s="323"/>
      <c r="AS163">
        <v>116</v>
      </c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>
        <v>48.493000000000002</v>
      </c>
      <c r="BH163"/>
      <c r="BI163">
        <v>4.2737999999999996</v>
      </c>
      <c r="BJ163"/>
      <c r="BK163">
        <v>0.81111999999999995</v>
      </c>
      <c r="BL163"/>
      <c r="BM163">
        <v>10.82</v>
      </c>
      <c r="BN163"/>
      <c r="BO163">
        <v>14.951000000000001</v>
      </c>
      <c r="BP163"/>
      <c r="BQ163">
        <v>9.2393999999999998</v>
      </c>
      <c r="BR163"/>
      <c r="BS163">
        <v>56.609000000000002</v>
      </c>
      <c r="BT163"/>
      <c r="BU163">
        <v>16.259</v>
      </c>
      <c r="BV163"/>
      <c r="BW163" s="325">
        <v>15.47</v>
      </c>
      <c r="BX163"/>
      <c r="BY163">
        <v>5.5840000000000032</v>
      </c>
      <c r="BZ163"/>
      <c r="CA163"/>
      <c r="CC163">
        <v>5.56</v>
      </c>
      <c r="CD163"/>
      <c r="CE163"/>
      <c r="CF163"/>
      <c r="CG163"/>
      <c r="CH163"/>
      <c r="CI163"/>
      <c r="CJ163"/>
      <c r="CK163" t="str">
        <f>IF(F163=ET109*(B163="N+"),"submertion","")</f>
        <v/>
      </c>
      <c r="CL163"/>
      <c r="CM163"/>
    </row>
    <row r="164" spans="1:91">
      <c r="A164" s="154" t="s">
        <v>7637</v>
      </c>
      <c r="B164" t="s">
        <v>8289</v>
      </c>
      <c r="C164">
        <v>1</v>
      </c>
      <c r="D164">
        <v>1019</v>
      </c>
      <c r="E164" s="113">
        <v>19</v>
      </c>
      <c r="F164" s="113">
        <v>10</v>
      </c>
      <c r="I164">
        <v>23.5</v>
      </c>
      <c r="K164" s="320">
        <v>9</v>
      </c>
      <c r="L164" s="320"/>
      <c r="M164">
        <v>3.55</v>
      </c>
      <c r="N164" s="320"/>
      <c r="O164"/>
      <c r="P164"/>
      <c r="Q164"/>
      <c r="S164" s="320">
        <v>16.8990350949</v>
      </c>
      <c r="T164" s="320"/>
      <c r="U164">
        <v>10.8</v>
      </c>
      <c r="V164"/>
      <c r="W164"/>
      <c r="X164"/>
      <c r="Y164" s="321">
        <v>6.6647529000000008</v>
      </c>
      <c r="Z164" s="320"/>
      <c r="AA164" s="322">
        <v>81408.114558472545</v>
      </c>
      <c r="AB164" s="320"/>
      <c r="AC164" s="321">
        <v>31.773465000000002</v>
      </c>
      <c r="AD164" s="320"/>
      <c r="AE164" s="320">
        <v>34.11</v>
      </c>
      <c r="AF164" s="320"/>
      <c r="AG164">
        <v>4.1900000000000004</v>
      </c>
      <c r="AH164"/>
      <c r="AI164">
        <v>133</v>
      </c>
      <c r="AJ164"/>
      <c r="AK164"/>
      <c r="AL164"/>
      <c r="AM164"/>
      <c r="AN164"/>
      <c r="AO164">
        <v>83</v>
      </c>
      <c r="AP164"/>
      <c r="AQ164" s="323"/>
      <c r="AR164" s="323"/>
      <c r="AS164">
        <v>114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48.506999999999998</v>
      </c>
      <c r="BH164"/>
      <c r="BI164">
        <v>4.2039</v>
      </c>
      <c r="BJ164"/>
      <c r="BK164">
        <v>0.90117999999999998</v>
      </c>
      <c r="BL164"/>
      <c r="BM164">
        <v>13.993</v>
      </c>
      <c r="BN164"/>
      <c r="BO164">
        <v>14.198</v>
      </c>
      <c r="BP164"/>
      <c r="BQ164">
        <v>9.9628999999999994</v>
      </c>
      <c r="BR164"/>
      <c r="BS164">
        <v>53.186</v>
      </c>
      <c r="BT164"/>
      <c r="BU164">
        <v>18.602</v>
      </c>
      <c r="BV164"/>
      <c r="BW164">
        <v>41.945</v>
      </c>
      <c r="BX164" s="324"/>
      <c r="BY164">
        <v>5.8130000000000024</v>
      </c>
      <c r="BZ164"/>
      <c r="CA164"/>
      <c r="CC164">
        <v>5.56</v>
      </c>
      <c r="CD164"/>
      <c r="CE164"/>
      <c r="CF164"/>
      <c r="CG164"/>
      <c r="CH164"/>
      <c r="CI164"/>
      <c r="CJ164"/>
      <c r="CK164"/>
      <c r="CL164"/>
      <c r="CM164"/>
    </row>
    <row r="165" spans="1:91">
      <c r="A165" s="154" t="s">
        <v>7637</v>
      </c>
      <c r="B165" t="s">
        <v>8287</v>
      </c>
      <c r="C165">
        <v>2</v>
      </c>
      <c r="D165">
        <v>1249</v>
      </c>
      <c r="E165" s="113">
        <v>49</v>
      </c>
      <c r="F165" s="113">
        <v>12</v>
      </c>
      <c r="I165">
        <v>31</v>
      </c>
      <c r="K165" s="320">
        <v>9</v>
      </c>
      <c r="L165" s="320"/>
      <c r="M165">
        <v>3.19</v>
      </c>
      <c r="N165" s="320"/>
      <c r="O165"/>
      <c r="P165"/>
      <c r="Q165"/>
      <c r="S165" s="320">
        <v>16.517315539319998</v>
      </c>
      <c r="T165" s="320"/>
      <c r="U165">
        <v>10.8</v>
      </c>
      <c r="V165"/>
      <c r="W165"/>
      <c r="X165"/>
      <c r="Y165" s="321">
        <v>5.2257391999999996</v>
      </c>
      <c r="Z165" s="320"/>
      <c r="AA165" s="322">
        <v>72364.066193853418</v>
      </c>
      <c r="AB165" s="320"/>
      <c r="AC165" s="321">
        <v>28.685855399999998</v>
      </c>
      <c r="AD165" s="320"/>
      <c r="AE165" s="320">
        <v>30.61</v>
      </c>
      <c r="AF165" s="320"/>
      <c r="AG165">
        <v>4.2300000000000004</v>
      </c>
      <c r="AH165"/>
      <c r="AI165">
        <v>135</v>
      </c>
      <c r="AJ165"/>
      <c r="AK165"/>
      <c r="AL165"/>
      <c r="AM165"/>
      <c r="AN165"/>
      <c r="AO165">
        <v>81</v>
      </c>
      <c r="AP165"/>
      <c r="AQ165" s="323"/>
      <c r="AR165" s="323"/>
      <c r="AS165">
        <v>112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>
        <v>47.79</v>
      </c>
      <c r="BH165"/>
      <c r="BI165">
        <v>4.7790999999999997</v>
      </c>
      <c r="BJ165"/>
      <c r="BK165">
        <v>0.74038999999999999</v>
      </c>
      <c r="BL165"/>
      <c r="BM165">
        <v>8.8790999999999993</v>
      </c>
      <c r="BN165"/>
      <c r="BO165">
        <v>16.178999999999998</v>
      </c>
      <c r="BP165"/>
      <c r="BQ165">
        <v>7.5628000000000002</v>
      </c>
      <c r="BR165"/>
      <c r="BS165">
        <v>57.58</v>
      </c>
      <c r="BT165"/>
      <c r="BU165">
        <v>14.644</v>
      </c>
      <c r="BV165"/>
      <c r="BW165" s="324">
        <v>35.930999999999997</v>
      </c>
      <c r="BX165" s="324"/>
      <c r="BY165">
        <v>5.5919999999999987</v>
      </c>
      <c r="BZ165"/>
      <c r="CA165"/>
      <c r="CC165">
        <v>5.68</v>
      </c>
      <c r="CD165"/>
      <c r="CE165"/>
      <c r="CF165"/>
      <c r="CG165"/>
      <c r="CH165"/>
      <c r="CI165"/>
      <c r="CJ165"/>
      <c r="CK165"/>
      <c r="CL165"/>
      <c r="CM165"/>
    </row>
    <row r="166" spans="1:91">
      <c r="A166" s="327" t="s">
        <v>7638</v>
      </c>
      <c r="B166" s="328" t="s">
        <v>8289</v>
      </c>
      <c r="C166" s="328">
        <v>2</v>
      </c>
      <c r="D166" s="328">
        <v>369</v>
      </c>
      <c r="E166" s="113">
        <v>69</v>
      </c>
      <c r="F166" s="113">
        <v>3</v>
      </c>
      <c r="G166" s="329"/>
      <c r="H166" s="329"/>
      <c r="I166" s="328">
        <v>32.999999999999993</v>
      </c>
      <c r="J166" s="330"/>
      <c r="K166" s="331">
        <v>7</v>
      </c>
      <c r="L166" s="331"/>
      <c r="M166" s="328">
        <v>1.91</v>
      </c>
      <c r="N166" s="331"/>
      <c r="O166" s="328"/>
      <c r="P166" s="328"/>
      <c r="Q166" s="328"/>
      <c r="R166" s="332"/>
      <c r="S166" s="331">
        <v>6.9245275514999989</v>
      </c>
      <c r="T166" s="331"/>
      <c r="U166" s="328">
        <v>10.8</v>
      </c>
      <c r="V166" s="328"/>
      <c r="W166" s="328"/>
      <c r="X166" s="328"/>
      <c r="Y166" s="333">
        <v>3.9731901000000001</v>
      </c>
      <c r="Z166" s="331"/>
      <c r="AA166" s="334">
        <v>42094.117647058825</v>
      </c>
      <c r="AB166" s="331"/>
      <c r="AC166" s="333">
        <v>16.570612499999999</v>
      </c>
      <c r="AD166" s="331"/>
      <c r="AE166" s="331">
        <v>17.89</v>
      </c>
      <c r="AF166" s="331"/>
      <c r="AG166" s="328">
        <v>4.25</v>
      </c>
      <c r="AH166" s="328"/>
      <c r="AI166" s="328">
        <v>105</v>
      </c>
      <c r="AJ166" s="328"/>
      <c r="AK166" s="328"/>
      <c r="AL166" s="328"/>
      <c r="AM166" s="328"/>
      <c r="AN166" s="328"/>
      <c r="AO166" s="328">
        <v>80</v>
      </c>
      <c r="AP166" s="328"/>
      <c r="AQ166" s="335"/>
      <c r="AR166" s="335"/>
      <c r="AS166" s="328">
        <v>112</v>
      </c>
      <c r="AT166" s="328"/>
      <c r="AU166" s="328"/>
      <c r="AV166" s="328"/>
      <c r="AW166" s="328"/>
      <c r="AX166" s="328"/>
      <c r="AY166" s="328"/>
      <c r="AZ166" s="328"/>
      <c r="BA166" s="328"/>
      <c r="BB166" s="328"/>
      <c r="BC166" s="328"/>
      <c r="BD166" s="328"/>
      <c r="BE166" s="328"/>
      <c r="BF166" s="328"/>
      <c r="BG166" s="328">
        <v>-2.4510999999999998</v>
      </c>
      <c r="BH166" s="328"/>
      <c r="BI166" s="328">
        <v>4.7022000000000004</v>
      </c>
      <c r="BJ166" s="328"/>
      <c r="BK166" s="328">
        <v>1.7316</v>
      </c>
      <c r="BL166" s="328"/>
      <c r="BM166" s="328">
        <v>63.399000000000001</v>
      </c>
      <c r="BN166" s="328"/>
      <c r="BO166" s="328">
        <v>17.625</v>
      </c>
      <c r="BP166" s="328"/>
      <c r="BQ166" s="328">
        <v>9.2370999999999999</v>
      </c>
      <c r="BR166" s="328"/>
      <c r="BS166" s="328">
        <v>41.787999999999997</v>
      </c>
      <c r="BT166" s="328"/>
      <c r="BU166" s="328">
        <v>23.449000000000002</v>
      </c>
      <c r="BV166" s="328"/>
      <c r="BW166" s="336">
        <v>7.2</v>
      </c>
      <c r="BX166" s="328"/>
      <c r="BY166" s="328">
        <v>7.5999999999999943</v>
      </c>
      <c r="BZ166" s="328"/>
      <c r="CA166" s="328"/>
      <c r="CB166" s="337"/>
      <c r="CC166" s="328">
        <v>7.96</v>
      </c>
      <c r="CD166" s="328"/>
      <c r="CE166" s="328"/>
      <c r="CF166" s="328"/>
      <c r="CG166" s="328"/>
      <c r="CH166" s="328"/>
      <c r="CI166" s="328"/>
      <c r="CJ166" s="328"/>
      <c r="CK166" s="328" t="s">
        <v>8377</v>
      </c>
      <c r="CL166" s="328"/>
      <c r="CM166" s="328"/>
    </row>
    <row r="167" spans="1:91">
      <c r="A167" s="327" t="s">
        <v>7638</v>
      </c>
      <c r="B167" s="328" t="s">
        <v>8287</v>
      </c>
      <c r="C167" s="328">
        <v>1</v>
      </c>
      <c r="D167" s="328">
        <v>906</v>
      </c>
      <c r="E167" s="113">
        <v>6</v>
      </c>
      <c r="F167" s="113">
        <v>9</v>
      </c>
      <c r="G167" s="329"/>
      <c r="H167" s="329"/>
      <c r="I167" s="328">
        <v>31</v>
      </c>
      <c r="J167" s="330"/>
      <c r="K167" s="331">
        <v>8</v>
      </c>
      <c r="L167" s="331"/>
      <c r="M167" s="328">
        <v>2.54</v>
      </c>
      <c r="N167" s="331"/>
      <c r="O167" s="328"/>
      <c r="P167" s="328"/>
      <c r="Q167" s="328"/>
      <c r="R167" s="332"/>
      <c r="S167" s="331">
        <v>10.947492952128</v>
      </c>
      <c r="T167" s="331"/>
      <c r="U167" s="328">
        <v>10.8</v>
      </c>
      <c r="V167" s="328"/>
      <c r="W167" s="328"/>
      <c r="X167" s="328"/>
      <c r="Y167" s="333">
        <v>4.5343343999999997</v>
      </c>
      <c r="Z167" s="331"/>
      <c r="AA167" s="334">
        <v>56768.149882903985</v>
      </c>
      <c r="AB167" s="331"/>
      <c r="AC167" s="333">
        <v>22.5354432</v>
      </c>
      <c r="AD167" s="331"/>
      <c r="AE167" s="331">
        <v>24.24</v>
      </c>
      <c r="AF167" s="331"/>
      <c r="AG167" s="328">
        <v>4.2699999999999996</v>
      </c>
      <c r="AH167" s="328"/>
      <c r="AI167" s="328">
        <v>120</v>
      </c>
      <c r="AJ167" s="328"/>
      <c r="AK167" s="328"/>
      <c r="AL167" s="328"/>
      <c r="AM167" s="328"/>
      <c r="AN167" s="328"/>
      <c r="AO167" s="328">
        <v>77</v>
      </c>
      <c r="AP167" s="328"/>
      <c r="AQ167" s="335"/>
      <c r="AR167" s="335"/>
      <c r="AS167" s="328">
        <v>112</v>
      </c>
      <c r="AT167" s="328"/>
      <c r="AU167" s="328"/>
      <c r="AV167" s="328"/>
      <c r="AW167" s="328"/>
      <c r="AX167" s="328"/>
      <c r="AY167" s="328"/>
      <c r="AZ167" s="328"/>
      <c r="BA167" s="328"/>
      <c r="BB167" s="328"/>
      <c r="BC167" s="328"/>
      <c r="BD167" s="328"/>
      <c r="BE167" s="328"/>
      <c r="BF167" s="328"/>
      <c r="BG167" s="328">
        <v>6.8490000000000002</v>
      </c>
      <c r="BH167" s="328"/>
      <c r="BI167" s="328">
        <v>4.5099</v>
      </c>
      <c r="BJ167" s="328"/>
      <c r="BK167" s="328">
        <v>1.3823000000000001</v>
      </c>
      <c r="BL167" s="328"/>
      <c r="BM167" s="328">
        <v>59.798999999999999</v>
      </c>
      <c r="BN167" s="328"/>
      <c r="BO167" s="328">
        <v>18.526</v>
      </c>
      <c r="BP167" s="328"/>
      <c r="BQ167" s="328">
        <v>10.484</v>
      </c>
      <c r="BR167" s="328"/>
      <c r="BS167" s="328">
        <v>48.579000000000001</v>
      </c>
      <c r="BT167" s="328"/>
      <c r="BU167" s="328">
        <v>20.827999999999999</v>
      </c>
      <c r="BV167" s="328"/>
      <c r="BW167" s="328">
        <v>63.063000000000002</v>
      </c>
      <c r="BX167" s="339"/>
      <c r="BY167" s="328">
        <v>6.5100000000000051</v>
      </c>
      <c r="BZ167" s="328"/>
      <c r="CA167" s="328"/>
      <c r="CB167" s="337"/>
      <c r="CC167" s="328">
        <v>6.22</v>
      </c>
      <c r="CD167" s="328"/>
      <c r="CE167" s="328"/>
      <c r="CF167" s="328"/>
      <c r="CG167" s="328"/>
      <c r="CH167" s="328"/>
      <c r="CI167" s="328"/>
      <c r="CJ167" s="328"/>
      <c r="CK167" s="328" t="s">
        <v>8377</v>
      </c>
      <c r="CL167" s="328"/>
      <c r="CM167" s="328"/>
    </row>
    <row r="168" spans="1:91">
      <c r="A168" s="154" t="s">
        <v>7638</v>
      </c>
      <c r="B168" t="s">
        <v>8287</v>
      </c>
      <c r="C168">
        <v>2</v>
      </c>
      <c r="D168">
        <v>1251</v>
      </c>
      <c r="E168" s="113">
        <v>51</v>
      </c>
      <c r="F168" s="113">
        <v>12</v>
      </c>
      <c r="I168">
        <v>36</v>
      </c>
      <c r="K168" s="320">
        <v>9</v>
      </c>
      <c r="L168" s="320"/>
      <c r="M168">
        <v>2.54</v>
      </c>
      <c r="N168" s="320"/>
      <c r="O168"/>
      <c r="P168"/>
      <c r="Q168"/>
      <c r="S168" s="320">
        <v>11.177991179431999</v>
      </c>
      <c r="T168" s="320"/>
      <c r="U168">
        <v>10.8</v>
      </c>
      <c r="V168"/>
      <c r="W168"/>
      <c r="X168"/>
      <c r="Y168" s="321">
        <v>4.7195720000000003</v>
      </c>
      <c r="Z168" s="320"/>
      <c r="AA168" s="322">
        <v>62258.88324873097</v>
      </c>
      <c r="AB168" s="320"/>
      <c r="AC168" s="321">
        <v>22.930153399999998</v>
      </c>
      <c r="AD168" s="320"/>
      <c r="AE168" s="320">
        <v>24.53</v>
      </c>
      <c r="AF168" s="320"/>
      <c r="AG168">
        <v>3.94</v>
      </c>
      <c r="AH168"/>
      <c r="AI168">
        <v>130</v>
      </c>
      <c r="AJ168"/>
      <c r="AK168"/>
      <c r="AL168"/>
      <c r="AM168"/>
      <c r="AN168"/>
      <c r="AO168">
        <v>77</v>
      </c>
      <c r="AP168"/>
      <c r="AQ168" s="323"/>
      <c r="AR168" s="323"/>
      <c r="AS168">
        <v>112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>
        <v>-0.51019999999999999</v>
      </c>
      <c r="BH168"/>
      <c r="BI168">
        <v>4.5301999999999998</v>
      </c>
      <c r="BJ168"/>
      <c r="BK168">
        <v>1.4036</v>
      </c>
      <c r="BL168"/>
      <c r="BM168">
        <v>64.834000000000003</v>
      </c>
      <c r="BN168"/>
      <c r="BO168">
        <v>19.518999999999998</v>
      </c>
      <c r="BP168"/>
      <c r="BQ168">
        <v>9.3961000000000006</v>
      </c>
      <c r="BR168"/>
      <c r="BS168">
        <v>48.747999999999998</v>
      </c>
      <c r="BT168"/>
      <c r="BU168">
        <v>19.934999999999999</v>
      </c>
      <c r="BV168"/>
      <c r="BW168" s="325">
        <v>56.55</v>
      </c>
      <c r="BX168"/>
      <c r="BY168">
        <v>6.6009999999999991</v>
      </c>
      <c r="BZ168"/>
      <c r="CA168"/>
      <c r="CC168">
        <v>5.07</v>
      </c>
      <c r="CD168"/>
      <c r="CE168"/>
      <c r="CF168"/>
      <c r="CG168"/>
      <c r="CH168"/>
      <c r="CI168"/>
      <c r="CJ168"/>
      <c r="CK168"/>
      <c r="CL168"/>
      <c r="CM168"/>
    </row>
    <row r="169" spans="1:91">
      <c r="A169" s="154" t="s">
        <v>7638</v>
      </c>
      <c r="B169" t="s">
        <v>8289</v>
      </c>
      <c r="C169">
        <v>1</v>
      </c>
      <c r="D169">
        <v>1527</v>
      </c>
      <c r="E169" s="113">
        <v>27</v>
      </c>
      <c r="F169" s="113">
        <v>15</v>
      </c>
      <c r="I169">
        <v>34.5</v>
      </c>
      <c r="K169" s="320">
        <v>8</v>
      </c>
      <c r="L169" s="320"/>
      <c r="M169">
        <v>2.77</v>
      </c>
      <c r="N169" s="320"/>
      <c r="O169"/>
      <c r="P169"/>
      <c r="Q169"/>
      <c r="S169" s="320">
        <v>10.863391947599998</v>
      </c>
      <c r="T169" s="320"/>
      <c r="U169">
        <v>10.8</v>
      </c>
      <c r="V169"/>
      <c r="W169"/>
      <c r="X169"/>
      <c r="Y169" s="321">
        <v>4.6259727000000002</v>
      </c>
      <c r="Z169" s="320"/>
      <c r="AA169" s="322">
        <v>65406.091370558373</v>
      </c>
      <c r="AB169" s="320"/>
      <c r="AC169" s="321">
        <v>24.119431499999997</v>
      </c>
      <c r="AD169" s="320"/>
      <c r="AE169" s="320">
        <v>25.77</v>
      </c>
      <c r="AF169" s="320"/>
      <c r="AG169">
        <v>3.94</v>
      </c>
      <c r="AH169"/>
      <c r="AI169">
        <v>123</v>
      </c>
      <c r="AJ169"/>
      <c r="AK169"/>
      <c r="AL169"/>
      <c r="AM169"/>
      <c r="AN169"/>
      <c r="AO169">
        <v>77</v>
      </c>
      <c r="AP169"/>
      <c r="AQ169" s="323"/>
      <c r="AR169" s="323"/>
      <c r="AS169">
        <v>112</v>
      </c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>
        <v>1.1892</v>
      </c>
      <c r="BH169"/>
      <c r="BI169">
        <v>4.5743999999999998</v>
      </c>
      <c r="BJ169"/>
      <c r="BK169">
        <v>1.5427</v>
      </c>
      <c r="BL169"/>
      <c r="BM169">
        <v>63.658000000000001</v>
      </c>
      <c r="BN169"/>
      <c r="BO169">
        <v>18.407</v>
      </c>
      <c r="BP169"/>
      <c r="BQ169">
        <v>9.4095999999999993</v>
      </c>
      <c r="BR169"/>
      <c r="BS169">
        <v>45.04</v>
      </c>
      <c r="BT169"/>
      <c r="BU169">
        <v>22.657</v>
      </c>
      <c r="BV169"/>
      <c r="BW169" s="325">
        <v>29.7</v>
      </c>
      <c r="BX169"/>
      <c r="BY169">
        <v>7.1569999999999965</v>
      </c>
      <c r="BZ169"/>
      <c r="CA169"/>
      <c r="CC169">
        <v>8.57</v>
      </c>
      <c r="CD169"/>
      <c r="CE169"/>
      <c r="CF169"/>
      <c r="CG169"/>
      <c r="CH169"/>
      <c r="CI169"/>
      <c r="CJ169"/>
      <c r="CK169"/>
      <c r="CL169"/>
      <c r="CM169"/>
    </row>
    <row r="170" spans="1:91">
      <c r="A170" s="154" t="s">
        <v>7639</v>
      </c>
      <c r="B170" t="s">
        <v>8289</v>
      </c>
      <c r="C170">
        <v>2</v>
      </c>
      <c r="D170">
        <v>248</v>
      </c>
      <c r="E170" s="113">
        <v>48</v>
      </c>
      <c r="F170" s="113">
        <v>2</v>
      </c>
      <c r="I170">
        <v>32</v>
      </c>
      <c r="K170" s="320">
        <v>9</v>
      </c>
      <c r="L170" s="320"/>
      <c r="M170">
        <v>3.13</v>
      </c>
      <c r="N170" s="320"/>
      <c r="O170"/>
      <c r="P170"/>
      <c r="Q170"/>
      <c r="S170" s="320">
        <v>13.2406479135</v>
      </c>
      <c r="T170" s="320"/>
      <c r="U170">
        <v>10.8</v>
      </c>
      <c r="V170"/>
      <c r="W170"/>
      <c r="X170"/>
      <c r="Y170" s="321">
        <v>6.487152</v>
      </c>
      <c r="Z170" s="320"/>
      <c r="AA170" s="322">
        <v>63368.42105263158</v>
      </c>
      <c r="AB170" s="320"/>
      <c r="AC170" s="321">
        <v>28.201592999999999</v>
      </c>
      <c r="AD170" s="320"/>
      <c r="AE170" s="320">
        <v>30.1</v>
      </c>
      <c r="AF170" s="320"/>
      <c r="AG170">
        <v>4.75</v>
      </c>
      <c r="AH170"/>
      <c r="AI170">
        <v>130</v>
      </c>
      <c r="AJ170"/>
      <c r="AK170"/>
      <c r="AL170"/>
      <c r="AM170"/>
      <c r="AN170"/>
      <c r="AO170">
        <v>80</v>
      </c>
      <c r="AP170"/>
      <c r="AQ170" s="323"/>
      <c r="AR170" s="323"/>
      <c r="AS170">
        <v>112</v>
      </c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>
        <v>4.0079000000000002</v>
      </c>
      <c r="BH170"/>
      <c r="BI170">
        <v>4.6783999999999999</v>
      </c>
      <c r="BJ170"/>
      <c r="BK170">
        <v>1.3891</v>
      </c>
      <c r="BL170"/>
      <c r="BM170">
        <v>58.375999999999998</v>
      </c>
      <c r="BN170"/>
      <c r="BO170">
        <v>21.556999999999999</v>
      </c>
      <c r="BP170"/>
      <c r="BQ170">
        <v>10.209</v>
      </c>
      <c r="BR170"/>
      <c r="BS170">
        <v>46.95</v>
      </c>
      <c r="BT170"/>
      <c r="BU170">
        <v>21.129000000000001</v>
      </c>
      <c r="BV170"/>
      <c r="BW170" s="325">
        <v>27.9</v>
      </c>
      <c r="BX170"/>
      <c r="BY170">
        <v>6.4410000000000025</v>
      </c>
      <c r="BZ170"/>
      <c r="CA170"/>
      <c r="CC170">
        <v>5.49</v>
      </c>
      <c r="CD170"/>
      <c r="CE170"/>
      <c r="CF170"/>
      <c r="CG170"/>
      <c r="CH170"/>
      <c r="CI170"/>
      <c r="CJ170"/>
      <c r="CK170"/>
      <c r="CL170"/>
      <c r="CM170"/>
    </row>
    <row r="171" spans="1:91">
      <c r="A171" s="154" t="s">
        <v>7639</v>
      </c>
      <c r="B171" t="s">
        <v>8287</v>
      </c>
      <c r="C171">
        <v>1</v>
      </c>
      <c r="D171">
        <v>336</v>
      </c>
      <c r="E171" s="113">
        <v>36</v>
      </c>
      <c r="F171" s="113">
        <v>3</v>
      </c>
      <c r="I171">
        <v>28.5</v>
      </c>
      <c r="K171" s="320">
        <v>8</v>
      </c>
      <c r="L171" s="320"/>
      <c r="M171">
        <v>2.98</v>
      </c>
      <c r="N171" s="320"/>
      <c r="O171"/>
      <c r="P171"/>
      <c r="Q171"/>
      <c r="S171" s="320">
        <v>12.759070232699999</v>
      </c>
      <c r="T171" s="320"/>
      <c r="U171">
        <v>10.8</v>
      </c>
      <c r="V171"/>
      <c r="W171"/>
      <c r="X171"/>
      <c r="Y171" s="321">
        <v>4.8055260000000004</v>
      </c>
      <c r="Z171" s="320"/>
      <c r="AA171" s="322">
        <v>59302.325581395351</v>
      </c>
      <c r="AB171" s="320"/>
      <c r="AC171" s="321">
        <v>26.2208595</v>
      </c>
      <c r="AD171" s="320"/>
      <c r="AE171" s="320">
        <v>28.05</v>
      </c>
      <c r="AF171" s="320"/>
      <c r="AG171">
        <v>4.7300000000000004</v>
      </c>
      <c r="AH171"/>
      <c r="AI171">
        <v>125</v>
      </c>
      <c r="AJ171"/>
      <c r="AK171"/>
      <c r="AL171"/>
      <c r="AM171"/>
      <c r="AN171"/>
      <c r="AO171">
        <v>91</v>
      </c>
      <c r="AP171"/>
      <c r="AQ171" s="323"/>
      <c r="AR171" s="323"/>
      <c r="AS171">
        <v>115</v>
      </c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>
        <v>5.9097999999999997</v>
      </c>
      <c r="BH171"/>
      <c r="BI171">
        <v>4.7081999999999997</v>
      </c>
      <c r="BJ171"/>
      <c r="BK171">
        <v>1.4139999999999999</v>
      </c>
      <c r="BL171"/>
      <c r="BM171">
        <v>57.871000000000002</v>
      </c>
      <c r="BN171"/>
      <c r="BO171">
        <v>21.023</v>
      </c>
      <c r="BP171"/>
      <c r="BQ171">
        <v>10.51</v>
      </c>
      <c r="BR171"/>
      <c r="BS171">
        <v>48.66</v>
      </c>
      <c r="BT171"/>
      <c r="BU171">
        <v>19.597000000000001</v>
      </c>
      <c r="BV171"/>
      <c r="BW171" s="325">
        <v>45.31</v>
      </c>
      <c r="BX171"/>
      <c r="BY171">
        <v>6.5829999999999984</v>
      </c>
      <c r="BZ171"/>
      <c r="CA171"/>
      <c r="CC171">
        <v>7.5</v>
      </c>
      <c r="CD171"/>
      <c r="CE171"/>
      <c r="CF171"/>
      <c r="CG171"/>
      <c r="CH171"/>
      <c r="CI171"/>
      <c r="CJ171"/>
      <c r="CK171" t="str">
        <f>IF(F171=ET117*(B171="N+"),"submertion","")</f>
        <v/>
      </c>
      <c r="CL171"/>
      <c r="CM171"/>
    </row>
    <row r="172" spans="1:91">
      <c r="A172" s="154" t="s">
        <v>7639</v>
      </c>
      <c r="B172" t="s">
        <v>8289</v>
      </c>
      <c r="C172">
        <v>1</v>
      </c>
      <c r="D172">
        <v>1112</v>
      </c>
      <c r="E172" s="113">
        <v>12</v>
      </c>
      <c r="F172" s="113">
        <v>11</v>
      </c>
      <c r="I172">
        <v>18.999999999999996</v>
      </c>
      <c r="K172" s="320">
        <v>9</v>
      </c>
      <c r="L172" s="320"/>
      <c r="M172">
        <v>2.84</v>
      </c>
      <c r="N172" s="320"/>
      <c r="O172"/>
      <c r="P172"/>
      <c r="Q172"/>
      <c r="S172" s="320">
        <v>11.958505964496004</v>
      </c>
      <c r="T172" s="320"/>
      <c r="U172">
        <v>10.8</v>
      </c>
      <c r="V172"/>
      <c r="W172"/>
      <c r="X172"/>
      <c r="Y172" s="321">
        <v>5.8534152000000006</v>
      </c>
      <c r="Z172" s="320"/>
      <c r="AA172" s="322">
        <v>63574.766355140186</v>
      </c>
      <c r="AB172" s="320"/>
      <c r="AC172" s="321">
        <v>25.467471600000003</v>
      </c>
      <c r="AD172" s="320"/>
      <c r="AE172" s="320">
        <v>27.21</v>
      </c>
      <c r="AF172" s="320"/>
      <c r="AG172">
        <v>4.28</v>
      </c>
      <c r="AH172"/>
      <c r="AI172">
        <v>128</v>
      </c>
      <c r="AJ172"/>
      <c r="AK172"/>
      <c r="AL172"/>
      <c r="AM172"/>
      <c r="AN172"/>
      <c r="AO172">
        <v>77</v>
      </c>
      <c r="AP172"/>
      <c r="AQ172" s="323"/>
      <c r="AR172" s="323"/>
      <c r="AS172">
        <v>112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2.7877999999999998</v>
      </c>
      <c r="BH172"/>
      <c r="BI172">
        <v>4.6266999999999996</v>
      </c>
      <c r="BJ172"/>
      <c r="BK172">
        <v>1.3822000000000001</v>
      </c>
      <c r="BL172"/>
      <c r="BM172">
        <v>56.652999999999999</v>
      </c>
      <c r="BN172"/>
      <c r="BO172">
        <v>20.391999999999999</v>
      </c>
      <c r="BP172"/>
      <c r="BQ172">
        <v>11.233000000000001</v>
      </c>
      <c r="BR172"/>
      <c r="BS172">
        <v>46.956000000000003</v>
      </c>
      <c r="BT172"/>
      <c r="BU172">
        <v>20.896999999999998</v>
      </c>
      <c r="BV172"/>
      <c r="BW172">
        <v>41.118000000000002</v>
      </c>
      <c r="BX172" s="324"/>
      <c r="BY172">
        <v>6.7639999999999958</v>
      </c>
      <c r="BZ172"/>
      <c r="CA172"/>
      <c r="CC172">
        <v>5.84</v>
      </c>
      <c r="CD172"/>
      <c r="CE172"/>
      <c r="CF172"/>
      <c r="CG172"/>
      <c r="CH172"/>
      <c r="CI172"/>
      <c r="CJ172"/>
      <c r="CK172"/>
      <c r="CL172"/>
      <c r="CM172"/>
    </row>
    <row r="173" spans="1:91">
      <c r="A173" s="154" t="s">
        <v>7639</v>
      </c>
      <c r="B173" t="s">
        <v>8287</v>
      </c>
      <c r="C173">
        <v>2</v>
      </c>
      <c r="D173">
        <v>1673</v>
      </c>
      <c r="E173" s="113">
        <v>73</v>
      </c>
      <c r="F173" s="113">
        <v>16</v>
      </c>
      <c r="I173">
        <v>25.499999999999996</v>
      </c>
      <c r="K173" s="320">
        <v>8</v>
      </c>
      <c r="L173" s="320"/>
      <c r="M173">
        <v>2.38</v>
      </c>
      <c r="N173" s="320"/>
      <c r="O173"/>
      <c r="P173"/>
      <c r="Q173"/>
      <c r="S173" s="320">
        <v>10.327660846848</v>
      </c>
      <c r="T173" s="320"/>
      <c r="U173">
        <v>10.8</v>
      </c>
      <c r="V173"/>
      <c r="W173"/>
      <c r="X173"/>
      <c r="Y173" s="321">
        <v>3.4106082000000004</v>
      </c>
      <c r="Z173" s="320"/>
      <c r="AA173" s="322">
        <v>52113.63636363636</v>
      </c>
      <c r="AB173" s="320"/>
      <c r="AC173" s="321">
        <v>21.528518399999999</v>
      </c>
      <c r="AD173" s="320"/>
      <c r="AE173" s="320">
        <v>22.93</v>
      </c>
      <c r="AF173" s="320"/>
      <c r="AG173">
        <v>4.4000000000000004</v>
      </c>
      <c r="AH173"/>
      <c r="AI173">
        <v>128</v>
      </c>
      <c r="AJ173"/>
      <c r="AK173"/>
      <c r="AL173"/>
      <c r="AM173"/>
      <c r="AN173"/>
      <c r="AO173">
        <v>90</v>
      </c>
      <c r="AP173"/>
      <c r="AQ173" s="323"/>
      <c r="AR173" s="323"/>
      <c r="AS173">
        <v>112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>
        <v>4.4718999999999998</v>
      </c>
      <c r="BH173"/>
      <c r="BI173">
        <v>4.7778999999999998</v>
      </c>
      <c r="BJ173"/>
      <c r="BK173">
        <v>1.3772</v>
      </c>
      <c r="BL173"/>
      <c r="BM173">
        <v>58.301000000000002</v>
      </c>
      <c r="BN173"/>
      <c r="BO173">
        <v>20.728000000000002</v>
      </c>
      <c r="BP173"/>
      <c r="BQ173">
        <v>10.585000000000001</v>
      </c>
      <c r="BR173"/>
      <c r="BS173">
        <v>47.972000000000001</v>
      </c>
      <c r="BT173"/>
      <c r="BU173">
        <v>19.602</v>
      </c>
      <c r="BV173"/>
      <c r="BW173">
        <v>68.623999999999995</v>
      </c>
      <c r="BX173" s="324"/>
      <c r="BY173">
        <v>6.6230000000000047</v>
      </c>
      <c r="BZ173"/>
      <c r="CA173"/>
      <c r="CC173">
        <v>5.3</v>
      </c>
      <c r="CD173"/>
      <c r="CE173"/>
      <c r="CF173"/>
      <c r="CG173"/>
      <c r="CH173"/>
      <c r="CI173"/>
      <c r="CJ173"/>
      <c r="CK173"/>
      <c r="CL173"/>
      <c r="CM173"/>
    </row>
    <row r="174" spans="1:91">
      <c r="A174" s="154" t="s">
        <v>7640</v>
      </c>
      <c r="B174" t="s">
        <v>8289</v>
      </c>
      <c r="C174">
        <v>2</v>
      </c>
      <c r="D174">
        <v>557</v>
      </c>
      <c r="E174" s="113">
        <v>57</v>
      </c>
      <c r="F174" s="113">
        <v>5</v>
      </c>
      <c r="I174">
        <v>30.499999999999996</v>
      </c>
      <c r="K174" s="320">
        <v>7</v>
      </c>
      <c r="L174" s="320"/>
      <c r="M174">
        <v>2.35</v>
      </c>
      <c r="N174" s="320"/>
      <c r="O174"/>
      <c r="P174"/>
      <c r="Q174"/>
      <c r="S174" s="320">
        <v>9.1743478348319982</v>
      </c>
      <c r="T174" s="320"/>
      <c r="U174">
        <v>10.8</v>
      </c>
      <c r="V174"/>
      <c r="W174"/>
      <c r="X174"/>
      <c r="Y174" s="321">
        <v>4.2028847999999996</v>
      </c>
      <c r="Z174" s="320"/>
      <c r="AA174" s="322">
        <v>33240.740740740737</v>
      </c>
      <c r="AB174" s="320"/>
      <c r="AC174" s="321">
        <v>20.081311199999998</v>
      </c>
      <c r="AD174" s="320"/>
      <c r="AE174" s="320">
        <v>21.54</v>
      </c>
      <c r="AF174" s="320"/>
      <c r="AG174">
        <v>6.48</v>
      </c>
      <c r="AH174"/>
      <c r="AI174">
        <v>130</v>
      </c>
      <c r="AJ174"/>
      <c r="AK174"/>
      <c r="AL174"/>
      <c r="AM174"/>
      <c r="AN174"/>
      <c r="AO174">
        <v>79</v>
      </c>
      <c r="AP174"/>
      <c r="AQ174" s="323"/>
      <c r="AR174" s="323"/>
      <c r="AS174">
        <v>118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>
        <v>-0.81476999999999999</v>
      </c>
      <c r="BH174"/>
      <c r="BI174">
        <v>4.7716000000000003</v>
      </c>
      <c r="BJ174"/>
      <c r="BK174">
        <v>1.2589999999999999</v>
      </c>
      <c r="BL174"/>
      <c r="BM174">
        <v>58.252000000000002</v>
      </c>
      <c r="BN174"/>
      <c r="BO174">
        <v>21.213000000000001</v>
      </c>
      <c r="BP174"/>
      <c r="BQ174">
        <v>12.641999999999999</v>
      </c>
      <c r="BR174"/>
      <c r="BS174">
        <v>45.686</v>
      </c>
      <c r="BT174"/>
      <c r="BU174">
        <v>22.645</v>
      </c>
      <c r="BV174"/>
      <c r="BW174" s="325">
        <v>21.85</v>
      </c>
      <c r="BX174"/>
      <c r="BY174">
        <v>6.9699999999999989</v>
      </c>
      <c r="BZ174"/>
      <c r="CA174"/>
      <c r="CC174">
        <v>9.91</v>
      </c>
      <c r="CD174"/>
      <c r="CE174"/>
      <c r="CF174"/>
      <c r="CG174"/>
      <c r="CH174"/>
      <c r="CI174"/>
      <c r="CJ174"/>
      <c r="CK174"/>
      <c r="CL174"/>
      <c r="CM174"/>
    </row>
    <row r="175" spans="1:91">
      <c r="A175" s="327" t="s">
        <v>7640</v>
      </c>
      <c r="B175" s="328" t="s">
        <v>8287</v>
      </c>
      <c r="C175" s="328">
        <v>1</v>
      </c>
      <c r="D175" s="328">
        <v>937</v>
      </c>
      <c r="E175" s="113">
        <v>37</v>
      </c>
      <c r="F175" s="113">
        <v>9</v>
      </c>
      <c r="G175" s="329"/>
      <c r="H175" s="329"/>
      <c r="I175" s="328">
        <v>23.5</v>
      </c>
      <c r="J175" s="330"/>
      <c r="K175" s="331">
        <v>7</v>
      </c>
      <c r="L175" s="331"/>
      <c r="M175" s="328">
        <v>1.1499999999999999</v>
      </c>
      <c r="N175" s="331"/>
      <c r="O175" s="328"/>
      <c r="P175" s="328"/>
      <c r="Q175" s="328"/>
      <c r="R175" s="332"/>
      <c r="S175" s="331">
        <v>4.8566438573399999</v>
      </c>
      <c r="T175" s="331"/>
      <c r="U175" s="328">
        <v>10.8</v>
      </c>
      <c r="V175" s="328"/>
      <c r="W175" s="328"/>
      <c r="X175" s="328"/>
      <c r="Y175" s="333">
        <v>1.8307179000000002</v>
      </c>
      <c r="Z175" s="331"/>
      <c r="AA175" s="334">
        <v>19800.000000000004</v>
      </c>
      <c r="AB175" s="331"/>
      <c r="AC175" s="333">
        <v>10.1891196</v>
      </c>
      <c r="AD175" s="331"/>
      <c r="AE175" s="331">
        <v>10.89</v>
      </c>
      <c r="AF175" s="331"/>
      <c r="AG175" s="328">
        <v>5.5</v>
      </c>
      <c r="AH175" s="328"/>
      <c r="AI175" s="328"/>
      <c r="AJ175" s="328"/>
      <c r="AK175" s="328"/>
      <c r="AL175" s="328"/>
      <c r="AM175" s="328"/>
      <c r="AN175" s="328"/>
      <c r="AO175" s="328">
        <v>81</v>
      </c>
      <c r="AP175" s="328"/>
      <c r="AQ175" s="335"/>
      <c r="AR175" s="335"/>
      <c r="AS175" s="328">
        <v>116</v>
      </c>
      <c r="AT175" s="328"/>
      <c r="AU175" s="328"/>
      <c r="AV175" s="328"/>
      <c r="AW175" s="328"/>
      <c r="AX175" s="328"/>
      <c r="AY175" s="328"/>
      <c r="AZ175" s="328"/>
      <c r="BA175" s="328"/>
      <c r="BB175" s="328"/>
      <c r="BC175" s="328"/>
      <c r="BD175" s="328"/>
      <c r="BE175" s="328"/>
      <c r="BF175" s="328"/>
      <c r="BG175" s="328">
        <v>13.313000000000001</v>
      </c>
      <c r="BH175" s="328"/>
      <c r="BI175" s="328">
        <v>4.8540000000000001</v>
      </c>
      <c r="BJ175" s="328"/>
      <c r="BK175" s="328">
        <v>1.1200000000000001</v>
      </c>
      <c r="BL175" s="328"/>
      <c r="BM175" s="328">
        <v>43.186</v>
      </c>
      <c r="BN175" s="328"/>
      <c r="BO175" s="328">
        <v>20.873999999999999</v>
      </c>
      <c r="BP175" s="328"/>
      <c r="BQ175" s="328">
        <v>11.427</v>
      </c>
      <c r="BR175" s="328"/>
      <c r="BS175" s="328">
        <v>47.664999999999999</v>
      </c>
      <c r="BT175" s="328"/>
      <c r="BU175" s="328">
        <v>20.672999999999998</v>
      </c>
      <c r="BV175" s="328"/>
      <c r="BW175" s="336">
        <v>24.62</v>
      </c>
      <c r="BX175" s="328"/>
      <c r="BY175" s="328">
        <v>6.6069999999999993</v>
      </c>
      <c r="BZ175" s="328"/>
      <c r="CA175" s="328"/>
      <c r="CB175" s="337"/>
      <c r="CC175" s="328">
        <v>6.97</v>
      </c>
      <c r="CD175" s="328"/>
      <c r="CE175" s="328"/>
      <c r="CF175" s="328"/>
      <c r="CG175" s="328"/>
      <c r="CH175" s="328"/>
      <c r="CI175" s="328"/>
      <c r="CJ175" s="328"/>
      <c r="CK175" s="328" t="s">
        <v>8377</v>
      </c>
      <c r="CL175" s="328"/>
      <c r="CM175" s="328"/>
    </row>
    <row r="176" spans="1:91">
      <c r="A176" s="154" t="s">
        <v>7640</v>
      </c>
      <c r="B176" t="s">
        <v>8287</v>
      </c>
      <c r="C176">
        <v>2</v>
      </c>
      <c r="D176">
        <v>1061</v>
      </c>
      <c r="E176" s="113">
        <v>61</v>
      </c>
      <c r="F176" s="113">
        <v>10</v>
      </c>
      <c r="I176">
        <v>28.999999999999996</v>
      </c>
      <c r="K176" s="320">
        <v>9</v>
      </c>
      <c r="L176" s="320"/>
      <c r="M176">
        <v>2.96</v>
      </c>
      <c r="N176" s="320"/>
      <c r="O176"/>
      <c r="P176"/>
      <c r="Q176"/>
      <c r="S176" s="320">
        <v>12.01233023424</v>
      </c>
      <c r="T176" s="320"/>
      <c r="U176">
        <v>10.8</v>
      </c>
      <c r="V176"/>
      <c r="W176"/>
      <c r="X176"/>
      <c r="Y176" s="321">
        <v>5.3801616000000001</v>
      </c>
      <c r="Z176" s="320"/>
      <c r="AA176" s="322">
        <v>47806.56303972366</v>
      </c>
      <c r="AB176" s="320"/>
      <c r="AC176" s="321">
        <v>25.812984</v>
      </c>
      <c r="AD176" s="320"/>
      <c r="AE176" s="320">
        <v>27.68</v>
      </c>
      <c r="AF176" s="320"/>
      <c r="AG176">
        <v>5.79</v>
      </c>
      <c r="AH176"/>
      <c r="AI176">
        <v>128</v>
      </c>
      <c r="AJ176"/>
      <c r="AK176"/>
      <c r="AL176"/>
      <c r="AM176"/>
      <c r="AN176"/>
      <c r="AO176">
        <v>79</v>
      </c>
      <c r="AP176"/>
      <c r="AQ176" s="323"/>
      <c r="AR176" s="323"/>
      <c r="AS176">
        <v>112</v>
      </c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6.3315000000000001</v>
      </c>
      <c r="BH176"/>
      <c r="BI176">
        <v>4.9120999999999997</v>
      </c>
      <c r="BJ176"/>
      <c r="BK176">
        <v>1.0605</v>
      </c>
      <c r="BL176"/>
      <c r="BM176">
        <v>54.256999999999998</v>
      </c>
      <c r="BN176"/>
      <c r="BO176">
        <v>20.404</v>
      </c>
      <c r="BP176"/>
      <c r="BQ176">
        <v>14.624000000000001</v>
      </c>
      <c r="BR176"/>
      <c r="BS176">
        <v>46.536000000000001</v>
      </c>
      <c r="BT176"/>
      <c r="BU176">
        <v>22.285</v>
      </c>
      <c r="BV176"/>
      <c r="BW176">
        <v>96.007000000000005</v>
      </c>
      <c r="BX176" s="324"/>
      <c r="BY176">
        <v>6.5160000000000053</v>
      </c>
      <c r="BZ176"/>
      <c r="CA176"/>
      <c r="CC176">
        <v>8.08</v>
      </c>
      <c r="CD176"/>
      <c r="CE176"/>
      <c r="CF176"/>
      <c r="CG176"/>
      <c r="CH176"/>
      <c r="CI176"/>
      <c r="CJ176"/>
      <c r="CK176"/>
      <c r="CL176"/>
      <c r="CM176"/>
    </row>
    <row r="177" spans="1:91">
      <c r="A177" s="154" t="s">
        <v>7640</v>
      </c>
      <c r="B177" t="s">
        <v>8289</v>
      </c>
      <c r="C177">
        <v>1</v>
      </c>
      <c r="D177">
        <v>1520</v>
      </c>
      <c r="E177" s="113">
        <v>20</v>
      </c>
      <c r="F177" s="113">
        <v>15</v>
      </c>
      <c r="I177">
        <v>27.999999999999996</v>
      </c>
      <c r="K177" s="320">
        <v>8</v>
      </c>
      <c r="L177" s="320"/>
      <c r="M177">
        <v>2.52</v>
      </c>
      <c r="N177" s="320"/>
      <c r="O177"/>
      <c r="P177"/>
      <c r="Q177"/>
      <c r="S177" s="320">
        <v>10.677299317838999</v>
      </c>
      <c r="T177" s="320"/>
      <c r="U177">
        <v>10.8</v>
      </c>
      <c r="V177"/>
      <c r="W177"/>
      <c r="X177"/>
      <c r="Y177" s="321">
        <v>5.0865688999999996</v>
      </c>
      <c r="Z177" s="320"/>
      <c r="AA177" s="322">
        <v>44568.807339449537</v>
      </c>
      <c r="AB177" s="320"/>
      <c r="AC177" s="321">
        <v>22.708478100000001</v>
      </c>
      <c r="AD177" s="320"/>
      <c r="AE177" s="320">
        <v>24.29</v>
      </c>
      <c r="AF177" s="320"/>
      <c r="AG177">
        <v>5.45</v>
      </c>
      <c r="AH177"/>
      <c r="AI177">
        <v>123</v>
      </c>
      <c r="AJ177"/>
      <c r="AK177"/>
      <c r="AL177"/>
      <c r="AM177"/>
      <c r="AN177"/>
      <c r="AO177">
        <v>80</v>
      </c>
      <c r="AP177"/>
      <c r="AQ177" s="323"/>
      <c r="AR177" s="323"/>
      <c r="AS177">
        <v>114</v>
      </c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>
        <v>6.9683999999999999</v>
      </c>
      <c r="BH177"/>
      <c r="BI177">
        <v>5.1186999999999996</v>
      </c>
      <c r="BJ177"/>
      <c r="BK177">
        <v>0.98001000000000005</v>
      </c>
      <c r="BL177"/>
      <c r="BM177">
        <v>50.417999999999999</v>
      </c>
      <c r="BN177"/>
      <c r="BO177">
        <v>21.875</v>
      </c>
      <c r="BP177"/>
      <c r="BQ177">
        <v>14.435</v>
      </c>
      <c r="BR177"/>
      <c r="BS177">
        <v>47.018999999999998</v>
      </c>
      <c r="BT177"/>
      <c r="BU177">
        <v>21.945</v>
      </c>
      <c r="BV177"/>
      <c r="BW177">
        <v>98.852999999999994</v>
      </c>
      <c r="BX177" s="324"/>
      <c r="BY177">
        <v>6.3769999999999953</v>
      </c>
      <c r="BZ177"/>
      <c r="CA177"/>
      <c r="CC177">
        <v>5.27</v>
      </c>
      <c r="CD177"/>
      <c r="CE177"/>
      <c r="CF177"/>
      <c r="CG177"/>
      <c r="CH177"/>
      <c r="CI177"/>
      <c r="CJ177"/>
      <c r="CK177"/>
      <c r="CL177"/>
      <c r="CM177"/>
    </row>
    <row r="178" spans="1:91">
      <c r="A178" s="154" t="s">
        <v>7641</v>
      </c>
      <c r="B178" t="s">
        <v>8287</v>
      </c>
      <c r="C178">
        <v>1</v>
      </c>
      <c r="D178">
        <v>406</v>
      </c>
      <c r="E178" s="113">
        <v>6</v>
      </c>
      <c r="F178" s="113">
        <v>4</v>
      </c>
      <c r="I178">
        <v>13.5</v>
      </c>
      <c r="K178" s="320">
        <v>8</v>
      </c>
      <c r="L178" s="320"/>
      <c r="M178">
        <v>2.29</v>
      </c>
      <c r="N178" s="320"/>
      <c r="O178"/>
      <c r="P178"/>
      <c r="Q178"/>
      <c r="S178" s="320">
        <v>10.335877411392</v>
      </c>
      <c r="T178" s="320"/>
      <c r="U178">
        <v>10.8</v>
      </c>
      <c r="V178"/>
      <c r="W178"/>
      <c r="X178"/>
      <c r="Y178" s="321">
        <v>3.995288</v>
      </c>
      <c r="Z178" s="320"/>
      <c r="AA178" s="322">
        <v>57730.870712401047</v>
      </c>
      <c r="AB178" s="320"/>
      <c r="AC178" s="321">
        <v>20.4492668</v>
      </c>
      <c r="AD178" s="320"/>
      <c r="AE178" s="320">
        <v>21.88</v>
      </c>
      <c r="AF178" s="320"/>
      <c r="AG178">
        <v>3.79</v>
      </c>
      <c r="AH178"/>
      <c r="AI178">
        <v>113</v>
      </c>
      <c r="AJ178"/>
      <c r="AK178"/>
      <c r="AL178"/>
      <c r="AM178"/>
      <c r="AN178"/>
      <c r="AO178">
        <v>77</v>
      </c>
      <c r="AP178"/>
      <c r="AQ178" s="323"/>
      <c r="AR178" s="323"/>
      <c r="AS178">
        <v>114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>
        <v>0.84362999999999999</v>
      </c>
      <c r="BH178"/>
      <c r="BI178">
        <v>4.7144000000000004</v>
      </c>
      <c r="BJ178"/>
      <c r="BK178">
        <v>1.4653</v>
      </c>
      <c r="BL178"/>
      <c r="BM178">
        <v>59.030999999999999</v>
      </c>
      <c r="BN178"/>
      <c r="BO178">
        <v>20.975999999999999</v>
      </c>
      <c r="BP178"/>
      <c r="BQ178">
        <v>10.050000000000001</v>
      </c>
      <c r="BR178"/>
      <c r="BS178">
        <v>50.543999999999997</v>
      </c>
      <c r="BT178"/>
      <c r="BU178">
        <v>17.658000000000001</v>
      </c>
      <c r="BV178"/>
      <c r="BW178">
        <v>41.165999999999997</v>
      </c>
      <c r="BX178" s="324"/>
      <c r="BY178">
        <v>6.3940000000000055</v>
      </c>
      <c r="BZ178"/>
      <c r="CA178"/>
      <c r="CC178">
        <v>6.11</v>
      </c>
      <c r="CD178"/>
      <c r="CE178"/>
      <c r="CF178"/>
      <c r="CG178"/>
      <c r="CH178"/>
      <c r="CI178"/>
      <c r="CJ178"/>
      <c r="CK178"/>
      <c r="CL178"/>
      <c r="CM178"/>
    </row>
    <row r="179" spans="1:91">
      <c r="A179" s="327" t="s">
        <v>7641</v>
      </c>
      <c r="B179" s="328" t="s">
        <v>8289</v>
      </c>
      <c r="C179" s="328">
        <v>2</v>
      </c>
      <c r="D179" s="328">
        <v>846</v>
      </c>
      <c r="E179" s="113">
        <v>46</v>
      </c>
      <c r="F179" s="113">
        <v>8</v>
      </c>
      <c r="G179" s="329"/>
      <c r="H179" s="329"/>
      <c r="I179" s="328">
        <v>9</v>
      </c>
      <c r="J179" s="330"/>
      <c r="K179" s="331">
        <v>8</v>
      </c>
      <c r="L179" s="331"/>
      <c r="M179" s="328">
        <v>1.73</v>
      </c>
      <c r="N179" s="331"/>
      <c r="O179" s="328"/>
      <c r="P179" s="328"/>
      <c r="Q179" s="328"/>
      <c r="R179" s="332"/>
      <c r="S179" s="331">
        <v>7.4671459677449992</v>
      </c>
      <c r="T179" s="331"/>
      <c r="U179" s="328">
        <v>10.8</v>
      </c>
      <c r="V179" s="328"/>
      <c r="W179" s="328"/>
      <c r="X179" s="328"/>
      <c r="Y179" s="333">
        <v>3.1428539999999998</v>
      </c>
      <c r="Z179" s="331"/>
      <c r="AA179" s="334">
        <v>43359.375</v>
      </c>
      <c r="AB179" s="331"/>
      <c r="AC179" s="333">
        <v>15.492325499999998</v>
      </c>
      <c r="AD179" s="331"/>
      <c r="AE179" s="331">
        <v>16.649999999999999</v>
      </c>
      <c r="AF179" s="331"/>
      <c r="AG179" s="328">
        <v>3.84</v>
      </c>
      <c r="AH179" s="328"/>
      <c r="AI179" s="328"/>
      <c r="AJ179" s="328"/>
      <c r="AK179" s="328"/>
      <c r="AL179" s="328"/>
      <c r="AM179" s="328"/>
      <c r="AN179" s="328"/>
      <c r="AO179" s="328">
        <v>71</v>
      </c>
      <c r="AP179" s="328"/>
      <c r="AQ179" s="335"/>
      <c r="AR179" s="335"/>
      <c r="AS179" s="328">
        <v>112</v>
      </c>
      <c r="AT179" s="328"/>
      <c r="AU179" s="328"/>
      <c r="AV179" s="328"/>
      <c r="AW179" s="328"/>
      <c r="AX179" s="328"/>
      <c r="AY179" s="328"/>
      <c r="AZ179" s="328"/>
      <c r="BA179" s="328"/>
      <c r="BB179" s="328"/>
      <c r="BC179" s="328"/>
      <c r="BD179" s="328"/>
      <c r="BE179" s="328"/>
      <c r="BF179" s="328"/>
      <c r="BG179" s="328">
        <v>2.9601000000000002</v>
      </c>
      <c r="BH179" s="328"/>
      <c r="BI179" s="328">
        <v>4.8665000000000003</v>
      </c>
      <c r="BJ179" s="328"/>
      <c r="BK179" s="328">
        <v>1.5680000000000001</v>
      </c>
      <c r="BL179" s="328"/>
      <c r="BM179" s="328">
        <v>60.884</v>
      </c>
      <c r="BN179" s="328"/>
      <c r="BO179" s="328">
        <v>21.155000000000001</v>
      </c>
      <c r="BP179" s="328"/>
      <c r="BQ179" s="328">
        <v>9.1552000000000007</v>
      </c>
      <c r="BR179" s="328"/>
      <c r="BS179" s="328">
        <v>48.198999999999998</v>
      </c>
      <c r="BT179" s="328"/>
      <c r="BU179" s="328">
        <v>18.992999999999999</v>
      </c>
      <c r="BV179" s="328"/>
      <c r="BW179" s="336">
        <v>4.1500000000000004</v>
      </c>
      <c r="BX179" s="328"/>
      <c r="BY179" s="328">
        <v>6.534000000000006</v>
      </c>
      <c r="BZ179" s="328"/>
      <c r="CA179" s="328"/>
      <c r="CB179" s="337"/>
      <c r="CC179" s="328">
        <v>5.42</v>
      </c>
      <c r="CD179" s="328"/>
      <c r="CE179" s="328"/>
      <c r="CF179" s="328"/>
      <c r="CG179" s="328"/>
      <c r="CH179" s="328"/>
      <c r="CI179" s="328"/>
      <c r="CJ179" s="328"/>
      <c r="CK179" s="328" t="s">
        <v>8377</v>
      </c>
      <c r="CL179" s="328"/>
      <c r="CM179" s="328"/>
    </row>
    <row r="180" spans="1:91">
      <c r="A180" s="154" t="s">
        <v>7641</v>
      </c>
      <c r="B180" t="s">
        <v>8289</v>
      </c>
      <c r="C180">
        <v>1</v>
      </c>
      <c r="D180">
        <v>1018</v>
      </c>
      <c r="E180" s="113">
        <v>18</v>
      </c>
      <c r="F180" s="113">
        <v>10</v>
      </c>
      <c r="I180">
        <v>12.5</v>
      </c>
      <c r="K180" s="320">
        <v>7</v>
      </c>
      <c r="L180" s="320"/>
      <c r="M180">
        <v>1.75</v>
      </c>
      <c r="N180" s="320"/>
      <c r="O180"/>
      <c r="P180"/>
      <c r="Q180"/>
      <c r="S180" s="320">
        <v>7.3537618249689993</v>
      </c>
      <c r="T180" s="320"/>
      <c r="U180">
        <v>10.8</v>
      </c>
      <c r="V180"/>
      <c r="W180"/>
      <c r="X180"/>
      <c r="Y180" s="321">
        <v>3.0935125999999995</v>
      </c>
      <c r="Z180" s="320"/>
      <c r="AA180" s="322">
        <v>50393.939393939392</v>
      </c>
      <c r="AB180" s="320"/>
      <c r="AC180" s="321">
        <v>15.663298099999999</v>
      </c>
      <c r="AD180" s="320"/>
      <c r="AE180" s="320">
        <v>16.63</v>
      </c>
      <c r="AF180" s="320"/>
      <c r="AG180">
        <v>3.3</v>
      </c>
      <c r="AH180"/>
      <c r="AI180">
        <v>100</v>
      </c>
      <c r="AJ180"/>
      <c r="AK180"/>
      <c r="AL180"/>
      <c r="AM180"/>
      <c r="AN180"/>
      <c r="AO180">
        <v>81</v>
      </c>
      <c r="AP180"/>
      <c r="AQ180" s="323"/>
      <c r="AR180" s="323"/>
      <c r="AS180">
        <v>114</v>
      </c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>
        <v>3.3281000000000001</v>
      </c>
      <c r="BH180"/>
      <c r="BI180">
        <v>4.7396000000000003</v>
      </c>
      <c r="BJ180"/>
      <c r="BK180">
        <v>1.5819000000000001</v>
      </c>
      <c r="BL180"/>
      <c r="BM180">
        <v>56.271999999999998</v>
      </c>
      <c r="BN180"/>
      <c r="BO180">
        <v>19.977</v>
      </c>
      <c r="BP180"/>
      <c r="BQ180">
        <v>9.9984999999999999</v>
      </c>
      <c r="BR180"/>
      <c r="BS180">
        <v>46.948999999999998</v>
      </c>
      <c r="BT180"/>
      <c r="BU180">
        <v>20.021999999999998</v>
      </c>
      <c r="BV180"/>
      <c r="BW180" s="325">
        <v>9.27</v>
      </c>
      <c r="BX180"/>
      <c r="BY180">
        <v>6.5789999999999935</v>
      </c>
      <c r="BZ180"/>
      <c r="CA180"/>
      <c r="CC180">
        <v>6.6</v>
      </c>
      <c r="CD180"/>
      <c r="CE180"/>
      <c r="CF180"/>
      <c r="CG180"/>
      <c r="CH180"/>
      <c r="CI180"/>
      <c r="CJ180"/>
      <c r="CK180"/>
      <c r="CL180"/>
      <c r="CM180"/>
    </row>
    <row r="181" spans="1:91">
      <c r="A181" s="154" t="s">
        <v>7641</v>
      </c>
      <c r="B181" t="s">
        <v>8287</v>
      </c>
      <c r="C181">
        <v>2</v>
      </c>
      <c r="D181">
        <v>1771</v>
      </c>
      <c r="E181" s="113">
        <v>71</v>
      </c>
      <c r="F181" s="113">
        <v>17</v>
      </c>
      <c r="I181">
        <v>11.999999999999998</v>
      </c>
      <c r="K181" s="320">
        <v>8</v>
      </c>
      <c r="L181" s="320"/>
      <c r="M181">
        <v>2.25</v>
      </c>
      <c r="N181" s="320"/>
      <c r="O181"/>
      <c r="P181"/>
      <c r="Q181"/>
      <c r="S181" s="320">
        <v>10.349418836640002</v>
      </c>
      <c r="T181" s="320"/>
      <c r="U181">
        <v>10.8</v>
      </c>
      <c r="V181"/>
      <c r="W181"/>
      <c r="X181"/>
      <c r="Y181" s="321">
        <v>3.6746190000000003</v>
      </c>
      <c r="Z181" s="320"/>
      <c r="AA181" s="322">
        <v>62420.749279538904</v>
      </c>
      <c r="AB181" s="320"/>
      <c r="AC181" s="321">
        <v>20.285023200000001</v>
      </c>
      <c r="AD181" s="320"/>
      <c r="AE181" s="320">
        <v>21.66</v>
      </c>
      <c r="AF181" s="320"/>
      <c r="AG181">
        <v>3.47</v>
      </c>
      <c r="AH181"/>
      <c r="AI181">
        <v>100</v>
      </c>
      <c r="AJ181"/>
      <c r="AK181"/>
      <c r="AL181"/>
      <c r="AM181"/>
      <c r="AN181"/>
      <c r="AO181">
        <v>79</v>
      </c>
      <c r="AP181"/>
      <c r="AQ181" s="323"/>
      <c r="AR181" s="323"/>
      <c r="AS181">
        <v>112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0.75038000000000005</v>
      </c>
      <c r="BH181"/>
      <c r="BI181">
        <v>5.0717999999999996</v>
      </c>
      <c r="BJ181"/>
      <c r="BK181">
        <v>1.3602000000000001</v>
      </c>
      <c r="BL181"/>
      <c r="BM181">
        <v>59.936</v>
      </c>
      <c r="BN181"/>
      <c r="BO181">
        <v>19.893000000000001</v>
      </c>
      <c r="BP181"/>
      <c r="BQ181">
        <v>9.9656000000000002</v>
      </c>
      <c r="BR181"/>
      <c r="BS181">
        <v>51.02</v>
      </c>
      <c r="BT181"/>
      <c r="BU181">
        <v>17.027999999999999</v>
      </c>
      <c r="BV181"/>
      <c r="BW181">
        <v>42.966999999999999</v>
      </c>
      <c r="BX181" s="324"/>
      <c r="BY181">
        <v>6.5280000000000058</v>
      </c>
      <c r="BZ181"/>
      <c r="CA181"/>
      <c r="CC181">
        <v>5.37</v>
      </c>
      <c r="CD181"/>
      <c r="CE181"/>
      <c r="CF181"/>
      <c r="CG181"/>
      <c r="CH181"/>
      <c r="CI181"/>
      <c r="CJ181"/>
      <c r="CK181"/>
      <c r="CL181"/>
      <c r="CM181"/>
    </row>
    <row r="182" spans="1:91">
      <c r="A182" s="154" t="s">
        <v>7642</v>
      </c>
      <c r="B182" t="s">
        <v>8287</v>
      </c>
      <c r="C182">
        <v>1</v>
      </c>
      <c r="D182">
        <v>724</v>
      </c>
      <c r="E182" s="113">
        <v>24</v>
      </c>
      <c r="F182" s="113">
        <v>7</v>
      </c>
      <c r="I182">
        <v>30.499999999999996</v>
      </c>
      <c r="K182" s="320">
        <v>8</v>
      </c>
      <c r="L182" s="320"/>
      <c r="M182">
        <v>2.72</v>
      </c>
      <c r="N182" s="320"/>
      <c r="O182"/>
      <c r="P182"/>
      <c r="Q182"/>
      <c r="S182" s="320">
        <v>11.613209766282001</v>
      </c>
      <c r="T182" s="320"/>
      <c r="U182">
        <v>10.8</v>
      </c>
      <c r="V182"/>
      <c r="W182"/>
      <c r="X182"/>
      <c r="Y182" s="321">
        <v>4.3657545999999998</v>
      </c>
      <c r="Z182" s="320"/>
      <c r="AA182" s="322">
        <v>61679.012345679017</v>
      </c>
      <c r="AB182" s="320"/>
      <c r="AC182" s="321">
        <v>23.500434599999998</v>
      </c>
      <c r="AD182" s="320"/>
      <c r="AE182" s="320">
        <v>24.98</v>
      </c>
      <c r="AF182" s="320"/>
      <c r="AG182">
        <v>4.05</v>
      </c>
      <c r="AH182"/>
      <c r="AI182">
        <v>125</v>
      </c>
      <c r="AJ182"/>
      <c r="AK182"/>
      <c r="AL182"/>
      <c r="AM182"/>
      <c r="AN182"/>
      <c r="AO182">
        <v>75</v>
      </c>
      <c r="AP182"/>
      <c r="AQ182" s="323"/>
      <c r="AR182" s="323"/>
      <c r="AS182">
        <v>112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>
        <v>4.7134</v>
      </c>
      <c r="BH182"/>
      <c r="BI182">
        <v>4.7321</v>
      </c>
      <c r="BJ182"/>
      <c r="BK182">
        <v>1.302</v>
      </c>
      <c r="BL182"/>
      <c r="BM182">
        <v>63.219000000000001</v>
      </c>
      <c r="BN182"/>
      <c r="BO182">
        <v>19.042000000000002</v>
      </c>
      <c r="BP182"/>
      <c r="BQ182">
        <v>10.802</v>
      </c>
      <c r="BR182"/>
      <c r="BS182">
        <v>49.417000000000002</v>
      </c>
      <c r="BT182"/>
      <c r="BU182">
        <v>18.167000000000002</v>
      </c>
      <c r="BV182"/>
      <c r="BW182">
        <v>66.977000000000004</v>
      </c>
      <c r="BX182" s="324"/>
      <c r="BY182">
        <v>6.5169999999999959</v>
      </c>
      <c r="BZ182"/>
      <c r="CA182"/>
      <c r="CC182">
        <v>9.73</v>
      </c>
      <c r="CD182"/>
      <c r="CE182"/>
      <c r="CF182"/>
      <c r="CG182"/>
      <c r="CH182"/>
      <c r="CI182"/>
      <c r="CJ182"/>
      <c r="CK182"/>
      <c r="CL182"/>
      <c r="CM182"/>
    </row>
    <row r="183" spans="1:91">
      <c r="A183" s="327" t="s">
        <v>7642</v>
      </c>
      <c r="B183" s="328" t="s">
        <v>8289</v>
      </c>
      <c r="C183" s="328">
        <v>2</v>
      </c>
      <c r="D183" s="328">
        <v>945</v>
      </c>
      <c r="E183" s="113">
        <v>45</v>
      </c>
      <c r="F183" s="113">
        <v>9</v>
      </c>
      <c r="G183" s="329"/>
      <c r="H183" s="329"/>
      <c r="I183" s="328">
        <v>25</v>
      </c>
      <c r="J183" s="330"/>
      <c r="K183" s="331">
        <v>7</v>
      </c>
      <c r="L183" s="331"/>
      <c r="M183" s="328">
        <v>1.2</v>
      </c>
      <c r="N183" s="331"/>
      <c r="O183" s="328"/>
      <c r="P183" s="328"/>
      <c r="Q183" s="328"/>
      <c r="R183" s="332"/>
      <c r="S183" s="331">
        <v>5.1168661415859997</v>
      </c>
      <c r="T183" s="331"/>
      <c r="U183" s="328">
        <v>10.8</v>
      </c>
      <c r="V183" s="328"/>
      <c r="W183" s="328"/>
      <c r="X183" s="328"/>
      <c r="Y183" s="333">
        <v>2.4213</v>
      </c>
      <c r="Z183" s="331"/>
      <c r="AA183" s="334">
        <v>29042.821158690174</v>
      </c>
      <c r="AB183" s="331"/>
      <c r="AC183" s="333">
        <v>10.695343299999999</v>
      </c>
      <c r="AD183" s="331"/>
      <c r="AE183" s="331">
        <v>11.53</v>
      </c>
      <c r="AF183" s="331"/>
      <c r="AG183" s="328">
        <v>3.97</v>
      </c>
      <c r="AH183" s="328"/>
      <c r="AI183" s="328"/>
      <c r="AJ183" s="328"/>
      <c r="AK183" s="328"/>
      <c r="AL183" s="328"/>
      <c r="AM183" s="328"/>
      <c r="AN183" s="328"/>
      <c r="AO183" s="328">
        <v>77</v>
      </c>
      <c r="AP183" s="328"/>
      <c r="AQ183" s="335"/>
      <c r="AR183" s="335"/>
      <c r="AS183" s="328">
        <v>114</v>
      </c>
      <c r="AT183" s="328"/>
      <c r="AU183" s="328"/>
      <c r="AV183" s="328"/>
      <c r="AW183" s="328"/>
      <c r="AX183" s="328"/>
      <c r="AY183" s="328"/>
      <c r="AZ183" s="328"/>
      <c r="BA183" s="328"/>
      <c r="BB183" s="328"/>
      <c r="BC183" s="328"/>
      <c r="BD183" s="328"/>
      <c r="BE183" s="328"/>
      <c r="BF183" s="328"/>
      <c r="BG183" s="328">
        <v>1.1039000000000001</v>
      </c>
      <c r="BH183" s="328"/>
      <c r="BI183" s="328">
        <v>5.0514999999999999</v>
      </c>
      <c r="BJ183" s="328"/>
      <c r="BK183" s="328">
        <v>1.5669999999999999</v>
      </c>
      <c r="BL183" s="328"/>
      <c r="BM183" s="328">
        <v>60.445</v>
      </c>
      <c r="BN183" s="328"/>
      <c r="BO183" s="328">
        <v>20.597000000000001</v>
      </c>
      <c r="BP183" s="328"/>
      <c r="BQ183" s="328">
        <v>9.6546000000000003</v>
      </c>
      <c r="BR183" s="328"/>
      <c r="BS183" s="328">
        <v>47.841999999999999</v>
      </c>
      <c r="BT183" s="328"/>
      <c r="BU183" s="328">
        <v>18.12</v>
      </c>
      <c r="BV183" s="328"/>
      <c r="BW183" s="336">
        <v>0.99</v>
      </c>
      <c r="BX183" s="328"/>
      <c r="BY183" s="328">
        <v>6.6740000000000066</v>
      </c>
      <c r="BZ183" s="328"/>
      <c r="CA183" s="328"/>
      <c r="CB183" s="337"/>
      <c r="CC183" s="328">
        <v>5.56</v>
      </c>
      <c r="CD183" s="328"/>
      <c r="CE183" s="328"/>
      <c r="CF183" s="328"/>
      <c r="CG183" s="328"/>
      <c r="CH183" s="328"/>
      <c r="CI183" s="328"/>
      <c r="CJ183" s="328"/>
      <c r="CK183" s="328" t="s">
        <v>8377</v>
      </c>
      <c r="CL183" s="328"/>
      <c r="CM183" s="328"/>
    </row>
    <row r="184" spans="1:91">
      <c r="A184" s="154" t="s">
        <v>7642</v>
      </c>
      <c r="B184" t="s">
        <v>8289</v>
      </c>
      <c r="C184">
        <v>1</v>
      </c>
      <c r="D184">
        <v>1402</v>
      </c>
      <c r="E184" s="113">
        <v>2</v>
      </c>
      <c r="F184" s="113">
        <v>14</v>
      </c>
      <c r="I184">
        <v>30.499999999999996</v>
      </c>
      <c r="K184" s="320">
        <v>9</v>
      </c>
      <c r="L184" s="320"/>
      <c r="M184">
        <v>2.5499999999999998</v>
      </c>
      <c r="N184" s="320"/>
      <c r="O184"/>
      <c r="P184"/>
      <c r="Q184"/>
      <c r="S184" s="320">
        <v>10.834000518875998</v>
      </c>
      <c r="T184" s="320"/>
      <c r="U184">
        <v>10.8</v>
      </c>
      <c r="V184"/>
      <c r="W184"/>
      <c r="X184"/>
      <c r="Y184" s="321">
        <v>4.3039769999999997</v>
      </c>
      <c r="Z184" s="320"/>
      <c r="AA184" s="322">
        <v>71348.973607038119</v>
      </c>
      <c r="AB184" s="320"/>
      <c r="AC184" s="321">
        <v>22.762418099999998</v>
      </c>
      <c r="AD184" s="320"/>
      <c r="AE184" s="320">
        <v>24.33</v>
      </c>
      <c r="AF184" s="320"/>
      <c r="AG184">
        <v>3.41</v>
      </c>
      <c r="AH184"/>
      <c r="AI184">
        <v>123</v>
      </c>
      <c r="AJ184"/>
      <c r="AK184"/>
      <c r="AL184"/>
      <c r="AM184"/>
      <c r="AN184"/>
      <c r="AO184">
        <v>77</v>
      </c>
      <c r="AP184"/>
      <c r="AQ184" s="323"/>
      <c r="AR184" s="323"/>
      <c r="AS184">
        <v>110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>
        <v>4.1643999999999997</v>
      </c>
      <c r="BH184"/>
      <c r="BI184">
        <v>4.9189999999999996</v>
      </c>
      <c r="BJ184"/>
      <c r="BK184">
        <v>1.33</v>
      </c>
      <c r="BL184"/>
      <c r="BM184">
        <v>59.936999999999998</v>
      </c>
      <c r="BN184"/>
      <c r="BO184">
        <v>21.568000000000001</v>
      </c>
      <c r="BP184"/>
      <c r="BQ184">
        <v>10.702</v>
      </c>
      <c r="BR184"/>
      <c r="BS184">
        <v>47.595999999999997</v>
      </c>
      <c r="BT184"/>
      <c r="BU184">
        <v>18.597999999999999</v>
      </c>
      <c r="BV184"/>
      <c r="BW184">
        <v>56.591999999999999</v>
      </c>
      <c r="BX184" s="324"/>
      <c r="BY184">
        <v>6.4710000000000036</v>
      </c>
      <c r="BZ184"/>
      <c r="CA184"/>
      <c r="CC184">
        <v>6.24</v>
      </c>
      <c r="CD184"/>
      <c r="CE184"/>
      <c r="CF184"/>
      <c r="CG184"/>
      <c r="CH184"/>
      <c r="CI184"/>
      <c r="CJ184"/>
      <c r="CK184"/>
      <c r="CL184"/>
      <c r="CM184"/>
    </row>
    <row r="185" spans="1:91">
      <c r="A185" s="154" t="s">
        <v>7642</v>
      </c>
      <c r="B185" t="s">
        <v>8287</v>
      </c>
      <c r="C185">
        <v>2</v>
      </c>
      <c r="D185">
        <v>1551</v>
      </c>
      <c r="E185" s="113">
        <v>51</v>
      </c>
      <c r="F185" s="113">
        <v>15</v>
      </c>
      <c r="I185">
        <v>30.499999999999996</v>
      </c>
      <c r="K185" s="320">
        <v>8</v>
      </c>
      <c r="L185" s="320"/>
      <c r="M185">
        <v>2.12</v>
      </c>
      <c r="N185" s="320"/>
      <c r="O185"/>
      <c r="P185"/>
      <c r="Q185"/>
      <c r="S185" s="320">
        <v>9.2618430828240008</v>
      </c>
      <c r="T185" s="320"/>
      <c r="U185">
        <v>10.8</v>
      </c>
      <c r="V185"/>
      <c r="W185"/>
      <c r="X185"/>
      <c r="Y185" s="321">
        <v>3.3990434999999994</v>
      </c>
      <c r="Z185" s="320"/>
      <c r="AA185" s="322">
        <v>57338.93557422969</v>
      </c>
      <c r="AB185" s="320"/>
      <c r="AC185" s="321">
        <v>19.024408600000001</v>
      </c>
      <c r="AD185" s="320"/>
      <c r="AE185" s="320">
        <v>20.47</v>
      </c>
      <c r="AF185" s="320"/>
      <c r="AG185">
        <v>3.57</v>
      </c>
      <c r="AH185"/>
      <c r="AI185">
        <v>123</v>
      </c>
      <c r="AJ185"/>
      <c r="AK185"/>
      <c r="AL185"/>
      <c r="AM185"/>
      <c r="AN185"/>
      <c r="AO185">
        <v>75</v>
      </c>
      <c r="AP185"/>
      <c r="AQ185" s="323"/>
      <c r="AR185" s="323"/>
      <c r="AS185">
        <v>112</v>
      </c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>
        <v>1.7458</v>
      </c>
      <c r="BH185"/>
      <c r="BI185">
        <v>5.3132999999999999</v>
      </c>
      <c r="BJ185"/>
      <c r="BK185">
        <v>1.403</v>
      </c>
      <c r="BL185"/>
      <c r="BM185">
        <v>64.822000000000003</v>
      </c>
      <c r="BN185"/>
      <c r="BO185">
        <v>20.462</v>
      </c>
      <c r="BP185"/>
      <c r="BQ185">
        <v>9.4557000000000002</v>
      </c>
      <c r="BR185"/>
      <c r="BS185">
        <v>48.683999999999997</v>
      </c>
      <c r="BT185"/>
      <c r="BU185">
        <v>17.047000000000001</v>
      </c>
      <c r="BV185"/>
      <c r="BW185">
        <v>51.042999999999999</v>
      </c>
      <c r="BX185" s="324"/>
      <c r="BY185">
        <v>6.2930000000000064</v>
      </c>
      <c r="BZ185"/>
      <c r="CA185"/>
      <c r="CC185">
        <v>5.0999999999999996</v>
      </c>
      <c r="CD185"/>
      <c r="CE185"/>
      <c r="CF185"/>
      <c r="CG185"/>
      <c r="CH185"/>
      <c r="CI185"/>
      <c r="CJ185"/>
      <c r="CK185"/>
      <c r="CL185"/>
      <c r="CM185"/>
    </row>
    <row r="186" spans="1:91">
      <c r="A186" s="327" t="s">
        <v>7643</v>
      </c>
      <c r="B186" s="328" t="s">
        <v>8287</v>
      </c>
      <c r="C186" s="328">
        <v>1</v>
      </c>
      <c r="D186" s="328">
        <v>924</v>
      </c>
      <c r="E186" s="113">
        <v>24</v>
      </c>
      <c r="F186" s="113">
        <v>9</v>
      </c>
      <c r="G186" s="329"/>
      <c r="H186" s="329"/>
      <c r="I186" s="328">
        <v>23.999999999999996</v>
      </c>
      <c r="J186" s="330"/>
      <c r="K186" s="331">
        <v>7</v>
      </c>
      <c r="L186" s="331"/>
      <c r="M186" s="328">
        <v>0.57999999999999996</v>
      </c>
      <c r="N186" s="331"/>
      <c r="O186" s="328"/>
      <c r="P186" s="328"/>
      <c r="Q186" s="328"/>
      <c r="R186" s="332"/>
      <c r="S186" s="331">
        <v>2.4566322749759997</v>
      </c>
      <c r="T186" s="331"/>
      <c r="U186" s="328">
        <v>10.8</v>
      </c>
      <c r="V186" s="328"/>
      <c r="W186" s="328"/>
      <c r="X186" s="328"/>
      <c r="Y186" s="333">
        <v>1.0269959999999998</v>
      </c>
      <c r="Z186" s="331"/>
      <c r="AA186" s="334">
        <v>11084.337349397589</v>
      </c>
      <c r="AB186" s="331"/>
      <c r="AC186" s="333">
        <v>5.1648983999999993</v>
      </c>
      <c r="AD186" s="331"/>
      <c r="AE186" s="331">
        <v>5.52</v>
      </c>
      <c r="AF186" s="331"/>
      <c r="AG186" s="328">
        <v>4.9800000000000004</v>
      </c>
      <c r="AH186" s="328"/>
      <c r="AI186" s="328"/>
      <c r="AJ186" s="328"/>
      <c r="AK186" s="328"/>
      <c r="AL186" s="328"/>
      <c r="AM186" s="328"/>
      <c r="AN186" s="328"/>
      <c r="AO186" s="328">
        <v>77</v>
      </c>
      <c r="AP186" s="328"/>
      <c r="AQ186" s="335"/>
      <c r="AR186" s="335"/>
      <c r="AS186" s="328">
        <v>116</v>
      </c>
      <c r="AT186" s="328"/>
      <c r="AU186" s="328"/>
      <c r="AV186" s="328"/>
      <c r="AW186" s="328"/>
      <c r="AX186" s="328"/>
      <c r="AY186" s="328"/>
      <c r="AZ186" s="328"/>
      <c r="BA186" s="328"/>
      <c r="BB186" s="328"/>
      <c r="BC186" s="328"/>
      <c r="BD186" s="328"/>
      <c r="BE186" s="328"/>
      <c r="BF186" s="328"/>
      <c r="BG186" s="328">
        <v>18.198</v>
      </c>
      <c r="BH186" s="328"/>
      <c r="BI186" s="328">
        <v>4.6718000000000002</v>
      </c>
      <c r="BJ186" s="328"/>
      <c r="BK186" s="328">
        <v>1.1551</v>
      </c>
      <c r="BL186" s="328"/>
      <c r="BM186" s="328">
        <v>44.12</v>
      </c>
      <c r="BN186" s="328"/>
      <c r="BO186" s="328">
        <v>19.149999999999999</v>
      </c>
      <c r="BP186" s="328"/>
      <c r="BQ186" s="328">
        <v>10.914999999999999</v>
      </c>
      <c r="BR186" s="328"/>
      <c r="BS186" s="328">
        <v>47.564</v>
      </c>
      <c r="BT186" s="328"/>
      <c r="BU186" s="328">
        <v>20.803999999999998</v>
      </c>
      <c r="BV186" s="328"/>
      <c r="BW186" s="328">
        <v>52.838999999999999</v>
      </c>
      <c r="BX186" s="339"/>
      <c r="BY186" s="328">
        <v>6.6310000000000002</v>
      </c>
      <c r="BZ186" s="328"/>
      <c r="CA186" s="328"/>
      <c r="CB186" s="337"/>
      <c r="CC186" s="328">
        <v>6.52</v>
      </c>
      <c r="CD186" s="328"/>
      <c r="CE186" s="328"/>
      <c r="CF186" s="328"/>
      <c r="CG186" s="328"/>
      <c r="CH186" s="328"/>
      <c r="CI186" s="328"/>
      <c r="CJ186" s="328"/>
      <c r="CK186" s="328" t="s">
        <v>8377</v>
      </c>
      <c r="CL186" s="328"/>
      <c r="CM186" s="328"/>
    </row>
    <row r="187" spans="1:91">
      <c r="A187" s="327" t="s">
        <v>7643</v>
      </c>
      <c r="B187" s="328" t="s">
        <v>8289</v>
      </c>
      <c r="C187" s="328">
        <v>2</v>
      </c>
      <c r="D187" s="328">
        <v>941</v>
      </c>
      <c r="E187" s="113">
        <v>41</v>
      </c>
      <c r="F187" s="113">
        <v>9</v>
      </c>
      <c r="G187" s="329"/>
      <c r="H187" s="329"/>
      <c r="I187" s="328">
        <v>21</v>
      </c>
      <c r="J187" s="330"/>
      <c r="K187" s="331">
        <v>7</v>
      </c>
      <c r="L187" s="331"/>
      <c r="M187" s="328">
        <v>1.05</v>
      </c>
      <c r="N187" s="331"/>
      <c r="O187" s="328"/>
      <c r="P187" s="328"/>
      <c r="Q187" s="328"/>
      <c r="R187" s="332"/>
      <c r="S187" s="331" t="s">
        <v>8361</v>
      </c>
      <c r="T187" s="331"/>
      <c r="U187" s="328">
        <v>10.8</v>
      </c>
      <c r="V187" s="328"/>
      <c r="W187" s="328"/>
      <c r="X187" s="328"/>
      <c r="Y187" s="333">
        <v>0</v>
      </c>
      <c r="Z187" s="331"/>
      <c r="AA187" s="334">
        <v>17294.520547945205</v>
      </c>
      <c r="AB187" s="331"/>
      <c r="AC187" s="333" t="s">
        <v>8361</v>
      </c>
      <c r="AD187" s="331"/>
      <c r="AE187" s="331">
        <v>10.1</v>
      </c>
      <c r="AF187" s="331"/>
      <c r="AG187" s="328">
        <v>5.84</v>
      </c>
      <c r="AH187" s="328"/>
      <c r="AI187" s="328"/>
      <c r="AJ187" s="328"/>
      <c r="AK187" s="328"/>
      <c r="AL187" s="328"/>
      <c r="AM187" s="328"/>
      <c r="AN187" s="328"/>
      <c r="AO187" s="328">
        <v>77</v>
      </c>
      <c r="AP187" s="328"/>
      <c r="AQ187" s="335"/>
      <c r="AR187" s="335"/>
      <c r="AS187" s="328">
        <v>118</v>
      </c>
      <c r="AT187" s="328"/>
      <c r="AU187" s="328"/>
      <c r="AV187" s="328"/>
      <c r="AW187" s="328"/>
      <c r="AX187" s="328"/>
      <c r="AY187" s="328"/>
      <c r="AZ187" s="328"/>
      <c r="BA187" s="328"/>
      <c r="BB187" s="328"/>
      <c r="BC187" s="328"/>
      <c r="BD187" s="328"/>
      <c r="BE187" s="328"/>
      <c r="BF187" s="328"/>
      <c r="BG187" s="328">
        <v>-0.98831999999999998</v>
      </c>
      <c r="BH187" s="328"/>
      <c r="BI187" s="328">
        <v>4.7205000000000004</v>
      </c>
      <c r="BJ187" s="328"/>
      <c r="BK187" s="328">
        <v>1.3637999999999999</v>
      </c>
      <c r="BL187" s="328"/>
      <c r="BM187" s="328">
        <v>59.805999999999997</v>
      </c>
      <c r="BN187" s="328"/>
      <c r="BO187" s="328">
        <v>21.271999999999998</v>
      </c>
      <c r="BP187" s="328"/>
      <c r="BQ187" s="328">
        <v>10.302</v>
      </c>
      <c r="BR187" s="328"/>
      <c r="BS187" s="328">
        <v>47.116999999999997</v>
      </c>
      <c r="BT187" s="328"/>
      <c r="BU187" s="328">
        <v>22.065000000000001</v>
      </c>
      <c r="BV187" s="328"/>
      <c r="BW187" s="336">
        <v>23.43</v>
      </c>
      <c r="BX187" s="328"/>
      <c r="BY187" s="328">
        <v>6.6080000000000041</v>
      </c>
      <c r="BZ187" s="328"/>
      <c r="CA187" s="328"/>
      <c r="CB187" s="337"/>
      <c r="CC187" s="328">
        <v>5.45</v>
      </c>
      <c r="CD187" s="328"/>
      <c r="CE187" s="328"/>
      <c r="CF187" s="328"/>
      <c r="CG187" s="328"/>
      <c r="CH187" s="328"/>
      <c r="CI187" s="328"/>
      <c r="CJ187" s="328"/>
      <c r="CK187" s="328" t="s">
        <v>8377</v>
      </c>
      <c r="CL187" s="328"/>
      <c r="CM187" s="328"/>
    </row>
    <row r="188" spans="1:91">
      <c r="A188" s="154" t="s">
        <v>7643</v>
      </c>
      <c r="B188" t="s">
        <v>8287</v>
      </c>
      <c r="C188">
        <v>2</v>
      </c>
      <c r="D188">
        <v>1360</v>
      </c>
      <c r="E188" s="113">
        <v>60</v>
      </c>
      <c r="F188" s="113">
        <v>13</v>
      </c>
      <c r="I188">
        <v>28.5</v>
      </c>
      <c r="K188" s="320">
        <v>9</v>
      </c>
      <c r="L188" s="320"/>
      <c r="M188">
        <v>2.14</v>
      </c>
      <c r="N188" s="320"/>
      <c r="O188"/>
      <c r="P188"/>
      <c r="Q188"/>
      <c r="S188" s="320">
        <v>8.9610491840699993</v>
      </c>
      <c r="T188" s="320"/>
      <c r="U188">
        <v>10.8</v>
      </c>
      <c r="V188"/>
      <c r="W188"/>
      <c r="X188"/>
      <c r="Y188" s="321">
        <v>3.6729595000000002</v>
      </c>
      <c r="Z188" s="320"/>
      <c r="AA188" s="322">
        <v>41770.833333333336</v>
      </c>
      <c r="AB188" s="320"/>
      <c r="AC188" s="321">
        <v>18.722289</v>
      </c>
      <c r="AD188" s="320"/>
      <c r="AE188" s="320">
        <v>20.05</v>
      </c>
      <c r="AF188" s="320"/>
      <c r="AG188">
        <v>4.8</v>
      </c>
      <c r="AH188"/>
      <c r="AI188">
        <v>125</v>
      </c>
      <c r="AJ188"/>
      <c r="AK188"/>
      <c r="AL188"/>
      <c r="AM188"/>
      <c r="AN188"/>
      <c r="AO188">
        <v>77</v>
      </c>
      <c r="AP188"/>
      <c r="AQ188" s="323"/>
      <c r="AR188" s="323"/>
      <c r="AS188">
        <v>112</v>
      </c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>
        <v>3.9821</v>
      </c>
      <c r="BH188"/>
      <c r="BI188">
        <v>5.1764000000000001</v>
      </c>
      <c r="BJ188"/>
      <c r="BK188">
        <v>1.0274000000000001</v>
      </c>
      <c r="BL188"/>
      <c r="BM188">
        <v>53.691000000000003</v>
      </c>
      <c r="BN188"/>
      <c r="BO188">
        <v>22.321000000000002</v>
      </c>
      <c r="BP188"/>
      <c r="BQ188">
        <v>12.172000000000001</v>
      </c>
      <c r="BR188"/>
      <c r="BS188">
        <v>47.863</v>
      </c>
      <c r="BT188"/>
      <c r="BU188">
        <v>20.145</v>
      </c>
      <c r="BV188"/>
      <c r="BW188">
        <v>81.298000000000002</v>
      </c>
      <c r="BX188" s="324"/>
      <c r="BY188">
        <v>6.5859999999999985</v>
      </c>
      <c r="BZ188"/>
      <c r="CA188"/>
      <c r="CC188">
        <v>7.94</v>
      </c>
      <c r="CD188"/>
      <c r="CE188"/>
      <c r="CF188"/>
      <c r="CG188"/>
      <c r="CH188"/>
      <c r="CI188"/>
      <c r="CJ188"/>
      <c r="CK188"/>
      <c r="CL188"/>
      <c r="CM188"/>
    </row>
    <row r="189" spans="1:91">
      <c r="A189" s="154" t="s">
        <v>7643</v>
      </c>
      <c r="B189" t="s">
        <v>8289</v>
      </c>
      <c r="C189">
        <v>1</v>
      </c>
      <c r="D189">
        <v>1411</v>
      </c>
      <c r="E189" s="113">
        <v>11</v>
      </c>
      <c r="F189" s="113">
        <v>14</v>
      </c>
      <c r="I189">
        <v>23</v>
      </c>
      <c r="K189" s="320">
        <v>9</v>
      </c>
      <c r="L189" s="320"/>
      <c r="M189">
        <v>2.4700000000000002</v>
      </c>
      <c r="N189" s="320"/>
      <c r="O189"/>
      <c r="P189"/>
      <c r="Q189"/>
      <c r="S189" s="320">
        <v>10.476029816328001</v>
      </c>
      <c r="T189" s="320"/>
      <c r="U189">
        <v>10.8</v>
      </c>
      <c r="V189"/>
      <c r="W189"/>
      <c r="X189"/>
      <c r="Y189" s="321">
        <v>4.6489494000000002</v>
      </c>
      <c r="Z189" s="320"/>
      <c r="AA189" s="322">
        <v>47640</v>
      </c>
      <c r="AB189" s="320"/>
      <c r="AC189" s="321">
        <v>22.320769200000001</v>
      </c>
      <c r="AD189" s="320"/>
      <c r="AE189" s="320">
        <v>23.82</v>
      </c>
      <c r="AF189" s="320"/>
      <c r="AG189">
        <v>5</v>
      </c>
      <c r="AH189"/>
      <c r="AI189">
        <v>130</v>
      </c>
      <c r="AJ189"/>
      <c r="AK189"/>
      <c r="AL189"/>
      <c r="AM189"/>
      <c r="AN189"/>
      <c r="AO189">
        <v>79</v>
      </c>
      <c r="AP189"/>
      <c r="AQ189" s="323"/>
      <c r="AR189" s="323"/>
      <c r="AS189">
        <v>112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15.377000000000001</v>
      </c>
      <c r="BH189"/>
      <c r="BI189">
        <v>4.5171000000000001</v>
      </c>
      <c r="BJ189"/>
      <c r="BK189">
        <v>1.1196999999999999</v>
      </c>
      <c r="BL189"/>
      <c r="BM189">
        <v>49.347000000000001</v>
      </c>
      <c r="BN189"/>
      <c r="BO189">
        <v>19.552</v>
      </c>
      <c r="BP189"/>
      <c r="BQ189">
        <v>11.295</v>
      </c>
      <c r="BR189"/>
      <c r="BS189">
        <v>46.933999999999997</v>
      </c>
      <c r="BT189"/>
      <c r="BU189">
        <v>22.21</v>
      </c>
      <c r="BV189"/>
      <c r="BW189">
        <v>82.397999999999996</v>
      </c>
      <c r="BX189" s="324"/>
      <c r="BY189">
        <v>6.1830000000000069</v>
      </c>
      <c r="BZ189"/>
      <c r="CA189"/>
      <c r="CC189">
        <v>5.23</v>
      </c>
      <c r="CD189"/>
      <c r="CE189"/>
      <c r="CF189"/>
      <c r="CG189"/>
      <c r="CH189"/>
      <c r="CI189"/>
      <c r="CJ189"/>
      <c r="CK189"/>
      <c r="CL189"/>
      <c r="CM189"/>
    </row>
    <row r="190" spans="1:91">
      <c r="A190" s="154" t="s">
        <v>7644</v>
      </c>
      <c r="B190" t="s">
        <v>8287</v>
      </c>
      <c r="C190">
        <v>1</v>
      </c>
      <c r="D190">
        <v>230</v>
      </c>
      <c r="E190" s="113">
        <v>30</v>
      </c>
      <c r="F190" s="113">
        <v>2</v>
      </c>
      <c r="I190">
        <v>31.499999999999996</v>
      </c>
      <c r="K190" s="320">
        <v>9</v>
      </c>
      <c r="L190" s="320"/>
      <c r="M190">
        <v>3.31</v>
      </c>
      <c r="N190" s="320"/>
      <c r="O190"/>
      <c r="P190"/>
      <c r="Q190"/>
      <c r="S190" s="320">
        <v>13.491190743840002</v>
      </c>
      <c r="T190" s="320"/>
      <c r="U190">
        <v>10.8</v>
      </c>
      <c r="V190"/>
      <c r="W190"/>
      <c r="X190"/>
      <c r="Y190" s="321">
        <v>5.4584280000000005</v>
      </c>
      <c r="Z190" s="320"/>
      <c r="AA190" s="322">
        <v>65245.202558635392</v>
      </c>
      <c r="AB190" s="320"/>
      <c r="AC190" s="321">
        <v>28.721772000000001</v>
      </c>
      <c r="AD190" s="320"/>
      <c r="AE190" s="320">
        <v>30.6</v>
      </c>
      <c r="AF190" s="320"/>
      <c r="AG190">
        <v>4.6900000000000004</v>
      </c>
      <c r="AH190"/>
      <c r="AI190">
        <v>160</v>
      </c>
      <c r="AJ190"/>
      <c r="AK190"/>
      <c r="AL190"/>
      <c r="AM190"/>
      <c r="AN190"/>
      <c r="AO190">
        <v>77</v>
      </c>
      <c r="AP190"/>
      <c r="AQ190" s="323"/>
      <c r="AR190" s="323"/>
      <c r="AS190">
        <v>120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>
        <v>0.68983000000000005</v>
      </c>
      <c r="BH190"/>
      <c r="BI190">
        <v>4.9229000000000003</v>
      </c>
      <c r="BJ190"/>
      <c r="BK190">
        <v>1.1960999999999999</v>
      </c>
      <c r="BL190"/>
      <c r="BM190">
        <v>56.561999999999998</v>
      </c>
      <c r="BN190"/>
      <c r="BO190">
        <v>19.841999999999999</v>
      </c>
      <c r="BP190"/>
      <c r="BQ190">
        <v>10.467000000000001</v>
      </c>
      <c r="BR190"/>
      <c r="BS190">
        <v>46.972000000000001</v>
      </c>
      <c r="BT190"/>
      <c r="BU190">
        <v>20.86</v>
      </c>
      <c r="BV190"/>
      <c r="BW190">
        <v>67.906999999999996</v>
      </c>
      <c r="BX190" s="324"/>
      <c r="BY190">
        <v>6.5720000000000027</v>
      </c>
      <c r="BZ190"/>
      <c r="CA190"/>
      <c r="CC190">
        <v>9.1300000000000008</v>
      </c>
      <c r="CD190"/>
      <c r="CE190"/>
      <c r="CF190"/>
      <c r="CG190"/>
      <c r="CH190"/>
      <c r="CI190"/>
      <c r="CJ190"/>
      <c r="CK190"/>
      <c r="CL190"/>
      <c r="CM190"/>
    </row>
    <row r="191" spans="1:91">
      <c r="A191" s="154" t="s">
        <v>7644</v>
      </c>
      <c r="B191" t="s">
        <v>8289</v>
      </c>
      <c r="C191">
        <v>2</v>
      </c>
      <c r="D191">
        <v>563</v>
      </c>
      <c r="E191" s="113">
        <v>63</v>
      </c>
      <c r="F191" s="113">
        <v>5</v>
      </c>
      <c r="I191">
        <v>28.5</v>
      </c>
      <c r="K191" s="320">
        <v>8</v>
      </c>
      <c r="L191" s="320"/>
      <c r="M191">
        <v>3.01</v>
      </c>
      <c r="N191" s="320"/>
      <c r="O191"/>
      <c r="P191"/>
      <c r="Q191"/>
      <c r="S191" s="320">
        <v>11.093220578286001</v>
      </c>
      <c r="T191" s="320"/>
      <c r="U191">
        <v>10.8</v>
      </c>
      <c r="V191"/>
      <c r="W191"/>
      <c r="X191"/>
      <c r="Y191" s="321">
        <v>5.7736607000000006</v>
      </c>
      <c r="Z191" s="320"/>
      <c r="AA191" s="322">
        <v>52297.551789077217</v>
      </c>
      <c r="AB191" s="320"/>
      <c r="AC191" s="321">
        <v>25.8186021</v>
      </c>
      <c r="AD191" s="320"/>
      <c r="AE191" s="320">
        <v>27.77</v>
      </c>
      <c r="AF191" s="320"/>
      <c r="AG191">
        <v>5.31</v>
      </c>
      <c r="AH191"/>
      <c r="AI191">
        <v>135</v>
      </c>
      <c r="AJ191"/>
      <c r="AK191"/>
      <c r="AL191"/>
      <c r="AM191"/>
      <c r="AN191"/>
      <c r="AO191">
        <v>77</v>
      </c>
      <c r="AP191"/>
      <c r="AQ191" s="323"/>
      <c r="AR191" s="323"/>
      <c r="AS191">
        <v>118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>
        <v>1.3557999999999999</v>
      </c>
      <c r="BH191"/>
      <c r="BI191">
        <v>5.1493000000000002</v>
      </c>
      <c r="BJ191"/>
      <c r="BK191">
        <v>1.4816</v>
      </c>
      <c r="BL191"/>
      <c r="BM191">
        <v>57.485999999999997</v>
      </c>
      <c r="BN191"/>
      <c r="BO191">
        <v>21.170999999999999</v>
      </c>
      <c r="BP191"/>
      <c r="BQ191">
        <v>8.2597000000000005</v>
      </c>
      <c r="BR191"/>
      <c r="BS191">
        <v>42.966000000000001</v>
      </c>
      <c r="BT191"/>
      <c r="BU191">
        <v>21.353999999999999</v>
      </c>
      <c r="BV191"/>
      <c r="BW191" s="325">
        <v>14.7</v>
      </c>
      <c r="BX191"/>
      <c r="BY191">
        <v>7.1419999999999959</v>
      </c>
      <c r="BZ191"/>
      <c r="CA191"/>
      <c r="CC191">
        <v>9.33</v>
      </c>
      <c r="CD191"/>
      <c r="CE191"/>
      <c r="CF191"/>
      <c r="CG191"/>
      <c r="CH191"/>
      <c r="CI191"/>
      <c r="CJ191"/>
      <c r="CK191"/>
      <c r="CL191"/>
      <c r="CM191"/>
    </row>
    <row r="192" spans="1:91">
      <c r="A192" s="154" t="s">
        <v>7644</v>
      </c>
      <c r="B192" t="s">
        <v>8287</v>
      </c>
      <c r="C192">
        <v>2</v>
      </c>
      <c r="D192">
        <v>1547</v>
      </c>
      <c r="E192" s="113">
        <v>47</v>
      </c>
      <c r="F192" s="113">
        <v>15</v>
      </c>
      <c r="I192">
        <v>28.999999999999996</v>
      </c>
      <c r="K192" s="320">
        <v>8</v>
      </c>
      <c r="L192" s="320"/>
      <c r="M192">
        <v>2.83</v>
      </c>
      <c r="N192" s="320"/>
      <c r="O192"/>
      <c r="P192"/>
      <c r="Q192"/>
      <c r="S192" s="320">
        <v>12.299740979954999</v>
      </c>
      <c r="T192" s="320"/>
      <c r="U192">
        <v>10.8</v>
      </c>
      <c r="V192"/>
      <c r="W192"/>
      <c r="X192"/>
      <c r="Y192" s="321">
        <v>4.8658229999999998</v>
      </c>
      <c r="Z192" s="320"/>
      <c r="AA192" s="322">
        <v>61011.235955056174</v>
      </c>
      <c r="AB192" s="320"/>
      <c r="AC192" s="321">
        <v>25.522900499999999</v>
      </c>
      <c r="AD192" s="320"/>
      <c r="AE192" s="320">
        <v>27.15</v>
      </c>
      <c r="AF192" s="320"/>
      <c r="AG192">
        <v>4.45</v>
      </c>
      <c r="AH192"/>
      <c r="AI192">
        <v>140</v>
      </c>
      <c r="AJ192"/>
      <c r="AK192"/>
      <c r="AL192"/>
      <c r="AM192"/>
      <c r="AN192"/>
      <c r="AO192">
        <v>79</v>
      </c>
      <c r="AP192"/>
      <c r="AQ192" s="323"/>
      <c r="AR192" s="323"/>
      <c r="AS192">
        <v>116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1.98</v>
      </c>
      <c r="BH192"/>
      <c r="BI192">
        <v>4.8164999999999996</v>
      </c>
      <c r="BJ192"/>
      <c r="BK192">
        <v>1.2345999999999999</v>
      </c>
      <c r="BL192"/>
      <c r="BM192">
        <v>62.143999999999998</v>
      </c>
      <c r="BN192"/>
      <c r="BO192">
        <v>19.832000000000001</v>
      </c>
      <c r="BP192"/>
      <c r="BQ192">
        <v>8.9638000000000009</v>
      </c>
      <c r="BR192"/>
      <c r="BS192">
        <v>48.191000000000003</v>
      </c>
      <c r="BT192"/>
      <c r="BU192">
        <v>19.004000000000001</v>
      </c>
      <c r="BV192"/>
      <c r="BW192" s="325">
        <v>68.08</v>
      </c>
      <c r="BX192"/>
      <c r="BY192">
        <v>6.4159999999999968</v>
      </c>
      <c r="BZ192"/>
      <c r="CA192"/>
      <c r="CC192">
        <v>5.73</v>
      </c>
      <c r="CD192"/>
      <c r="CE192"/>
      <c r="CF192"/>
      <c r="CG192"/>
      <c r="CH192"/>
      <c r="CI192"/>
      <c r="CJ192"/>
      <c r="CK192"/>
      <c r="CL192"/>
      <c r="CM192"/>
    </row>
    <row r="193" spans="1:91">
      <c r="A193" s="154" t="s">
        <v>7644</v>
      </c>
      <c r="B193" t="s">
        <v>8289</v>
      </c>
      <c r="C193">
        <v>1</v>
      </c>
      <c r="D193">
        <v>1723</v>
      </c>
      <c r="E193" s="113">
        <v>23</v>
      </c>
      <c r="F193" s="113">
        <v>17</v>
      </c>
      <c r="I193">
        <v>31.499999999999996</v>
      </c>
      <c r="K193" s="320">
        <v>8</v>
      </c>
      <c r="L193" s="320"/>
      <c r="M193">
        <v>3.19</v>
      </c>
      <c r="N193" s="320"/>
      <c r="O193"/>
      <c r="P193"/>
      <c r="Q193"/>
      <c r="S193" s="320">
        <v>12.732364781500001</v>
      </c>
      <c r="T193" s="320"/>
      <c r="U193">
        <v>10.8</v>
      </c>
      <c r="V193"/>
      <c r="W193"/>
      <c r="X193"/>
      <c r="Y193" s="321">
        <v>5.604680000000001</v>
      </c>
      <c r="Z193" s="320"/>
      <c r="AA193" s="322">
        <v>70930.232558139542</v>
      </c>
      <c r="AB193" s="320"/>
      <c r="AC193" s="321">
        <v>28.49615</v>
      </c>
      <c r="AD193" s="320"/>
      <c r="AE193" s="320">
        <v>30.5</v>
      </c>
      <c r="AF193" s="320"/>
      <c r="AG193">
        <v>4.3</v>
      </c>
      <c r="AH193"/>
      <c r="AI193">
        <v>130</v>
      </c>
      <c r="AJ193"/>
      <c r="AK193"/>
      <c r="AL193"/>
      <c r="AM193"/>
      <c r="AN193"/>
      <c r="AO193">
        <v>79</v>
      </c>
      <c r="AP193"/>
      <c r="AQ193" s="323"/>
      <c r="AR193" s="323"/>
      <c r="AS193">
        <v>116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>
        <v>-1.8943000000000001</v>
      </c>
      <c r="BH193"/>
      <c r="BI193">
        <v>5.0583</v>
      </c>
      <c r="BJ193"/>
      <c r="BK193">
        <v>1.3333999999999999</v>
      </c>
      <c r="BL193"/>
      <c r="BM193">
        <v>61.688000000000002</v>
      </c>
      <c r="BN193"/>
      <c r="BO193">
        <v>21.539000000000001</v>
      </c>
      <c r="BP193"/>
      <c r="BQ193">
        <v>9.5850000000000009</v>
      </c>
      <c r="BR193"/>
      <c r="BS193">
        <v>44.680999999999997</v>
      </c>
      <c r="BT193"/>
      <c r="BU193">
        <v>21.888000000000002</v>
      </c>
      <c r="BV193"/>
      <c r="BW193" s="325">
        <v>25.4</v>
      </c>
      <c r="BX193"/>
      <c r="BY193">
        <v>6.6219999999999999</v>
      </c>
      <c r="BZ193"/>
      <c r="CA193"/>
      <c r="CC193">
        <v>6.04</v>
      </c>
      <c r="CD193"/>
      <c r="CE193"/>
      <c r="CF193"/>
      <c r="CG193"/>
      <c r="CH193"/>
      <c r="CI193"/>
      <c r="CJ193"/>
      <c r="CK193"/>
      <c r="CL193"/>
      <c r="CM193"/>
    </row>
    <row r="194" spans="1:91">
      <c r="A194" s="327" t="s">
        <v>7645</v>
      </c>
      <c r="B194" s="328" t="s">
        <v>8289</v>
      </c>
      <c r="C194" s="328">
        <v>2</v>
      </c>
      <c r="D194" s="328">
        <v>356</v>
      </c>
      <c r="E194" s="113">
        <v>56</v>
      </c>
      <c r="F194" s="113">
        <v>3</v>
      </c>
      <c r="G194" s="329"/>
      <c r="H194" s="329"/>
      <c r="I194" s="328">
        <v>33.5</v>
      </c>
      <c r="J194" s="330"/>
      <c r="K194" s="331">
        <v>5</v>
      </c>
      <c r="L194" s="331"/>
      <c r="M194" s="328">
        <v>1.22</v>
      </c>
      <c r="N194" s="331"/>
      <c r="O194" s="328"/>
      <c r="P194" s="328"/>
      <c r="Q194" s="328"/>
      <c r="R194" s="332"/>
      <c r="S194" s="331">
        <v>5.1242436198399988</v>
      </c>
      <c r="T194" s="331"/>
      <c r="U194" s="328">
        <v>10.8</v>
      </c>
      <c r="V194" s="328"/>
      <c r="W194" s="328"/>
      <c r="X194" s="328"/>
      <c r="Y194" s="333">
        <v>2.3530527999999999</v>
      </c>
      <c r="Z194" s="331"/>
      <c r="AA194" s="334">
        <v>24537.81512605042</v>
      </c>
      <c r="AB194" s="331"/>
      <c r="AC194" s="333">
        <v>10.913791999999999</v>
      </c>
      <c r="AD194" s="331"/>
      <c r="AE194" s="331">
        <v>11.68</v>
      </c>
      <c r="AF194" s="331"/>
      <c r="AG194" s="328">
        <v>4.76</v>
      </c>
      <c r="AH194" s="328"/>
      <c r="AI194" s="328"/>
      <c r="AJ194" s="328"/>
      <c r="AK194" s="328"/>
      <c r="AL194" s="328"/>
      <c r="AM194" s="328"/>
      <c r="AN194" s="328"/>
      <c r="AO194" s="328">
        <v>80</v>
      </c>
      <c r="AP194" s="328"/>
      <c r="AQ194" s="335"/>
      <c r="AR194" s="335"/>
      <c r="AS194" s="328">
        <v>112</v>
      </c>
      <c r="AT194" s="328"/>
      <c r="AU194" s="328"/>
      <c r="AV194" s="328"/>
      <c r="AW194" s="328"/>
      <c r="AX194" s="328"/>
      <c r="AY194" s="328"/>
      <c r="AZ194" s="328"/>
      <c r="BA194" s="328"/>
      <c r="BB194" s="328"/>
      <c r="BC194" s="328"/>
      <c r="BD194" s="328"/>
      <c r="BE194" s="328"/>
      <c r="BF194" s="328"/>
      <c r="BG194" s="328">
        <v>1.9547000000000001</v>
      </c>
      <c r="BH194" s="328"/>
      <c r="BI194" s="328">
        <v>4.4130000000000003</v>
      </c>
      <c r="BJ194" s="328"/>
      <c r="BK194" s="328">
        <v>1.4490000000000001</v>
      </c>
      <c r="BL194" s="328"/>
      <c r="BM194" s="328">
        <v>64.131</v>
      </c>
      <c r="BN194" s="328"/>
      <c r="BO194" s="328">
        <v>19.236000000000001</v>
      </c>
      <c r="BP194" s="328"/>
      <c r="BQ194" s="328">
        <v>9.8450000000000006</v>
      </c>
      <c r="BR194" s="328"/>
      <c r="BS194" s="328">
        <v>46.951999999999998</v>
      </c>
      <c r="BT194" s="328"/>
      <c r="BU194" s="328">
        <v>19.89</v>
      </c>
      <c r="BV194" s="328"/>
      <c r="BW194" s="336">
        <v>29.55</v>
      </c>
      <c r="BX194" s="328"/>
      <c r="BY194" s="328">
        <v>6.6680000000000064</v>
      </c>
      <c r="BZ194" s="328"/>
      <c r="CA194" s="328"/>
      <c r="CB194" s="337"/>
      <c r="CC194" s="328">
        <v>5.92</v>
      </c>
      <c r="CD194" s="328"/>
      <c r="CE194" s="328"/>
      <c r="CF194" s="328"/>
      <c r="CG194" s="328"/>
      <c r="CH194" s="328"/>
      <c r="CI194" s="328"/>
      <c r="CJ194" s="328"/>
      <c r="CK194" s="328" t="s">
        <v>8377</v>
      </c>
      <c r="CL194" s="328"/>
      <c r="CM194" s="328"/>
    </row>
    <row r="195" spans="1:91">
      <c r="A195" s="154" t="s">
        <v>7645</v>
      </c>
      <c r="B195" t="s">
        <v>8287</v>
      </c>
      <c r="C195">
        <v>1</v>
      </c>
      <c r="D195">
        <v>735</v>
      </c>
      <c r="E195" s="113">
        <v>35</v>
      </c>
      <c r="F195" s="113">
        <v>7</v>
      </c>
      <c r="I195">
        <v>32.999999999999993</v>
      </c>
      <c r="K195" s="320">
        <v>8</v>
      </c>
      <c r="L195" s="320"/>
      <c r="M195">
        <v>2.74</v>
      </c>
      <c r="N195" s="320"/>
      <c r="O195"/>
      <c r="P195"/>
      <c r="Q195"/>
      <c r="S195" s="320">
        <v>11.567907978354</v>
      </c>
      <c r="T195" s="320"/>
      <c r="U195">
        <v>10.8</v>
      </c>
      <c r="V195"/>
      <c r="W195"/>
      <c r="X195"/>
      <c r="Y195" s="321">
        <v>4.4336006000000001</v>
      </c>
      <c r="Z195" s="320"/>
      <c r="AA195" s="322">
        <v>57616.926503340757</v>
      </c>
      <c r="AB195" s="320"/>
      <c r="AC195" s="321">
        <v>24.240707400000002</v>
      </c>
      <c r="AD195" s="320"/>
      <c r="AE195" s="320">
        <v>25.87</v>
      </c>
      <c r="AF195" s="320"/>
      <c r="AG195">
        <v>4.49</v>
      </c>
      <c r="AH195"/>
      <c r="AI195">
        <v>110</v>
      </c>
      <c r="AJ195"/>
      <c r="AK195"/>
      <c r="AL195"/>
      <c r="AM195"/>
      <c r="AN195"/>
      <c r="AO195">
        <v>81</v>
      </c>
      <c r="AP195"/>
      <c r="AQ195" s="323"/>
      <c r="AR195" s="323"/>
      <c r="AS195">
        <v>112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>
        <v>5.5731000000000002</v>
      </c>
      <c r="BH195"/>
      <c r="BI195">
        <v>4.5854999999999997</v>
      </c>
      <c r="BJ195"/>
      <c r="BK195">
        <v>1.3179000000000001</v>
      </c>
      <c r="BL195"/>
      <c r="BM195">
        <v>58.475000000000001</v>
      </c>
      <c r="BN195"/>
      <c r="BO195">
        <v>18.524999999999999</v>
      </c>
      <c r="BP195"/>
      <c r="BQ195">
        <v>10.145</v>
      </c>
      <c r="BR195"/>
      <c r="BS195">
        <v>47.720999999999997</v>
      </c>
      <c r="BT195"/>
      <c r="BU195">
        <v>18.448</v>
      </c>
      <c r="BV195"/>
      <c r="BW195">
        <v>40.314999999999998</v>
      </c>
      <c r="BX195" s="324"/>
      <c r="BY195">
        <v>6.7189999999999941</v>
      </c>
      <c r="BZ195"/>
      <c r="CA195"/>
      <c r="CC195">
        <v>7.22</v>
      </c>
      <c r="CD195"/>
      <c r="CE195"/>
      <c r="CF195"/>
      <c r="CG195"/>
      <c r="CH195"/>
      <c r="CI195"/>
      <c r="CJ195"/>
      <c r="CK195"/>
      <c r="CL195"/>
      <c r="CM195"/>
    </row>
    <row r="196" spans="1:91">
      <c r="A196" s="154" t="s">
        <v>7645</v>
      </c>
      <c r="B196" t="s">
        <v>8287</v>
      </c>
      <c r="C196">
        <v>2</v>
      </c>
      <c r="D196">
        <v>1066</v>
      </c>
      <c r="E196" s="113">
        <v>66</v>
      </c>
      <c r="F196" s="113">
        <v>10</v>
      </c>
      <c r="I196">
        <v>36.5</v>
      </c>
      <c r="K196" s="320">
        <v>9</v>
      </c>
      <c r="L196" s="320"/>
      <c r="M196">
        <v>2.99</v>
      </c>
      <c r="N196" s="320"/>
      <c r="O196"/>
      <c r="P196"/>
      <c r="Q196"/>
      <c r="S196" s="320">
        <v>12.495986691525999</v>
      </c>
      <c r="T196" s="320"/>
      <c r="U196">
        <v>10.8</v>
      </c>
      <c r="V196"/>
      <c r="W196"/>
      <c r="X196"/>
      <c r="Y196" s="321">
        <v>5.3495260000000009</v>
      </c>
      <c r="Z196" s="320"/>
      <c r="AA196" s="322">
        <v>70416.666666666672</v>
      </c>
      <c r="AB196" s="320"/>
      <c r="AC196" s="321">
        <v>26.770039399999998</v>
      </c>
      <c r="AD196" s="320"/>
      <c r="AE196" s="320">
        <v>28.73</v>
      </c>
      <c r="AF196" s="320"/>
      <c r="AG196">
        <v>4.08</v>
      </c>
      <c r="AH196"/>
      <c r="AI196">
        <v>110</v>
      </c>
      <c r="AJ196"/>
      <c r="AK196"/>
      <c r="AL196"/>
      <c r="AM196"/>
      <c r="AN196"/>
      <c r="AO196">
        <v>79</v>
      </c>
      <c r="AP196"/>
      <c r="AQ196" s="323"/>
      <c r="AR196" s="323"/>
      <c r="AS196">
        <v>112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5.6738</v>
      </c>
      <c r="BH196"/>
      <c r="BI196">
        <v>4.3243999999999998</v>
      </c>
      <c r="BJ196"/>
      <c r="BK196">
        <v>1.2714000000000001</v>
      </c>
      <c r="BL196"/>
      <c r="BM196">
        <v>58.094000000000001</v>
      </c>
      <c r="BN196"/>
      <c r="BO196">
        <v>19.382999999999999</v>
      </c>
      <c r="BP196"/>
      <c r="BQ196">
        <v>10.242000000000001</v>
      </c>
      <c r="BR196"/>
      <c r="BS196">
        <v>46.679000000000002</v>
      </c>
      <c r="BT196"/>
      <c r="BU196">
        <v>19.149999999999999</v>
      </c>
      <c r="BV196"/>
      <c r="BW196">
        <v>57.009</v>
      </c>
      <c r="BX196" s="324"/>
      <c r="BY196">
        <v>6.9320000000000022</v>
      </c>
      <c r="BZ196"/>
      <c r="CA196"/>
      <c r="CC196">
        <v>5.56</v>
      </c>
      <c r="CD196"/>
      <c r="CE196"/>
      <c r="CF196"/>
      <c r="CG196"/>
      <c r="CH196"/>
      <c r="CI196"/>
      <c r="CJ196"/>
      <c r="CK196"/>
      <c r="CL196"/>
      <c r="CM196"/>
    </row>
    <row r="197" spans="1:91">
      <c r="A197" s="154" t="s">
        <v>7645</v>
      </c>
      <c r="B197" t="s">
        <v>8289</v>
      </c>
      <c r="C197">
        <v>1</v>
      </c>
      <c r="D197">
        <v>1615</v>
      </c>
      <c r="E197" s="113">
        <v>15</v>
      </c>
      <c r="F197" s="113">
        <v>16</v>
      </c>
      <c r="I197">
        <v>30.499999999999996</v>
      </c>
      <c r="K197" s="320">
        <v>8</v>
      </c>
      <c r="L197" s="320"/>
      <c r="M197">
        <v>2.75</v>
      </c>
      <c r="N197" s="320"/>
      <c r="O197"/>
      <c r="P197"/>
      <c r="Q197"/>
      <c r="S197" s="320">
        <v>11.705622695100001</v>
      </c>
      <c r="T197" s="320"/>
      <c r="U197">
        <v>10.8</v>
      </c>
      <c r="V197"/>
      <c r="W197"/>
      <c r="X197"/>
      <c r="Y197" s="321">
        <v>5.3723601000000007</v>
      </c>
      <c r="Z197" s="320"/>
      <c r="AA197" s="322">
        <v>65272.277227722778</v>
      </c>
      <c r="AB197" s="320"/>
      <c r="AC197" s="321">
        <v>24.687594000000001</v>
      </c>
      <c r="AD197" s="320"/>
      <c r="AE197" s="320">
        <v>26.37</v>
      </c>
      <c r="AF197" s="320"/>
      <c r="AG197">
        <v>4.04</v>
      </c>
      <c r="AH197"/>
      <c r="AI197">
        <v>115</v>
      </c>
      <c r="AJ197"/>
      <c r="AK197"/>
      <c r="AL197"/>
      <c r="AM197"/>
      <c r="AN197"/>
      <c r="AO197">
        <v>81</v>
      </c>
      <c r="AP197"/>
      <c r="AQ197" s="323"/>
      <c r="AR197" s="323"/>
      <c r="AS197">
        <v>112</v>
      </c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>
        <v>8.7843</v>
      </c>
      <c r="BH197"/>
      <c r="BI197">
        <v>4.3292000000000002</v>
      </c>
      <c r="BJ197"/>
      <c r="BK197">
        <v>1.2890999999999999</v>
      </c>
      <c r="BL197"/>
      <c r="BM197">
        <v>55.283999999999999</v>
      </c>
      <c r="BN197"/>
      <c r="BO197">
        <v>19.954999999999998</v>
      </c>
      <c r="BP197"/>
      <c r="BQ197">
        <v>10.265000000000001</v>
      </c>
      <c r="BR197"/>
      <c r="BS197">
        <v>47.414999999999999</v>
      </c>
      <c r="BT197"/>
      <c r="BU197">
        <v>18.937000000000001</v>
      </c>
      <c r="BV197"/>
      <c r="BW197" s="325">
        <v>28.27</v>
      </c>
      <c r="BX197"/>
      <c r="BY197">
        <v>6.5999999999999943</v>
      </c>
      <c r="BZ197"/>
      <c r="CA197"/>
      <c r="CC197">
        <v>5.75</v>
      </c>
      <c r="CD197"/>
      <c r="CE197"/>
      <c r="CF197"/>
      <c r="CG197"/>
      <c r="CH197"/>
      <c r="CI197"/>
      <c r="CJ197"/>
      <c r="CK197"/>
      <c r="CL197"/>
      <c r="CM197"/>
    </row>
    <row r="198" spans="1:91">
      <c r="A198" s="154" t="s">
        <v>7646</v>
      </c>
      <c r="B198" t="s">
        <v>8287</v>
      </c>
      <c r="C198">
        <v>1</v>
      </c>
      <c r="D198">
        <v>326</v>
      </c>
      <c r="E198" s="113">
        <v>26</v>
      </c>
      <c r="F198" s="113">
        <v>3</v>
      </c>
      <c r="I198">
        <v>26</v>
      </c>
      <c r="K198" s="320">
        <v>8</v>
      </c>
      <c r="L198" s="320"/>
      <c r="M198">
        <v>2.25</v>
      </c>
      <c r="N198" s="320"/>
      <c r="O198"/>
      <c r="P198"/>
      <c r="Q198"/>
      <c r="S198" s="320">
        <v>9.2395322665800013</v>
      </c>
      <c r="T198" s="320"/>
      <c r="U198">
        <v>10.8</v>
      </c>
      <c r="V198"/>
      <c r="W198"/>
      <c r="X198"/>
      <c r="Y198" s="321">
        <v>3.7546787999999998</v>
      </c>
      <c r="Z198" s="320"/>
      <c r="AA198" s="322">
        <v>42060.606060606064</v>
      </c>
      <c r="AB198" s="320"/>
      <c r="AC198" s="321">
        <v>19.447962</v>
      </c>
      <c r="AD198" s="320"/>
      <c r="AE198" s="320">
        <v>20.82</v>
      </c>
      <c r="AF198" s="320"/>
      <c r="AG198">
        <v>4.95</v>
      </c>
      <c r="AH198"/>
      <c r="AI198">
        <v>130</v>
      </c>
      <c r="AJ198"/>
      <c r="AK198"/>
      <c r="AL198"/>
      <c r="AM198"/>
      <c r="AN198"/>
      <c r="AO198">
        <v>77</v>
      </c>
      <c r="AP198"/>
      <c r="AQ198" s="323"/>
      <c r="AR198" s="323"/>
      <c r="AS198">
        <v>112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>
        <v>-1.4135</v>
      </c>
      <c r="BH198"/>
      <c r="BI198">
        <v>4.8383000000000003</v>
      </c>
      <c r="BJ198"/>
      <c r="BK198">
        <v>1.3823000000000001</v>
      </c>
      <c r="BL198"/>
      <c r="BM198">
        <v>60.918999999999997</v>
      </c>
      <c r="BN198"/>
      <c r="BO198">
        <v>22.242000000000001</v>
      </c>
      <c r="BP198"/>
      <c r="BQ198">
        <v>11.994999999999999</v>
      </c>
      <c r="BR198"/>
      <c r="BS198">
        <v>47.509</v>
      </c>
      <c r="BT198"/>
      <c r="BU198">
        <v>19.63</v>
      </c>
      <c r="BV198"/>
      <c r="BW198" s="325">
        <v>13.17</v>
      </c>
      <c r="BX198"/>
      <c r="BY198">
        <v>6.3599999999999994</v>
      </c>
      <c r="BZ198"/>
      <c r="CA198"/>
      <c r="CC198">
        <v>9.06</v>
      </c>
      <c r="CD198"/>
      <c r="CE198"/>
      <c r="CF198"/>
      <c r="CG198"/>
      <c r="CH198"/>
      <c r="CI198"/>
      <c r="CJ198"/>
      <c r="CK198" t="str">
        <f>IF(F198=ET144*(B198="N+"),"submertion","")</f>
        <v/>
      </c>
      <c r="CL198"/>
      <c r="CM198"/>
    </row>
    <row r="199" spans="1:91">
      <c r="A199" s="327" t="s">
        <v>7646</v>
      </c>
      <c r="B199" s="328" t="s">
        <v>8289</v>
      </c>
      <c r="C199" s="328">
        <v>2</v>
      </c>
      <c r="D199" s="328">
        <v>359</v>
      </c>
      <c r="E199" s="113">
        <v>59</v>
      </c>
      <c r="F199" s="113">
        <v>3</v>
      </c>
      <c r="G199" s="329"/>
      <c r="H199" s="329"/>
      <c r="I199" s="328">
        <v>29.5</v>
      </c>
      <c r="J199" s="330"/>
      <c r="K199" s="331">
        <v>6</v>
      </c>
      <c r="L199" s="331"/>
      <c r="M199" s="328">
        <v>0.52</v>
      </c>
      <c r="N199" s="331"/>
      <c r="O199" s="328"/>
      <c r="P199" s="328"/>
      <c r="Q199" s="328"/>
      <c r="R199" s="332"/>
      <c r="S199" s="331" t="s">
        <v>8361</v>
      </c>
      <c r="T199" s="331"/>
      <c r="U199" s="328">
        <v>10.8</v>
      </c>
      <c r="V199" s="328"/>
      <c r="W199" s="328"/>
      <c r="X199" s="328"/>
      <c r="Y199" s="333">
        <v>0</v>
      </c>
      <c r="Z199" s="331"/>
      <c r="AA199" s="334">
        <v>11165.919282511211</v>
      </c>
      <c r="AB199" s="331"/>
      <c r="AC199" s="333" t="s">
        <v>8361</v>
      </c>
      <c r="AD199" s="331"/>
      <c r="AE199" s="331">
        <v>4.9800000000000004</v>
      </c>
      <c r="AF199" s="331"/>
      <c r="AG199" s="328">
        <v>4.46</v>
      </c>
      <c r="AH199" s="328"/>
      <c r="AI199" s="328">
        <v>103</v>
      </c>
      <c r="AJ199" s="328"/>
      <c r="AK199" s="328"/>
      <c r="AL199" s="328"/>
      <c r="AM199" s="328"/>
      <c r="AN199" s="328"/>
      <c r="AO199" s="328">
        <v>80</v>
      </c>
      <c r="AP199" s="328"/>
      <c r="AQ199" s="335"/>
      <c r="AR199" s="335"/>
      <c r="AS199" s="328">
        <v>118</v>
      </c>
      <c r="AT199" s="328"/>
      <c r="AU199" s="328"/>
      <c r="AV199" s="328"/>
      <c r="AW199" s="328"/>
      <c r="AX199" s="328"/>
      <c r="AY199" s="328"/>
      <c r="AZ199" s="328"/>
      <c r="BA199" s="328"/>
      <c r="BB199" s="328"/>
      <c r="BC199" s="328"/>
      <c r="BD199" s="328"/>
      <c r="BE199" s="328"/>
      <c r="BF199" s="328"/>
      <c r="BG199" s="328"/>
      <c r="BH199" s="328"/>
      <c r="BI199" s="328"/>
      <c r="BJ199" s="328"/>
      <c r="BK199" s="328"/>
      <c r="BL199" s="328"/>
      <c r="BM199" s="328"/>
      <c r="BN199" s="328"/>
      <c r="BO199" s="328"/>
      <c r="BP199" s="328"/>
      <c r="BQ199" s="328"/>
      <c r="BR199" s="328"/>
      <c r="BS199" s="328"/>
      <c r="BT199" s="328"/>
      <c r="BU199" s="328"/>
      <c r="BV199" s="328"/>
      <c r="BW199" s="328" t="s">
        <v>8361</v>
      </c>
      <c r="BX199" s="339"/>
      <c r="BY199" s="328" t="s">
        <v>8237</v>
      </c>
      <c r="BZ199" s="328"/>
      <c r="CA199" s="328"/>
      <c r="CB199" s="337"/>
      <c r="CC199" s="328">
        <v>5.89</v>
      </c>
      <c r="CD199" s="328"/>
      <c r="CE199" s="328"/>
      <c r="CF199" s="328"/>
      <c r="CG199" s="328"/>
      <c r="CH199" s="328"/>
      <c r="CI199" s="328"/>
      <c r="CJ199" s="328"/>
      <c r="CK199" s="328" t="s">
        <v>8377</v>
      </c>
      <c r="CL199" s="328"/>
      <c r="CM199" s="328"/>
    </row>
    <row r="200" spans="1:91">
      <c r="A200" s="154" t="s">
        <v>7646</v>
      </c>
      <c r="B200" t="s">
        <v>8287</v>
      </c>
      <c r="C200">
        <v>2</v>
      </c>
      <c r="D200">
        <v>1351</v>
      </c>
      <c r="E200" s="113">
        <v>51</v>
      </c>
      <c r="F200" s="113">
        <v>13</v>
      </c>
      <c r="I200">
        <v>31</v>
      </c>
      <c r="K200" s="320">
        <v>9</v>
      </c>
      <c r="L200" s="320"/>
      <c r="M200">
        <v>1.45</v>
      </c>
      <c r="N200" s="320"/>
      <c r="O200"/>
      <c r="P200"/>
      <c r="Q200"/>
      <c r="S200" s="320">
        <v>5.7989203989079998</v>
      </c>
      <c r="T200" s="320"/>
      <c r="U200">
        <v>10.8</v>
      </c>
      <c r="V200"/>
      <c r="W200"/>
      <c r="X200"/>
      <c r="Y200" s="321">
        <v>2.7425492000000005</v>
      </c>
      <c r="Z200" s="320"/>
      <c r="AA200" s="322">
        <v>32813.238770685581</v>
      </c>
      <c r="AB200" s="320"/>
      <c r="AC200" s="321">
        <v>13.085092400000001</v>
      </c>
      <c r="AD200" s="320"/>
      <c r="AE200" s="320">
        <v>13.88</v>
      </c>
      <c r="AF200" s="320"/>
      <c r="AG200">
        <v>4.2300000000000004</v>
      </c>
      <c r="AH200"/>
      <c r="AI200">
        <v>135</v>
      </c>
      <c r="AJ200"/>
      <c r="AK200"/>
      <c r="AL200"/>
      <c r="AM200"/>
      <c r="AN200"/>
      <c r="AO200">
        <v>79</v>
      </c>
      <c r="AP200"/>
      <c r="AQ200" s="323"/>
      <c r="AR200" s="323"/>
      <c r="AS200">
        <v>112</v>
      </c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>
        <v>-0.25075999999999998</v>
      </c>
      <c r="BH200"/>
      <c r="BI200">
        <v>4.8413000000000004</v>
      </c>
      <c r="BJ200"/>
      <c r="BK200">
        <v>1.431</v>
      </c>
      <c r="BL200"/>
      <c r="BM200">
        <v>62.978000000000002</v>
      </c>
      <c r="BN200"/>
      <c r="BO200">
        <v>22.838000000000001</v>
      </c>
      <c r="BP200"/>
      <c r="BQ200">
        <v>11.518000000000001</v>
      </c>
      <c r="BR200"/>
      <c r="BS200">
        <v>44.317</v>
      </c>
      <c r="BT200"/>
      <c r="BU200">
        <v>20.835999999999999</v>
      </c>
      <c r="BV200"/>
      <c r="BW200" s="325">
        <v>17.13</v>
      </c>
      <c r="BX200"/>
      <c r="BY200">
        <v>6.453000000000003</v>
      </c>
      <c r="BZ200"/>
      <c r="CA200"/>
      <c r="CC200">
        <v>5.95</v>
      </c>
      <c r="CD200"/>
      <c r="CE200"/>
      <c r="CF200"/>
      <c r="CG200"/>
      <c r="CH200"/>
      <c r="CI200"/>
      <c r="CJ200"/>
      <c r="CK200"/>
      <c r="CL200"/>
      <c r="CM200"/>
    </row>
    <row r="201" spans="1:91">
      <c r="A201" s="154" t="s">
        <v>7646</v>
      </c>
      <c r="B201" t="s">
        <v>8289</v>
      </c>
      <c r="C201">
        <v>1</v>
      </c>
      <c r="D201">
        <v>1517</v>
      </c>
      <c r="E201" s="113">
        <v>17</v>
      </c>
      <c r="F201" s="113">
        <v>15</v>
      </c>
      <c r="I201">
        <v>27.499999999999996</v>
      </c>
      <c r="K201" s="320">
        <v>8</v>
      </c>
      <c r="L201" s="320"/>
      <c r="M201">
        <v>2.6</v>
      </c>
      <c r="N201" s="320"/>
      <c r="O201"/>
      <c r="P201"/>
      <c r="Q201"/>
      <c r="S201" s="320">
        <v>10.306144525779001</v>
      </c>
      <c r="T201" s="320"/>
      <c r="U201">
        <v>10.8</v>
      </c>
      <c r="V201"/>
      <c r="W201"/>
      <c r="X201"/>
      <c r="Y201" s="321">
        <v>4.8182211000000006</v>
      </c>
      <c r="Z201" s="320"/>
      <c r="AA201" s="322">
        <v>58111.888111888111</v>
      </c>
      <c r="AB201" s="320"/>
      <c r="AC201" s="321">
        <v>23.338718100000001</v>
      </c>
      <c r="AD201" s="320"/>
      <c r="AE201" s="320">
        <v>24.93</v>
      </c>
      <c r="AF201" s="320"/>
      <c r="AG201">
        <v>4.29</v>
      </c>
      <c r="AH201"/>
      <c r="AI201">
        <v>125</v>
      </c>
      <c r="AJ201"/>
      <c r="AK201"/>
      <c r="AL201"/>
      <c r="AM201"/>
      <c r="AN201"/>
      <c r="AO201">
        <v>77</v>
      </c>
      <c r="AP201"/>
      <c r="AQ201" s="323"/>
      <c r="AR201" s="323"/>
      <c r="AS201">
        <v>112</v>
      </c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>
        <v>3.8235999999999999</v>
      </c>
      <c r="BH201"/>
      <c r="BI201">
        <v>4.9088000000000003</v>
      </c>
      <c r="BJ201"/>
      <c r="BK201">
        <v>1.4261999999999999</v>
      </c>
      <c r="BL201"/>
      <c r="BM201">
        <v>55.286999999999999</v>
      </c>
      <c r="BN201"/>
      <c r="BO201">
        <v>21.876000000000001</v>
      </c>
      <c r="BP201"/>
      <c r="BQ201">
        <v>11.172000000000001</v>
      </c>
      <c r="BR201"/>
      <c r="BS201">
        <v>44.158999999999999</v>
      </c>
      <c r="BT201"/>
      <c r="BU201">
        <v>21.172000000000001</v>
      </c>
      <c r="BV201"/>
      <c r="BW201" s="325">
        <v>13.78</v>
      </c>
      <c r="BX201"/>
      <c r="BY201">
        <v>6.5109999999999957</v>
      </c>
      <c r="BZ201"/>
      <c r="CA201"/>
      <c r="CC201">
        <v>5.77</v>
      </c>
      <c r="CD201"/>
      <c r="CE201"/>
      <c r="CF201"/>
      <c r="CG201"/>
      <c r="CH201"/>
      <c r="CI201"/>
      <c r="CJ201"/>
      <c r="CK201"/>
      <c r="CL201"/>
      <c r="CM201"/>
    </row>
    <row r="202" spans="1:91">
      <c r="A202" s="327" t="s">
        <v>7647</v>
      </c>
      <c r="B202" s="328" t="s">
        <v>8289</v>
      </c>
      <c r="C202" s="328">
        <v>2</v>
      </c>
      <c r="D202" s="328">
        <v>362</v>
      </c>
      <c r="E202" s="113">
        <v>62</v>
      </c>
      <c r="F202" s="113">
        <v>3</v>
      </c>
      <c r="G202" s="329"/>
      <c r="H202" s="329"/>
      <c r="I202" s="328">
        <v>23</v>
      </c>
      <c r="J202" s="330"/>
      <c r="K202" s="331">
        <v>6</v>
      </c>
      <c r="L202" s="331"/>
      <c r="M202" s="328">
        <v>0.45</v>
      </c>
      <c r="N202" s="331"/>
      <c r="O202" s="328"/>
      <c r="P202" s="328"/>
      <c r="Q202" s="328"/>
      <c r="R202" s="332"/>
      <c r="S202" s="331" t="s">
        <v>8361</v>
      </c>
      <c r="T202" s="331"/>
      <c r="U202" s="328">
        <v>10.8</v>
      </c>
      <c r="V202" s="328"/>
      <c r="W202" s="328"/>
      <c r="X202" s="328"/>
      <c r="Y202" s="333">
        <v>0</v>
      </c>
      <c r="Z202" s="331"/>
      <c r="AA202" s="334">
        <v>11017.811704834607</v>
      </c>
      <c r="AB202" s="331"/>
      <c r="AC202" s="333" t="s">
        <v>8361</v>
      </c>
      <c r="AD202" s="331"/>
      <c r="AE202" s="331">
        <v>4.33</v>
      </c>
      <c r="AF202" s="331"/>
      <c r="AG202" s="328">
        <v>3.93</v>
      </c>
      <c r="AH202" s="328"/>
      <c r="AI202" s="328">
        <v>115</v>
      </c>
      <c r="AJ202" s="328"/>
      <c r="AK202" s="328"/>
      <c r="AL202" s="328"/>
      <c r="AM202" s="328"/>
      <c r="AN202" s="328"/>
      <c r="AO202" s="328">
        <v>80</v>
      </c>
      <c r="AP202" s="328"/>
      <c r="AQ202" s="335"/>
      <c r="AR202" s="335"/>
      <c r="AS202" s="328">
        <v>118</v>
      </c>
      <c r="AT202" s="328"/>
      <c r="AU202" s="328"/>
      <c r="AV202" s="328"/>
      <c r="AW202" s="328"/>
      <c r="AX202" s="328"/>
      <c r="AY202" s="328"/>
      <c r="AZ202" s="328"/>
      <c r="BA202" s="328"/>
      <c r="BB202" s="328"/>
      <c r="BC202" s="328"/>
      <c r="BD202" s="328"/>
      <c r="BE202" s="328"/>
      <c r="BF202" s="328"/>
      <c r="BG202" s="328"/>
      <c r="BH202" s="328"/>
      <c r="BI202" s="328"/>
      <c r="BJ202" s="328"/>
      <c r="BK202" s="328"/>
      <c r="BL202" s="328"/>
      <c r="BM202" s="328"/>
      <c r="BN202" s="328"/>
      <c r="BO202" s="328"/>
      <c r="BP202" s="328"/>
      <c r="BQ202" s="328"/>
      <c r="BR202" s="328"/>
      <c r="BS202" s="328"/>
      <c r="BT202" s="328"/>
      <c r="BU202" s="328"/>
      <c r="BV202" s="328"/>
      <c r="BW202" s="328" t="s">
        <v>8361</v>
      </c>
      <c r="BX202" s="339"/>
      <c r="BY202" s="328" t="s">
        <v>8237</v>
      </c>
      <c r="BZ202" s="328"/>
      <c r="CA202" s="328"/>
      <c r="CB202" s="337"/>
      <c r="CC202" s="328">
        <v>5.54</v>
      </c>
      <c r="CD202" s="328"/>
      <c r="CE202" s="328"/>
      <c r="CF202" s="328"/>
      <c r="CG202" s="328"/>
      <c r="CH202" s="328"/>
      <c r="CI202" s="328"/>
      <c r="CJ202" s="328"/>
      <c r="CK202" s="328" t="s">
        <v>8377</v>
      </c>
      <c r="CL202" s="328"/>
      <c r="CM202" s="328"/>
    </row>
    <row r="203" spans="1:91">
      <c r="A203" s="327" t="s">
        <v>7647</v>
      </c>
      <c r="B203" s="328" t="s">
        <v>8287</v>
      </c>
      <c r="C203" s="328">
        <v>1</v>
      </c>
      <c r="D203" s="328">
        <v>537</v>
      </c>
      <c r="E203" s="113">
        <v>37</v>
      </c>
      <c r="F203" s="113">
        <v>5</v>
      </c>
      <c r="G203" s="329"/>
      <c r="H203" s="329"/>
      <c r="I203" s="328">
        <v>23.5</v>
      </c>
      <c r="J203" s="330"/>
      <c r="K203" s="331">
        <v>9</v>
      </c>
      <c r="L203" s="331"/>
      <c r="M203" s="328">
        <v>1.51</v>
      </c>
      <c r="N203" s="331"/>
      <c r="O203" s="328"/>
      <c r="P203" s="328"/>
      <c r="Q203" s="328"/>
      <c r="R203" s="332"/>
      <c r="S203" s="331">
        <v>6.5039643375000002</v>
      </c>
      <c r="T203" s="331"/>
      <c r="U203" s="328">
        <v>10.8</v>
      </c>
      <c r="V203" s="328"/>
      <c r="W203" s="328"/>
      <c r="X203" s="328"/>
      <c r="Y203" s="333">
        <v>2.1365025000000002</v>
      </c>
      <c r="Z203" s="331"/>
      <c r="AA203" s="334">
        <v>35359.801488833742</v>
      </c>
      <c r="AB203" s="331"/>
      <c r="AC203" s="333">
        <v>13.396425000000001</v>
      </c>
      <c r="AD203" s="331"/>
      <c r="AE203" s="331">
        <v>14.25</v>
      </c>
      <c r="AF203" s="331"/>
      <c r="AG203" s="328">
        <v>4.03</v>
      </c>
      <c r="AH203" s="328"/>
      <c r="AI203" s="328">
        <v>145</v>
      </c>
      <c r="AJ203" s="328"/>
      <c r="AK203" s="328"/>
      <c r="AL203" s="328"/>
      <c r="AM203" s="328"/>
      <c r="AN203" s="328"/>
      <c r="AO203" s="328">
        <v>81</v>
      </c>
      <c r="AP203" s="328"/>
      <c r="AQ203" s="335"/>
      <c r="AR203" s="335"/>
      <c r="AS203" s="328">
        <v>110</v>
      </c>
      <c r="AT203" s="328"/>
      <c r="AU203" s="328"/>
      <c r="AV203" s="328"/>
      <c r="AW203" s="328"/>
      <c r="AX203" s="328"/>
      <c r="AY203" s="328"/>
      <c r="AZ203" s="328"/>
      <c r="BA203" s="328"/>
      <c r="BB203" s="328"/>
      <c r="BC203" s="328"/>
      <c r="BD203" s="328"/>
      <c r="BE203" s="328"/>
      <c r="BF203" s="328"/>
      <c r="BG203" s="328">
        <v>0.79249000000000003</v>
      </c>
      <c r="BH203" s="328"/>
      <c r="BI203" s="328">
        <v>4.7797999999999998</v>
      </c>
      <c r="BJ203" s="328"/>
      <c r="BK203" s="328">
        <v>1.2249000000000001</v>
      </c>
      <c r="BL203" s="328"/>
      <c r="BM203" s="328">
        <v>54.866999999999997</v>
      </c>
      <c r="BN203" s="328"/>
      <c r="BO203" s="328">
        <v>20.966000000000001</v>
      </c>
      <c r="BP203" s="328"/>
      <c r="BQ203" s="328">
        <v>12.605</v>
      </c>
      <c r="BR203" s="328"/>
      <c r="BS203" s="328">
        <v>48.55</v>
      </c>
      <c r="BT203" s="328"/>
      <c r="BU203" s="328">
        <v>20.341000000000001</v>
      </c>
      <c r="BV203" s="328"/>
      <c r="BW203" s="336">
        <v>27.37</v>
      </c>
      <c r="BX203" s="328"/>
      <c r="BY203" s="328">
        <v>6.2139999999999986</v>
      </c>
      <c r="BZ203" s="328"/>
      <c r="CA203" s="328"/>
      <c r="CB203" s="337"/>
      <c r="CC203" s="328">
        <v>7.26</v>
      </c>
      <c r="CD203" s="328"/>
      <c r="CE203" s="328"/>
      <c r="CF203" s="328"/>
      <c r="CG203" s="328"/>
      <c r="CH203" s="328"/>
      <c r="CI203" s="328"/>
      <c r="CJ203" s="328"/>
      <c r="CK203" s="328"/>
      <c r="CL203" s="328"/>
      <c r="CM203" s="328"/>
    </row>
    <row r="204" spans="1:91">
      <c r="A204" s="327" t="s">
        <v>7647</v>
      </c>
      <c r="B204" s="328" t="s">
        <v>8289</v>
      </c>
      <c r="C204" s="328">
        <v>1</v>
      </c>
      <c r="D204" s="328">
        <v>1122</v>
      </c>
      <c r="E204" s="113">
        <v>22</v>
      </c>
      <c r="F204" s="113">
        <v>11</v>
      </c>
      <c r="G204" s="329"/>
      <c r="H204" s="329"/>
      <c r="I204" s="328">
        <v>21</v>
      </c>
      <c r="J204" s="330"/>
      <c r="K204" s="331">
        <v>9</v>
      </c>
      <c r="L204" s="331"/>
      <c r="M204" s="328">
        <v>1.03</v>
      </c>
      <c r="N204" s="331"/>
      <c r="O204" s="328"/>
      <c r="P204" s="328"/>
      <c r="Q204" s="328"/>
      <c r="R204" s="332"/>
      <c r="S204" s="331">
        <v>4.2134964857999986</v>
      </c>
      <c r="T204" s="331"/>
      <c r="U204" s="328">
        <v>10.8</v>
      </c>
      <c r="V204" s="328"/>
      <c r="W204" s="328"/>
      <c r="X204" s="328"/>
      <c r="Y204" s="333">
        <v>2.0700350999999997</v>
      </c>
      <c r="Z204" s="331"/>
      <c r="AA204" s="334">
        <v>29550.898203592813</v>
      </c>
      <c r="AB204" s="331"/>
      <c r="AC204" s="333">
        <v>9.2027879999999982</v>
      </c>
      <c r="AD204" s="331"/>
      <c r="AE204" s="331">
        <v>9.8699999999999992</v>
      </c>
      <c r="AF204" s="331"/>
      <c r="AG204" s="328">
        <v>3.34</v>
      </c>
      <c r="AH204" s="328"/>
      <c r="AI204" s="328">
        <v>128</v>
      </c>
      <c r="AJ204" s="328"/>
      <c r="AK204" s="328"/>
      <c r="AL204" s="328"/>
      <c r="AM204" s="328"/>
      <c r="AN204" s="328"/>
      <c r="AO204" s="328">
        <v>85</v>
      </c>
      <c r="AP204" s="328"/>
      <c r="AQ204" s="335"/>
      <c r="AR204" s="335"/>
      <c r="AS204" s="328">
        <v>112</v>
      </c>
      <c r="AT204" s="328"/>
      <c r="AU204" s="328"/>
      <c r="AV204" s="328"/>
      <c r="AW204" s="328"/>
      <c r="AX204" s="328"/>
      <c r="AY204" s="328"/>
      <c r="AZ204" s="328"/>
      <c r="BA204" s="328"/>
      <c r="BB204" s="328"/>
      <c r="BC204" s="328"/>
      <c r="BD204" s="328"/>
      <c r="BE204" s="328"/>
      <c r="BF204" s="328"/>
      <c r="BG204" s="328">
        <v>6.8232999999999997</v>
      </c>
      <c r="BH204" s="328"/>
      <c r="BI204" s="328">
        <v>4.7906000000000004</v>
      </c>
      <c r="BJ204" s="328"/>
      <c r="BK204" s="328">
        <v>1.3419000000000001</v>
      </c>
      <c r="BL204" s="328"/>
      <c r="BM204" s="328">
        <v>52.948999999999998</v>
      </c>
      <c r="BN204" s="328"/>
      <c r="BO204" s="328">
        <v>19.521000000000001</v>
      </c>
      <c r="BP204" s="328"/>
      <c r="BQ204" s="328">
        <v>11.766999999999999</v>
      </c>
      <c r="BR204" s="328"/>
      <c r="BS204" s="328">
        <v>45.784999999999997</v>
      </c>
      <c r="BT204" s="328"/>
      <c r="BU204" s="328">
        <v>21.045999999999999</v>
      </c>
      <c r="BV204" s="328"/>
      <c r="BW204" s="336">
        <v>7.75</v>
      </c>
      <c r="BX204" s="328"/>
      <c r="BY204" s="328">
        <v>6.6310000000000002</v>
      </c>
      <c r="BZ204" s="328"/>
      <c r="CA204" s="328"/>
      <c r="CB204" s="337"/>
      <c r="CC204" s="328">
        <v>5.82</v>
      </c>
      <c r="CD204" s="328"/>
      <c r="CE204" s="328"/>
      <c r="CF204" s="328"/>
      <c r="CG204" s="328"/>
      <c r="CH204" s="328"/>
      <c r="CI204" s="328"/>
      <c r="CJ204" s="328"/>
      <c r="CK204" s="328"/>
      <c r="CL204" s="328"/>
      <c r="CM204" s="328"/>
    </row>
    <row r="205" spans="1:91">
      <c r="A205" s="327" t="s">
        <v>7647</v>
      </c>
      <c r="B205" s="328" t="s">
        <v>8287</v>
      </c>
      <c r="C205" s="328">
        <v>2</v>
      </c>
      <c r="D205" s="328">
        <v>1348</v>
      </c>
      <c r="E205" s="113">
        <v>48</v>
      </c>
      <c r="F205" s="113">
        <v>13</v>
      </c>
      <c r="G205" s="329"/>
      <c r="H205" s="329"/>
      <c r="I205" s="328">
        <v>33.5</v>
      </c>
      <c r="J205" s="330"/>
      <c r="K205" s="331">
        <v>9</v>
      </c>
      <c r="L205" s="331"/>
      <c r="M205" s="328">
        <v>0.85</v>
      </c>
      <c r="N205" s="331"/>
      <c r="O205" s="328"/>
      <c r="P205" s="328"/>
      <c r="Q205" s="328"/>
      <c r="R205" s="332"/>
      <c r="S205" s="331">
        <v>3.5415547119839998</v>
      </c>
      <c r="T205" s="331"/>
      <c r="U205" s="328">
        <v>10.8</v>
      </c>
      <c r="V205" s="328"/>
      <c r="W205" s="328"/>
      <c r="X205" s="328"/>
      <c r="Y205" s="333">
        <v>1.3336751999999998</v>
      </c>
      <c r="Z205" s="331"/>
      <c r="AA205" s="334">
        <v>23304.347826086952</v>
      </c>
      <c r="AB205" s="331"/>
      <c r="AC205" s="333">
        <v>7.5284952000000001</v>
      </c>
      <c r="AD205" s="331"/>
      <c r="AE205" s="331">
        <v>8.0399999999999991</v>
      </c>
      <c r="AF205" s="331"/>
      <c r="AG205" s="328">
        <v>3.45</v>
      </c>
      <c r="AH205" s="328"/>
      <c r="AI205" s="328">
        <v>145</v>
      </c>
      <c r="AJ205" s="328"/>
      <c r="AK205" s="328"/>
      <c r="AL205" s="328"/>
      <c r="AM205" s="328"/>
      <c r="AN205" s="328"/>
      <c r="AO205" s="328">
        <v>77</v>
      </c>
      <c r="AP205" s="328"/>
      <c r="AQ205" s="335"/>
      <c r="AR205" s="335"/>
      <c r="AS205" s="328">
        <v>112</v>
      </c>
      <c r="AT205" s="328"/>
      <c r="AU205" s="328"/>
      <c r="AV205" s="328"/>
      <c r="AW205" s="328"/>
      <c r="AX205" s="328"/>
      <c r="AY205" s="328"/>
      <c r="AZ205" s="328"/>
      <c r="BA205" s="328"/>
      <c r="BB205" s="328"/>
      <c r="BC205" s="328"/>
      <c r="BD205" s="328"/>
      <c r="BE205" s="328"/>
      <c r="BF205" s="328"/>
      <c r="BG205" s="328">
        <v>5.2869999999999999</v>
      </c>
      <c r="BH205" s="328"/>
      <c r="BI205" s="328">
        <v>5.0248999999999997</v>
      </c>
      <c r="BJ205" s="328"/>
      <c r="BK205" s="328">
        <v>1.1548</v>
      </c>
      <c r="BL205" s="328"/>
      <c r="BM205" s="328">
        <v>54.101999999999997</v>
      </c>
      <c r="BN205" s="328"/>
      <c r="BO205" s="328">
        <v>22.177</v>
      </c>
      <c r="BP205" s="328"/>
      <c r="BQ205" s="328">
        <v>12.46</v>
      </c>
      <c r="BR205" s="328"/>
      <c r="BS205" s="328">
        <v>47.042000000000002</v>
      </c>
      <c r="BT205" s="328"/>
      <c r="BU205" s="328">
        <v>20.172999999999998</v>
      </c>
      <c r="BV205" s="328"/>
      <c r="BW205" s="328">
        <v>68.888000000000005</v>
      </c>
      <c r="BX205" s="339"/>
      <c r="BY205" s="328">
        <v>6.328000000000003</v>
      </c>
      <c r="BZ205" s="328"/>
      <c r="CA205" s="328"/>
      <c r="CB205" s="337"/>
      <c r="CC205" s="328">
        <v>7.07</v>
      </c>
      <c r="CD205" s="328"/>
      <c r="CE205" s="328"/>
      <c r="CF205" s="328"/>
      <c r="CG205" s="328"/>
      <c r="CH205" s="328"/>
      <c r="CI205" s="328"/>
      <c r="CJ205" s="328"/>
      <c r="CK205" s="328"/>
      <c r="CL205" s="328"/>
      <c r="CM205" s="328"/>
    </row>
    <row r="206" spans="1:91">
      <c r="A206" s="327" t="s">
        <v>7648</v>
      </c>
      <c r="B206" s="328" t="s">
        <v>8289</v>
      </c>
      <c r="C206" s="328">
        <v>2</v>
      </c>
      <c r="D206" s="328">
        <v>353</v>
      </c>
      <c r="E206" s="113">
        <v>53</v>
      </c>
      <c r="F206" s="113">
        <v>3</v>
      </c>
      <c r="G206" s="329"/>
      <c r="H206" s="329"/>
      <c r="I206" s="328">
        <v>25.499999999999996</v>
      </c>
      <c r="J206" s="330"/>
      <c r="K206" s="331">
        <v>8</v>
      </c>
      <c r="L206" s="331"/>
      <c r="M206" s="328">
        <v>0.78</v>
      </c>
      <c r="N206" s="331"/>
      <c r="O206" s="328"/>
      <c r="P206" s="328"/>
      <c r="Q206" s="328"/>
      <c r="R206" s="332"/>
      <c r="S206" s="331">
        <v>3.3264819755199992</v>
      </c>
      <c r="T206" s="331"/>
      <c r="U206" s="328">
        <v>10.8</v>
      </c>
      <c r="V206" s="328"/>
      <c r="W206" s="328"/>
      <c r="X206" s="328"/>
      <c r="Y206" s="333">
        <v>1.4104622</v>
      </c>
      <c r="Z206" s="331"/>
      <c r="AA206" s="334">
        <v>16043.010752688171</v>
      </c>
      <c r="AB206" s="331"/>
      <c r="AC206" s="333">
        <v>6.9463789999999994</v>
      </c>
      <c r="AD206" s="331"/>
      <c r="AE206" s="331">
        <v>7.46</v>
      </c>
      <c r="AF206" s="331"/>
      <c r="AG206" s="328">
        <v>4.6500000000000004</v>
      </c>
      <c r="AH206" s="328"/>
      <c r="AI206" s="328">
        <v>120</v>
      </c>
      <c r="AJ206" s="328"/>
      <c r="AK206" s="328"/>
      <c r="AL206" s="328"/>
      <c r="AM206" s="328"/>
      <c r="AN206" s="328"/>
      <c r="AO206" s="328">
        <v>80</v>
      </c>
      <c r="AP206" s="328"/>
      <c r="AQ206" s="335"/>
      <c r="AR206" s="335"/>
      <c r="AS206" s="328">
        <v>112</v>
      </c>
      <c r="AT206" s="328"/>
      <c r="AU206" s="328"/>
      <c r="AV206" s="328"/>
      <c r="AW206" s="328"/>
      <c r="AX206" s="328"/>
      <c r="AY206" s="328"/>
      <c r="AZ206" s="328"/>
      <c r="BA206" s="328"/>
      <c r="BB206" s="328"/>
      <c r="BC206" s="328"/>
      <c r="BD206" s="328"/>
      <c r="BE206" s="328"/>
      <c r="BF206" s="328"/>
      <c r="BG206" s="328">
        <v>-0.54474</v>
      </c>
      <c r="BH206" s="328"/>
      <c r="BI206" s="328">
        <v>4.8548999999999998</v>
      </c>
      <c r="BJ206" s="328"/>
      <c r="BK206" s="328">
        <v>1.4574</v>
      </c>
      <c r="BL206" s="328"/>
      <c r="BM206" s="328">
        <v>58.695</v>
      </c>
      <c r="BN206" s="328"/>
      <c r="BO206" s="328">
        <v>20.754999999999999</v>
      </c>
      <c r="BP206" s="328"/>
      <c r="BQ206" s="328">
        <v>11.032</v>
      </c>
      <c r="BR206" s="328"/>
      <c r="BS206" s="328">
        <v>47.887999999999998</v>
      </c>
      <c r="BT206" s="328"/>
      <c r="BU206" s="328">
        <v>20.172999999999998</v>
      </c>
      <c r="BV206" s="328"/>
      <c r="BW206" s="336">
        <v>23.08</v>
      </c>
      <c r="BX206" s="328"/>
      <c r="BY206" s="328">
        <v>6.355000000000004</v>
      </c>
      <c r="BZ206" s="328"/>
      <c r="CA206" s="328"/>
      <c r="CB206" s="337"/>
      <c r="CC206" s="328">
        <v>6.04</v>
      </c>
      <c r="CD206" s="328"/>
      <c r="CE206" s="328"/>
      <c r="CF206" s="328"/>
      <c r="CG206" s="328"/>
      <c r="CH206" s="328"/>
      <c r="CI206" s="328"/>
      <c r="CJ206" s="328"/>
      <c r="CK206" s="328" t="s">
        <v>8377</v>
      </c>
      <c r="CL206" s="328"/>
      <c r="CM206" s="328"/>
    </row>
    <row r="207" spans="1:91">
      <c r="A207" s="154" t="s">
        <v>7648</v>
      </c>
      <c r="B207" t="s">
        <v>8287</v>
      </c>
      <c r="C207">
        <v>1</v>
      </c>
      <c r="D207">
        <v>702</v>
      </c>
      <c r="E207" s="113">
        <v>2</v>
      </c>
      <c r="F207" s="113">
        <v>7</v>
      </c>
      <c r="I207">
        <v>28.999999999999996</v>
      </c>
      <c r="K207" s="320">
        <v>9</v>
      </c>
      <c r="L207" s="320"/>
      <c r="M207">
        <v>1.65</v>
      </c>
      <c r="N207" s="320"/>
      <c r="O207"/>
      <c r="P207"/>
      <c r="Q207"/>
      <c r="S207" s="320" t="s">
        <v>8361</v>
      </c>
      <c r="T207" s="320"/>
      <c r="U207">
        <v>10.8</v>
      </c>
      <c r="V207"/>
      <c r="W207"/>
      <c r="X207"/>
      <c r="Y207" s="321">
        <v>0</v>
      </c>
      <c r="Z207" s="320"/>
      <c r="AA207" s="322">
        <v>39948.586118251922</v>
      </c>
      <c r="AB207" s="320"/>
      <c r="AC207" s="321" t="s">
        <v>8361</v>
      </c>
      <c r="AD207" s="320"/>
      <c r="AE207" s="320">
        <v>15.54</v>
      </c>
      <c r="AF207" s="320"/>
      <c r="AG207">
        <v>3.89</v>
      </c>
      <c r="AH207"/>
      <c r="AI207">
        <v>145</v>
      </c>
      <c r="AJ207"/>
      <c r="AK207"/>
      <c r="AL207"/>
      <c r="AM207"/>
      <c r="AN207"/>
      <c r="AO207">
        <v>80</v>
      </c>
      <c r="AP207"/>
      <c r="AQ207" s="323"/>
      <c r="AR207" s="323"/>
      <c r="AS207">
        <v>112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0.32971</v>
      </c>
      <c r="BH207"/>
      <c r="BI207">
        <v>4.7133000000000003</v>
      </c>
      <c r="BJ207"/>
      <c r="BK207">
        <v>1.3861000000000001</v>
      </c>
      <c r="BL207"/>
      <c r="BM207">
        <v>55.956000000000003</v>
      </c>
      <c r="BN207"/>
      <c r="BO207">
        <v>18.712</v>
      </c>
      <c r="BP207"/>
      <c r="BQ207">
        <v>11.448</v>
      </c>
      <c r="BR207"/>
      <c r="BS207">
        <v>50.683999999999997</v>
      </c>
      <c r="BT207"/>
      <c r="BU207">
        <v>18.5</v>
      </c>
      <c r="BV207"/>
      <c r="BW207" s="325">
        <v>25.59</v>
      </c>
      <c r="BX207"/>
      <c r="BY207">
        <v>6.2309999999999945</v>
      </c>
      <c r="BZ207"/>
      <c r="CA207"/>
      <c r="CC207">
        <v>7.45</v>
      </c>
      <c r="CD207"/>
      <c r="CE207"/>
      <c r="CF207"/>
      <c r="CG207"/>
      <c r="CH207"/>
      <c r="CI207"/>
      <c r="CJ207"/>
      <c r="CK207"/>
      <c r="CL207"/>
      <c r="CM207"/>
    </row>
    <row r="208" spans="1:91">
      <c r="A208" s="154" t="s">
        <v>7648</v>
      </c>
      <c r="B208" t="s">
        <v>8289</v>
      </c>
      <c r="C208">
        <v>1</v>
      </c>
      <c r="D208">
        <v>1316</v>
      </c>
      <c r="E208" s="113">
        <v>16</v>
      </c>
      <c r="F208" s="113">
        <v>13</v>
      </c>
      <c r="I208">
        <v>28.5</v>
      </c>
      <c r="K208" s="320">
        <v>9</v>
      </c>
      <c r="L208" s="320"/>
      <c r="M208">
        <v>1.57</v>
      </c>
      <c r="N208" s="320"/>
      <c r="O208"/>
      <c r="P208"/>
      <c r="Q208"/>
      <c r="S208" s="320">
        <v>6.7779298378349999</v>
      </c>
      <c r="T208" s="320"/>
      <c r="U208">
        <v>10.8</v>
      </c>
      <c r="V208"/>
      <c r="W208"/>
      <c r="X208"/>
      <c r="Y208" s="321">
        <v>3.271957</v>
      </c>
      <c r="Z208" s="320"/>
      <c r="AA208" s="322">
        <v>34767.441860465115</v>
      </c>
      <c r="AB208" s="320"/>
      <c r="AC208" s="321">
        <v>13.952386499999999</v>
      </c>
      <c r="AD208" s="320"/>
      <c r="AE208" s="320">
        <v>14.95</v>
      </c>
      <c r="AF208" s="320"/>
      <c r="AG208">
        <v>4.3</v>
      </c>
      <c r="AH208"/>
      <c r="AI208">
        <v>133</v>
      </c>
      <c r="AJ208"/>
      <c r="AK208"/>
      <c r="AL208"/>
      <c r="AM208"/>
      <c r="AN208"/>
      <c r="AO208">
        <v>81</v>
      </c>
      <c r="AP208"/>
      <c r="AQ208" s="323"/>
      <c r="AR208" s="323"/>
      <c r="AS208">
        <v>112</v>
      </c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>
        <v>4.0872000000000002</v>
      </c>
      <c r="BH208"/>
      <c r="BI208">
        <v>5.0143000000000004</v>
      </c>
      <c r="BJ208"/>
      <c r="BK208">
        <v>1.1497999999999999</v>
      </c>
      <c r="BL208"/>
      <c r="BM208">
        <v>54.149000000000001</v>
      </c>
      <c r="BN208"/>
      <c r="BO208">
        <v>20.391999999999999</v>
      </c>
      <c r="BP208"/>
      <c r="BQ208">
        <v>12.153</v>
      </c>
      <c r="BR208"/>
      <c r="BS208">
        <v>48.579000000000001</v>
      </c>
      <c r="BT208"/>
      <c r="BU208">
        <v>20.523</v>
      </c>
      <c r="BV208"/>
      <c r="BW208">
        <v>77.912000000000006</v>
      </c>
      <c r="BX208" s="324"/>
      <c r="BY208">
        <v>6.1020000000000039</v>
      </c>
      <c r="BZ208"/>
      <c r="CA208"/>
      <c r="CC208">
        <v>6.43</v>
      </c>
      <c r="CD208"/>
      <c r="CE208"/>
      <c r="CF208"/>
      <c r="CG208"/>
      <c r="CH208"/>
      <c r="CI208"/>
      <c r="CJ208"/>
      <c r="CK208"/>
      <c r="CL208"/>
      <c r="CM208"/>
    </row>
    <row r="209" spans="1:91">
      <c r="A209" s="154" t="s">
        <v>7648</v>
      </c>
      <c r="B209" t="s">
        <v>8287</v>
      </c>
      <c r="C209">
        <v>2</v>
      </c>
      <c r="D209">
        <v>1660</v>
      </c>
      <c r="E209" s="113">
        <v>60</v>
      </c>
      <c r="F209" s="113">
        <v>16</v>
      </c>
      <c r="I209">
        <v>24.5</v>
      </c>
      <c r="K209" s="320">
        <v>8</v>
      </c>
      <c r="L209" s="320"/>
      <c r="M209">
        <v>1.5</v>
      </c>
      <c r="N209" s="320"/>
      <c r="O209"/>
      <c r="P209"/>
      <c r="Q209"/>
      <c r="S209" s="320">
        <v>6.8706579962000003</v>
      </c>
      <c r="T209" s="320"/>
      <c r="U209">
        <v>10.8</v>
      </c>
      <c r="V209"/>
      <c r="W209"/>
      <c r="X209"/>
      <c r="Y209" s="321">
        <v>2.221867</v>
      </c>
      <c r="Z209" s="320"/>
      <c r="AA209" s="322">
        <v>36973.68421052632</v>
      </c>
      <c r="AB209" s="320"/>
      <c r="AC209" s="321">
        <v>13.134501999999999</v>
      </c>
      <c r="AD209" s="320"/>
      <c r="AE209" s="320">
        <v>14.05</v>
      </c>
      <c r="AF209" s="320"/>
      <c r="AG209">
        <v>3.8</v>
      </c>
      <c r="AH209"/>
      <c r="AI209">
        <v>133</v>
      </c>
      <c r="AJ209"/>
      <c r="AK209"/>
      <c r="AL209"/>
      <c r="AM209"/>
      <c r="AN209"/>
      <c r="AO209">
        <v>77</v>
      </c>
      <c r="AP209"/>
      <c r="AQ209" s="323"/>
      <c r="AR209" s="323"/>
      <c r="AS209">
        <v>112</v>
      </c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>
        <v>3.7075</v>
      </c>
      <c r="BH209"/>
      <c r="BI209">
        <v>4.9450000000000003</v>
      </c>
      <c r="BJ209"/>
      <c r="BK209">
        <v>1.3214999999999999</v>
      </c>
      <c r="BL209"/>
      <c r="BM209">
        <v>58.521000000000001</v>
      </c>
      <c r="BN209"/>
      <c r="BO209">
        <v>20.652999999999999</v>
      </c>
      <c r="BP209"/>
      <c r="BQ209">
        <v>10.91</v>
      </c>
      <c r="BR209"/>
      <c r="BS209">
        <v>52.31</v>
      </c>
      <c r="BT209"/>
      <c r="BU209">
        <v>17.260999999999999</v>
      </c>
      <c r="BV209"/>
      <c r="BW209">
        <v>52.295999999999999</v>
      </c>
      <c r="BX209" s="324"/>
      <c r="BY209">
        <v>5.9819999999999993</v>
      </c>
      <c r="BZ209"/>
      <c r="CA209"/>
      <c r="CC209">
        <v>7.97</v>
      </c>
      <c r="CD209"/>
      <c r="CE209"/>
      <c r="CF209"/>
      <c r="CG209"/>
      <c r="CH209"/>
      <c r="CI209"/>
      <c r="CJ209"/>
      <c r="CK209"/>
      <c r="CL209"/>
      <c r="CM209"/>
    </row>
    <row r="210" spans="1:91">
      <c r="A210" s="154" t="s">
        <v>7649</v>
      </c>
      <c r="B210" t="s">
        <v>8287</v>
      </c>
      <c r="C210">
        <v>1</v>
      </c>
      <c r="D210">
        <v>632</v>
      </c>
      <c r="E210" s="113">
        <v>32</v>
      </c>
      <c r="F210" s="113">
        <v>6</v>
      </c>
      <c r="I210">
        <v>23</v>
      </c>
      <c r="K210" s="320">
        <v>8</v>
      </c>
      <c r="L210" s="320"/>
      <c r="M210">
        <v>2.41</v>
      </c>
      <c r="N210" s="320"/>
      <c r="O210"/>
      <c r="P210"/>
      <c r="Q210"/>
      <c r="S210" s="320">
        <v>9.9377959921240002</v>
      </c>
      <c r="T210" s="320"/>
      <c r="U210">
        <v>10.8</v>
      </c>
      <c r="V210"/>
      <c r="W210"/>
      <c r="X210"/>
      <c r="Y210" s="321">
        <v>4.0049328000000006</v>
      </c>
      <c r="Z210" s="320"/>
      <c r="AA210" s="322">
        <v>51794.871794871789</v>
      </c>
      <c r="AB210" s="320"/>
      <c r="AC210" s="321">
        <v>20.7617014</v>
      </c>
      <c r="AD210" s="320"/>
      <c r="AE210" s="320">
        <v>22.22</v>
      </c>
      <c r="AF210" s="320"/>
      <c r="AG210">
        <v>4.29</v>
      </c>
      <c r="AH210"/>
      <c r="AI210">
        <v>150</v>
      </c>
      <c r="AJ210"/>
      <c r="AK210"/>
      <c r="AL210"/>
      <c r="AM210"/>
      <c r="AN210"/>
      <c r="AO210">
        <v>83</v>
      </c>
      <c r="AP210"/>
      <c r="AQ210" s="323"/>
      <c r="AR210" s="323"/>
      <c r="AS210">
        <v>112</v>
      </c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4.1597</v>
      </c>
      <c r="BH210"/>
      <c r="BI210">
        <v>4.6641000000000004</v>
      </c>
      <c r="BJ210"/>
      <c r="BK210">
        <v>1.3606</v>
      </c>
      <c r="BL210"/>
      <c r="BM210">
        <v>60.197000000000003</v>
      </c>
      <c r="BN210"/>
      <c r="BO210">
        <v>21.297999999999998</v>
      </c>
      <c r="BP210"/>
      <c r="BQ210">
        <v>9.2809000000000008</v>
      </c>
      <c r="BR210"/>
      <c r="BS210">
        <v>47.866</v>
      </c>
      <c r="BT210"/>
      <c r="BU210">
        <v>19.347999999999999</v>
      </c>
      <c r="BV210"/>
      <c r="BW210">
        <v>45.533999999999999</v>
      </c>
      <c r="BX210" s="324"/>
      <c r="BY210">
        <v>6.6880000000000024</v>
      </c>
      <c r="BZ210"/>
      <c r="CA210"/>
      <c r="CC210">
        <v>9.3800000000000008</v>
      </c>
      <c r="CD210"/>
      <c r="CE210"/>
      <c r="CF210"/>
      <c r="CG210"/>
      <c r="CH210"/>
      <c r="CI210"/>
      <c r="CJ210"/>
      <c r="CK210"/>
      <c r="CL210"/>
      <c r="CM210"/>
    </row>
    <row r="211" spans="1:91">
      <c r="A211" s="154" t="s">
        <v>7649</v>
      </c>
      <c r="B211" t="s">
        <v>8289</v>
      </c>
      <c r="C211">
        <v>2</v>
      </c>
      <c r="D211">
        <v>762</v>
      </c>
      <c r="E211" s="113">
        <v>62</v>
      </c>
      <c r="F211" s="113">
        <v>7</v>
      </c>
      <c r="I211">
        <v>17.5</v>
      </c>
      <c r="K211" s="320">
        <v>9</v>
      </c>
      <c r="L211" s="320"/>
      <c r="M211">
        <v>1.61</v>
      </c>
      <c r="N211" s="320"/>
      <c r="O211"/>
      <c r="P211"/>
      <c r="Q211"/>
      <c r="S211" s="320">
        <v>5.8884370568100008</v>
      </c>
      <c r="T211" s="320"/>
      <c r="U211">
        <v>10.8</v>
      </c>
      <c r="V211"/>
      <c r="W211"/>
      <c r="X211"/>
      <c r="Y211" s="321">
        <v>3.1009914000000003</v>
      </c>
      <c r="Z211" s="320"/>
      <c r="AA211" s="322">
        <v>33460.674157303372</v>
      </c>
      <c r="AB211" s="320"/>
      <c r="AC211" s="321">
        <v>13.832363300000001</v>
      </c>
      <c r="AD211" s="320"/>
      <c r="AE211" s="320">
        <v>14.89</v>
      </c>
      <c r="AF211" s="320"/>
      <c r="AG211">
        <v>4.45</v>
      </c>
      <c r="AH211"/>
      <c r="AI211">
        <v>123</v>
      </c>
      <c r="AJ211"/>
      <c r="AK211"/>
      <c r="AL211"/>
      <c r="AM211"/>
      <c r="AN211"/>
      <c r="AO211">
        <v>85</v>
      </c>
      <c r="AP211"/>
      <c r="AQ211" s="323"/>
      <c r="AR211" s="323"/>
      <c r="AS211">
        <v>118</v>
      </c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>
        <v>-1.9988999999999999</v>
      </c>
      <c r="BH211"/>
      <c r="BI211">
        <v>4.9306999999999999</v>
      </c>
      <c r="BJ211"/>
      <c r="BK211">
        <v>1.5902000000000001</v>
      </c>
      <c r="BL211"/>
      <c r="BM211">
        <v>58.716999999999999</v>
      </c>
      <c r="BN211"/>
      <c r="BO211">
        <v>21.486999999999998</v>
      </c>
      <c r="BP211"/>
      <c r="BQ211">
        <v>8.6034000000000006</v>
      </c>
      <c r="BR211"/>
      <c r="BS211">
        <v>42.57</v>
      </c>
      <c r="BT211"/>
      <c r="BU211">
        <v>21.495999999999999</v>
      </c>
      <c r="BV211"/>
      <c r="BW211" s="325">
        <v>5.13</v>
      </c>
      <c r="BX211"/>
      <c r="BY211">
        <v>7.0789999999999935</v>
      </c>
      <c r="BZ211"/>
      <c r="CA211"/>
      <c r="CC211">
        <v>9.1</v>
      </c>
      <c r="CD211"/>
      <c r="CE211"/>
      <c r="CF211"/>
      <c r="CG211"/>
      <c r="CH211"/>
      <c r="CI211"/>
      <c r="CJ211"/>
      <c r="CK211"/>
      <c r="CL211"/>
      <c r="CM211"/>
    </row>
    <row r="212" spans="1:91">
      <c r="A212" s="154" t="s">
        <v>7649</v>
      </c>
      <c r="B212" t="s">
        <v>8289</v>
      </c>
      <c r="C212">
        <v>1</v>
      </c>
      <c r="D212">
        <v>1224</v>
      </c>
      <c r="E212" s="113">
        <v>24</v>
      </c>
      <c r="F212" s="113">
        <v>12</v>
      </c>
      <c r="I212">
        <v>27.999999999999996</v>
      </c>
      <c r="K212" s="320">
        <v>8</v>
      </c>
      <c r="L212" s="320"/>
      <c r="M212">
        <v>2.6</v>
      </c>
      <c r="N212" s="320"/>
      <c r="O212"/>
      <c r="P212"/>
      <c r="Q212"/>
      <c r="S212" s="320">
        <v>9.9129991437200005</v>
      </c>
      <c r="T212" s="320"/>
      <c r="U212">
        <v>10.8</v>
      </c>
      <c r="V212"/>
      <c r="W212"/>
      <c r="X212"/>
      <c r="Y212" s="321">
        <v>4.4937065999999994</v>
      </c>
      <c r="Z212" s="320"/>
      <c r="AA212" s="322">
        <v>63924.731182795702</v>
      </c>
      <c r="AB212" s="320"/>
      <c r="AC212" s="321">
        <v>22.177228000000003</v>
      </c>
      <c r="AD212" s="320"/>
      <c r="AE212" s="320">
        <v>23.78</v>
      </c>
      <c r="AF212" s="320"/>
      <c r="AG212">
        <v>3.72</v>
      </c>
      <c r="AH212"/>
      <c r="AI212">
        <v>133</v>
      </c>
      <c r="AJ212"/>
      <c r="AK212"/>
      <c r="AL212"/>
      <c r="AM212"/>
      <c r="AN212"/>
      <c r="AO212">
        <v>85</v>
      </c>
      <c r="AP212"/>
      <c r="AQ212" s="323"/>
      <c r="AR212" s="323"/>
      <c r="AS212">
        <v>118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>
        <v>-5.7123999999999997</v>
      </c>
      <c r="BH212"/>
      <c r="BI212">
        <v>5.0635000000000003</v>
      </c>
      <c r="BJ212"/>
      <c r="BK212">
        <v>1.4384999999999999</v>
      </c>
      <c r="BL212"/>
      <c r="BM212">
        <v>58.07</v>
      </c>
      <c r="BN212"/>
      <c r="BO212">
        <v>21.329000000000001</v>
      </c>
      <c r="BP212"/>
      <c r="BQ212">
        <v>8.7354000000000003</v>
      </c>
      <c r="BR212"/>
      <c r="BS212">
        <v>44.698999999999998</v>
      </c>
      <c r="BT212"/>
      <c r="BU212">
        <v>19.766999999999999</v>
      </c>
      <c r="BV212"/>
      <c r="BW212" s="325">
        <v>15.48</v>
      </c>
      <c r="BX212"/>
      <c r="BY212">
        <v>6.9000000000000057</v>
      </c>
      <c r="BZ212"/>
      <c r="CA212"/>
      <c r="CC212">
        <v>10.1</v>
      </c>
      <c r="CD212"/>
      <c r="CE212"/>
      <c r="CF212"/>
      <c r="CG212"/>
      <c r="CH212"/>
      <c r="CI212"/>
      <c r="CJ212"/>
      <c r="CK212"/>
      <c r="CL212"/>
      <c r="CM212"/>
    </row>
    <row r="213" spans="1:91">
      <c r="A213" s="154" t="s">
        <v>7649</v>
      </c>
      <c r="B213" t="s">
        <v>8287</v>
      </c>
      <c r="C213">
        <v>2</v>
      </c>
      <c r="D213">
        <v>1346</v>
      </c>
      <c r="E213" s="113">
        <v>46</v>
      </c>
      <c r="F213" s="113">
        <v>13</v>
      </c>
      <c r="I213">
        <v>31</v>
      </c>
      <c r="K213" s="320">
        <v>9</v>
      </c>
      <c r="L213" s="320"/>
      <c r="M213">
        <v>1.5</v>
      </c>
      <c r="N213" s="320"/>
      <c r="O213"/>
      <c r="P213"/>
      <c r="Q213"/>
      <c r="S213" s="320">
        <v>6.3557418852000005</v>
      </c>
      <c r="T213" s="320"/>
      <c r="U213">
        <v>10.8</v>
      </c>
      <c r="V213"/>
      <c r="W213"/>
      <c r="X213"/>
      <c r="Y213" s="321">
        <v>2.2939384</v>
      </c>
      <c r="Z213" s="320"/>
      <c r="AA213" s="322">
        <v>38921.832884097035</v>
      </c>
      <c r="AB213" s="320"/>
      <c r="AC213" s="321">
        <v>13.489848</v>
      </c>
      <c r="AD213" s="320"/>
      <c r="AE213" s="320">
        <v>14.44</v>
      </c>
      <c r="AF213" s="320"/>
      <c r="AG213">
        <v>3.71</v>
      </c>
      <c r="AH213"/>
      <c r="AI213">
        <v>135</v>
      </c>
      <c r="AJ213"/>
      <c r="AK213"/>
      <c r="AL213"/>
      <c r="AM213"/>
      <c r="AN213"/>
      <c r="AO213">
        <v>77</v>
      </c>
      <c r="AP213"/>
      <c r="AQ213" s="323"/>
      <c r="AR213" s="323"/>
      <c r="AS213">
        <v>116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>
        <v>-1.3833</v>
      </c>
      <c r="BH213"/>
      <c r="BI213">
        <v>4.9196999999999997</v>
      </c>
      <c r="BJ213"/>
      <c r="BK213">
        <v>1.3355999999999999</v>
      </c>
      <c r="BL213"/>
      <c r="BM213">
        <v>64.001000000000005</v>
      </c>
      <c r="BN213"/>
      <c r="BO213">
        <v>20.358000000000001</v>
      </c>
      <c r="BP213"/>
      <c r="BQ213">
        <v>9.3818000000000001</v>
      </c>
      <c r="BR213"/>
      <c r="BS213">
        <v>47.115000000000002</v>
      </c>
      <c r="BT213"/>
      <c r="BU213">
        <v>19.236000000000001</v>
      </c>
      <c r="BV213"/>
      <c r="BW213">
        <v>49.904000000000003</v>
      </c>
      <c r="BX213" s="324"/>
      <c r="BY213">
        <v>6.4279999999999973</v>
      </c>
      <c r="BZ213"/>
      <c r="CA213"/>
      <c r="CC213">
        <v>5.41</v>
      </c>
      <c r="CD213"/>
      <c r="CE213"/>
      <c r="CF213"/>
      <c r="CG213"/>
      <c r="CH213"/>
      <c r="CI213"/>
      <c r="CJ213"/>
      <c r="CK213"/>
      <c r="CL213"/>
      <c r="CM213"/>
    </row>
    <row r="214" spans="1:91">
      <c r="A214" s="154" t="s">
        <v>7650</v>
      </c>
      <c r="B214" t="s">
        <v>8287</v>
      </c>
      <c r="C214">
        <v>1</v>
      </c>
      <c r="D214">
        <v>509</v>
      </c>
      <c r="E214" s="113">
        <v>9</v>
      </c>
      <c r="F214" s="113">
        <v>5</v>
      </c>
      <c r="I214">
        <v>31.499999999999996</v>
      </c>
      <c r="K214" s="320">
        <v>9</v>
      </c>
      <c r="L214" s="320"/>
      <c r="M214">
        <v>2.35</v>
      </c>
      <c r="N214" s="320"/>
      <c r="O214"/>
      <c r="P214"/>
      <c r="Q214"/>
      <c r="S214" s="320">
        <v>10.208807932175999</v>
      </c>
      <c r="T214" s="320"/>
      <c r="U214">
        <v>10.8</v>
      </c>
      <c r="V214"/>
      <c r="W214"/>
      <c r="X214"/>
      <c r="Y214" s="321">
        <v>3.7140528000000002</v>
      </c>
      <c r="Z214" s="320"/>
      <c r="AA214" s="322">
        <v>63549.295774647886</v>
      </c>
      <c r="AB214" s="320"/>
      <c r="AC214" s="321">
        <v>21.108715199999999</v>
      </c>
      <c r="AD214" s="320"/>
      <c r="AE214" s="320">
        <v>22.56</v>
      </c>
      <c r="AF214" s="320"/>
      <c r="AG214">
        <v>3.55</v>
      </c>
      <c r="AH214"/>
      <c r="AI214">
        <v>140</v>
      </c>
      <c r="AJ214"/>
      <c r="AK214"/>
      <c r="AL214"/>
      <c r="AM214"/>
      <c r="AN214"/>
      <c r="AO214">
        <v>80</v>
      </c>
      <c r="AP214"/>
      <c r="AQ214" s="323"/>
      <c r="AR214" s="323"/>
      <c r="AS214">
        <v>112</v>
      </c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5.9212999999999996</v>
      </c>
      <c r="BH214"/>
      <c r="BI214">
        <v>4.4592000000000001</v>
      </c>
      <c r="BJ214"/>
      <c r="BK214">
        <v>1.3069</v>
      </c>
      <c r="BL214"/>
      <c r="BM214">
        <v>55.594999999999999</v>
      </c>
      <c r="BN214"/>
      <c r="BO214">
        <v>19.087</v>
      </c>
      <c r="BP214"/>
      <c r="BQ214">
        <v>10.699</v>
      </c>
      <c r="BR214"/>
      <c r="BS214">
        <v>48.363</v>
      </c>
      <c r="BT214"/>
      <c r="BU214">
        <v>19.001999999999999</v>
      </c>
      <c r="BV214"/>
      <c r="BW214">
        <v>55.316000000000003</v>
      </c>
      <c r="BX214" s="324"/>
      <c r="BY214">
        <v>6.8529999999999944</v>
      </c>
      <c r="BZ214"/>
      <c r="CA214"/>
      <c r="CC214">
        <v>5.66</v>
      </c>
      <c r="CD214"/>
      <c r="CE214"/>
      <c r="CF214"/>
      <c r="CG214"/>
      <c r="CH214"/>
      <c r="CI214"/>
      <c r="CJ214"/>
      <c r="CK214"/>
      <c r="CL214"/>
      <c r="CM214"/>
    </row>
    <row r="215" spans="1:91">
      <c r="A215" s="154" t="s">
        <v>7650</v>
      </c>
      <c r="B215" t="s">
        <v>8289</v>
      </c>
      <c r="C215">
        <v>2</v>
      </c>
      <c r="D215">
        <v>760</v>
      </c>
      <c r="E215" s="113">
        <v>60</v>
      </c>
      <c r="F215" s="113">
        <v>7</v>
      </c>
      <c r="I215">
        <v>28.999999999999996</v>
      </c>
      <c r="K215" s="320">
        <v>8</v>
      </c>
      <c r="L215" s="320"/>
      <c r="M215">
        <v>2.12</v>
      </c>
      <c r="N215" s="320"/>
      <c r="O215"/>
      <c r="P215"/>
      <c r="Q215"/>
      <c r="S215" s="320">
        <v>8.2297667809499995</v>
      </c>
      <c r="T215" s="320"/>
      <c r="U215">
        <v>10.8</v>
      </c>
      <c r="V215"/>
      <c r="W215"/>
      <c r="X215"/>
      <c r="Y215" s="321">
        <v>4.1366375</v>
      </c>
      <c r="Z215" s="320"/>
      <c r="AA215" s="322">
        <v>47023.809523809527</v>
      </c>
      <c r="AB215" s="320"/>
      <c r="AC215" s="321">
        <v>18.285932500000001</v>
      </c>
      <c r="AD215" s="320"/>
      <c r="AE215" s="320">
        <v>19.75</v>
      </c>
      <c r="AF215" s="320"/>
      <c r="AG215">
        <v>4.2</v>
      </c>
      <c r="AH215"/>
      <c r="AI215">
        <v>108</v>
      </c>
      <c r="AJ215"/>
      <c r="AK215"/>
      <c r="AL215"/>
      <c r="AM215"/>
      <c r="AN215"/>
      <c r="AO215">
        <v>79</v>
      </c>
      <c r="AP215"/>
      <c r="AQ215" s="323"/>
      <c r="AR215" s="323"/>
      <c r="AS215">
        <v>114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>
        <v>-1.302</v>
      </c>
      <c r="BH215"/>
      <c r="BI215">
        <v>4.6691000000000003</v>
      </c>
      <c r="BJ215"/>
      <c r="BK215">
        <v>1.5590999999999999</v>
      </c>
      <c r="BL215"/>
      <c r="BM215">
        <v>60.533000000000001</v>
      </c>
      <c r="BN215"/>
      <c r="BO215">
        <v>19.007999999999999</v>
      </c>
      <c r="BP215"/>
      <c r="BQ215">
        <v>9.3585999999999991</v>
      </c>
      <c r="BR215"/>
      <c r="BS215">
        <v>45.006</v>
      </c>
      <c r="BT215"/>
      <c r="BU215">
        <v>21.212</v>
      </c>
      <c r="BV215"/>
      <c r="BW215" s="325">
        <v>8.33</v>
      </c>
      <c r="BX215"/>
      <c r="BY215">
        <v>7.1850000000000023</v>
      </c>
      <c r="BZ215"/>
      <c r="CA215"/>
      <c r="CC215">
        <v>8.43</v>
      </c>
      <c r="CD215"/>
      <c r="CE215"/>
      <c r="CF215"/>
      <c r="CG215"/>
      <c r="CH215"/>
      <c r="CI215"/>
      <c r="CJ215"/>
      <c r="CK215"/>
      <c r="CL215"/>
      <c r="CM215"/>
    </row>
    <row r="216" spans="1:91">
      <c r="A216" s="154" t="s">
        <v>7650</v>
      </c>
      <c r="B216" t="s">
        <v>8287</v>
      </c>
      <c r="C216">
        <v>2</v>
      </c>
      <c r="D216">
        <v>1572</v>
      </c>
      <c r="E216" s="113">
        <v>72</v>
      </c>
      <c r="F216" s="113">
        <v>15</v>
      </c>
      <c r="I216">
        <v>35</v>
      </c>
      <c r="K216" s="320">
        <v>8</v>
      </c>
      <c r="L216" s="320"/>
      <c r="M216">
        <v>2.44</v>
      </c>
      <c r="N216" s="320"/>
      <c r="O216"/>
      <c r="P216"/>
      <c r="Q216"/>
      <c r="S216" s="320">
        <v>10.545301044894002</v>
      </c>
      <c r="T216" s="320"/>
      <c r="U216">
        <v>10.8</v>
      </c>
      <c r="V216"/>
      <c r="W216"/>
      <c r="X216"/>
      <c r="Y216" s="321">
        <v>3.7612409999999996</v>
      </c>
      <c r="Z216" s="320"/>
      <c r="AA216" s="322">
        <v>71376.146788990824</v>
      </c>
      <c r="AB216" s="320"/>
      <c r="AC216" s="321">
        <v>21.832469400000001</v>
      </c>
      <c r="AD216" s="320"/>
      <c r="AE216" s="320">
        <v>23.34</v>
      </c>
      <c r="AF216" s="320"/>
      <c r="AG216">
        <v>3.27</v>
      </c>
      <c r="AH216"/>
      <c r="AI216">
        <v>130</v>
      </c>
      <c r="AJ216"/>
      <c r="AK216"/>
      <c r="AL216"/>
      <c r="AM216"/>
      <c r="AN216"/>
      <c r="AO216">
        <v>79</v>
      </c>
      <c r="AP216"/>
      <c r="AQ216" s="323"/>
      <c r="AR216" s="323"/>
      <c r="AS216">
        <v>112</v>
      </c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>
        <v>-1.1649</v>
      </c>
      <c r="BH216"/>
      <c r="BI216">
        <v>4.9866000000000001</v>
      </c>
      <c r="BJ216"/>
      <c r="BK216">
        <v>1.3908</v>
      </c>
      <c r="BL216"/>
      <c r="BM216">
        <v>64.028999999999996</v>
      </c>
      <c r="BN216"/>
      <c r="BO216">
        <v>19.649999999999999</v>
      </c>
      <c r="BP216"/>
      <c r="BQ216">
        <v>9.6447000000000003</v>
      </c>
      <c r="BR216"/>
      <c r="BS216">
        <v>48.301000000000002</v>
      </c>
      <c r="BT216"/>
      <c r="BU216">
        <v>18.34</v>
      </c>
      <c r="BV216"/>
      <c r="BW216">
        <v>46.468000000000004</v>
      </c>
      <c r="BX216" s="324"/>
      <c r="BY216">
        <v>6.7879999999999967</v>
      </c>
      <c r="BZ216"/>
      <c r="CA216"/>
      <c r="CC216">
        <v>5.97</v>
      </c>
      <c r="CD216"/>
      <c r="CE216"/>
      <c r="CF216"/>
      <c r="CG216"/>
      <c r="CH216"/>
      <c r="CI216"/>
      <c r="CJ216"/>
      <c r="CK216"/>
      <c r="CL216"/>
      <c r="CM216"/>
    </row>
    <row r="217" spans="1:91">
      <c r="A217" s="154" t="s">
        <v>7650</v>
      </c>
      <c r="B217" t="s">
        <v>8289</v>
      </c>
      <c r="C217">
        <v>1</v>
      </c>
      <c r="D217">
        <v>1537</v>
      </c>
      <c r="E217" s="113">
        <v>37</v>
      </c>
      <c r="F217" s="113">
        <v>15</v>
      </c>
      <c r="I217">
        <v>23.999999999999996</v>
      </c>
      <c r="K217" s="320">
        <v>8</v>
      </c>
      <c r="L217" s="320"/>
      <c r="M217">
        <v>2.84</v>
      </c>
      <c r="N217" s="320"/>
      <c r="O217"/>
      <c r="P217"/>
      <c r="Q217"/>
      <c r="S217" s="320">
        <v>11.176658122999001</v>
      </c>
      <c r="T217" s="320"/>
      <c r="U217">
        <v>10.8</v>
      </c>
      <c r="V217"/>
      <c r="W217"/>
      <c r="X217"/>
      <c r="Y217" s="321">
        <v>4.9067306999999998</v>
      </c>
      <c r="Z217" s="320"/>
      <c r="AA217" s="322">
        <v>76991.404011461316</v>
      </c>
      <c r="AB217" s="320"/>
      <c r="AC217" s="321">
        <v>25.1822953</v>
      </c>
      <c r="AD217" s="320"/>
      <c r="AE217" s="320">
        <v>26.87</v>
      </c>
      <c r="AF217" s="320"/>
      <c r="AG217">
        <v>3.49</v>
      </c>
      <c r="AH217"/>
      <c r="AI217">
        <v>135</v>
      </c>
      <c r="AJ217"/>
      <c r="AK217"/>
      <c r="AL217"/>
      <c r="AM217"/>
      <c r="AN217"/>
      <c r="AO217">
        <v>79</v>
      </c>
      <c r="AP217"/>
      <c r="AQ217" s="323"/>
      <c r="AR217" s="323"/>
      <c r="AS217">
        <v>112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0.63798999999999995</v>
      </c>
      <c r="BH217"/>
      <c r="BI217">
        <v>4.7957000000000001</v>
      </c>
      <c r="BJ217"/>
      <c r="BK217">
        <v>1.3355999999999999</v>
      </c>
      <c r="BL217"/>
      <c r="BM217">
        <v>56.970999999999997</v>
      </c>
      <c r="BN217"/>
      <c r="BO217">
        <v>19.398</v>
      </c>
      <c r="BP217"/>
      <c r="BQ217">
        <v>10.583</v>
      </c>
      <c r="BR217"/>
      <c r="BS217">
        <v>44.383000000000003</v>
      </c>
      <c r="BT217"/>
      <c r="BU217">
        <v>21.8</v>
      </c>
      <c r="BV217"/>
      <c r="BW217">
        <v>43.798999999999999</v>
      </c>
      <c r="BX217" s="324"/>
      <c r="BY217">
        <v>7.0360000000000014</v>
      </c>
      <c r="BZ217"/>
      <c r="CA217"/>
      <c r="CC217">
        <v>7.02</v>
      </c>
      <c r="CD217"/>
      <c r="CE217"/>
      <c r="CF217"/>
      <c r="CG217"/>
      <c r="CH217"/>
      <c r="CI217"/>
      <c r="CJ217"/>
      <c r="CK217"/>
      <c r="CL217"/>
      <c r="CM217"/>
    </row>
    <row r="218" spans="1:91">
      <c r="A218" s="154" t="s">
        <v>7651</v>
      </c>
      <c r="B218" t="s">
        <v>8287</v>
      </c>
      <c r="C218">
        <v>1</v>
      </c>
      <c r="D218">
        <v>522</v>
      </c>
      <c r="E218" s="113">
        <v>22</v>
      </c>
      <c r="F218" s="113">
        <v>5</v>
      </c>
      <c r="I218">
        <v>29.999999999999996</v>
      </c>
      <c r="K218" s="320">
        <v>8</v>
      </c>
      <c r="L218" s="320"/>
      <c r="M218">
        <v>1.06</v>
      </c>
      <c r="N218" s="320"/>
      <c r="O218"/>
      <c r="P218"/>
      <c r="Q218"/>
      <c r="S218" s="320">
        <v>4.4225749971899999</v>
      </c>
      <c r="T218" s="320"/>
      <c r="U218">
        <v>10.8</v>
      </c>
      <c r="V218"/>
      <c r="W218"/>
      <c r="X218"/>
      <c r="Y218" s="321">
        <v>1.8482135</v>
      </c>
      <c r="Z218" s="320"/>
      <c r="AA218" s="322">
        <v>26025.641025641027</v>
      </c>
      <c r="AB218" s="320"/>
      <c r="AC218" s="321">
        <v>9.5497289999999992</v>
      </c>
      <c r="AD218" s="320"/>
      <c r="AE218" s="320">
        <v>10.15</v>
      </c>
      <c r="AF218" s="320"/>
      <c r="AG218">
        <v>3.9</v>
      </c>
      <c r="AH218"/>
      <c r="AI218">
        <v>135</v>
      </c>
      <c r="AJ218"/>
      <c r="AK218"/>
      <c r="AL218"/>
      <c r="AM218"/>
      <c r="AN218"/>
      <c r="AO218">
        <v>79</v>
      </c>
      <c r="AP218"/>
      <c r="AQ218" s="323"/>
      <c r="AR218" s="323"/>
      <c r="AS218">
        <v>112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>
        <v>7.5846</v>
      </c>
      <c r="BH218"/>
      <c r="BI218">
        <v>4.5663</v>
      </c>
      <c r="BJ218"/>
      <c r="BK218">
        <v>1.2226999999999999</v>
      </c>
      <c r="BL218"/>
      <c r="BM218">
        <v>57.890999999999998</v>
      </c>
      <c r="BN218"/>
      <c r="BO218">
        <v>19.189</v>
      </c>
      <c r="BP218"/>
      <c r="BQ218">
        <v>11.147</v>
      </c>
      <c r="BR218"/>
      <c r="BS218">
        <v>46.311</v>
      </c>
      <c r="BT218"/>
      <c r="BU218">
        <v>20.507000000000001</v>
      </c>
      <c r="BV218"/>
      <c r="BW218">
        <v>67.686000000000007</v>
      </c>
      <c r="BX218" s="324"/>
      <c r="BY218">
        <v>6.2810000000000059</v>
      </c>
      <c r="BZ218"/>
      <c r="CA218"/>
      <c r="CC218">
        <v>5.88</v>
      </c>
      <c r="CD218"/>
      <c r="CE218"/>
      <c r="CF218"/>
      <c r="CG218"/>
      <c r="CH218"/>
      <c r="CI218"/>
      <c r="CJ218"/>
      <c r="CK218"/>
      <c r="CL218"/>
      <c r="CM218"/>
    </row>
    <row r="219" spans="1:91">
      <c r="A219" s="327" t="s">
        <v>7651</v>
      </c>
      <c r="B219" s="328" t="s">
        <v>8289</v>
      </c>
      <c r="C219" s="328">
        <v>2</v>
      </c>
      <c r="D219" s="328">
        <v>841</v>
      </c>
      <c r="E219" s="113">
        <v>41</v>
      </c>
      <c r="F219" s="113">
        <v>8</v>
      </c>
      <c r="G219" s="329"/>
      <c r="H219" s="329"/>
      <c r="I219" s="328">
        <v>25</v>
      </c>
      <c r="J219" s="330"/>
      <c r="K219" s="331">
        <v>8</v>
      </c>
      <c r="L219" s="331"/>
      <c r="M219" s="328">
        <v>0.85</v>
      </c>
      <c r="N219" s="331"/>
      <c r="O219" s="328"/>
      <c r="P219" s="328"/>
      <c r="Q219" s="328"/>
      <c r="R219" s="332"/>
      <c r="S219" s="331">
        <v>0</v>
      </c>
      <c r="T219" s="331"/>
      <c r="U219" s="328">
        <v>10.8</v>
      </c>
      <c r="V219" s="328"/>
      <c r="W219" s="328"/>
      <c r="X219" s="328"/>
      <c r="Y219" s="333">
        <v>1.4181551999999999</v>
      </c>
      <c r="Z219" s="331"/>
      <c r="AA219" s="334">
        <v>19800</v>
      </c>
      <c r="AB219" s="331"/>
      <c r="AC219" s="333">
        <v>7.4117736000000001</v>
      </c>
      <c r="AD219" s="331"/>
      <c r="AE219" s="331">
        <v>7.92</v>
      </c>
      <c r="AF219" s="331"/>
      <c r="AG219" s="328">
        <v>4</v>
      </c>
      <c r="AH219" s="328"/>
      <c r="AI219" s="328">
        <v>115</v>
      </c>
      <c r="AJ219" s="328"/>
      <c r="AK219" s="328"/>
      <c r="AL219" s="328"/>
      <c r="AM219" s="328"/>
      <c r="AN219" s="328"/>
      <c r="AO219" s="328">
        <v>81</v>
      </c>
      <c r="AP219" s="328"/>
      <c r="AQ219" s="335"/>
      <c r="AR219" s="335"/>
      <c r="AS219" s="328">
        <v>116</v>
      </c>
      <c r="AT219" s="328"/>
      <c r="AU219" s="328"/>
      <c r="AV219" s="328"/>
      <c r="AW219" s="328"/>
      <c r="AX219" s="328"/>
      <c r="AY219" s="328"/>
      <c r="AZ219" s="328"/>
      <c r="BA219" s="328"/>
      <c r="BB219" s="328"/>
      <c r="BC219" s="328"/>
      <c r="BD219" s="328"/>
      <c r="BE219" s="328"/>
      <c r="BF219" s="328"/>
      <c r="BG219" s="328"/>
      <c r="BH219" s="328"/>
      <c r="BI219" s="328"/>
      <c r="BJ219" s="328"/>
      <c r="BK219" s="328"/>
      <c r="BL219" s="328"/>
      <c r="BM219" s="328"/>
      <c r="BN219" s="328"/>
      <c r="BO219" s="328"/>
      <c r="BP219" s="328"/>
      <c r="BQ219" s="328"/>
      <c r="BR219" s="328"/>
      <c r="BS219" s="328"/>
      <c r="BT219" s="328"/>
      <c r="BU219" s="328"/>
      <c r="BV219" s="328"/>
      <c r="BW219" s="328" t="s">
        <v>8361</v>
      </c>
      <c r="BX219" s="339"/>
      <c r="BY219" s="328" t="s">
        <v>8237</v>
      </c>
      <c r="BZ219" s="328"/>
      <c r="CA219" s="328"/>
      <c r="CB219" s="337"/>
      <c r="CC219" s="328">
        <v>8.4499999999999993</v>
      </c>
      <c r="CD219" s="328"/>
      <c r="CE219" s="328"/>
      <c r="CF219" s="328"/>
      <c r="CG219" s="328"/>
      <c r="CH219" s="328"/>
      <c r="CI219" s="328"/>
      <c r="CJ219" s="328"/>
      <c r="CK219" s="328" t="s">
        <v>8377</v>
      </c>
      <c r="CL219" s="328"/>
      <c r="CM219" s="328"/>
    </row>
    <row r="220" spans="1:91">
      <c r="A220" s="327" t="s">
        <v>7651</v>
      </c>
      <c r="B220" s="328" t="s">
        <v>8289</v>
      </c>
      <c r="C220" s="328">
        <v>1</v>
      </c>
      <c r="D220" s="328">
        <v>1130</v>
      </c>
      <c r="E220" s="113">
        <v>30</v>
      </c>
      <c r="F220" s="113">
        <v>11</v>
      </c>
      <c r="G220" s="329"/>
      <c r="H220" s="329"/>
      <c r="I220" s="328">
        <v>23.999999999999996</v>
      </c>
      <c r="J220" s="330"/>
      <c r="K220" s="331">
        <v>9</v>
      </c>
      <c r="L220" s="331"/>
      <c r="M220" s="328">
        <v>1.58</v>
      </c>
      <c r="N220" s="331"/>
      <c r="O220" s="328"/>
      <c r="P220" s="328"/>
      <c r="Q220" s="328"/>
      <c r="R220" s="332"/>
      <c r="S220" s="331">
        <v>6.0256710339600001</v>
      </c>
      <c r="T220" s="331"/>
      <c r="U220" s="328">
        <v>10.8</v>
      </c>
      <c r="V220" s="328"/>
      <c r="W220" s="328"/>
      <c r="X220" s="328"/>
      <c r="Y220" s="333">
        <v>2.9587440000000003</v>
      </c>
      <c r="Z220" s="331"/>
      <c r="AA220" s="334">
        <v>40219.780219780216</v>
      </c>
      <c r="AB220" s="331"/>
      <c r="AC220" s="333">
        <v>13.658388</v>
      </c>
      <c r="AD220" s="331"/>
      <c r="AE220" s="331">
        <v>14.64</v>
      </c>
      <c r="AF220" s="331"/>
      <c r="AG220" s="328">
        <v>3.64</v>
      </c>
      <c r="AH220" s="328"/>
      <c r="AI220" s="328">
        <v>120</v>
      </c>
      <c r="AJ220" s="328"/>
      <c r="AK220" s="328"/>
      <c r="AL220" s="328"/>
      <c r="AM220" s="328"/>
      <c r="AN220" s="328"/>
      <c r="AO220" s="328">
        <v>79</v>
      </c>
      <c r="AP220" s="328"/>
      <c r="AQ220" s="335"/>
      <c r="AR220" s="335"/>
      <c r="AS220" s="328">
        <v>114</v>
      </c>
      <c r="AT220" s="328"/>
      <c r="AU220" s="328"/>
      <c r="AV220" s="328"/>
      <c r="AW220" s="328"/>
      <c r="AX220" s="328"/>
      <c r="AY220" s="328"/>
      <c r="AZ220" s="328"/>
      <c r="BA220" s="328"/>
      <c r="BB220" s="328"/>
      <c r="BC220" s="328"/>
      <c r="BD220" s="328"/>
      <c r="BE220" s="328"/>
      <c r="BF220" s="328"/>
      <c r="BG220" s="328">
        <v>-3.7605</v>
      </c>
      <c r="BH220" s="328"/>
      <c r="BI220" s="328">
        <v>4.6654999999999998</v>
      </c>
      <c r="BJ220" s="328"/>
      <c r="BK220" s="328">
        <v>1.4925999999999999</v>
      </c>
      <c r="BL220" s="328"/>
      <c r="BM220" s="328">
        <v>65.510000000000005</v>
      </c>
      <c r="BN220" s="328"/>
      <c r="BO220" s="328">
        <v>21.318000000000001</v>
      </c>
      <c r="BP220" s="328"/>
      <c r="BQ220" s="328">
        <v>9.9684000000000008</v>
      </c>
      <c r="BR220" s="328"/>
      <c r="BS220" s="328">
        <v>44.116999999999997</v>
      </c>
      <c r="BT220" s="328"/>
      <c r="BU220" s="328">
        <v>20.486999999999998</v>
      </c>
      <c r="BV220" s="328"/>
      <c r="BW220" s="336">
        <v>20.2</v>
      </c>
      <c r="BX220" s="328"/>
      <c r="BY220" s="328">
        <v>6.8499999999999943</v>
      </c>
      <c r="BZ220" s="328"/>
      <c r="CA220" s="328"/>
      <c r="CB220" s="337"/>
      <c r="CC220" s="328">
        <v>8.9499999999999993</v>
      </c>
      <c r="CD220" s="328"/>
      <c r="CE220" s="328"/>
      <c r="CF220" s="328"/>
      <c r="CG220" s="328"/>
      <c r="CH220" s="328"/>
      <c r="CI220" s="328"/>
      <c r="CJ220" s="328"/>
      <c r="CK220" s="328"/>
      <c r="CL220" s="328"/>
      <c r="CM220" s="328"/>
    </row>
    <row r="221" spans="1:91">
      <c r="A221" s="327" t="s">
        <v>7651</v>
      </c>
      <c r="B221" s="328" t="s">
        <v>8287</v>
      </c>
      <c r="C221" s="328">
        <v>2</v>
      </c>
      <c r="D221" s="328">
        <v>1252</v>
      </c>
      <c r="E221" s="113">
        <v>52</v>
      </c>
      <c r="F221" s="113">
        <v>12</v>
      </c>
      <c r="G221" s="329"/>
      <c r="H221" s="329"/>
      <c r="I221" s="328">
        <v>29.999999999999996</v>
      </c>
      <c r="J221" s="330"/>
      <c r="K221" s="331">
        <v>9</v>
      </c>
      <c r="L221" s="331"/>
      <c r="M221" s="328">
        <v>0.9</v>
      </c>
      <c r="N221" s="331"/>
      <c r="O221" s="328"/>
      <c r="P221" s="328"/>
      <c r="Q221" s="328"/>
      <c r="R221" s="332"/>
      <c r="S221" s="331">
        <v>3.7927114437960006</v>
      </c>
      <c r="T221" s="331"/>
      <c r="U221" s="328">
        <v>10.8</v>
      </c>
      <c r="V221" s="328"/>
      <c r="W221" s="328"/>
      <c r="X221" s="328"/>
      <c r="Y221" s="333">
        <v>1.522332</v>
      </c>
      <c r="Z221" s="331"/>
      <c r="AA221" s="334">
        <v>24447.592067988673</v>
      </c>
      <c r="AB221" s="331"/>
      <c r="AC221" s="333">
        <v>8.1051234000000019</v>
      </c>
      <c r="AD221" s="331"/>
      <c r="AE221" s="331">
        <v>8.6300000000000008</v>
      </c>
      <c r="AF221" s="331"/>
      <c r="AG221" s="328">
        <v>3.53</v>
      </c>
      <c r="AH221" s="328"/>
      <c r="AI221" s="328">
        <v>133</v>
      </c>
      <c r="AJ221" s="328"/>
      <c r="AK221" s="328"/>
      <c r="AL221" s="328"/>
      <c r="AM221" s="328"/>
      <c r="AN221" s="328"/>
      <c r="AO221" s="328">
        <v>79</v>
      </c>
      <c r="AP221" s="328"/>
      <c r="AQ221" s="335"/>
      <c r="AR221" s="335"/>
      <c r="AS221" s="328">
        <v>114</v>
      </c>
      <c r="AT221" s="328"/>
      <c r="AU221" s="328"/>
      <c r="AV221" s="328"/>
      <c r="AW221" s="328"/>
      <c r="AX221" s="328"/>
      <c r="AY221" s="328"/>
      <c r="AZ221" s="328"/>
      <c r="BA221" s="328"/>
      <c r="BB221" s="328"/>
      <c r="BC221" s="328"/>
      <c r="BD221" s="328"/>
      <c r="BE221" s="328"/>
      <c r="BF221" s="328"/>
      <c r="BG221" s="328">
        <v>0.23557</v>
      </c>
      <c r="BH221" s="328"/>
      <c r="BI221" s="328">
        <v>4.7255000000000003</v>
      </c>
      <c r="BJ221" s="328"/>
      <c r="BK221" s="328">
        <v>1.3769</v>
      </c>
      <c r="BL221" s="328"/>
      <c r="BM221" s="328">
        <v>64.102000000000004</v>
      </c>
      <c r="BN221" s="328"/>
      <c r="BO221" s="328">
        <v>20.396999999999998</v>
      </c>
      <c r="BP221" s="328"/>
      <c r="BQ221" s="328">
        <v>9.7540999999999993</v>
      </c>
      <c r="BR221" s="328"/>
      <c r="BS221" s="328">
        <v>46.793999999999997</v>
      </c>
      <c r="BT221" s="328"/>
      <c r="BU221" s="328">
        <v>19.239999999999998</v>
      </c>
      <c r="BV221" s="328"/>
      <c r="BW221" s="328">
        <v>40.131</v>
      </c>
      <c r="BX221" s="339"/>
      <c r="BY221" s="328">
        <v>6.5220000000000056</v>
      </c>
      <c r="BZ221" s="328"/>
      <c r="CA221" s="328"/>
      <c r="CB221" s="337"/>
      <c r="CC221" s="328">
        <v>5.77</v>
      </c>
      <c r="CD221" s="328"/>
      <c r="CE221" s="328"/>
      <c r="CF221" s="328"/>
      <c r="CG221" s="328"/>
      <c r="CH221" s="328"/>
      <c r="CI221" s="328"/>
      <c r="CJ221" s="328"/>
      <c r="CK221" s="328"/>
      <c r="CL221" s="328"/>
      <c r="CM221" s="328"/>
    </row>
    <row r="222" spans="1:91">
      <c r="A222" s="154" t="s">
        <v>7652</v>
      </c>
      <c r="B222" t="s">
        <v>8289</v>
      </c>
      <c r="C222">
        <v>2</v>
      </c>
      <c r="D222">
        <v>275</v>
      </c>
      <c r="E222" s="113">
        <v>75</v>
      </c>
      <c r="F222" s="113">
        <v>2</v>
      </c>
      <c r="I222">
        <v>27.999999999999996</v>
      </c>
      <c r="K222" s="320">
        <v>8</v>
      </c>
      <c r="L222" s="320"/>
      <c r="M222">
        <v>2.67</v>
      </c>
      <c r="N222" s="320"/>
      <c r="O222"/>
      <c r="P222"/>
      <c r="Q222"/>
      <c r="S222" s="320">
        <v>11.544250547872</v>
      </c>
      <c r="T222" s="320"/>
      <c r="U222">
        <v>10.8</v>
      </c>
      <c r="V222"/>
      <c r="W222"/>
      <c r="X222"/>
      <c r="Y222" s="321">
        <v>4.9727103999999995</v>
      </c>
      <c r="Z222" s="320"/>
      <c r="AA222" s="322">
        <v>63448.275862068978</v>
      </c>
      <c r="AB222" s="320"/>
      <c r="AC222" s="321">
        <v>24.239387199999999</v>
      </c>
      <c r="AD222" s="320"/>
      <c r="AE222" s="320">
        <v>25.76</v>
      </c>
      <c r="AF222" s="320"/>
      <c r="AG222">
        <v>4.0599999999999996</v>
      </c>
      <c r="AH222"/>
      <c r="AI222">
        <v>105</v>
      </c>
      <c r="AJ222"/>
      <c r="AK222"/>
      <c r="AL222"/>
      <c r="AM222"/>
      <c r="AN222"/>
      <c r="AO222">
        <v>79</v>
      </c>
      <c r="AP222"/>
      <c r="AQ222" s="323"/>
      <c r="AR222" s="323"/>
      <c r="AS222">
        <v>112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-1.2456</v>
      </c>
      <c r="BH222"/>
      <c r="BI222">
        <v>4.8998999999999997</v>
      </c>
      <c r="BJ222"/>
      <c r="BK222">
        <v>1.4692000000000001</v>
      </c>
      <c r="BL222"/>
      <c r="BM222">
        <v>62.057000000000002</v>
      </c>
      <c r="BN222"/>
      <c r="BO222">
        <v>19.498000000000001</v>
      </c>
      <c r="BP222"/>
      <c r="BQ222">
        <v>11.692</v>
      </c>
      <c r="BR222"/>
      <c r="BS222">
        <v>47.625999999999998</v>
      </c>
      <c r="BT222"/>
      <c r="BU222">
        <v>21.053000000000001</v>
      </c>
      <c r="BV222"/>
      <c r="BW222" s="325">
        <v>22.29</v>
      </c>
      <c r="BX222"/>
      <c r="BY222">
        <v>6.2920000000000016</v>
      </c>
      <c r="BZ222"/>
      <c r="CA222"/>
      <c r="CC222">
        <v>5.17</v>
      </c>
      <c r="CD222"/>
      <c r="CE222"/>
      <c r="CF222"/>
      <c r="CG222"/>
      <c r="CH222"/>
      <c r="CI222"/>
      <c r="CJ222"/>
      <c r="CK222"/>
      <c r="CL222"/>
      <c r="CM222"/>
    </row>
    <row r="223" spans="1:91">
      <c r="A223" s="154" t="s">
        <v>7652</v>
      </c>
      <c r="B223" t="s">
        <v>8287</v>
      </c>
      <c r="C223">
        <v>1</v>
      </c>
      <c r="D223">
        <v>415</v>
      </c>
      <c r="E223" s="113">
        <v>15</v>
      </c>
      <c r="F223" s="113">
        <v>4</v>
      </c>
      <c r="I223">
        <v>34.5</v>
      </c>
      <c r="K223" s="320">
        <v>9</v>
      </c>
      <c r="L223" s="320"/>
      <c r="M223">
        <v>2.65</v>
      </c>
      <c r="N223" s="320"/>
      <c r="O223"/>
      <c r="P223"/>
      <c r="Q223"/>
      <c r="S223" s="320">
        <v>12.262884557642002</v>
      </c>
      <c r="T223" s="320"/>
      <c r="U223">
        <v>10.8</v>
      </c>
      <c r="V223"/>
      <c r="W223"/>
      <c r="X223"/>
      <c r="Y223" s="321">
        <v>4.0901490000000003</v>
      </c>
      <c r="Z223" s="320"/>
      <c r="AA223" s="322">
        <v>66475.195822454305</v>
      </c>
      <c r="AB223" s="320"/>
      <c r="AC223" s="321">
        <v>23.821139800000001</v>
      </c>
      <c r="AD223" s="320"/>
      <c r="AE223" s="320">
        <v>25.46</v>
      </c>
      <c r="AF223" s="320"/>
      <c r="AG223">
        <v>3.83</v>
      </c>
      <c r="AH223"/>
      <c r="AI223">
        <v>115</v>
      </c>
      <c r="AJ223"/>
      <c r="AK223"/>
      <c r="AL223"/>
      <c r="AM223"/>
      <c r="AN223"/>
      <c r="AO223">
        <v>77</v>
      </c>
      <c r="AP223"/>
      <c r="AQ223" s="323"/>
      <c r="AR223" s="323"/>
      <c r="AS223">
        <v>114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>
        <v>3.9167999999999998</v>
      </c>
      <c r="BH223"/>
      <c r="BI223">
        <v>4.5193000000000003</v>
      </c>
      <c r="BJ223"/>
      <c r="BK223">
        <v>1.3262</v>
      </c>
      <c r="BL223"/>
      <c r="BM223">
        <v>60.494999999999997</v>
      </c>
      <c r="BN223"/>
      <c r="BO223">
        <v>18.477</v>
      </c>
      <c r="BP223"/>
      <c r="BQ223">
        <v>11.893000000000001</v>
      </c>
      <c r="BR223"/>
      <c r="BS223">
        <v>51.478999999999999</v>
      </c>
      <c r="BT223"/>
      <c r="BU223">
        <v>18.09</v>
      </c>
      <c r="BV223"/>
      <c r="BW223" s="325">
        <v>27.24</v>
      </c>
      <c r="BX223"/>
      <c r="BY223">
        <v>6.222999999999999</v>
      </c>
      <c r="BZ223"/>
      <c r="CA223"/>
      <c r="CC223">
        <v>5.56</v>
      </c>
      <c r="CD223"/>
      <c r="CE223"/>
      <c r="CF223"/>
      <c r="CG223"/>
      <c r="CH223"/>
      <c r="CI223"/>
      <c r="CJ223"/>
      <c r="CK223"/>
      <c r="CL223"/>
      <c r="CM223"/>
    </row>
    <row r="224" spans="1:91">
      <c r="A224" s="154" t="s">
        <v>7652</v>
      </c>
      <c r="B224" t="s">
        <v>8287</v>
      </c>
      <c r="C224">
        <v>2</v>
      </c>
      <c r="D224">
        <v>1359</v>
      </c>
      <c r="E224" s="113">
        <v>59</v>
      </c>
      <c r="F224" s="113">
        <v>13</v>
      </c>
      <c r="I224">
        <v>22.5</v>
      </c>
      <c r="K224" s="320">
        <v>9</v>
      </c>
      <c r="L224" s="320"/>
      <c r="M224">
        <v>2.42</v>
      </c>
      <c r="N224" s="320"/>
      <c r="O224"/>
      <c r="P224"/>
      <c r="Q224"/>
      <c r="S224" s="320">
        <v>10.787226948280001</v>
      </c>
      <c r="T224" s="320"/>
      <c r="U224">
        <v>10.8</v>
      </c>
      <c r="V224"/>
      <c r="W224"/>
      <c r="X224"/>
      <c r="Y224" s="321">
        <v>3.9341083999999999</v>
      </c>
      <c r="Z224" s="320"/>
      <c r="AA224" s="322">
        <v>69088.145896656541</v>
      </c>
      <c r="AB224" s="320"/>
      <c r="AC224" s="321">
        <v>21.223001</v>
      </c>
      <c r="AD224" s="320"/>
      <c r="AE224" s="320">
        <v>22.73</v>
      </c>
      <c r="AF224" s="320"/>
      <c r="AG224">
        <v>3.29</v>
      </c>
      <c r="AH224"/>
      <c r="AI224">
        <v>100</v>
      </c>
      <c r="AJ224"/>
      <c r="AK224"/>
      <c r="AL224"/>
      <c r="AM224"/>
      <c r="AN224"/>
      <c r="AO224">
        <v>72</v>
      </c>
      <c r="AP224"/>
      <c r="AQ224" s="323"/>
      <c r="AR224" s="323"/>
      <c r="AS224">
        <v>112</v>
      </c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3.7338</v>
      </c>
      <c r="BH224"/>
      <c r="BI224">
        <v>4.9127000000000001</v>
      </c>
      <c r="BJ224"/>
      <c r="BK224">
        <v>1.3261000000000001</v>
      </c>
      <c r="BL224"/>
      <c r="BM224">
        <v>61.225999999999999</v>
      </c>
      <c r="BN224"/>
      <c r="BO224">
        <v>20.023</v>
      </c>
      <c r="BP224"/>
      <c r="BQ224">
        <v>11.677</v>
      </c>
      <c r="BR224"/>
      <c r="BS224">
        <v>50.828000000000003</v>
      </c>
      <c r="BT224"/>
      <c r="BU224">
        <v>18.318999999999999</v>
      </c>
      <c r="BV224"/>
      <c r="BW224">
        <v>53.046999999999997</v>
      </c>
      <c r="BX224" s="324"/>
      <c r="BY224">
        <v>6.6219999999999999</v>
      </c>
      <c r="BZ224"/>
      <c r="CA224"/>
      <c r="CC224">
        <v>7.67</v>
      </c>
      <c r="CD224"/>
      <c r="CE224"/>
      <c r="CF224"/>
      <c r="CG224"/>
      <c r="CH224"/>
      <c r="CI224"/>
      <c r="CJ224"/>
      <c r="CK224"/>
      <c r="CL224"/>
      <c r="CM224"/>
    </row>
    <row r="225" spans="1:91">
      <c r="A225" s="154" t="s">
        <v>7652</v>
      </c>
      <c r="B225" t="s">
        <v>8289</v>
      </c>
      <c r="C225">
        <v>1</v>
      </c>
      <c r="D225">
        <v>1622</v>
      </c>
      <c r="E225" s="113">
        <v>22</v>
      </c>
      <c r="F225" s="113">
        <v>16</v>
      </c>
      <c r="I225">
        <v>27.999999999999996</v>
      </c>
      <c r="K225" s="320">
        <v>8</v>
      </c>
      <c r="L225" s="320"/>
      <c r="M225">
        <v>3.04</v>
      </c>
      <c r="N225" s="320"/>
      <c r="O225"/>
      <c r="P225"/>
      <c r="Q225"/>
      <c r="S225" s="320">
        <v>13.530001927680001</v>
      </c>
      <c r="T225" s="320"/>
      <c r="U225">
        <v>10.8</v>
      </c>
      <c r="V225"/>
      <c r="W225"/>
      <c r="X225"/>
      <c r="Y225" s="321">
        <v>5.6075679999999997</v>
      </c>
      <c r="Z225" s="320"/>
      <c r="AA225" s="322">
        <v>80000</v>
      </c>
      <c r="AB225" s="320"/>
      <c r="AC225" s="321">
        <v>27.393103999999997</v>
      </c>
      <c r="AD225" s="320"/>
      <c r="AE225" s="320">
        <v>29.2</v>
      </c>
      <c r="AF225" s="320"/>
      <c r="AG225">
        <v>3.65</v>
      </c>
      <c r="AH225"/>
      <c r="AI225">
        <v>108</v>
      </c>
      <c r="AJ225"/>
      <c r="AK225"/>
      <c r="AL225"/>
      <c r="AM225"/>
      <c r="AN225"/>
      <c r="AO225">
        <v>79</v>
      </c>
      <c r="AP225"/>
      <c r="AQ225" s="323"/>
      <c r="AR225" s="323"/>
      <c r="AS225">
        <v>114</v>
      </c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>
        <v>4.2478999999999996</v>
      </c>
      <c r="BH225"/>
      <c r="BI225">
        <v>4.1920000000000002</v>
      </c>
      <c r="BJ225"/>
      <c r="BK225">
        <v>1.4156</v>
      </c>
      <c r="BL225"/>
      <c r="BM225">
        <v>58.003999999999998</v>
      </c>
      <c r="BN225"/>
      <c r="BO225">
        <v>18.286999999999999</v>
      </c>
      <c r="BP225"/>
      <c r="BQ225">
        <v>12.068</v>
      </c>
      <c r="BR225"/>
      <c r="BS225">
        <v>49.392000000000003</v>
      </c>
      <c r="BT225"/>
      <c r="BU225">
        <v>20.143000000000001</v>
      </c>
      <c r="BV225"/>
      <c r="BW225" s="325">
        <v>25.96</v>
      </c>
      <c r="BX225"/>
      <c r="BY225">
        <v>6.2780000000000058</v>
      </c>
      <c r="BZ225"/>
      <c r="CA225"/>
      <c r="CC225">
        <v>5.59</v>
      </c>
      <c r="CD225"/>
      <c r="CE225"/>
      <c r="CF225"/>
      <c r="CG225"/>
      <c r="CH225"/>
      <c r="CI225"/>
      <c r="CJ225"/>
      <c r="CK225"/>
      <c r="CL225"/>
      <c r="CM225"/>
    </row>
    <row r="226" spans="1:91">
      <c r="A226" s="154" t="s">
        <v>7653</v>
      </c>
      <c r="B226" t="s">
        <v>8289</v>
      </c>
      <c r="C226">
        <v>2</v>
      </c>
      <c r="D226">
        <v>455</v>
      </c>
      <c r="E226" s="113">
        <v>55</v>
      </c>
      <c r="F226" s="113">
        <v>4</v>
      </c>
      <c r="I226">
        <v>37.5</v>
      </c>
      <c r="K226" s="320">
        <v>8</v>
      </c>
      <c r="L226" s="320"/>
      <c r="M226">
        <v>2.25</v>
      </c>
      <c r="N226" s="320"/>
      <c r="O226"/>
      <c r="P226"/>
      <c r="Q226"/>
      <c r="S226" s="320">
        <v>8.7737178062399988</v>
      </c>
      <c r="T226" s="320"/>
      <c r="U226">
        <v>10.8</v>
      </c>
      <c r="V226"/>
      <c r="W226"/>
      <c r="X226"/>
      <c r="Y226" s="321">
        <v>4.4999495999999999</v>
      </c>
      <c r="Z226" s="320"/>
      <c r="AA226" s="322">
        <v>53629.629629629635</v>
      </c>
      <c r="AB226" s="320"/>
      <c r="AC226" s="321">
        <v>20.1439968</v>
      </c>
      <c r="AD226" s="320"/>
      <c r="AE226" s="320">
        <v>21.72</v>
      </c>
      <c r="AF226" s="320"/>
      <c r="AG226">
        <v>4.05</v>
      </c>
      <c r="AH226"/>
      <c r="AI226">
        <v>110</v>
      </c>
      <c r="AJ226"/>
      <c r="AK226"/>
      <c r="AL226"/>
      <c r="AM226"/>
      <c r="AN226"/>
      <c r="AO226">
        <v>79</v>
      </c>
      <c r="AP226"/>
      <c r="AQ226" s="323"/>
      <c r="AR226" s="323"/>
      <c r="AS226">
        <v>116</v>
      </c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>
        <v>1.7531000000000001</v>
      </c>
      <c r="BH226"/>
      <c r="BI226">
        <v>4.9997999999999996</v>
      </c>
      <c r="BJ226"/>
      <c r="BK226">
        <v>1.7138</v>
      </c>
      <c r="BL226"/>
      <c r="BM226">
        <v>59.75</v>
      </c>
      <c r="BN226"/>
      <c r="BO226">
        <v>20.484999999999999</v>
      </c>
      <c r="BP226"/>
      <c r="BQ226">
        <v>9.3667999999999996</v>
      </c>
      <c r="BR226"/>
      <c r="BS226">
        <v>43.555</v>
      </c>
      <c r="BT226"/>
      <c r="BU226">
        <v>20.420999999999999</v>
      </c>
      <c r="BV226"/>
      <c r="BW226" s="325">
        <v>7.88</v>
      </c>
      <c r="BX226"/>
      <c r="BY226">
        <v>7.1820000000000022</v>
      </c>
      <c r="BZ226"/>
      <c r="CA226"/>
      <c r="CC226">
        <v>5.12</v>
      </c>
      <c r="CD226"/>
      <c r="CE226"/>
      <c r="CF226"/>
      <c r="CG226"/>
      <c r="CH226"/>
      <c r="CI226"/>
      <c r="CJ226"/>
      <c r="CK226"/>
      <c r="CL226"/>
      <c r="CM226"/>
    </row>
    <row r="227" spans="1:91">
      <c r="A227" s="327" t="s">
        <v>7653</v>
      </c>
      <c r="B227" s="328" t="s">
        <v>8287</v>
      </c>
      <c r="C227" s="328">
        <v>1</v>
      </c>
      <c r="D227" s="328">
        <v>833</v>
      </c>
      <c r="E227" s="113">
        <v>33</v>
      </c>
      <c r="F227" s="113">
        <v>8</v>
      </c>
      <c r="G227" s="329"/>
      <c r="H227" s="329"/>
      <c r="I227" s="328">
        <v>24.5</v>
      </c>
      <c r="J227" s="330"/>
      <c r="K227" s="331">
        <v>7</v>
      </c>
      <c r="L227" s="331"/>
      <c r="M227" s="328">
        <v>1.55</v>
      </c>
      <c r="N227" s="331"/>
      <c r="O227" s="328"/>
      <c r="P227" s="328"/>
      <c r="Q227" s="328"/>
      <c r="R227" s="332"/>
      <c r="S227" s="331">
        <v>6.8226025805159995</v>
      </c>
      <c r="T227" s="331"/>
      <c r="U227" s="328">
        <v>10.8</v>
      </c>
      <c r="V227" s="328"/>
      <c r="W227" s="328"/>
      <c r="X227" s="328"/>
      <c r="Y227" s="333">
        <v>2.3590043999999999</v>
      </c>
      <c r="Z227" s="331"/>
      <c r="AA227" s="334">
        <v>31991.15044247788</v>
      </c>
      <c r="AB227" s="331"/>
      <c r="AC227" s="333">
        <v>13.517063400000001</v>
      </c>
      <c r="AD227" s="331"/>
      <c r="AE227" s="331">
        <v>14.46</v>
      </c>
      <c r="AF227" s="331"/>
      <c r="AG227" s="328">
        <v>4.5199999999999996</v>
      </c>
      <c r="AH227" s="328"/>
      <c r="AI227" s="328">
        <v>105</v>
      </c>
      <c r="AJ227" s="328"/>
      <c r="AK227" s="328"/>
      <c r="AL227" s="328"/>
      <c r="AM227" s="328"/>
      <c r="AN227" s="328"/>
      <c r="AO227" s="328">
        <v>77</v>
      </c>
      <c r="AP227" s="328"/>
      <c r="AQ227" s="335"/>
      <c r="AR227" s="335"/>
      <c r="AS227" s="328">
        <v>114</v>
      </c>
      <c r="AT227" s="328"/>
      <c r="AU227" s="328"/>
      <c r="AV227" s="328"/>
      <c r="AW227" s="328"/>
      <c r="AX227" s="328"/>
      <c r="AY227" s="328"/>
      <c r="AZ227" s="328"/>
      <c r="BA227" s="328"/>
      <c r="BB227" s="328"/>
      <c r="BC227" s="328"/>
      <c r="BD227" s="328"/>
      <c r="BE227" s="328"/>
      <c r="BF227" s="328"/>
      <c r="BG227" s="328">
        <v>1.8631</v>
      </c>
      <c r="BH227" s="328"/>
      <c r="BI227" s="328">
        <v>4.9995000000000003</v>
      </c>
      <c r="BJ227" s="328"/>
      <c r="BK227" s="328">
        <v>1.3601000000000001</v>
      </c>
      <c r="BL227" s="328"/>
      <c r="BM227" s="328">
        <v>59.491999999999997</v>
      </c>
      <c r="BN227" s="328"/>
      <c r="BO227" s="328">
        <v>21.509</v>
      </c>
      <c r="BP227" s="328"/>
      <c r="BQ227" s="328">
        <v>10.85</v>
      </c>
      <c r="BR227" s="328"/>
      <c r="BS227" s="328">
        <v>50.473999999999997</v>
      </c>
      <c r="BT227" s="328"/>
      <c r="BU227" s="328">
        <v>17.637</v>
      </c>
      <c r="BV227" s="328"/>
      <c r="BW227" s="336">
        <v>27.43</v>
      </c>
      <c r="BX227" s="328"/>
      <c r="BY227" s="328">
        <v>6.5130000000000052</v>
      </c>
      <c r="BZ227" s="328"/>
      <c r="CA227" s="328"/>
      <c r="CB227" s="337"/>
      <c r="CC227" s="328">
        <v>8.2899999999999991</v>
      </c>
      <c r="CD227" s="328"/>
      <c r="CE227" s="328"/>
      <c r="CF227" s="328"/>
      <c r="CG227" s="328"/>
      <c r="CH227" s="328"/>
      <c r="CI227" s="328"/>
      <c r="CJ227" s="328"/>
      <c r="CK227" s="328" t="s">
        <v>8377</v>
      </c>
      <c r="CL227" s="328"/>
      <c r="CM227" s="328"/>
    </row>
    <row r="228" spans="1:91">
      <c r="A228" s="154" t="s">
        <v>7653</v>
      </c>
      <c r="B228" t="s">
        <v>8287</v>
      </c>
      <c r="C228">
        <v>2</v>
      </c>
      <c r="D228">
        <v>1259</v>
      </c>
      <c r="E228" s="113">
        <v>59</v>
      </c>
      <c r="F228" s="113">
        <v>12</v>
      </c>
      <c r="I228">
        <v>32</v>
      </c>
      <c r="K228" s="320">
        <v>9</v>
      </c>
      <c r="L228" s="320"/>
      <c r="M228">
        <v>2.94</v>
      </c>
      <c r="N228" s="320"/>
      <c r="O228"/>
      <c r="P228"/>
      <c r="Q228"/>
      <c r="S228" s="320">
        <v>13.068813808512003</v>
      </c>
      <c r="T228" s="320"/>
      <c r="U228">
        <v>10.8</v>
      </c>
      <c r="V228"/>
      <c r="W228"/>
      <c r="X228"/>
      <c r="Y228" s="321">
        <v>4.2268575999999998</v>
      </c>
      <c r="Z228" s="320"/>
      <c r="AA228" s="322">
        <v>67090.464547677271</v>
      </c>
      <c r="AB228" s="320"/>
      <c r="AC228" s="321">
        <v>25.649265600000003</v>
      </c>
      <c r="AD228" s="320"/>
      <c r="AE228" s="320">
        <v>27.44</v>
      </c>
      <c r="AF228" s="320"/>
      <c r="AG228">
        <v>4.09</v>
      </c>
      <c r="AH228"/>
      <c r="AI228">
        <v>133</v>
      </c>
      <c r="AJ228"/>
      <c r="AK228"/>
      <c r="AL228"/>
      <c r="AM228"/>
      <c r="AN228"/>
      <c r="AO228">
        <v>77</v>
      </c>
      <c r="AP228"/>
      <c r="AQ228" s="323"/>
      <c r="AR228" s="323"/>
      <c r="AS228">
        <v>112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>
        <v>5.3070000000000004</v>
      </c>
      <c r="BH228"/>
      <c r="BI228">
        <v>5.0189000000000004</v>
      </c>
      <c r="BJ228"/>
      <c r="BK228">
        <v>1.3440000000000001</v>
      </c>
      <c r="BL228"/>
      <c r="BM228">
        <v>60.826000000000001</v>
      </c>
      <c r="BN228"/>
      <c r="BO228">
        <v>21.018000000000001</v>
      </c>
      <c r="BP228"/>
      <c r="BQ228">
        <v>10.231</v>
      </c>
      <c r="BR228"/>
      <c r="BS228">
        <v>50.951999999999998</v>
      </c>
      <c r="BT228"/>
      <c r="BU228">
        <v>16.638000000000002</v>
      </c>
      <c r="BV228"/>
      <c r="BW228">
        <v>43.424999999999997</v>
      </c>
      <c r="BX228" s="324"/>
      <c r="BY228">
        <v>6.8130000000000024</v>
      </c>
      <c r="BZ228"/>
      <c r="CA228"/>
      <c r="CC228">
        <v>8.27</v>
      </c>
      <c r="CD228"/>
      <c r="CE228"/>
      <c r="CF228"/>
      <c r="CG228"/>
      <c r="CH228"/>
      <c r="CI228"/>
      <c r="CJ228"/>
      <c r="CK228"/>
      <c r="CL228"/>
      <c r="CM228"/>
    </row>
    <row r="229" spans="1:91">
      <c r="A229" s="154" t="s">
        <v>7653</v>
      </c>
      <c r="B229" t="s">
        <v>8289</v>
      </c>
      <c r="C229">
        <v>1</v>
      </c>
      <c r="D229">
        <v>1510</v>
      </c>
      <c r="E229" s="113">
        <v>10</v>
      </c>
      <c r="F229" s="113">
        <v>15</v>
      </c>
      <c r="I229">
        <v>25</v>
      </c>
      <c r="K229" s="320">
        <v>8</v>
      </c>
      <c r="L229" s="320"/>
      <c r="M229">
        <v>2.73</v>
      </c>
      <c r="N229" s="320"/>
      <c r="O229"/>
      <c r="P229"/>
      <c r="Q229"/>
      <c r="S229" s="320">
        <v>11.997986131200001</v>
      </c>
      <c r="T229" s="320"/>
      <c r="U229">
        <v>10.8</v>
      </c>
      <c r="V229"/>
      <c r="W229"/>
      <c r="X229"/>
      <c r="Y229" s="321">
        <v>4.9840765000000014</v>
      </c>
      <c r="Z229" s="320"/>
      <c r="AA229" s="322">
        <v>66590.330788804073</v>
      </c>
      <c r="AB229" s="320"/>
      <c r="AC229" s="321">
        <v>24.453248000000002</v>
      </c>
      <c r="AD229" s="320"/>
      <c r="AE229" s="320">
        <v>26.17</v>
      </c>
      <c r="AF229" s="320"/>
      <c r="AG229">
        <v>3.93</v>
      </c>
      <c r="AH229"/>
      <c r="AI229">
        <v>128</v>
      </c>
      <c r="AJ229"/>
      <c r="AK229"/>
      <c r="AL229"/>
      <c r="AM229"/>
      <c r="AN229"/>
      <c r="AO229">
        <v>79</v>
      </c>
      <c r="AP229"/>
      <c r="AQ229" s="323"/>
      <c r="AR229" s="323"/>
      <c r="AS229">
        <v>112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>
        <v>6.4981999999999998</v>
      </c>
      <c r="BH229"/>
      <c r="BI229">
        <v>4.9555999999999996</v>
      </c>
      <c r="BJ229"/>
      <c r="BK229">
        <v>1.3024</v>
      </c>
      <c r="BL229"/>
      <c r="BM229">
        <v>56.481999999999999</v>
      </c>
      <c r="BN229"/>
      <c r="BO229">
        <v>20.376000000000001</v>
      </c>
      <c r="BP229"/>
      <c r="BQ229">
        <v>11.677</v>
      </c>
      <c r="BR229"/>
      <c r="BS229">
        <v>49.064999999999998</v>
      </c>
      <c r="BT229"/>
      <c r="BU229">
        <v>18.782</v>
      </c>
      <c r="BV229"/>
      <c r="BW229">
        <v>54.171999999999997</v>
      </c>
      <c r="BX229" s="324"/>
      <c r="BY229">
        <v>6.2669999999999959</v>
      </c>
      <c r="BZ229"/>
      <c r="CA229"/>
      <c r="CC229">
        <v>5.8</v>
      </c>
      <c r="CD229"/>
      <c r="CE229"/>
      <c r="CF229"/>
      <c r="CG229"/>
      <c r="CH229"/>
      <c r="CI229"/>
      <c r="CJ229"/>
      <c r="CK229"/>
      <c r="CL229"/>
      <c r="CM229"/>
    </row>
    <row r="230" spans="1:91">
      <c r="A230" s="327" t="s">
        <v>7654</v>
      </c>
      <c r="B230" s="328" t="s">
        <v>8289</v>
      </c>
      <c r="C230" s="328">
        <v>2</v>
      </c>
      <c r="D230" s="328">
        <v>368</v>
      </c>
      <c r="E230" s="113">
        <v>68</v>
      </c>
      <c r="F230" s="113">
        <v>3</v>
      </c>
      <c r="G230" s="329"/>
      <c r="H230" s="329"/>
      <c r="I230" s="328">
        <v>33.5</v>
      </c>
      <c r="J230" s="330"/>
      <c r="K230" s="331">
        <v>7</v>
      </c>
      <c r="L230" s="331"/>
      <c r="M230" s="328">
        <v>1.17</v>
      </c>
      <c r="N230" s="331"/>
      <c r="O230" s="328"/>
      <c r="P230" s="328"/>
      <c r="Q230" s="328"/>
      <c r="R230" s="332"/>
      <c r="S230" s="331">
        <v>4.0662914423999998</v>
      </c>
      <c r="T230" s="331"/>
      <c r="U230" s="328">
        <v>10.8</v>
      </c>
      <c r="V230" s="328"/>
      <c r="W230" s="328"/>
      <c r="X230" s="328"/>
      <c r="Y230" s="333">
        <v>2.1554500000000001</v>
      </c>
      <c r="Z230" s="331"/>
      <c r="AA230" s="334">
        <v>23861.171366594357</v>
      </c>
      <c r="AB230" s="331"/>
      <c r="AC230" s="333">
        <v>10.20041</v>
      </c>
      <c r="AD230" s="331"/>
      <c r="AE230" s="331">
        <v>11</v>
      </c>
      <c r="AF230" s="331"/>
      <c r="AG230" s="328">
        <v>4.6100000000000003</v>
      </c>
      <c r="AH230" s="328"/>
      <c r="AI230" s="328"/>
      <c r="AJ230" s="328"/>
      <c r="AK230" s="328"/>
      <c r="AL230" s="328"/>
      <c r="AM230" s="328"/>
      <c r="AN230" s="328"/>
      <c r="AO230" s="328">
        <v>80</v>
      </c>
      <c r="AP230" s="328"/>
      <c r="AQ230" s="335"/>
      <c r="AR230" s="335"/>
      <c r="AS230" s="328">
        <v>116</v>
      </c>
      <c r="AT230" s="328"/>
      <c r="AU230" s="328"/>
      <c r="AV230" s="328"/>
      <c r="AW230" s="328"/>
      <c r="AX230" s="328"/>
      <c r="AY230" s="328"/>
      <c r="AZ230" s="328"/>
      <c r="BA230" s="328"/>
      <c r="BB230" s="328"/>
      <c r="BC230" s="328"/>
      <c r="BD230" s="328"/>
      <c r="BE230" s="328"/>
      <c r="BF230" s="328"/>
      <c r="BG230" s="328">
        <v>2.1225000000000001</v>
      </c>
      <c r="BH230" s="328"/>
      <c r="BI230" s="328">
        <v>5.3048000000000002</v>
      </c>
      <c r="BJ230" s="328"/>
      <c r="BK230" s="328">
        <v>1.6984999999999999</v>
      </c>
      <c r="BL230" s="328"/>
      <c r="BM230" s="328">
        <v>59.851999999999997</v>
      </c>
      <c r="BN230" s="328"/>
      <c r="BO230" s="328">
        <v>19.294</v>
      </c>
      <c r="BP230" s="328"/>
      <c r="BQ230" s="328">
        <v>9.1620000000000008</v>
      </c>
      <c r="BR230" s="328"/>
      <c r="BS230" s="328">
        <v>39.863999999999997</v>
      </c>
      <c r="BT230" s="328"/>
      <c r="BU230" s="328">
        <v>22.209</v>
      </c>
      <c r="BV230" s="328"/>
      <c r="BW230" s="336">
        <v>7.92</v>
      </c>
      <c r="BX230" s="328"/>
      <c r="BY230" s="328">
        <v>7.375</v>
      </c>
      <c r="BZ230" s="328"/>
      <c r="CA230" s="328"/>
      <c r="CB230" s="337"/>
      <c r="CC230" s="328">
        <v>7.64</v>
      </c>
      <c r="CD230" s="328"/>
      <c r="CE230" s="328"/>
      <c r="CF230" s="328"/>
      <c r="CG230" s="328"/>
      <c r="CH230" s="328"/>
      <c r="CI230" s="328"/>
      <c r="CJ230" s="328"/>
      <c r="CK230" s="328" t="s">
        <v>8377</v>
      </c>
      <c r="CL230" s="328"/>
      <c r="CM230" s="328"/>
    </row>
    <row r="231" spans="1:91">
      <c r="A231" s="154" t="s">
        <v>7654</v>
      </c>
      <c r="B231" t="s">
        <v>8287</v>
      </c>
      <c r="C231">
        <v>1</v>
      </c>
      <c r="D231">
        <v>628</v>
      </c>
      <c r="E231" s="113">
        <v>28</v>
      </c>
      <c r="F231" s="113">
        <v>6</v>
      </c>
      <c r="I231">
        <v>31</v>
      </c>
      <c r="K231" s="320">
        <v>8</v>
      </c>
      <c r="L231" s="320"/>
      <c r="M231">
        <v>3.09</v>
      </c>
      <c r="N231" s="320"/>
      <c r="O231"/>
      <c r="P231"/>
      <c r="Q231"/>
      <c r="S231" s="320">
        <v>12.611350412715002</v>
      </c>
      <c r="T231" s="320"/>
      <c r="U231">
        <v>10.8</v>
      </c>
      <c r="V231"/>
      <c r="W231"/>
      <c r="X231"/>
      <c r="Y231" s="321">
        <v>4.8448174000000002</v>
      </c>
      <c r="Z231" s="320"/>
      <c r="AA231" s="322">
        <v>59604.166666666672</v>
      </c>
      <c r="AB231" s="320"/>
      <c r="AC231" s="321">
        <v>26.659656300000002</v>
      </c>
      <c r="AD231" s="320"/>
      <c r="AE231" s="320">
        <v>28.61</v>
      </c>
      <c r="AF231" s="320"/>
      <c r="AG231">
        <v>4.8</v>
      </c>
      <c r="AH231"/>
      <c r="AI231">
        <v>128</v>
      </c>
      <c r="AJ231"/>
      <c r="AK231"/>
      <c r="AL231"/>
      <c r="AM231"/>
      <c r="AN231"/>
      <c r="AO231">
        <v>79</v>
      </c>
      <c r="AP231"/>
      <c r="AQ231" s="323"/>
      <c r="AR231" s="323"/>
      <c r="AS231">
        <v>112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>
        <v>6.7987000000000002</v>
      </c>
      <c r="BH231"/>
      <c r="BI231">
        <v>4.8265000000000002</v>
      </c>
      <c r="BJ231"/>
      <c r="BK231">
        <v>1.3153999999999999</v>
      </c>
      <c r="BL231"/>
      <c r="BM231">
        <v>59.335999999999999</v>
      </c>
      <c r="BN231"/>
      <c r="BO231">
        <v>20.303999999999998</v>
      </c>
      <c r="BP231"/>
      <c r="BQ231">
        <v>9.3423999999999996</v>
      </c>
      <c r="BR231"/>
      <c r="BS231">
        <v>47.305</v>
      </c>
      <c r="BT231"/>
      <c r="BU231">
        <v>19.753</v>
      </c>
      <c r="BV231"/>
      <c r="BW231">
        <v>62.338000000000001</v>
      </c>
      <c r="BX231" s="324"/>
      <c r="BY231">
        <v>6.8029999999999973</v>
      </c>
      <c r="BZ231"/>
      <c r="CA231"/>
      <c r="CC231">
        <v>8.99</v>
      </c>
      <c r="CD231"/>
      <c r="CE231"/>
      <c r="CF231"/>
      <c r="CG231"/>
      <c r="CH231"/>
      <c r="CI231"/>
      <c r="CJ231"/>
      <c r="CK231"/>
      <c r="CL231"/>
      <c r="CM231"/>
    </row>
    <row r="232" spans="1:91">
      <c r="A232" s="154" t="s">
        <v>7654</v>
      </c>
      <c r="B232" t="s">
        <v>8289</v>
      </c>
      <c r="C232">
        <v>1</v>
      </c>
      <c r="D232">
        <v>1435</v>
      </c>
      <c r="E232" s="113">
        <v>35</v>
      </c>
      <c r="F232" s="113">
        <v>14</v>
      </c>
      <c r="I232">
        <v>27.499999999999996</v>
      </c>
      <c r="K232" s="320">
        <v>9</v>
      </c>
      <c r="L232" s="320"/>
      <c r="M232">
        <v>2.4500000000000002</v>
      </c>
      <c r="N232" s="320"/>
      <c r="O232"/>
      <c r="P232"/>
      <c r="Q232"/>
      <c r="S232" s="320">
        <v>9.8780451758099979</v>
      </c>
      <c r="T232" s="320"/>
      <c r="U232">
        <v>10.8</v>
      </c>
      <c r="V232"/>
      <c r="W232"/>
      <c r="X232"/>
      <c r="Y232" s="321">
        <v>4.2459795000000007</v>
      </c>
      <c r="Z232" s="320"/>
      <c r="AA232" s="322">
        <v>45991.98396793587</v>
      </c>
      <c r="AB232" s="320"/>
      <c r="AC232" s="321">
        <v>21.361630499999997</v>
      </c>
      <c r="AD232" s="320"/>
      <c r="AE232" s="320">
        <v>22.95</v>
      </c>
      <c r="AF232" s="320"/>
      <c r="AG232">
        <v>4.99</v>
      </c>
      <c r="AH232"/>
      <c r="AI232">
        <v>120</v>
      </c>
      <c r="AJ232"/>
      <c r="AK232"/>
      <c r="AL232"/>
      <c r="AM232"/>
      <c r="AN232"/>
      <c r="AO232">
        <v>78</v>
      </c>
      <c r="AP232"/>
      <c r="AQ232" s="323"/>
      <c r="AR232" s="323"/>
      <c r="AS232">
        <v>112</v>
      </c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3.3039000000000001</v>
      </c>
      <c r="BH232"/>
      <c r="BI232">
        <v>4.7821999999999996</v>
      </c>
      <c r="BJ232"/>
      <c r="BK232">
        <v>1.4577</v>
      </c>
      <c r="BL232"/>
      <c r="BM232">
        <v>63.542000000000002</v>
      </c>
      <c r="BN232"/>
      <c r="BO232">
        <v>21.547999999999998</v>
      </c>
      <c r="BP232"/>
      <c r="BQ232">
        <v>8.0917999999999992</v>
      </c>
      <c r="BR232"/>
      <c r="BS232">
        <v>46.241999999999997</v>
      </c>
      <c r="BT232"/>
      <c r="BU232">
        <v>20.457999999999998</v>
      </c>
      <c r="BV232"/>
      <c r="BW232">
        <v>43.645000000000003</v>
      </c>
      <c r="BX232" s="324"/>
      <c r="BY232">
        <v>6.6620000000000061</v>
      </c>
      <c r="BZ232"/>
      <c r="CA232"/>
      <c r="CC232">
        <v>7.92</v>
      </c>
      <c r="CD232"/>
      <c r="CE232"/>
      <c r="CF232"/>
      <c r="CG232"/>
      <c r="CH232"/>
      <c r="CI232"/>
      <c r="CJ232"/>
      <c r="CK232"/>
      <c r="CL232"/>
      <c r="CM232"/>
    </row>
    <row r="233" spans="1:91">
      <c r="A233" s="154" t="s">
        <v>7654</v>
      </c>
      <c r="B233" t="s">
        <v>8287</v>
      </c>
      <c r="C233">
        <v>2</v>
      </c>
      <c r="D233">
        <v>1563</v>
      </c>
      <c r="E233" s="113">
        <v>63</v>
      </c>
      <c r="F233" s="113">
        <v>15</v>
      </c>
      <c r="I233">
        <v>36.5</v>
      </c>
      <c r="K233" s="320">
        <v>8</v>
      </c>
      <c r="L233" s="320"/>
      <c r="M233">
        <v>2.87</v>
      </c>
      <c r="N233" s="320"/>
      <c r="O233"/>
      <c r="P233"/>
      <c r="Q233"/>
      <c r="S233" s="320">
        <v>11.861121261527998</v>
      </c>
      <c r="T233" s="320"/>
      <c r="U233">
        <v>10.8</v>
      </c>
      <c r="V233"/>
      <c r="W233"/>
      <c r="X233"/>
      <c r="Y233" s="321">
        <v>4.4999444999999998</v>
      </c>
      <c r="Z233" s="320"/>
      <c r="AA233" s="322">
        <v>57382.978723404252</v>
      </c>
      <c r="AB233" s="320"/>
      <c r="AC233" s="321">
        <v>25.170022199999998</v>
      </c>
      <c r="AD233" s="320"/>
      <c r="AE233" s="320">
        <v>26.97</v>
      </c>
      <c r="AF233" s="320"/>
      <c r="AG233">
        <v>4.7</v>
      </c>
      <c r="AH233"/>
      <c r="AI233">
        <v>115</v>
      </c>
      <c r="AJ233"/>
      <c r="AK233"/>
      <c r="AL233"/>
      <c r="AM233"/>
      <c r="AN233"/>
      <c r="AO233">
        <v>80</v>
      </c>
      <c r="AP233"/>
      <c r="AQ233" s="323"/>
      <c r="AR233" s="323"/>
      <c r="AS233">
        <v>112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>
        <v>-1.5545</v>
      </c>
      <c r="BH233"/>
      <c r="BI233">
        <v>5.2206999999999999</v>
      </c>
      <c r="BJ233"/>
      <c r="BK233">
        <v>1.4278</v>
      </c>
      <c r="BL233"/>
      <c r="BM233">
        <v>67.007999999999996</v>
      </c>
      <c r="BN233"/>
      <c r="BO233">
        <v>21.276</v>
      </c>
      <c r="BP233"/>
      <c r="BQ233">
        <v>8.4603000000000002</v>
      </c>
      <c r="BR233"/>
      <c r="BS233">
        <v>47.124000000000002</v>
      </c>
      <c r="BT233"/>
      <c r="BU233">
        <v>19.228000000000002</v>
      </c>
      <c r="BV233"/>
      <c r="BW233">
        <v>44.895000000000003</v>
      </c>
      <c r="BX233" s="324"/>
      <c r="BY233">
        <v>6.7780000000000058</v>
      </c>
      <c r="BZ233"/>
      <c r="CA233"/>
      <c r="CC233">
        <v>7.63</v>
      </c>
      <c r="CD233"/>
      <c r="CE233"/>
      <c r="CF233"/>
      <c r="CG233"/>
      <c r="CH233"/>
      <c r="CI233"/>
      <c r="CJ233"/>
      <c r="CK233"/>
      <c r="CL233"/>
      <c r="CM233"/>
    </row>
    <row r="234" spans="1:91">
      <c r="A234" s="154" t="s">
        <v>7655</v>
      </c>
      <c r="B234" t="s">
        <v>8287</v>
      </c>
      <c r="C234">
        <v>1</v>
      </c>
      <c r="D234">
        <v>212</v>
      </c>
      <c r="E234" s="113">
        <v>12</v>
      </c>
      <c r="F234" s="113">
        <v>2</v>
      </c>
      <c r="I234">
        <v>34</v>
      </c>
      <c r="K234" s="320">
        <v>9</v>
      </c>
      <c r="L234" s="320"/>
      <c r="M234">
        <v>2.31</v>
      </c>
      <c r="N234" s="320"/>
      <c r="O234"/>
      <c r="P234"/>
      <c r="Q234"/>
      <c r="S234" s="320">
        <v>10.099769755350001</v>
      </c>
      <c r="T234" s="320"/>
      <c r="U234">
        <v>10.8</v>
      </c>
      <c r="V234"/>
      <c r="W234"/>
      <c r="X234"/>
      <c r="Y234" s="321">
        <v>4.2993477999999996</v>
      </c>
      <c r="Z234" s="320"/>
      <c r="AA234" s="322">
        <v>47991.360691144706</v>
      </c>
      <c r="AB234" s="320"/>
      <c r="AC234" s="321">
        <v>20.9430166</v>
      </c>
      <c r="AD234" s="320"/>
      <c r="AE234" s="320">
        <v>22.22</v>
      </c>
      <c r="AF234" s="320"/>
      <c r="AG234">
        <v>4.63</v>
      </c>
      <c r="AH234"/>
      <c r="AI234">
        <v>145</v>
      </c>
      <c r="AJ234"/>
      <c r="AK234"/>
      <c r="AL234"/>
      <c r="AM234"/>
      <c r="AN234"/>
      <c r="AO234">
        <v>77</v>
      </c>
      <c r="AP234"/>
      <c r="AQ234" s="323"/>
      <c r="AR234" s="323"/>
      <c r="AS234">
        <v>115</v>
      </c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>
        <v>-1.3822000000000001</v>
      </c>
      <c r="BH234"/>
      <c r="BI234">
        <v>4.9756</v>
      </c>
      <c r="BJ234"/>
      <c r="BK234">
        <v>1.454</v>
      </c>
      <c r="BL234"/>
      <c r="BM234">
        <v>64.105000000000004</v>
      </c>
      <c r="BN234"/>
      <c r="BO234">
        <v>20.664999999999999</v>
      </c>
      <c r="BP234"/>
      <c r="BQ234">
        <v>12.69</v>
      </c>
      <c r="BR234"/>
      <c r="BS234">
        <v>48.225000000000001</v>
      </c>
      <c r="BT234"/>
      <c r="BU234">
        <v>19.597999999999999</v>
      </c>
      <c r="BV234"/>
      <c r="BW234" s="325">
        <v>5.85</v>
      </c>
      <c r="BX234"/>
      <c r="BY234">
        <v>5.9920000000000044</v>
      </c>
      <c r="BZ234"/>
      <c r="CA234"/>
      <c r="CC234">
        <v>5.47</v>
      </c>
      <c r="CD234"/>
      <c r="CE234"/>
      <c r="CF234"/>
      <c r="CG234"/>
      <c r="CH234"/>
      <c r="CI234"/>
      <c r="CJ234"/>
      <c r="CK234"/>
      <c r="CL234"/>
      <c r="CM234"/>
    </row>
    <row r="235" spans="1:91">
      <c r="A235" s="327" t="s">
        <v>7655</v>
      </c>
      <c r="B235" s="328" t="s">
        <v>8289</v>
      </c>
      <c r="C235" s="328">
        <v>2</v>
      </c>
      <c r="D235" s="328">
        <v>863</v>
      </c>
      <c r="E235" s="113">
        <v>63</v>
      </c>
      <c r="F235" s="113">
        <v>8</v>
      </c>
      <c r="G235" s="329"/>
      <c r="H235" s="329"/>
      <c r="I235" s="328">
        <v>30.499999999999996</v>
      </c>
      <c r="J235" s="330"/>
      <c r="K235" s="331">
        <v>8</v>
      </c>
      <c r="L235" s="331"/>
      <c r="M235" s="328">
        <v>1.43</v>
      </c>
      <c r="N235" s="331"/>
      <c r="O235" s="328"/>
      <c r="P235" s="328"/>
      <c r="Q235" s="328"/>
      <c r="R235" s="332"/>
      <c r="S235" s="331">
        <v>5.1842521065480005</v>
      </c>
      <c r="T235" s="331"/>
      <c r="U235" s="328">
        <v>10.8</v>
      </c>
      <c r="V235" s="328"/>
      <c r="W235" s="328"/>
      <c r="X235" s="328"/>
      <c r="Y235" s="333">
        <v>2.5396125999999999</v>
      </c>
      <c r="Z235" s="331"/>
      <c r="AA235" s="334">
        <v>28354.700854700855</v>
      </c>
      <c r="AB235" s="331"/>
      <c r="AC235" s="333">
        <v>12.354635399999999</v>
      </c>
      <c r="AD235" s="331"/>
      <c r="AE235" s="331">
        <v>13.27</v>
      </c>
      <c r="AF235" s="331"/>
      <c r="AG235" s="328">
        <v>4.68</v>
      </c>
      <c r="AH235" s="328"/>
      <c r="AI235" s="328">
        <v>118</v>
      </c>
      <c r="AJ235" s="328"/>
      <c r="AK235" s="328"/>
      <c r="AL235" s="328"/>
      <c r="AM235" s="328"/>
      <c r="AN235" s="328"/>
      <c r="AO235" s="328">
        <v>77</v>
      </c>
      <c r="AP235" s="328"/>
      <c r="AQ235" s="335"/>
      <c r="AR235" s="335"/>
      <c r="AS235" s="328">
        <v>112</v>
      </c>
      <c r="AT235" s="328"/>
      <c r="AU235" s="328"/>
      <c r="AV235" s="328"/>
      <c r="AW235" s="328"/>
      <c r="AX235" s="328"/>
      <c r="AY235" s="328"/>
      <c r="AZ235" s="328"/>
      <c r="BA235" s="328"/>
      <c r="BB235" s="328"/>
      <c r="BC235" s="328"/>
      <c r="BD235" s="328"/>
      <c r="BE235" s="328"/>
      <c r="BF235" s="328"/>
      <c r="BG235" s="328">
        <v>-0.38756000000000002</v>
      </c>
      <c r="BH235" s="328"/>
      <c r="BI235" s="328">
        <v>5.3215000000000003</v>
      </c>
      <c r="BJ235" s="328"/>
      <c r="BK235" s="328">
        <v>1.5536000000000001</v>
      </c>
      <c r="BL235" s="328"/>
      <c r="BM235" s="328">
        <v>58.344000000000001</v>
      </c>
      <c r="BN235" s="328"/>
      <c r="BO235" s="328">
        <v>22.763000000000002</v>
      </c>
      <c r="BP235" s="328"/>
      <c r="BQ235" s="328">
        <v>11.263</v>
      </c>
      <c r="BR235" s="328"/>
      <c r="BS235" s="328">
        <v>41.962000000000003</v>
      </c>
      <c r="BT235" s="328"/>
      <c r="BU235" s="328">
        <v>21.628</v>
      </c>
      <c r="BV235" s="328"/>
      <c r="BW235" s="336">
        <v>6.38</v>
      </c>
      <c r="BX235" s="328"/>
      <c r="BY235" s="328">
        <v>7.0720000000000027</v>
      </c>
      <c r="BZ235" s="328"/>
      <c r="CA235" s="328"/>
      <c r="CB235" s="337"/>
      <c r="CC235" s="328">
        <v>8.83</v>
      </c>
      <c r="CD235" s="328"/>
      <c r="CE235" s="328"/>
      <c r="CF235" s="328"/>
      <c r="CG235" s="328"/>
      <c r="CH235" s="328"/>
      <c r="CI235" s="328"/>
      <c r="CJ235" s="328"/>
      <c r="CK235" s="328" t="s">
        <v>8377</v>
      </c>
      <c r="CL235" s="328"/>
      <c r="CM235" s="328"/>
    </row>
    <row r="236" spans="1:91">
      <c r="A236" s="154" t="s">
        <v>7655</v>
      </c>
      <c r="B236" t="s">
        <v>8287</v>
      </c>
      <c r="C236">
        <v>2</v>
      </c>
      <c r="D236">
        <v>1054</v>
      </c>
      <c r="E236" s="113">
        <v>54</v>
      </c>
      <c r="F236" s="113">
        <v>10</v>
      </c>
      <c r="I236">
        <v>25</v>
      </c>
      <c r="K236" s="320">
        <v>9</v>
      </c>
      <c r="L236" s="320"/>
      <c r="M236">
        <v>1.78</v>
      </c>
      <c r="N236" s="320"/>
      <c r="O236"/>
      <c r="P236"/>
      <c r="Q236"/>
      <c r="S236" s="320">
        <v>7.333769245540001</v>
      </c>
      <c r="T236" s="320"/>
      <c r="U236">
        <v>10.8</v>
      </c>
      <c r="V236"/>
      <c r="W236"/>
      <c r="X236"/>
      <c r="Y236" s="321">
        <v>3.5474982000000002</v>
      </c>
      <c r="Z236" s="320"/>
      <c r="AA236" s="322">
        <v>38956.91609977324</v>
      </c>
      <c r="AB236" s="320"/>
      <c r="AC236" s="321">
        <v>16.040966000000001</v>
      </c>
      <c r="AD236" s="320"/>
      <c r="AE236" s="320">
        <v>17.18</v>
      </c>
      <c r="AF236" s="320"/>
      <c r="AG236">
        <v>4.41</v>
      </c>
      <c r="AH236"/>
      <c r="AI236">
        <v>125</v>
      </c>
      <c r="AJ236"/>
      <c r="AK236"/>
      <c r="AL236"/>
      <c r="AM236"/>
      <c r="AN236"/>
      <c r="AO236">
        <v>77</v>
      </c>
      <c r="AP236"/>
      <c r="AQ236" s="323"/>
      <c r="AR236" s="323"/>
      <c r="AS236">
        <v>112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-0.17943999999999999</v>
      </c>
      <c r="BH236"/>
      <c r="BI236">
        <v>4.7186000000000003</v>
      </c>
      <c r="BJ236"/>
      <c r="BK236">
        <v>1.3720000000000001</v>
      </c>
      <c r="BL236"/>
      <c r="BM236">
        <v>61.863</v>
      </c>
      <c r="BN236"/>
      <c r="BO236">
        <v>22.95</v>
      </c>
      <c r="BP236"/>
      <c r="BQ236">
        <v>12.186</v>
      </c>
      <c r="BR236"/>
      <c r="BS236">
        <v>45.719000000000001</v>
      </c>
      <c r="BT236"/>
      <c r="BU236">
        <v>21.503</v>
      </c>
      <c r="BV236"/>
      <c r="BW236" s="325">
        <v>16.18</v>
      </c>
      <c r="BX236"/>
      <c r="BY236">
        <v>6.2800000000000011</v>
      </c>
      <c r="BZ236"/>
      <c r="CA236"/>
      <c r="CC236">
        <v>5.17</v>
      </c>
      <c r="CD236"/>
      <c r="CE236"/>
      <c r="CF236"/>
      <c r="CG236"/>
      <c r="CH236"/>
      <c r="CI236"/>
      <c r="CJ236"/>
      <c r="CK236"/>
      <c r="CL236"/>
      <c r="CM236"/>
    </row>
    <row r="237" spans="1:91">
      <c r="A237" s="154" t="s">
        <v>7655</v>
      </c>
      <c r="B237" t="s">
        <v>8289</v>
      </c>
      <c r="C237">
        <v>1</v>
      </c>
      <c r="D237">
        <v>1426</v>
      </c>
      <c r="E237" s="113">
        <v>26</v>
      </c>
      <c r="F237" s="113">
        <v>14</v>
      </c>
      <c r="I237">
        <v>24.5</v>
      </c>
      <c r="K237" s="320">
        <v>9</v>
      </c>
      <c r="L237" s="320"/>
      <c r="M237">
        <v>2.2200000000000002</v>
      </c>
      <c r="N237" s="320"/>
      <c r="O237"/>
      <c r="P237"/>
      <c r="Q237"/>
      <c r="S237" s="320">
        <v>8.7997000007520008</v>
      </c>
      <c r="T237" s="320"/>
      <c r="U237">
        <v>10.8</v>
      </c>
      <c r="V237"/>
      <c r="W237"/>
      <c r="X237"/>
      <c r="Y237" s="321">
        <v>3.7796943000000001</v>
      </c>
      <c r="Z237" s="320"/>
      <c r="AA237" s="322">
        <v>48896.882494004793</v>
      </c>
      <c r="AB237" s="320"/>
      <c r="AC237" s="321">
        <v>19.0189764</v>
      </c>
      <c r="AD237" s="320"/>
      <c r="AE237" s="320">
        <v>20.39</v>
      </c>
      <c r="AF237" s="320"/>
      <c r="AG237">
        <v>4.17</v>
      </c>
      <c r="AH237"/>
      <c r="AI237">
        <v>128</v>
      </c>
      <c r="AJ237"/>
      <c r="AK237"/>
      <c r="AL237"/>
      <c r="AM237"/>
      <c r="AN237"/>
      <c r="AO237">
        <v>77</v>
      </c>
      <c r="AP237"/>
      <c r="AQ237" s="323"/>
      <c r="AR237" s="323"/>
      <c r="AS237">
        <v>112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-0.19986000000000001</v>
      </c>
      <c r="BH237"/>
      <c r="BI237">
        <v>4.8413000000000004</v>
      </c>
      <c r="BJ237"/>
      <c r="BK237">
        <v>1.4521999999999999</v>
      </c>
      <c r="BL237"/>
      <c r="BM237">
        <v>59.195</v>
      </c>
      <c r="BN237"/>
      <c r="BO237">
        <v>22.835000000000001</v>
      </c>
      <c r="BP237"/>
      <c r="BQ237">
        <v>11.606999999999999</v>
      </c>
      <c r="BR237"/>
      <c r="BS237">
        <v>46.268000000000001</v>
      </c>
      <c r="BT237"/>
      <c r="BU237">
        <v>19.966000000000001</v>
      </c>
      <c r="BV237"/>
      <c r="BW237" s="325">
        <v>6.98</v>
      </c>
      <c r="BX237"/>
      <c r="BY237">
        <v>6.3960000000000008</v>
      </c>
      <c r="BZ237"/>
      <c r="CA237"/>
      <c r="CC237">
        <v>9.73</v>
      </c>
      <c r="CD237"/>
      <c r="CE237"/>
      <c r="CF237"/>
      <c r="CG237"/>
      <c r="CH237"/>
      <c r="CI237"/>
      <c r="CJ237"/>
      <c r="CK237"/>
      <c r="CL237"/>
      <c r="CM237"/>
    </row>
    <row r="238" spans="1:91">
      <c r="A238" s="154" t="s">
        <v>7656</v>
      </c>
      <c r="B238" t="s">
        <v>8289</v>
      </c>
      <c r="C238">
        <v>2</v>
      </c>
      <c r="D238">
        <v>243</v>
      </c>
      <c r="E238" s="113">
        <v>43</v>
      </c>
      <c r="F238" s="113">
        <v>2</v>
      </c>
      <c r="I238">
        <v>35</v>
      </c>
      <c r="K238" s="320">
        <v>7</v>
      </c>
      <c r="L238" s="320"/>
      <c r="M238">
        <v>3.12</v>
      </c>
      <c r="N238" s="320"/>
      <c r="O238"/>
      <c r="P238"/>
      <c r="Q238"/>
      <c r="S238" s="320">
        <v>13.807341369611997</v>
      </c>
      <c r="T238" s="320"/>
      <c r="U238">
        <v>10.8</v>
      </c>
      <c r="V238"/>
      <c r="W238"/>
      <c r="X238"/>
      <c r="Y238" s="321">
        <v>5.8562892</v>
      </c>
      <c r="Z238" s="320"/>
      <c r="AA238" s="322">
        <v>65490.196078431371</v>
      </c>
      <c r="AB238" s="320"/>
      <c r="AC238" s="321">
        <v>28.320427799999997</v>
      </c>
      <c r="AD238" s="320"/>
      <c r="AE238" s="320">
        <v>30.06</v>
      </c>
      <c r="AF238" s="320"/>
      <c r="AG238">
        <v>4.59</v>
      </c>
      <c r="AH238"/>
      <c r="AI238">
        <v>125</v>
      </c>
      <c r="AJ238"/>
      <c r="AK238"/>
      <c r="AL238"/>
      <c r="AM238"/>
      <c r="AN238"/>
      <c r="AO238">
        <v>80</v>
      </c>
      <c r="AP238"/>
      <c r="AQ238" s="323"/>
      <c r="AR238" s="323"/>
      <c r="AS238">
        <v>112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>
        <v>3.3618000000000001</v>
      </c>
      <c r="BH238"/>
      <c r="BI238">
        <v>4.9260000000000002</v>
      </c>
      <c r="BJ238"/>
      <c r="BK238">
        <v>1.4265000000000001</v>
      </c>
      <c r="BL238"/>
      <c r="BM238">
        <v>58.838999999999999</v>
      </c>
      <c r="BN238"/>
      <c r="BO238">
        <v>21.184999999999999</v>
      </c>
      <c r="BP238"/>
      <c r="BQ238">
        <v>10.935</v>
      </c>
      <c r="BR238"/>
      <c r="BS238">
        <v>48.753999999999998</v>
      </c>
      <c r="BT238"/>
      <c r="BU238">
        <v>18.143999999999998</v>
      </c>
      <c r="BV238"/>
      <c r="BW238" s="325">
        <v>27.39</v>
      </c>
      <c r="BX238"/>
      <c r="BY238">
        <v>6.1119999999999948</v>
      </c>
      <c r="BZ238"/>
      <c r="CA238"/>
      <c r="CC238">
        <v>5.3</v>
      </c>
      <c r="CD238"/>
      <c r="CE238"/>
      <c r="CF238"/>
      <c r="CG238"/>
      <c r="CH238"/>
      <c r="CI238"/>
      <c r="CJ238"/>
      <c r="CK238"/>
      <c r="CL238"/>
      <c r="CM238"/>
    </row>
    <row r="239" spans="1:91">
      <c r="A239" s="154" t="s">
        <v>7656</v>
      </c>
      <c r="B239" t="s">
        <v>8287</v>
      </c>
      <c r="C239">
        <v>1</v>
      </c>
      <c r="D239">
        <v>318</v>
      </c>
      <c r="E239" s="113">
        <v>18</v>
      </c>
      <c r="F239" s="113">
        <v>3</v>
      </c>
      <c r="I239">
        <v>32.5</v>
      </c>
      <c r="K239" s="320">
        <v>8</v>
      </c>
      <c r="L239" s="320"/>
      <c r="M239">
        <v>2.84</v>
      </c>
      <c r="N239" s="320"/>
      <c r="O239"/>
      <c r="P239"/>
      <c r="Q239"/>
      <c r="S239" s="320">
        <v>12.968671075920001</v>
      </c>
      <c r="T239" s="320"/>
      <c r="U239">
        <v>10.8</v>
      </c>
      <c r="V239"/>
      <c r="W239"/>
      <c r="X239"/>
      <c r="Y239" s="321">
        <v>4.6537263000000006</v>
      </c>
      <c r="Z239" s="320"/>
      <c r="AA239" s="322">
        <v>55304.878048780498</v>
      </c>
      <c r="AB239" s="320"/>
      <c r="AC239" s="321">
        <v>25.476723</v>
      </c>
      <c r="AD239" s="320"/>
      <c r="AE239" s="320">
        <v>27.21</v>
      </c>
      <c r="AF239" s="320"/>
      <c r="AG239">
        <v>4.92</v>
      </c>
      <c r="AH239"/>
      <c r="AI239">
        <v>128</v>
      </c>
      <c r="AJ239"/>
      <c r="AK239"/>
      <c r="AL239"/>
      <c r="AM239"/>
      <c r="AN239"/>
      <c r="AO239">
        <v>81</v>
      </c>
      <c r="AP239"/>
      <c r="AQ239" s="323"/>
      <c r="AR239" s="323"/>
      <c r="AS239">
        <v>112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>
        <v>4.2975000000000003</v>
      </c>
      <c r="BH239"/>
      <c r="BI239">
        <v>4.9280999999999997</v>
      </c>
      <c r="BJ239"/>
      <c r="BK239">
        <v>1.3716999999999999</v>
      </c>
      <c r="BL239"/>
      <c r="BM239">
        <v>61.648000000000003</v>
      </c>
      <c r="BN239"/>
      <c r="BO239">
        <v>20.876999999999999</v>
      </c>
      <c r="BP239"/>
      <c r="BQ239">
        <v>9.3886000000000003</v>
      </c>
      <c r="BR239"/>
      <c r="BS239">
        <v>50.904000000000003</v>
      </c>
      <c r="BT239"/>
      <c r="BU239">
        <v>16.972000000000001</v>
      </c>
      <c r="BV239"/>
      <c r="BW239">
        <v>52.322000000000003</v>
      </c>
      <c r="BX239" s="324"/>
      <c r="BY239">
        <v>6.2060000000000031</v>
      </c>
      <c r="BZ239"/>
      <c r="CA239"/>
      <c r="CC239">
        <v>5.85</v>
      </c>
      <c r="CD239"/>
      <c r="CE239"/>
      <c r="CF239"/>
      <c r="CG239"/>
      <c r="CH239"/>
      <c r="CI239"/>
      <c r="CJ239"/>
      <c r="CK239" t="str">
        <f>IF(F239=ET185*(B239="N+"),"submertion","")</f>
        <v/>
      </c>
      <c r="CL239"/>
      <c r="CM239"/>
    </row>
    <row r="240" spans="1:91">
      <c r="A240" s="154" t="s">
        <v>7656</v>
      </c>
      <c r="B240" t="s">
        <v>8287</v>
      </c>
      <c r="C240">
        <v>2</v>
      </c>
      <c r="D240">
        <v>1164</v>
      </c>
      <c r="E240" s="113">
        <v>64</v>
      </c>
      <c r="F240" s="113">
        <v>11</v>
      </c>
      <c r="I240">
        <v>37.999999999999993</v>
      </c>
      <c r="K240" s="320">
        <v>9</v>
      </c>
      <c r="L240" s="320"/>
      <c r="M240">
        <v>2.93</v>
      </c>
      <c r="N240" s="320"/>
      <c r="O240"/>
      <c r="P240"/>
      <c r="Q240"/>
      <c r="S240" s="320">
        <v>12.844817687520001</v>
      </c>
      <c r="T240" s="320"/>
      <c r="U240">
        <v>10.8</v>
      </c>
      <c r="V240"/>
      <c r="W240"/>
      <c r="X240"/>
      <c r="Y240" s="321">
        <v>4.2349439999999996</v>
      </c>
      <c r="Z240" s="320"/>
      <c r="AA240" s="322">
        <v>59740.259740259738</v>
      </c>
      <c r="AB240" s="320"/>
      <c r="AC240" s="321">
        <v>25.819248000000002</v>
      </c>
      <c r="AD240" s="320"/>
      <c r="AE240" s="320">
        <v>27.6</v>
      </c>
      <c r="AF240" s="320"/>
      <c r="AG240">
        <v>4.62</v>
      </c>
      <c r="AH240"/>
      <c r="AI240">
        <v>125</v>
      </c>
      <c r="AJ240"/>
      <c r="AK240"/>
      <c r="AL240"/>
      <c r="AM240"/>
      <c r="AN240"/>
      <c r="AO240">
        <v>77</v>
      </c>
      <c r="AP240"/>
      <c r="AQ240" s="323"/>
      <c r="AR240" s="323"/>
      <c r="AS240">
        <v>112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>
        <v>3.9260000000000002</v>
      </c>
      <c r="BH240"/>
      <c r="BI240">
        <v>4.9321000000000002</v>
      </c>
      <c r="BJ240"/>
      <c r="BK240">
        <v>1.3611</v>
      </c>
      <c r="BL240"/>
      <c r="BM240">
        <v>57.595999999999997</v>
      </c>
      <c r="BN240"/>
      <c r="BO240">
        <v>20.327999999999999</v>
      </c>
      <c r="BP240"/>
      <c r="BQ240">
        <v>9.9702000000000002</v>
      </c>
      <c r="BR240"/>
      <c r="BS240">
        <v>49.749000000000002</v>
      </c>
      <c r="BT240"/>
      <c r="BU240">
        <v>17.03</v>
      </c>
      <c r="BV240"/>
      <c r="BW240">
        <v>52.076000000000001</v>
      </c>
      <c r="BX240" s="324"/>
      <c r="BY240">
        <v>6.6299999999999955</v>
      </c>
      <c r="BZ240"/>
      <c r="CA240"/>
      <c r="CC240">
        <v>7.43</v>
      </c>
      <c r="CD240"/>
      <c r="CE240"/>
      <c r="CF240"/>
      <c r="CG240"/>
      <c r="CH240"/>
      <c r="CI240"/>
      <c r="CJ240"/>
      <c r="CK240"/>
      <c r="CL240"/>
      <c r="CM240"/>
    </row>
    <row r="241" spans="1:91">
      <c r="A241" s="154" t="s">
        <v>7656</v>
      </c>
      <c r="B241" t="s">
        <v>8289</v>
      </c>
      <c r="C241">
        <v>1</v>
      </c>
      <c r="D241">
        <v>1228</v>
      </c>
      <c r="E241" s="113">
        <v>28</v>
      </c>
      <c r="F241" s="113">
        <v>12</v>
      </c>
      <c r="I241">
        <v>28.5</v>
      </c>
      <c r="K241" s="320">
        <v>9</v>
      </c>
      <c r="L241" s="320"/>
      <c r="M241">
        <v>3.53</v>
      </c>
      <c r="N241" s="320"/>
      <c r="O241"/>
      <c r="P241"/>
      <c r="Q241"/>
      <c r="S241" s="320">
        <v>14.536431049442999</v>
      </c>
      <c r="T241" s="320"/>
      <c r="U241">
        <v>10.8</v>
      </c>
      <c r="V241"/>
      <c r="W241"/>
      <c r="X241"/>
      <c r="Y241" s="321">
        <v>6.2983031999999994</v>
      </c>
      <c r="Z241" s="320"/>
      <c r="AA241" s="322">
        <v>73191.964285714275</v>
      </c>
      <c r="AB241" s="320"/>
      <c r="AC241" s="321">
        <v>30.527817899999999</v>
      </c>
      <c r="AD241" s="320"/>
      <c r="AE241" s="320">
        <v>32.79</v>
      </c>
      <c r="AF241" s="320"/>
      <c r="AG241">
        <v>4.4800000000000004</v>
      </c>
      <c r="AH241"/>
      <c r="AI241">
        <v>118</v>
      </c>
      <c r="AJ241"/>
      <c r="AK241"/>
      <c r="AL241"/>
      <c r="AM241"/>
      <c r="AN241"/>
      <c r="AO241">
        <v>79</v>
      </c>
      <c r="AP241"/>
      <c r="AQ241" s="323"/>
      <c r="AR241" s="323"/>
      <c r="AS241">
        <v>112</v>
      </c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>
        <v>3.6524000000000001</v>
      </c>
      <c r="BH241"/>
      <c r="BI241">
        <v>5.0580999999999996</v>
      </c>
      <c r="BJ241"/>
      <c r="BK241">
        <v>1.3262</v>
      </c>
      <c r="BL241"/>
      <c r="BM241">
        <v>58.697000000000003</v>
      </c>
      <c r="BN241"/>
      <c r="BO241">
        <v>20.55</v>
      </c>
      <c r="BP241"/>
      <c r="BQ241">
        <v>10.427</v>
      </c>
      <c r="BR241"/>
      <c r="BS241">
        <v>47.616999999999997</v>
      </c>
      <c r="BT241"/>
      <c r="BU241">
        <v>18.670999999999999</v>
      </c>
      <c r="BV241"/>
      <c r="BW241">
        <v>42.466999999999999</v>
      </c>
      <c r="BX241" s="324"/>
      <c r="BY241">
        <v>6.7450000000000045</v>
      </c>
      <c r="BZ241"/>
      <c r="CA241"/>
      <c r="CC241">
        <v>8.7100000000000009</v>
      </c>
      <c r="CD241"/>
      <c r="CE241"/>
      <c r="CF241"/>
      <c r="CG241"/>
      <c r="CH241"/>
      <c r="CI241"/>
      <c r="CJ241"/>
      <c r="CK241"/>
      <c r="CL241"/>
      <c r="CM241"/>
    </row>
    <row r="242" spans="1:91">
      <c r="A242" s="154" t="s">
        <v>7657</v>
      </c>
      <c r="B242" t="s">
        <v>8287</v>
      </c>
      <c r="C242">
        <v>1</v>
      </c>
      <c r="D242">
        <v>221</v>
      </c>
      <c r="E242" s="113">
        <v>21</v>
      </c>
      <c r="F242" s="113">
        <v>2</v>
      </c>
      <c r="I242">
        <v>34.5</v>
      </c>
      <c r="K242" s="320">
        <v>9</v>
      </c>
      <c r="L242" s="320"/>
      <c r="M242">
        <v>2.56</v>
      </c>
      <c r="N242" s="320"/>
      <c r="O242"/>
      <c r="P242"/>
      <c r="Q242"/>
      <c r="S242" s="320">
        <v>11.432743331255999</v>
      </c>
      <c r="T242" s="320"/>
      <c r="U242">
        <v>10.8</v>
      </c>
      <c r="V242"/>
      <c r="W242"/>
      <c r="X242"/>
      <c r="Y242" s="321">
        <v>4.618125</v>
      </c>
      <c r="Z242" s="320"/>
      <c r="AA242" s="322">
        <v>54013.15789473684</v>
      </c>
      <c r="AB242" s="320"/>
      <c r="AC242" s="321">
        <v>23.028064799999999</v>
      </c>
      <c r="AD242" s="320"/>
      <c r="AE242" s="320">
        <v>24.63</v>
      </c>
      <c r="AF242" s="320"/>
      <c r="AG242">
        <v>4.5599999999999996</v>
      </c>
      <c r="AH242"/>
      <c r="AI242">
        <v>133</v>
      </c>
      <c r="AJ242"/>
      <c r="AK242"/>
      <c r="AL242"/>
      <c r="AM242"/>
      <c r="AN242"/>
      <c r="AO242">
        <v>80</v>
      </c>
      <c r="AP242"/>
      <c r="AQ242" s="323"/>
      <c r="AR242" s="323"/>
      <c r="AS242">
        <v>114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>
        <v>6.5582000000000003</v>
      </c>
      <c r="BH242"/>
      <c r="BI242">
        <v>4.8948</v>
      </c>
      <c r="BJ242"/>
      <c r="BK242">
        <v>1.2741</v>
      </c>
      <c r="BL242"/>
      <c r="BM242">
        <v>55.878</v>
      </c>
      <c r="BN242"/>
      <c r="BO242">
        <v>19.285</v>
      </c>
      <c r="BP242"/>
      <c r="BQ242">
        <v>11.042999999999999</v>
      </c>
      <c r="BR242"/>
      <c r="BS242">
        <v>49.646999999999998</v>
      </c>
      <c r="BT242"/>
      <c r="BU242">
        <v>20.241</v>
      </c>
      <c r="BV242"/>
      <c r="BW242">
        <v>49.375</v>
      </c>
      <c r="BX242" s="324"/>
      <c r="BY242">
        <v>6.0120000000000005</v>
      </c>
      <c r="BZ242"/>
      <c r="CA242"/>
      <c r="CC242">
        <v>5.43</v>
      </c>
      <c r="CD242"/>
      <c r="CE242"/>
      <c r="CF242"/>
      <c r="CG242"/>
      <c r="CH242"/>
      <c r="CI242"/>
      <c r="CJ242"/>
      <c r="CK242"/>
      <c r="CL242"/>
      <c r="CM242"/>
    </row>
    <row r="243" spans="1:91">
      <c r="A243" s="327" t="s">
        <v>7657</v>
      </c>
      <c r="B243" s="328" t="s">
        <v>8289</v>
      </c>
      <c r="C243" s="328">
        <v>2</v>
      </c>
      <c r="D243" s="328">
        <v>374</v>
      </c>
      <c r="E243" s="113">
        <v>74</v>
      </c>
      <c r="F243" s="113">
        <v>3</v>
      </c>
      <c r="G243" s="329"/>
      <c r="H243" s="329"/>
      <c r="I243" s="328">
        <v>35.499999999999993</v>
      </c>
      <c r="J243" s="330"/>
      <c r="K243" s="331">
        <v>6</v>
      </c>
      <c r="L243" s="331"/>
      <c r="M243" s="328">
        <v>1.42</v>
      </c>
      <c r="N243" s="331"/>
      <c r="O243" s="328"/>
      <c r="P243" s="328"/>
      <c r="Q243" s="328"/>
      <c r="R243" s="332"/>
      <c r="S243" s="331" t="s">
        <v>8361</v>
      </c>
      <c r="T243" s="331"/>
      <c r="U243" s="328">
        <v>10.8</v>
      </c>
      <c r="V243" s="328"/>
      <c r="W243" s="328"/>
      <c r="X243" s="328"/>
      <c r="Y243" s="333">
        <v>0</v>
      </c>
      <c r="Z243" s="331"/>
      <c r="AA243" s="334">
        <v>26080.305927342255</v>
      </c>
      <c r="AB243" s="331"/>
      <c r="AC243" s="333" t="s">
        <v>8361</v>
      </c>
      <c r="AD243" s="331"/>
      <c r="AE243" s="331">
        <v>13.64</v>
      </c>
      <c r="AF243" s="331"/>
      <c r="AG243" s="328">
        <v>5.23</v>
      </c>
      <c r="AH243" s="328"/>
      <c r="AI243" s="328">
        <v>103</v>
      </c>
      <c r="AJ243" s="328"/>
      <c r="AK243" s="328"/>
      <c r="AL243" s="328"/>
      <c r="AM243" s="328"/>
      <c r="AN243" s="328"/>
      <c r="AO243" s="328">
        <v>81</v>
      </c>
      <c r="AP243" s="328"/>
      <c r="AQ243" s="335"/>
      <c r="AR243" s="335"/>
      <c r="AS243" s="328">
        <v>116</v>
      </c>
      <c r="AT243" s="328"/>
      <c r="AU243" s="328"/>
      <c r="AV243" s="328"/>
      <c r="AW243" s="328"/>
      <c r="AX243" s="328"/>
      <c r="AY243" s="328"/>
      <c r="AZ243" s="328"/>
      <c r="BA243" s="328"/>
      <c r="BB243" s="328"/>
      <c r="BC243" s="328"/>
      <c r="BD243" s="328"/>
      <c r="BE243" s="328"/>
      <c r="BF243" s="328"/>
      <c r="BG243" s="328">
        <v>-1.1194</v>
      </c>
      <c r="BH243" s="328"/>
      <c r="BI243" s="328">
        <v>5.0861999999999998</v>
      </c>
      <c r="BJ243" s="328"/>
      <c r="BK243" s="328">
        <v>1.6802999999999999</v>
      </c>
      <c r="BL243" s="328"/>
      <c r="BM243" s="328">
        <v>61.323999999999998</v>
      </c>
      <c r="BN243" s="328"/>
      <c r="BO243" s="328">
        <v>20.75</v>
      </c>
      <c r="BP243" s="328"/>
      <c r="BQ243" s="328">
        <v>7.4099000000000004</v>
      </c>
      <c r="BR243" s="328"/>
      <c r="BS243" s="328">
        <v>42.585000000000001</v>
      </c>
      <c r="BT243" s="328"/>
      <c r="BU243" s="328">
        <v>22.007000000000001</v>
      </c>
      <c r="BV243" s="328"/>
      <c r="BW243" s="336">
        <v>5.39</v>
      </c>
      <c r="BX243" s="328"/>
      <c r="BY243" s="328">
        <v>7.0360000000000014</v>
      </c>
      <c r="BZ243" s="328"/>
      <c r="CA243" s="328"/>
      <c r="CB243" s="337"/>
      <c r="CC243" s="328">
        <v>5.6</v>
      </c>
      <c r="CD243" s="328"/>
      <c r="CE243" s="328"/>
      <c r="CF243" s="328"/>
      <c r="CG243" s="328"/>
      <c r="CH243" s="328"/>
      <c r="CI243" s="328"/>
      <c r="CJ243" s="328"/>
      <c r="CK243" s="328" t="s">
        <v>8377</v>
      </c>
      <c r="CL243" s="328"/>
      <c r="CM243" s="328"/>
    </row>
    <row r="244" spans="1:91">
      <c r="A244" s="154" t="s">
        <v>7657</v>
      </c>
      <c r="B244" t="s">
        <v>8289</v>
      </c>
      <c r="C244">
        <v>1</v>
      </c>
      <c r="D244">
        <v>1031</v>
      </c>
      <c r="E244" s="113">
        <v>31</v>
      </c>
      <c r="F244" s="113">
        <v>10</v>
      </c>
      <c r="I244">
        <v>26.499999999999996</v>
      </c>
      <c r="K244" s="320">
        <v>8</v>
      </c>
      <c r="L244" s="320"/>
      <c r="M244">
        <v>3.01</v>
      </c>
      <c r="N244" s="320"/>
      <c r="O244"/>
      <c r="P244"/>
      <c r="Q244"/>
      <c r="S244" s="320">
        <v>12.810138340362</v>
      </c>
      <c r="T244" s="320"/>
      <c r="U244">
        <v>10.8</v>
      </c>
      <c r="V244"/>
      <c r="W244"/>
      <c r="X244"/>
      <c r="Y244" s="321">
        <v>5.8538689000000002</v>
      </c>
      <c r="Z244" s="320"/>
      <c r="AA244" s="322">
        <v>60148.936170212764</v>
      </c>
      <c r="AB244" s="320"/>
      <c r="AC244" s="321">
        <v>26.397960600000001</v>
      </c>
      <c r="AD244" s="320"/>
      <c r="AE244" s="320">
        <v>28.27</v>
      </c>
      <c r="AF244" s="320"/>
      <c r="AG244">
        <v>4.7</v>
      </c>
      <c r="AH244"/>
      <c r="AI244">
        <v>120</v>
      </c>
      <c r="AJ244"/>
      <c r="AK244"/>
      <c r="AL244"/>
      <c r="AM244"/>
      <c r="AN244"/>
      <c r="AO244">
        <v>77</v>
      </c>
      <c r="AP244"/>
      <c r="AQ244" s="323"/>
      <c r="AR244" s="323"/>
      <c r="AS244">
        <v>114</v>
      </c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>
        <v>0.73218000000000005</v>
      </c>
      <c r="BH244"/>
      <c r="BI244">
        <v>4.6440999999999999</v>
      </c>
      <c r="BJ244"/>
      <c r="BK244">
        <v>1.4291</v>
      </c>
      <c r="BL244"/>
      <c r="BM244">
        <v>64.028000000000006</v>
      </c>
      <c r="BN244"/>
      <c r="BO244">
        <v>20.184000000000001</v>
      </c>
      <c r="BP244"/>
      <c r="BQ244">
        <v>10.141999999999999</v>
      </c>
      <c r="BR244"/>
      <c r="BS244">
        <v>48.527000000000001</v>
      </c>
      <c r="BT244"/>
      <c r="BU244">
        <v>20.81</v>
      </c>
      <c r="BV244"/>
      <c r="BW244">
        <v>51.311999999999998</v>
      </c>
      <c r="BX244" s="324"/>
      <c r="BY244">
        <v>6.1760000000000019</v>
      </c>
      <c r="BZ244"/>
      <c r="CA244"/>
      <c r="CC244">
        <v>7.7</v>
      </c>
      <c r="CD244"/>
      <c r="CE244"/>
      <c r="CF244"/>
      <c r="CG244"/>
      <c r="CH244"/>
      <c r="CI244"/>
      <c r="CJ244"/>
      <c r="CK244"/>
      <c r="CL244"/>
      <c r="CM244"/>
    </row>
    <row r="245" spans="1:91">
      <c r="A245" s="154" t="s">
        <v>7657</v>
      </c>
      <c r="B245" t="s">
        <v>8287</v>
      </c>
      <c r="C245">
        <v>2</v>
      </c>
      <c r="D245">
        <v>1262</v>
      </c>
      <c r="E245" s="113">
        <v>62</v>
      </c>
      <c r="F245" s="113">
        <v>12</v>
      </c>
      <c r="I245">
        <v>29.999999999999996</v>
      </c>
      <c r="K245" s="320">
        <v>9</v>
      </c>
      <c r="L245" s="320"/>
      <c r="M245">
        <v>2.69</v>
      </c>
      <c r="N245" s="320"/>
      <c r="O245"/>
      <c r="P245"/>
      <c r="Q245"/>
      <c r="S245" s="320">
        <v>12.0260141505</v>
      </c>
      <c r="T245" s="320"/>
      <c r="U245">
        <v>10.8</v>
      </c>
      <c r="V245"/>
      <c r="W245"/>
      <c r="X245"/>
      <c r="Y245" s="321">
        <v>4.3486091999999994</v>
      </c>
      <c r="Z245" s="320"/>
      <c r="AA245" s="322">
        <v>52765.072765072771</v>
      </c>
      <c r="AB245" s="320"/>
      <c r="AC245" s="321">
        <v>23.717610000000001</v>
      </c>
      <c r="AD245" s="320"/>
      <c r="AE245" s="320">
        <v>25.38</v>
      </c>
      <c r="AF245" s="320"/>
      <c r="AG245">
        <v>4.8099999999999996</v>
      </c>
      <c r="AH245"/>
      <c r="AI245">
        <v>133</v>
      </c>
      <c r="AJ245"/>
      <c r="AK245"/>
      <c r="AL245"/>
      <c r="AM245"/>
      <c r="AN245"/>
      <c r="AO245">
        <v>79</v>
      </c>
      <c r="AP245"/>
      <c r="AQ245" s="323"/>
      <c r="AR245" s="323"/>
      <c r="AS245">
        <v>112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>
        <v>3.5339999999999998</v>
      </c>
      <c r="BH245"/>
      <c r="BI245">
        <v>4.9694000000000003</v>
      </c>
      <c r="BJ245"/>
      <c r="BK245">
        <v>1.2176</v>
      </c>
      <c r="BL245"/>
      <c r="BM245">
        <v>61.137999999999998</v>
      </c>
      <c r="BN245"/>
      <c r="BO245">
        <v>20.317</v>
      </c>
      <c r="BP245"/>
      <c r="BQ245">
        <v>10.803000000000001</v>
      </c>
      <c r="BR245"/>
      <c r="BS245">
        <v>50.704999999999998</v>
      </c>
      <c r="BT245"/>
      <c r="BU245">
        <v>18.431000000000001</v>
      </c>
      <c r="BV245"/>
      <c r="BW245" s="325">
        <v>68.27</v>
      </c>
      <c r="BX245"/>
      <c r="BY245">
        <v>6.2759999999999962</v>
      </c>
      <c r="BZ245"/>
      <c r="CA245"/>
      <c r="CC245">
        <v>7.28</v>
      </c>
      <c r="CD245"/>
      <c r="CE245"/>
      <c r="CF245"/>
      <c r="CG245"/>
      <c r="CH245"/>
      <c r="CI245"/>
      <c r="CJ245"/>
      <c r="CK245"/>
      <c r="CL245"/>
      <c r="CM245"/>
    </row>
    <row r="246" spans="1:91">
      <c r="A246" s="154" t="s">
        <v>7658</v>
      </c>
      <c r="B246" t="s">
        <v>8287</v>
      </c>
      <c r="C246">
        <v>1</v>
      </c>
      <c r="D246">
        <v>210</v>
      </c>
      <c r="E246" s="113">
        <v>10</v>
      </c>
      <c r="F246" s="113">
        <v>2</v>
      </c>
      <c r="I246">
        <v>30.499999999999996</v>
      </c>
      <c r="K246" s="320">
        <v>9</v>
      </c>
      <c r="L246" s="320"/>
      <c r="M246">
        <v>4.2300000000000004</v>
      </c>
      <c r="N246" s="320"/>
      <c r="O246"/>
      <c r="P246"/>
      <c r="Q246"/>
      <c r="S246" s="320">
        <v>19.625380829145001</v>
      </c>
      <c r="T246" s="320"/>
      <c r="U246">
        <v>10.8</v>
      </c>
      <c r="V246"/>
      <c r="W246"/>
      <c r="X246"/>
      <c r="Y246" s="321">
        <v>7.2412514999999988</v>
      </c>
      <c r="Z246" s="320"/>
      <c r="AA246" s="322">
        <v>92926.267281105989</v>
      </c>
      <c r="AB246" s="320"/>
      <c r="AC246" s="321">
        <v>37.883178900000004</v>
      </c>
      <c r="AD246" s="320"/>
      <c r="AE246" s="320">
        <v>40.33</v>
      </c>
      <c r="AF246" s="320"/>
      <c r="AG246">
        <v>4.34</v>
      </c>
      <c r="AH246"/>
      <c r="AI246">
        <v>150</v>
      </c>
      <c r="AJ246"/>
      <c r="AK246"/>
      <c r="AL246"/>
      <c r="AM246"/>
      <c r="AN246"/>
      <c r="AO246">
        <v>80</v>
      </c>
      <c r="AP246"/>
      <c r="AQ246" s="323"/>
      <c r="AR246" s="323"/>
      <c r="AS246">
        <v>115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>
        <v>-1.0618000000000001</v>
      </c>
      <c r="BH246"/>
      <c r="BI246">
        <v>4.8784000000000001</v>
      </c>
      <c r="BJ246"/>
      <c r="BK246">
        <v>1.5452999999999999</v>
      </c>
      <c r="BL246"/>
      <c r="BM246">
        <v>57.713000000000001</v>
      </c>
      <c r="BN246"/>
      <c r="BO246">
        <v>21.591999999999999</v>
      </c>
      <c r="BP246"/>
      <c r="BQ246">
        <v>9.1300000000000008</v>
      </c>
      <c r="BR246"/>
      <c r="BS246">
        <v>51.805</v>
      </c>
      <c r="BT246"/>
      <c r="BU246">
        <v>17.32</v>
      </c>
      <c r="BV246"/>
      <c r="BW246" s="325">
        <v>8.08</v>
      </c>
      <c r="BX246"/>
      <c r="BY246">
        <v>5.9969999999999999</v>
      </c>
      <c r="BZ246"/>
      <c r="CA246"/>
      <c r="CC246">
        <v>6.3</v>
      </c>
      <c r="CD246"/>
      <c r="CE246"/>
      <c r="CF246"/>
      <c r="CG246"/>
      <c r="CH246"/>
      <c r="CI246"/>
      <c r="CJ246"/>
      <c r="CK246"/>
      <c r="CL246"/>
      <c r="CM246"/>
    </row>
    <row r="247" spans="1:91">
      <c r="A247" s="154" t="s">
        <v>7658</v>
      </c>
      <c r="B247" t="s">
        <v>8289</v>
      </c>
      <c r="C247">
        <v>2</v>
      </c>
      <c r="D247">
        <v>554</v>
      </c>
      <c r="E247" s="113">
        <v>54</v>
      </c>
      <c r="F247" s="113">
        <v>5</v>
      </c>
      <c r="I247">
        <v>29.5</v>
      </c>
      <c r="K247" s="320">
        <v>8</v>
      </c>
      <c r="L247" s="320"/>
      <c r="M247">
        <v>2.46</v>
      </c>
      <c r="N247" s="320"/>
      <c r="O247"/>
      <c r="P247"/>
      <c r="Q247"/>
      <c r="S247" s="320">
        <v>10.447627595950001</v>
      </c>
      <c r="T247" s="320"/>
      <c r="U247">
        <v>10.8</v>
      </c>
      <c r="V247"/>
      <c r="W247"/>
      <c r="X247"/>
      <c r="Y247" s="321">
        <v>4.3270550000000005</v>
      </c>
      <c r="Z247" s="320"/>
      <c r="AA247" s="322">
        <v>50537.634408602149</v>
      </c>
      <c r="AB247" s="320"/>
      <c r="AC247" s="321">
        <v>22.007515000000001</v>
      </c>
      <c r="AD247" s="320"/>
      <c r="AE247" s="320">
        <v>23.5</v>
      </c>
      <c r="AF247" s="320"/>
      <c r="AG247">
        <v>4.6500000000000004</v>
      </c>
      <c r="AH247"/>
      <c r="AI247">
        <v>120</v>
      </c>
      <c r="AJ247"/>
      <c r="AK247"/>
      <c r="AL247"/>
      <c r="AM247"/>
      <c r="AN247"/>
      <c r="AO247">
        <v>81</v>
      </c>
      <c r="AP247"/>
      <c r="AQ247" s="323"/>
      <c r="AR247" s="323"/>
      <c r="AS247">
        <v>112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0.33054</v>
      </c>
      <c r="BH247"/>
      <c r="BI247">
        <v>5.3299000000000003</v>
      </c>
      <c r="BJ247"/>
      <c r="BK247">
        <v>1.6872</v>
      </c>
      <c r="BL247"/>
      <c r="BM247">
        <v>60.639000000000003</v>
      </c>
      <c r="BN247"/>
      <c r="BO247">
        <v>20.777999999999999</v>
      </c>
      <c r="BP247"/>
      <c r="BQ247">
        <v>7.6566999999999998</v>
      </c>
      <c r="BR247"/>
      <c r="BS247">
        <v>47.472999999999999</v>
      </c>
      <c r="BT247"/>
      <c r="BU247">
        <v>18.655999999999999</v>
      </c>
      <c r="BV247"/>
      <c r="BW247" s="325">
        <v>6.26</v>
      </c>
      <c r="BX247"/>
      <c r="BY247">
        <v>6.5079999999999956</v>
      </c>
      <c r="BZ247"/>
      <c r="CA247"/>
      <c r="CC247">
        <v>6.12</v>
      </c>
      <c r="CD247"/>
      <c r="CE247"/>
      <c r="CF247"/>
      <c r="CG247"/>
      <c r="CH247"/>
      <c r="CI247"/>
      <c r="CJ247"/>
      <c r="CK247"/>
      <c r="CL247"/>
      <c r="CM247"/>
    </row>
    <row r="248" spans="1:91">
      <c r="A248" s="154" t="s">
        <v>7658</v>
      </c>
      <c r="B248" t="s">
        <v>8289</v>
      </c>
      <c r="C248">
        <v>1</v>
      </c>
      <c r="D248">
        <v>1422</v>
      </c>
      <c r="E248" s="113">
        <v>22</v>
      </c>
      <c r="F248" s="113">
        <v>14</v>
      </c>
      <c r="I248">
        <v>31</v>
      </c>
      <c r="K248" s="320">
        <v>9</v>
      </c>
      <c r="L248" s="320"/>
      <c r="M248">
        <v>3.11</v>
      </c>
      <c r="N248" s="320"/>
      <c r="O248"/>
      <c r="P248"/>
      <c r="Q248"/>
      <c r="S248" s="320">
        <v>13.425472642976999</v>
      </c>
      <c r="T248" s="320"/>
      <c r="U248">
        <v>10.8</v>
      </c>
      <c r="V248"/>
      <c r="W248"/>
      <c r="X248"/>
      <c r="Y248" s="321">
        <v>5.6193295000000001</v>
      </c>
      <c r="Z248" s="320"/>
      <c r="AA248" s="322">
        <v>74823.232323232325</v>
      </c>
      <c r="AB248" s="320"/>
      <c r="AC248" s="321">
        <v>27.789680699999998</v>
      </c>
      <c r="AD248" s="320"/>
      <c r="AE248" s="320">
        <v>29.63</v>
      </c>
      <c r="AF248" s="320"/>
      <c r="AG248">
        <v>3.96</v>
      </c>
      <c r="AH248"/>
      <c r="AI248">
        <v>128</v>
      </c>
      <c r="AJ248"/>
      <c r="AK248"/>
      <c r="AL248"/>
      <c r="AM248"/>
      <c r="AN248"/>
      <c r="AO248">
        <v>79</v>
      </c>
      <c r="AP248"/>
      <c r="AQ248" s="323"/>
      <c r="AR248" s="323"/>
      <c r="AS248">
        <v>112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>
        <v>-3.4738000000000002</v>
      </c>
      <c r="BH248"/>
      <c r="BI248">
        <v>4.9058999999999999</v>
      </c>
      <c r="BJ248"/>
      <c r="BK248">
        <v>1.5996999999999999</v>
      </c>
      <c r="BL248"/>
      <c r="BM248">
        <v>61.093000000000004</v>
      </c>
      <c r="BN248"/>
      <c r="BO248">
        <v>19.974</v>
      </c>
      <c r="BP248"/>
      <c r="BQ248">
        <v>9.2088999999999999</v>
      </c>
      <c r="BR248"/>
      <c r="BS248">
        <v>48.311</v>
      </c>
      <c r="BT248"/>
      <c r="BU248">
        <v>18.829999999999998</v>
      </c>
      <c r="BV248"/>
      <c r="BW248" s="325">
        <v>12.64</v>
      </c>
      <c r="BX248"/>
      <c r="BY248">
        <v>6.2540000000000049</v>
      </c>
      <c r="BZ248"/>
      <c r="CA248"/>
      <c r="CC248">
        <v>6.36</v>
      </c>
      <c r="CD248"/>
      <c r="CE248"/>
      <c r="CF248"/>
      <c r="CG248"/>
      <c r="CH248"/>
      <c r="CI248"/>
      <c r="CJ248"/>
      <c r="CK248"/>
      <c r="CL248"/>
      <c r="CM248"/>
    </row>
    <row r="249" spans="1:91">
      <c r="A249" s="154" t="s">
        <v>7658</v>
      </c>
      <c r="B249" t="s">
        <v>8287</v>
      </c>
      <c r="C249">
        <v>2</v>
      </c>
      <c r="D249">
        <v>1760</v>
      </c>
      <c r="E249" s="113">
        <v>60</v>
      </c>
      <c r="F249" s="113">
        <v>17</v>
      </c>
      <c r="I249">
        <v>32.999999999999993</v>
      </c>
      <c r="K249" s="320">
        <v>8</v>
      </c>
      <c r="L249" s="320"/>
      <c r="M249">
        <v>3.78</v>
      </c>
      <c r="N249" s="320"/>
      <c r="O249"/>
      <c r="P249"/>
      <c r="Q249"/>
      <c r="S249" s="320">
        <v>16.777563097199998</v>
      </c>
      <c r="T249" s="320"/>
      <c r="U249">
        <v>10.8</v>
      </c>
      <c r="V249"/>
      <c r="W249"/>
      <c r="X249"/>
      <c r="Y249" s="321">
        <v>6.3996374999999999</v>
      </c>
      <c r="Z249" s="320"/>
      <c r="AA249" s="322">
        <v>102173.91304347826</v>
      </c>
      <c r="AB249" s="320"/>
      <c r="AC249" s="321">
        <v>32.99682</v>
      </c>
      <c r="AD249" s="320"/>
      <c r="AE249" s="320">
        <v>35.25</v>
      </c>
      <c r="AF249" s="320"/>
      <c r="AG249">
        <v>3.45</v>
      </c>
      <c r="AH249"/>
      <c r="AI249">
        <v>125</v>
      </c>
      <c r="AJ249"/>
      <c r="AK249"/>
      <c r="AL249"/>
      <c r="AM249"/>
      <c r="AN249"/>
      <c r="AO249">
        <v>80</v>
      </c>
      <c r="AP249"/>
      <c r="AQ249" s="323"/>
      <c r="AR249" s="323"/>
      <c r="AS249">
        <v>112</v>
      </c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-7.6798000000000002</v>
      </c>
      <c r="BH249"/>
      <c r="BI249">
        <v>5.0292000000000003</v>
      </c>
      <c r="BJ249"/>
      <c r="BK249">
        <v>1.4837</v>
      </c>
      <c r="BL249"/>
      <c r="BM249">
        <v>66.728999999999999</v>
      </c>
      <c r="BN249"/>
      <c r="BO249">
        <v>22.71</v>
      </c>
      <c r="BP249"/>
      <c r="BQ249">
        <v>8.7634000000000007</v>
      </c>
      <c r="BR249"/>
      <c r="BS249">
        <v>50.845999999999997</v>
      </c>
      <c r="BT249"/>
      <c r="BU249">
        <v>17.785</v>
      </c>
      <c r="BV249"/>
      <c r="BW249" s="325">
        <v>17.29</v>
      </c>
      <c r="BX249"/>
      <c r="BY249">
        <v>6.5310000000000059</v>
      </c>
      <c r="BZ249"/>
      <c r="CA249"/>
      <c r="CC249">
        <v>8.34</v>
      </c>
      <c r="CD249"/>
      <c r="CE249"/>
      <c r="CF249"/>
      <c r="CG249"/>
      <c r="CH249"/>
      <c r="CI249"/>
      <c r="CJ249"/>
      <c r="CK249"/>
      <c r="CL249"/>
      <c r="CM249"/>
    </row>
    <row r="250" spans="1:91">
      <c r="A250" s="327" t="s">
        <v>7659</v>
      </c>
      <c r="B250" s="328" t="s">
        <v>8287</v>
      </c>
      <c r="C250" s="328">
        <v>1</v>
      </c>
      <c r="D250" s="328">
        <v>904</v>
      </c>
      <c r="E250" s="113">
        <v>4</v>
      </c>
      <c r="F250" s="113">
        <v>9</v>
      </c>
      <c r="G250" s="329"/>
      <c r="H250" s="329"/>
      <c r="I250" s="328">
        <v>21</v>
      </c>
      <c r="J250" s="330"/>
      <c r="K250" s="331">
        <v>8</v>
      </c>
      <c r="L250" s="331"/>
      <c r="M250" s="328">
        <v>2.76</v>
      </c>
      <c r="N250" s="331"/>
      <c r="O250" s="328"/>
      <c r="P250" s="328"/>
      <c r="Q250" s="328"/>
      <c r="R250" s="332"/>
      <c r="S250" s="331">
        <v>12.397162694474002</v>
      </c>
      <c r="T250" s="331"/>
      <c r="U250" s="328">
        <v>10.8</v>
      </c>
      <c r="V250" s="328"/>
      <c r="W250" s="328"/>
      <c r="X250" s="328"/>
      <c r="Y250" s="333">
        <v>5.0120784</v>
      </c>
      <c r="Z250" s="331"/>
      <c r="AA250" s="334">
        <v>66590.330788804073</v>
      </c>
      <c r="AB250" s="331"/>
      <c r="AC250" s="333">
        <v>24.410590900000003</v>
      </c>
      <c r="AD250" s="331"/>
      <c r="AE250" s="331">
        <v>26.17</v>
      </c>
      <c r="AF250" s="331"/>
      <c r="AG250" s="328">
        <v>3.93</v>
      </c>
      <c r="AH250" s="328"/>
      <c r="AI250" s="328">
        <v>120</v>
      </c>
      <c r="AJ250" s="328"/>
      <c r="AK250" s="328"/>
      <c r="AL250" s="328"/>
      <c r="AM250" s="328"/>
      <c r="AN250" s="328"/>
      <c r="AO250" s="328">
        <v>83</v>
      </c>
      <c r="AP250" s="328"/>
      <c r="AQ250" s="335"/>
      <c r="AR250" s="335"/>
      <c r="AS250" s="328">
        <v>118</v>
      </c>
      <c r="AT250" s="328"/>
      <c r="AU250" s="328"/>
      <c r="AV250" s="328"/>
      <c r="AW250" s="328"/>
      <c r="AX250" s="328"/>
      <c r="AY250" s="328"/>
      <c r="AZ250" s="328"/>
      <c r="BA250" s="328"/>
      <c r="BB250" s="328"/>
      <c r="BC250" s="328"/>
      <c r="BD250" s="328"/>
      <c r="BE250" s="328"/>
      <c r="BF250" s="328"/>
      <c r="BG250" s="328">
        <v>31.550999999999998</v>
      </c>
      <c r="BH250" s="328"/>
      <c r="BI250" s="328">
        <v>4.3670999999999998</v>
      </c>
      <c r="BJ250" s="328"/>
      <c r="BK250" s="328">
        <v>1.1446000000000001</v>
      </c>
      <c r="BL250" s="328"/>
      <c r="BM250" s="328">
        <v>34.731999999999999</v>
      </c>
      <c r="BN250" s="328"/>
      <c r="BO250" s="328">
        <v>16.202000000000002</v>
      </c>
      <c r="BP250" s="328"/>
      <c r="BQ250" s="328">
        <v>10.435</v>
      </c>
      <c r="BR250" s="328"/>
      <c r="BS250" s="328">
        <v>50.786000000000001</v>
      </c>
      <c r="BT250" s="328"/>
      <c r="BU250" s="328">
        <v>18.369</v>
      </c>
      <c r="BV250" s="328"/>
      <c r="BW250" s="336">
        <v>24.08</v>
      </c>
      <c r="BX250" s="328"/>
      <c r="BY250" s="328">
        <v>6.1280000000000001</v>
      </c>
      <c r="BZ250" s="328"/>
      <c r="CA250" s="328"/>
      <c r="CB250" s="337"/>
      <c r="CC250" s="328">
        <v>6.8</v>
      </c>
      <c r="CD250" s="328"/>
      <c r="CE250" s="328"/>
      <c r="CF250" s="328"/>
      <c r="CG250" s="328"/>
      <c r="CH250" s="328"/>
      <c r="CI250" s="328"/>
      <c r="CJ250" s="328"/>
      <c r="CK250" s="328" t="s">
        <v>8377</v>
      </c>
      <c r="CL250" s="328"/>
      <c r="CM250" s="328"/>
    </row>
    <row r="251" spans="1:91">
      <c r="A251" s="327" t="s">
        <v>7659</v>
      </c>
      <c r="B251" s="328" t="s">
        <v>8289</v>
      </c>
      <c r="C251" s="328">
        <v>2</v>
      </c>
      <c r="D251" s="328">
        <v>976</v>
      </c>
      <c r="E251" s="113">
        <v>76</v>
      </c>
      <c r="F251" s="113">
        <v>9</v>
      </c>
      <c r="G251" s="329"/>
      <c r="H251" s="329"/>
      <c r="I251" s="328">
        <v>19.499999999999996</v>
      </c>
      <c r="J251" s="330"/>
      <c r="K251" s="331">
        <v>6</v>
      </c>
      <c r="L251" s="331"/>
      <c r="M251" s="328">
        <v>1.1000000000000001</v>
      </c>
      <c r="N251" s="331"/>
      <c r="O251" s="328"/>
      <c r="P251" s="328"/>
      <c r="Q251" s="328"/>
      <c r="R251" s="332"/>
      <c r="S251" s="331">
        <v>4.5655069460000002</v>
      </c>
      <c r="T251" s="331"/>
      <c r="U251" s="328">
        <v>10.8</v>
      </c>
      <c r="V251" s="328"/>
      <c r="W251" s="328"/>
      <c r="X251" s="328"/>
      <c r="Y251" s="333">
        <v>2.1458695999999997</v>
      </c>
      <c r="Z251" s="331"/>
      <c r="AA251" s="334">
        <v>26768.447837150125</v>
      </c>
      <c r="AB251" s="331"/>
      <c r="AC251" s="333">
        <v>9.8235759999999992</v>
      </c>
      <c r="AD251" s="331"/>
      <c r="AE251" s="331">
        <v>10.52</v>
      </c>
      <c r="AF251" s="331"/>
      <c r="AG251" s="328">
        <v>3.93</v>
      </c>
      <c r="AH251" s="328"/>
      <c r="AI251" s="328"/>
      <c r="AJ251" s="328"/>
      <c r="AK251" s="328"/>
      <c r="AL251" s="328"/>
      <c r="AM251" s="328"/>
      <c r="AN251" s="328"/>
      <c r="AO251" s="328">
        <v>81</v>
      </c>
      <c r="AP251" s="328"/>
      <c r="AQ251" s="335"/>
      <c r="AR251" s="335"/>
      <c r="AS251" s="328">
        <v>114</v>
      </c>
      <c r="AT251" s="328"/>
      <c r="AU251" s="328"/>
      <c r="AV251" s="328"/>
      <c r="AW251" s="328"/>
      <c r="AX251" s="328"/>
      <c r="AY251" s="328"/>
      <c r="AZ251" s="328"/>
      <c r="BA251" s="328"/>
      <c r="BB251" s="328"/>
      <c r="BC251" s="328"/>
      <c r="BD251" s="328"/>
      <c r="BE251" s="328"/>
      <c r="BF251" s="328"/>
      <c r="BG251" s="328">
        <v>22.218</v>
      </c>
      <c r="BH251" s="328"/>
      <c r="BI251" s="328">
        <v>4.7229999999999999</v>
      </c>
      <c r="BJ251" s="328"/>
      <c r="BK251" s="328">
        <v>1.3306</v>
      </c>
      <c r="BL251" s="328"/>
      <c r="BM251" s="328">
        <v>39.709000000000003</v>
      </c>
      <c r="BN251" s="328"/>
      <c r="BO251" s="328">
        <v>17.852</v>
      </c>
      <c r="BP251" s="328"/>
      <c r="BQ251" s="328">
        <v>8.7767999999999997</v>
      </c>
      <c r="BR251" s="328"/>
      <c r="BS251" s="328">
        <v>46.475000000000001</v>
      </c>
      <c r="BT251" s="328"/>
      <c r="BU251" s="328">
        <v>19.96</v>
      </c>
      <c r="BV251" s="328"/>
      <c r="BW251" s="336">
        <v>18.47</v>
      </c>
      <c r="BX251" s="328"/>
      <c r="BY251" s="328">
        <v>6.5289999999999964</v>
      </c>
      <c r="BZ251" s="328"/>
      <c r="CA251" s="328"/>
      <c r="CB251" s="337"/>
      <c r="CC251" s="328">
        <v>6.05</v>
      </c>
      <c r="CD251" s="328"/>
      <c r="CE251" s="328"/>
      <c r="CF251" s="328"/>
      <c r="CG251" s="328"/>
      <c r="CH251" s="328"/>
      <c r="CI251" s="328"/>
      <c r="CJ251" s="328"/>
      <c r="CK251" s="328" t="s">
        <v>8377</v>
      </c>
      <c r="CL251" s="328"/>
      <c r="CM251" s="328"/>
    </row>
    <row r="252" spans="1:91">
      <c r="A252" s="154" t="s">
        <v>7659</v>
      </c>
      <c r="B252" t="s">
        <v>8287</v>
      </c>
      <c r="C252">
        <v>2</v>
      </c>
      <c r="D252">
        <v>1455</v>
      </c>
      <c r="E252" s="113">
        <v>55</v>
      </c>
      <c r="F252" s="113">
        <v>14</v>
      </c>
      <c r="I252">
        <v>18.5</v>
      </c>
      <c r="K252" s="320">
        <v>9</v>
      </c>
      <c r="L252" s="320"/>
      <c r="M252">
        <v>2.98</v>
      </c>
      <c r="N252" s="320"/>
      <c r="O252"/>
      <c r="P252"/>
      <c r="Q252"/>
      <c r="S252" s="320">
        <v>13.615757679645</v>
      </c>
      <c r="T252" s="320"/>
      <c r="U252">
        <v>10.8</v>
      </c>
      <c r="V252"/>
      <c r="W252"/>
      <c r="X252"/>
      <c r="Y252" s="321">
        <v>4.7770568999999998</v>
      </c>
      <c r="Z252" s="320"/>
      <c r="AA252" s="322">
        <v>73615.384615384624</v>
      </c>
      <c r="AB252" s="320"/>
      <c r="AC252" s="321">
        <v>26.932563900000002</v>
      </c>
      <c r="AD252" s="320"/>
      <c r="AE252" s="320">
        <v>28.71</v>
      </c>
      <c r="AF252" s="320"/>
      <c r="AG252">
        <v>3.9</v>
      </c>
      <c r="AH252"/>
      <c r="AI252">
        <v>140</v>
      </c>
      <c r="AJ252"/>
      <c r="AK252"/>
      <c r="AL252"/>
      <c r="AM252"/>
      <c r="AN252"/>
      <c r="AO252">
        <v>83</v>
      </c>
      <c r="AP252"/>
      <c r="AQ252" s="323"/>
      <c r="AR252" s="323"/>
      <c r="AS252">
        <v>118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30.106999999999999</v>
      </c>
      <c r="BH252"/>
      <c r="BI252">
        <v>4.859</v>
      </c>
      <c r="BJ252"/>
      <c r="BK252">
        <v>1.0902000000000001</v>
      </c>
      <c r="BL252"/>
      <c r="BM252">
        <v>33.875999999999998</v>
      </c>
      <c r="BN252"/>
      <c r="BO252">
        <v>18.533999999999999</v>
      </c>
      <c r="BP252"/>
      <c r="BQ252">
        <v>10.554</v>
      </c>
      <c r="BR252"/>
      <c r="BS252">
        <v>50.555</v>
      </c>
      <c r="BT252"/>
      <c r="BU252">
        <v>17.507999999999999</v>
      </c>
      <c r="BV252"/>
      <c r="BW252" s="325">
        <v>40.1</v>
      </c>
      <c r="BX252"/>
      <c r="BY252">
        <v>6.0480000000000018</v>
      </c>
      <c r="BZ252"/>
      <c r="CA252"/>
      <c r="CC252">
        <v>5.31</v>
      </c>
      <c r="CD252"/>
      <c r="CE252"/>
      <c r="CF252"/>
      <c r="CG252"/>
      <c r="CH252"/>
      <c r="CI252"/>
      <c r="CJ252"/>
      <c r="CK252"/>
      <c r="CL252"/>
      <c r="CM252"/>
    </row>
    <row r="253" spans="1:91">
      <c r="A253" s="154" t="s">
        <v>7659</v>
      </c>
      <c r="B253" t="s">
        <v>8289</v>
      </c>
      <c r="C253">
        <v>1</v>
      </c>
      <c r="D253">
        <v>1714</v>
      </c>
      <c r="E253" s="113">
        <v>14</v>
      </c>
      <c r="F253" s="113">
        <v>17</v>
      </c>
      <c r="I253">
        <v>22.5</v>
      </c>
      <c r="K253" s="320">
        <v>8</v>
      </c>
      <c r="L253" s="320"/>
      <c r="M253">
        <v>2.48</v>
      </c>
      <c r="N253" s="320"/>
      <c r="O253"/>
      <c r="P253"/>
      <c r="Q253"/>
      <c r="S253" s="320">
        <v>10.928339782</v>
      </c>
      <c r="T253" s="320"/>
      <c r="U253">
        <v>10.8</v>
      </c>
      <c r="V253"/>
      <c r="W253"/>
      <c r="X253"/>
      <c r="Y253" s="321">
        <v>4.901484</v>
      </c>
      <c r="Z253" s="320"/>
      <c r="AA253" s="322">
        <v>61618.79895561358</v>
      </c>
      <c r="AB253" s="320"/>
      <c r="AC253" s="321">
        <v>22.0837</v>
      </c>
      <c r="AD253" s="320"/>
      <c r="AE253" s="320">
        <v>23.6</v>
      </c>
      <c r="AF253" s="320"/>
      <c r="AG253">
        <v>3.83</v>
      </c>
      <c r="AH253"/>
      <c r="AI253">
        <v>135</v>
      </c>
      <c r="AJ253"/>
      <c r="AK253"/>
      <c r="AL253"/>
      <c r="AM253"/>
      <c r="AN253"/>
      <c r="AO253">
        <v>83</v>
      </c>
      <c r="AP253"/>
      <c r="AQ253" s="323"/>
      <c r="AR253" s="323"/>
      <c r="AS253">
        <v>118</v>
      </c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>
        <v>18.122</v>
      </c>
      <c r="BH253"/>
      <c r="BI253">
        <v>4.6825999999999999</v>
      </c>
      <c r="BJ253"/>
      <c r="BK253">
        <v>1.3224</v>
      </c>
      <c r="BL253"/>
      <c r="BM253">
        <v>46.484000000000002</v>
      </c>
      <c r="BN253"/>
      <c r="BO253">
        <v>17.882000000000001</v>
      </c>
      <c r="BP253"/>
      <c r="BQ253">
        <v>10.989000000000001</v>
      </c>
      <c r="BR253"/>
      <c r="BS253">
        <v>49.485999999999997</v>
      </c>
      <c r="BT253"/>
      <c r="BU253">
        <v>18.106999999999999</v>
      </c>
      <c r="BV253"/>
      <c r="BW253" s="325">
        <v>15.22</v>
      </c>
      <c r="BX253"/>
      <c r="BY253">
        <v>6.3029999999999973</v>
      </c>
      <c r="BZ253"/>
      <c r="CA253"/>
      <c r="CC253">
        <v>6.49</v>
      </c>
      <c r="CD253"/>
      <c r="CE253"/>
      <c r="CF253"/>
      <c r="CG253"/>
      <c r="CH253"/>
      <c r="CI253"/>
      <c r="CJ253"/>
      <c r="CK253"/>
      <c r="CL253"/>
      <c r="CM253"/>
    </row>
    <row r="254" spans="1:91">
      <c r="A254" s="154" t="s">
        <v>7660</v>
      </c>
      <c r="B254" t="s">
        <v>8287</v>
      </c>
      <c r="C254">
        <v>1</v>
      </c>
      <c r="D254">
        <v>202</v>
      </c>
      <c r="E254" s="113">
        <v>2</v>
      </c>
      <c r="F254" s="113">
        <v>2</v>
      </c>
      <c r="I254">
        <v>35.499999999999993</v>
      </c>
      <c r="K254" s="320">
        <v>9</v>
      </c>
      <c r="L254" s="320"/>
      <c r="M254">
        <v>3.97</v>
      </c>
      <c r="N254" s="320"/>
      <c r="O254"/>
      <c r="P254"/>
      <c r="Q254"/>
      <c r="S254" s="320">
        <v>17.605693312500001</v>
      </c>
      <c r="T254" s="320"/>
      <c r="U254">
        <v>10.8</v>
      </c>
      <c r="V254"/>
      <c r="W254"/>
      <c r="X254"/>
      <c r="Y254" s="321">
        <v>6.8377008000000012</v>
      </c>
      <c r="Z254" s="320"/>
      <c r="AA254" s="322">
        <v>94292.929292929315</v>
      </c>
      <c r="AB254" s="320"/>
      <c r="AC254" s="321">
        <v>35.006250000000001</v>
      </c>
      <c r="AD254" s="320"/>
      <c r="AE254" s="320">
        <v>37.340000000000003</v>
      </c>
      <c r="AF254" s="320"/>
      <c r="AG254">
        <v>3.96</v>
      </c>
      <c r="AH254"/>
      <c r="AI254">
        <v>138</v>
      </c>
      <c r="AJ254"/>
      <c r="AK254"/>
      <c r="AL254"/>
      <c r="AM254"/>
      <c r="AN254"/>
      <c r="AO254">
        <v>81</v>
      </c>
      <c r="AP254"/>
      <c r="AQ254" s="323"/>
      <c r="AR254" s="323"/>
      <c r="AS254">
        <v>115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>
        <v>-3.2709000000000001</v>
      </c>
      <c r="BH254"/>
      <c r="BI254">
        <v>4.5926</v>
      </c>
      <c r="BJ254"/>
      <c r="BK254">
        <v>1.6613</v>
      </c>
      <c r="BL254"/>
      <c r="BM254">
        <v>69.578999999999994</v>
      </c>
      <c r="BN254"/>
      <c r="BO254">
        <v>20.518000000000001</v>
      </c>
      <c r="BP254"/>
      <c r="BQ254">
        <v>6.7092000000000001</v>
      </c>
      <c r="BR254"/>
      <c r="BS254">
        <v>50.292999999999999</v>
      </c>
      <c r="BT254"/>
      <c r="BU254">
        <v>17.036000000000001</v>
      </c>
      <c r="BV254"/>
      <c r="BW254" s="325">
        <v>5.48</v>
      </c>
      <c r="BX254"/>
      <c r="BY254">
        <v>6.1580000000000013</v>
      </c>
      <c r="BZ254"/>
      <c r="CA254"/>
      <c r="CC254">
        <v>7.57</v>
      </c>
      <c r="CD254"/>
      <c r="CE254"/>
      <c r="CF254"/>
      <c r="CG254"/>
      <c r="CH254"/>
      <c r="CI254"/>
      <c r="CJ254"/>
      <c r="CK254"/>
      <c r="CL254"/>
      <c r="CM254"/>
    </row>
    <row r="255" spans="1:91">
      <c r="A255" s="327" t="s">
        <v>7660</v>
      </c>
      <c r="B255" s="328" t="s">
        <v>8289</v>
      </c>
      <c r="C255" s="328">
        <v>2</v>
      </c>
      <c r="D255" s="328">
        <v>373</v>
      </c>
      <c r="E255" s="113">
        <v>73</v>
      </c>
      <c r="F255" s="113">
        <v>3</v>
      </c>
      <c r="G255" s="329"/>
      <c r="H255" s="329"/>
      <c r="I255" s="328">
        <v>27.499999999999996</v>
      </c>
      <c r="J255" s="330"/>
      <c r="K255" s="331">
        <v>7</v>
      </c>
      <c r="L255" s="331"/>
      <c r="M255" s="328">
        <v>1.28</v>
      </c>
      <c r="N255" s="331"/>
      <c r="O255" s="328"/>
      <c r="P255" s="328"/>
      <c r="Q255" s="328"/>
      <c r="R255" s="332"/>
      <c r="S255" s="331" t="s">
        <v>8361</v>
      </c>
      <c r="T255" s="331"/>
      <c r="U255" s="328">
        <v>10.8</v>
      </c>
      <c r="V255" s="328"/>
      <c r="W255" s="328"/>
      <c r="X255" s="328"/>
      <c r="Y255" s="333">
        <v>0</v>
      </c>
      <c r="Z255" s="331"/>
      <c r="AA255" s="334">
        <v>30356.234096692111</v>
      </c>
      <c r="AB255" s="331"/>
      <c r="AC255" s="333" t="s">
        <v>8361</v>
      </c>
      <c r="AD255" s="331"/>
      <c r="AE255" s="331">
        <v>11.93</v>
      </c>
      <c r="AF255" s="331"/>
      <c r="AG255" s="328">
        <v>3.93</v>
      </c>
      <c r="AH255" s="328"/>
      <c r="AI255" s="328">
        <v>110</v>
      </c>
      <c r="AJ255" s="328"/>
      <c r="AK255" s="328"/>
      <c r="AL255" s="328"/>
      <c r="AM255" s="328"/>
      <c r="AN255" s="328"/>
      <c r="AO255" s="328">
        <v>81</v>
      </c>
      <c r="AP255" s="328"/>
      <c r="AQ255" s="335"/>
      <c r="AR255" s="335"/>
      <c r="AS255" s="328">
        <v>116</v>
      </c>
      <c r="AT255" s="328"/>
      <c r="AU255" s="328"/>
      <c r="AV255" s="328"/>
      <c r="AW255" s="328"/>
      <c r="AX255" s="328"/>
      <c r="AY255" s="328"/>
      <c r="AZ255" s="328"/>
      <c r="BA255" s="328"/>
      <c r="BB255" s="328"/>
      <c r="BC255" s="328"/>
      <c r="BD255" s="328"/>
      <c r="BE255" s="328"/>
      <c r="BF255" s="328"/>
      <c r="BG255" s="328"/>
      <c r="BH255" s="328"/>
      <c r="BI255" s="328"/>
      <c r="BJ255" s="328"/>
      <c r="BK255" s="328"/>
      <c r="BL255" s="328"/>
      <c r="BM255" s="328"/>
      <c r="BN255" s="328"/>
      <c r="BO255" s="328"/>
      <c r="BP255" s="328"/>
      <c r="BQ255" s="328"/>
      <c r="BR255" s="328"/>
      <c r="BS255" s="328"/>
      <c r="BT255" s="328"/>
      <c r="BU255" s="328"/>
      <c r="BV255" s="328"/>
      <c r="BW255" s="328" t="s">
        <v>8361</v>
      </c>
      <c r="BX255" s="339"/>
      <c r="BY255" s="328" t="s">
        <v>8237</v>
      </c>
      <c r="BZ255" s="328"/>
      <c r="CA255" s="328"/>
      <c r="CB255" s="337"/>
      <c r="CC255" s="328">
        <v>8.42</v>
      </c>
      <c r="CD255" s="328"/>
      <c r="CE255" s="328"/>
      <c r="CF255" s="328"/>
      <c r="CG255" s="328"/>
      <c r="CH255" s="328"/>
      <c r="CI255" s="328"/>
      <c r="CJ255" s="328"/>
      <c r="CK255" s="328" t="s">
        <v>8377</v>
      </c>
      <c r="CL255" s="328"/>
      <c r="CM255" s="328"/>
    </row>
    <row r="256" spans="1:91">
      <c r="A256" s="154" t="s">
        <v>7660</v>
      </c>
      <c r="B256" t="s">
        <v>8287</v>
      </c>
      <c r="C256">
        <v>2</v>
      </c>
      <c r="D256">
        <v>1064</v>
      </c>
      <c r="E256" s="113">
        <v>64</v>
      </c>
      <c r="F256" s="113">
        <v>10</v>
      </c>
      <c r="I256">
        <v>34.5</v>
      </c>
      <c r="K256" s="320">
        <v>9</v>
      </c>
      <c r="L256" s="320"/>
      <c r="M256">
        <v>4.45</v>
      </c>
      <c r="N256" s="320"/>
      <c r="O256"/>
      <c r="P256"/>
      <c r="Q256"/>
      <c r="S256" s="320">
        <v>18.968835200543996</v>
      </c>
      <c r="T256" s="320"/>
      <c r="U256">
        <v>10.8</v>
      </c>
      <c r="V256"/>
      <c r="W256"/>
      <c r="X256"/>
      <c r="Y256" s="321">
        <v>7.9724016000000004</v>
      </c>
      <c r="Z256" s="320"/>
      <c r="AA256" s="322">
        <v>115678.6703601108</v>
      </c>
      <c r="AB256" s="320"/>
      <c r="AC256" s="321">
        <v>39.083601599999994</v>
      </c>
      <c r="AD256" s="320"/>
      <c r="AE256" s="320">
        <v>41.76</v>
      </c>
      <c r="AF256" s="320"/>
      <c r="AG256">
        <v>3.61</v>
      </c>
      <c r="AH256"/>
      <c r="AI256">
        <v>125</v>
      </c>
      <c r="AJ256"/>
      <c r="AK256"/>
      <c r="AL256"/>
      <c r="AM256"/>
      <c r="AN256"/>
      <c r="AO256">
        <v>79</v>
      </c>
      <c r="AP256"/>
      <c r="AQ256" s="323"/>
      <c r="AR256" s="323"/>
      <c r="AS256">
        <v>112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3.9937999999999998</v>
      </c>
      <c r="BH256"/>
      <c r="BI256">
        <v>4.6978999999999997</v>
      </c>
      <c r="BJ256"/>
      <c r="BK256">
        <v>1.5555000000000001</v>
      </c>
      <c r="BL256"/>
      <c r="BM256">
        <v>60.256</v>
      </c>
      <c r="BN256"/>
      <c r="BO256">
        <v>21.033999999999999</v>
      </c>
      <c r="BP256"/>
      <c r="BQ256">
        <v>7.5862999999999996</v>
      </c>
      <c r="BR256"/>
      <c r="BS256">
        <v>48.533999999999999</v>
      </c>
      <c r="BT256"/>
      <c r="BU256">
        <v>17.477</v>
      </c>
      <c r="BV256"/>
      <c r="BW256" s="325">
        <v>3.58</v>
      </c>
      <c r="BX256"/>
      <c r="BY256">
        <v>6.7590000000000003</v>
      </c>
      <c r="BZ256"/>
      <c r="CA256"/>
      <c r="CC256">
        <v>7.77</v>
      </c>
      <c r="CD256"/>
      <c r="CE256"/>
      <c r="CF256"/>
      <c r="CG256"/>
      <c r="CH256"/>
      <c r="CI256"/>
      <c r="CJ256"/>
      <c r="CK256"/>
      <c r="CL256"/>
      <c r="CM256"/>
    </row>
    <row r="257" spans="1:91">
      <c r="A257" s="154" t="s">
        <v>7660</v>
      </c>
      <c r="B257" t="s">
        <v>8289</v>
      </c>
      <c r="C257">
        <v>1</v>
      </c>
      <c r="D257">
        <v>1326</v>
      </c>
      <c r="E257" s="113">
        <v>26</v>
      </c>
      <c r="F257" s="113">
        <v>13</v>
      </c>
      <c r="I257">
        <v>27.499999999999996</v>
      </c>
      <c r="K257" s="320">
        <v>9</v>
      </c>
      <c r="L257" s="320"/>
      <c r="M257">
        <v>3.35</v>
      </c>
      <c r="N257" s="320"/>
      <c r="O257"/>
      <c r="P257"/>
      <c r="Q257"/>
      <c r="S257" s="320">
        <v>13.108213534308</v>
      </c>
      <c r="T257" s="320"/>
      <c r="U257">
        <v>10.8</v>
      </c>
      <c r="V257"/>
      <c r="W257"/>
      <c r="X257"/>
      <c r="Y257" s="321">
        <v>5.9877416000000006</v>
      </c>
      <c r="Z257" s="320"/>
      <c r="AA257" s="322">
        <v>75392.156862745091</v>
      </c>
      <c r="AB257" s="320"/>
      <c r="AC257" s="321">
        <v>28.626178800000002</v>
      </c>
      <c r="AD257" s="320"/>
      <c r="AE257" s="320">
        <v>30.76</v>
      </c>
      <c r="AF257" s="320"/>
      <c r="AG257">
        <v>4.08</v>
      </c>
      <c r="AH257"/>
      <c r="AI257">
        <v>118</v>
      </c>
      <c r="AJ257"/>
      <c r="AK257"/>
      <c r="AL257"/>
      <c r="AM257"/>
      <c r="AN257"/>
      <c r="AO257">
        <v>79</v>
      </c>
      <c r="AP257"/>
      <c r="AQ257" s="323"/>
      <c r="AR257" s="323"/>
      <c r="AS257">
        <v>112</v>
      </c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3.3462999999999998</v>
      </c>
      <c r="BH257"/>
      <c r="BI257">
        <v>5.2118000000000002</v>
      </c>
      <c r="BJ257"/>
      <c r="BK257">
        <v>1.4778</v>
      </c>
      <c r="BL257"/>
      <c r="BM257">
        <v>55.265999999999998</v>
      </c>
      <c r="BN257"/>
      <c r="BO257">
        <v>20.579000000000001</v>
      </c>
      <c r="BP257"/>
      <c r="BQ257">
        <v>7.7995999999999999</v>
      </c>
      <c r="BR257"/>
      <c r="BS257">
        <v>45.790999999999997</v>
      </c>
      <c r="BT257"/>
      <c r="BU257">
        <v>19.047999999999998</v>
      </c>
      <c r="BV257"/>
      <c r="BW257" s="325">
        <v>9.4700000000000006</v>
      </c>
      <c r="BX257"/>
      <c r="BY257">
        <v>6.8289999999999935</v>
      </c>
      <c r="BZ257"/>
      <c r="CA257"/>
      <c r="CC257">
        <v>9.76</v>
      </c>
      <c r="CD257"/>
      <c r="CE257"/>
      <c r="CF257"/>
      <c r="CG257"/>
      <c r="CH257"/>
      <c r="CI257"/>
      <c r="CJ257"/>
      <c r="CK257"/>
      <c r="CL257"/>
      <c r="CM257"/>
    </row>
    <row r="258" spans="1:91">
      <c r="A258" s="154" t="s">
        <v>7661</v>
      </c>
      <c r="B258" t="s">
        <v>8287</v>
      </c>
      <c r="C258">
        <v>1</v>
      </c>
      <c r="D258">
        <v>418</v>
      </c>
      <c r="E258" s="113">
        <v>18</v>
      </c>
      <c r="F258" s="113">
        <v>4</v>
      </c>
      <c r="I258">
        <v>41</v>
      </c>
      <c r="K258" s="320">
        <v>8</v>
      </c>
      <c r="L258" s="320"/>
      <c r="M258">
        <v>2.69</v>
      </c>
      <c r="N258" s="320"/>
      <c r="O258"/>
      <c r="P258"/>
      <c r="Q258"/>
      <c r="S258" s="320">
        <v>12.301510183904</v>
      </c>
      <c r="T258" s="320"/>
      <c r="U258">
        <v>10.8</v>
      </c>
      <c r="V258"/>
      <c r="W258"/>
      <c r="X258"/>
      <c r="Y258" s="321">
        <v>4.4421543999999997</v>
      </c>
      <c r="Z258" s="320"/>
      <c r="AA258" s="322">
        <v>53278.350515463921</v>
      </c>
      <c r="AB258" s="320"/>
      <c r="AC258" s="321">
        <v>24.1898576</v>
      </c>
      <c r="AD258" s="320"/>
      <c r="AE258" s="320">
        <v>25.84</v>
      </c>
      <c r="AF258" s="320"/>
      <c r="AG258">
        <v>4.8499999999999996</v>
      </c>
      <c r="AH258"/>
      <c r="AI258">
        <v>130</v>
      </c>
      <c r="AJ258"/>
      <c r="AK258"/>
      <c r="AL258"/>
      <c r="AM258"/>
      <c r="AN258"/>
      <c r="AO258">
        <v>90</v>
      </c>
      <c r="AP258"/>
      <c r="AQ258" s="323"/>
      <c r="AR258" s="323"/>
      <c r="AS258">
        <v>112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>
        <v>-0.80593999999999999</v>
      </c>
      <c r="BH258"/>
      <c r="BI258">
        <v>4.4965000000000002</v>
      </c>
      <c r="BJ258"/>
      <c r="BK258">
        <v>1.4803999999999999</v>
      </c>
      <c r="BL258"/>
      <c r="BM258">
        <v>64.266999999999996</v>
      </c>
      <c r="BN258"/>
      <c r="BO258">
        <v>20.385000000000002</v>
      </c>
      <c r="BP258"/>
      <c r="BQ258">
        <v>9.4623000000000008</v>
      </c>
      <c r="BR258"/>
      <c r="BS258">
        <v>50.853999999999999</v>
      </c>
      <c r="BT258"/>
      <c r="BU258">
        <v>17.936</v>
      </c>
      <c r="BV258"/>
      <c r="BW258" s="325">
        <v>13.74</v>
      </c>
      <c r="BX258"/>
      <c r="BY258">
        <v>6.1760000000000019</v>
      </c>
      <c r="BZ258"/>
      <c r="CA258"/>
      <c r="CC258">
        <v>5.61</v>
      </c>
      <c r="CD258"/>
      <c r="CE258"/>
      <c r="CF258"/>
      <c r="CG258"/>
      <c r="CH258"/>
      <c r="CI258"/>
      <c r="CJ258"/>
      <c r="CK258"/>
      <c r="CL258"/>
      <c r="CM258"/>
    </row>
    <row r="259" spans="1:91">
      <c r="A259" s="154" t="s">
        <v>7661</v>
      </c>
      <c r="B259" t="s">
        <v>8289</v>
      </c>
      <c r="C259">
        <v>2</v>
      </c>
      <c r="D259">
        <v>756</v>
      </c>
      <c r="E259" s="113">
        <v>56</v>
      </c>
      <c r="F259" s="113">
        <v>7</v>
      </c>
      <c r="I259">
        <v>32.999999999999993</v>
      </c>
      <c r="K259" s="320">
        <v>8</v>
      </c>
      <c r="L259" s="320"/>
      <c r="M259">
        <v>2.13</v>
      </c>
      <c r="N259" s="320"/>
      <c r="O259"/>
      <c r="P259"/>
      <c r="Q259"/>
      <c r="S259" s="320">
        <v>8.4355044994080011</v>
      </c>
      <c r="T259" s="320"/>
      <c r="U259">
        <v>10.8</v>
      </c>
      <c r="V259"/>
      <c r="W259"/>
      <c r="X259"/>
      <c r="Y259" s="321">
        <v>3.8209903999999999</v>
      </c>
      <c r="Z259" s="320"/>
      <c r="AA259" s="322">
        <v>40196.850393700784</v>
      </c>
      <c r="AB259" s="320"/>
      <c r="AC259" s="321">
        <v>19.055535600000002</v>
      </c>
      <c r="AD259" s="320"/>
      <c r="AE259" s="320">
        <v>20.420000000000002</v>
      </c>
      <c r="AF259" s="320"/>
      <c r="AG259">
        <v>5.08</v>
      </c>
      <c r="AH259"/>
      <c r="AI259">
        <v>115</v>
      </c>
      <c r="AJ259"/>
      <c r="AK259"/>
      <c r="AL259"/>
      <c r="AM259"/>
      <c r="AN259"/>
      <c r="AO259">
        <v>85</v>
      </c>
      <c r="AP259"/>
      <c r="AQ259" s="323"/>
      <c r="AR259" s="323"/>
      <c r="AS259">
        <v>112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>
        <v>-3.1103000000000001</v>
      </c>
      <c r="BH259"/>
      <c r="BI259">
        <v>4.9212999999999996</v>
      </c>
      <c r="BJ259"/>
      <c r="BK259">
        <v>1.679</v>
      </c>
      <c r="BL259"/>
      <c r="BM259">
        <v>64.149000000000001</v>
      </c>
      <c r="BN259"/>
      <c r="BO259">
        <v>19.71</v>
      </c>
      <c r="BP259"/>
      <c r="BQ259">
        <v>9.7461000000000002</v>
      </c>
      <c r="BR259"/>
      <c r="BS259">
        <v>44.268000000000001</v>
      </c>
      <c r="BT259"/>
      <c r="BU259">
        <v>20.547999999999998</v>
      </c>
      <c r="BV259"/>
      <c r="BW259" s="325">
        <v>1.39</v>
      </c>
      <c r="BX259"/>
      <c r="BY259">
        <v>7.152000000000001</v>
      </c>
      <c r="BZ259"/>
      <c r="CA259"/>
      <c r="CC259">
        <v>5.76</v>
      </c>
      <c r="CD259"/>
      <c r="CE259"/>
      <c r="CF259"/>
      <c r="CG259"/>
      <c r="CH259"/>
      <c r="CI259"/>
      <c r="CJ259"/>
      <c r="CK259"/>
      <c r="CL259"/>
      <c r="CM259"/>
    </row>
    <row r="260" spans="1:91">
      <c r="A260" s="154" t="s">
        <v>7661</v>
      </c>
      <c r="B260" t="s">
        <v>8287</v>
      </c>
      <c r="C260">
        <v>2</v>
      </c>
      <c r="D260">
        <v>1263</v>
      </c>
      <c r="E260" s="113">
        <v>63</v>
      </c>
      <c r="F260" s="113">
        <v>12</v>
      </c>
      <c r="I260">
        <v>35.499999999999993</v>
      </c>
      <c r="K260" s="320">
        <v>9</v>
      </c>
      <c r="L260" s="320"/>
      <c r="M260">
        <v>3.2</v>
      </c>
      <c r="N260" s="320"/>
      <c r="O260"/>
      <c r="P260"/>
      <c r="Q260"/>
      <c r="S260" s="320">
        <v>14.392766564460002</v>
      </c>
      <c r="T260" s="320"/>
      <c r="U260">
        <v>10.8</v>
      </c>
      <c r="V260"/>
      <c r="W260"/>
      <c r="X260"/>
      <c r="Y260" s="321">
        <v>4.927632</v>
      </c>
      <c r="Z260" s="320"/>
      <c r="AA260" s="322">
        <v>72753.623188405807</v>
      </c>
      <c r="AB260" s="320"/>
      <c r="AC260" s="321">
        <v>28.202862000000003</v>
      </c>
      <c r="AD260" s="320"/>
      <c r="AE260" s="320">
        <v>30.12</v>
      </c>
      <c r="AF260" s="320"/>
      <c r="AG260">
        <v>4.1399999999999997</v>
      </c>
      <c r="AH260"/>
      <c r="AI260">
        <v>130</v>
      </c>
      <c r="AJ260"/>
      <c r="AK260"/>
      <c r="AL260"/>
      <c r="AM260"/>
      <c r="AN260"/>
      <c r="AO260">
        <v>83</v>
      </c>
      <c r="AP260"/>
      <c r="AQ260" s="323"/>
      <c r="AR260" s="323"/>
      <c r="AS260">
        <v>112</v>
      </c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>
        <v>0.2213</v>
      </c>
      <c r="BH260"/>
      <c r="BI260">
        <v>4.9969999999999999</v>
      </c>
      <c r="BJ260"/>
      <c r="BK260">
        <v>1.3875</v>
      </c>
      <c r="BL260"/>
      <c r="BM260">
        <v>66.12</v>
      </c>
      <c r="BN260"/>
      <c r="BO260">
        <v>21.491</v>
      </c>
      <c r="BP260"/>
      <c r="BQ260">
        <v>9.0612999999999992</v>
      </c>
      <c r="BR260"/>
      <c r="BS260">
        <v>51.033000000000001</v>
      </c>
      <c r="BT260"/>
      <c r="BU260">
        <v>17.134</v>
      </c>
      <c r="BV260"/>
      <c r="BW260" s="325">
        <v>9.0399999999999991</v>
      </c>
      <c r="BX260"/>
      <c r="BY260">
        <v>6.5499999999999972</v>
      </c>
      <c r="BZ260"/>
      <c r="CA260"/>
      <c r="CC260">
        <v>7.48</v>
      </c>
      <c r="CD260"/>
      <c r="CE260"/>
      <c r="CF260"/>
      <c r="CG260"/>
      <c r="CH260"/>
      <c r="CI260"/>
      <c r="CJ260"/>
      <c r="CK260"/>
      <c r="CL260"/>
      <c r="CM260"/>
    </row>
    <row r="261" spans="1:91">
      <c r="A261" s="154" t="s">
        <v>7661</v>
      </c>
      <c r="B261" t="s">
        <v>8289</v>
      </c>
      <c r="C261">
        <v>1</v>
      </c>
      <c r="D261">
        <v>1735</v>
      </c>
      <c r="E261" s="113">
        <v>35</v>
      </c>
      <c r="F261" s="113">
        <v>17</v>
      </c>
      <c r="I261">
        <v>30.499999999999996</v>
      </c>
      <c r="K261" s="320">
        <v>8</v>
      </c>
      <c r="L261" s="320"/>
      <c r="M261">
        <v>2.85</v>
      </c>
      <c r="N261" s="320"/>
      <c r="O261"/>
      <c r="P261"/>
      <c r="Q261"/>
      <c r="S261" s="320">
        <v>11.777119084080001</v>
      </c>
      <c r="T261" s="320"/>
      <c r="U261">
        <v>10.8</v>
      </c>
      <c r="V261"/>
      <c r="W261"/>
      <c r="X261"/>
      <c r="Y261" s="321">
        <v>4.8035969999999999</v>
      </c>
      <c r="Z261" s="320"/>
      <c r="AA261" s="322">
        <v>67085.427135678387</v>
      </c>
      <c r="AB261" s="320"/>
      <c r="AC261" s="321">
        <v>24.796022999999998</v>
      </c>
      <c r="AD261" s="320"/>
      <c r="AE261" s="320">
        <v>26.7</v>
      </c>
      <c r="AF261" s="320"/>
      <c r="AG261">
        <v>3.98</v>
      </c>
      <c r="AH261"/>
      <c r="AI261">
        <v>123</v>
      </c>
      <c r="AJ261"/>
      <c r="AK261"/>
      <c r="AL261"/>
      <c r="AM261"/>
      <c r="AN261"/>
      <c r="AO261">
        <v>85</v>
      </c>
      <c r="AP261"/>
      <c r="AQ261" s="323"/>
      <c r="AR261" s="323"/>
      <c r="AS261">
        <v>112</v>
      </c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-4.8112000000000004</v>
      </c>
      <c r="BH261"/>
      <c r="BI261">
        <v>5.0857999999999999</v>
      </c>
      <c r="BJ261"/>
      <c r="BK261">
        <v>1.4004000000000001</v>
      </c>
      <c r="BL261"/>
      <c r="BM261">
        <v>64.86</v>
      </c>
      <c r="BN261"/>
      <c r="BO261">
        <v>22.501000000000001</v>
      </c>
      <c r="BP261"/>
      <c r="BQ261">
        <v>9.8162000000000003</v>
      </c>
      <c r="BR261"/>
      <c r="BS261">
        <v>47.496000000000002</v>
      </c>
      <c r="BT261"/>
      <c r="BU261">
        <v>19.096</v>
      </c>
      <c r="BV261"/>
      <c r="BW261" s="325">
        <v>14.66</v>
      </c>
      <c r="BX261"/>
      <c r="BY261">
        <v>6.7819999999999965</v>
      </c>
      <c r="BZ261"/>
      <c r="CA261"/>
      <c r="CC261">
        <v>7.94</v>
      </c>
      <c r="CD261"/>
      <c r="CE261"/>
      <c r="CF261"/>
      <c r="CG261"/>
      <c r="CH261"/>
      <c r="CI261"/>
      <c r="CJ261"/>
      <c r="CK261"/>
      <c r="CL261"/>
      <c r="CM261"/>
    </row>
    <row r="262" spans="1:91">
      <c r="A262" s="154" t="s">
        <v>7662</v>
      </c>
      <c r="B262" t="s">
        <v>8287</v>
      </c>
      <c r="C262">
        <v>1</v>
      </c>
      <c r="D262">
        <v>426</v>
      </c>
      <c r="E262" s="113">
        <v>26</v>
      </c>
      <c r="F262" s="113">
        <v>4</v>
      </c>
      <c r="I262">
        <v>22.5</v>
      </c>
      <c r="K262" s="320">
        <v>9</v>
      </c>
      <c r="L262" s="320"/>
      <c r="M262">
        <v>3.11</v>
      </c>
      <c r="N262" s="320"/>
      <c r="O262"/>
      <c r="P262"/>
      <c r="Q262"/>
      <c r="S262" s="320">
        <v>13.709208780299997</v>
      </c>
      <c r="T262" s="320"/>
      <c r="U262">
        <v>10.8</v>
      </c>
      <c r="V262"/>
      <c r="W262"/>
      <c r="X262"/>
      <c r="Y262" s="321">
        <v>5.1235482000000001</v>
      </c>
      <c r="Z262" s="320"/>
      <c r="AA262" s="322">
        <v>66806.526806526803</v>
      </c>
      <c r="AB262" s="320"/>
      <c r="AC262" s="321">
        <v>26.801972199999998</v>
      </c>
      <c r="AD262" s="320"/>
      <c r="AE262" s="320">
        <v>28.66</v>
      </c>
      <c r="AF262" s="320"/>
      <c r="AG262">
        <v>4.29</v>
      </c>
      <c r="AH262"/>
      <c r="AI262">
        <v>135</v>
      </c>
      <c r="AJ262"/>
      <c r="AK262"/>
      <c r="AL262"/>
      <c r="AM262"/>
      <c r="AN262"/>
      <c r="AO262">
        <v>81</v>
      </c>
      <c r="AP262"/>
      <c r="AQ262" s="323"/>
      <c r="AR262" s="323"/>
      <c r="AS262">
        <v>114</v>
      </c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>
        <v>1.6386000000000001</v>
      </c>
      <c r="BH262"/>
      <c r="BI262">
        <v>4.4852999999999996</v>
      </c>
      <c r="BJ262"/>
      <c r="BK262">
        <v>1.4943</v>
      </c>
      <c r="BL262"/>
      <c r="BM262">
        <v>65.959000000000003</v>
      </c>
      <c r="BN262"/>
      <c r="BO262">
        <v>19.477</v>
      </c>
      <c r="BP262"/>
      <c r="BQ262">
        <v>9.7238000000000007</v>
      </c>
      <c r="BR262"/>
      <c r="BS262">
        <v>51.15</v>
      </c>
      <c r="BT262"/>
      <c r="BU262">
        <v>17.195</v>
      </c>
      <c r="BV262"/>
      <c r="BW262" s="325">
        <v>12.61</v>
      </c>
      <c r="BX262"/>
      <c r="BY262">
        <v>6.3970000000000056</v>
      </c>
      <c r="BZ262"/>
      <c r="CA262"/>
      <c r="CC262">
        <v>9.44</v>
      </c>
      <c r="CD262"/>
      <c r="CE262"/>
      <c r="CF262"/>
      <c r="CG262"/>
      <c r="CH262"/>
      <c r="CI262"/>
      <c r="CJ262"/>
      <c r="CK262"/>
      <c r="CL262"/>
      <c r="CM262"/>
    </row>
    <row r="263" spans="1:91">
      <c r="A263" s="327" t="s">
        <v>7662</v>
      </c>
      <c r="B263" s="328" t="s">
        <v>8289</v>
      </c>
      <c r="C263" s="328">
        <v>2</v>
      </c>
      <c r="D263" s="328">
        <v>956</v>
      </c>
      <c r="E263" s="113">
        <v>56</v>
      </c>
      <c r="F263" s="113">
        <v>9</v>
      </c>
      <c r="G263" s="329"/>
      <c r="H263" s="329"/>
      <c r="I263" s="328">
        <v>26.499999999999996</v>
      </c>
      <c r="J263" s="330"/>
      <c r="K263" s="331">
        <v>8</v>
      </c>
      <c r="L263" s="331"/>
      <c r="M263" s="328">
        <v>1.52</v>
      </c>
      <c r="N263" s="331"/>
      <c r="O263" s="328"/>
      <c r="P263" s="328"/>
      <c r="Q263" s="328"/>
      <c r="R263" s="332"/>
      <c r="S263" s="331">
        <v>6.1232118835350002</v>
      </c>
      <c r="T263" s="331"/>
      <c r="U263" s="328">
        <v>10.8</v>
      </c>
      <c r="V263" s="328"/>
      <c r="W263" s="328"/>
      <c r="X263" s="328"/>
      <c r="Y263" s="333">
        <v>2.6886020999999998</v>
      </c>
      <c r="Z263" s="331"/>
      <c r="AA263" s="334">
        <v>33494.252873563222</v>
      </c>
      <c r="AB263" s="331"/>
      <c r="AC263" s="333">
        <v>13.663308900000001</v>
      </c>
      <c r="AD263" s="331"/>
      <c r="AE263" s="331">
        <v>14.57</v>
      </c>
      <c r="AF263" s="331"/>
      <c r="AG263" s="328">
        <v>4.3499999999999996</v>
      </c>
      <c r="AH263" s="328"/>
      <c r="AI263" s="328"/>
      <c r="AJ263" s="328"/>
      <c r="AK263" s="328"/>
      <c r="AL263" s="328"/>
      <c r="AM263" s="328"/>
      <c r="AN263" s="328"/>
      <c r="AO263" s="328">
        <v>80</v>
      </c>
      <c r="AP263" s="328"/>
      <c r="AQ263" s="335"/>
      <c r="AR263" s="335"/>
      <c r="AS263" s="328">
        <v>114</v>
      </c>
      <c r="AT263" s="328"/>
      <c r="AU263" s="328"/>
      <c r="AV263" s="328"/>
      <c r="AW263" s="328"/>
      <c r="AX263" s="328"/>
      <c r="AY263" s="328"/>
      <c r="AZ263" s="328"/>
      <c r="BA263" s="328"/>
      <c r="BB263" s="328"/>
      <c r="BC263" s="328"/>
      <c r="BD263" s="328"/>
      <c r="BE263" s="328"/>
      <c r="BF263" s="328"/>
      <c r="BG263" s="328">
        <v>6.1184000000000003</v>
      </c>
      <c r="BH263" s="328"/>
      <c r="BI263" s="328">
        <v>4.9379999999999997</v>
      </c>
      <c r="BJ263" s="328"/>
      <c r="BK263" s="328">
        <v>1.6278999999999999</v>
      </c>
      <c r="BL263" s="328"/>
      <c r="BM263" s="328">
        <v>59.402000000000001</v>
      </c>
      <c r="BN263" s="328"/>
      <c r="BO263" s="328">
        <v>19.959</v>
      </c>
      <c r="BP263" s="328"/>
      <c r="BQ263" s="328">
        <v>9.2476000000000003</v>
      </c>
      <c r="BR263" s="328"/>
      <c r="BS263" s="328">
        <v>44.814999999999998</v>
      </c>
      <c r="BT263" s="328"/>
      <c r="BU263" s="328">
        <v>19.507999999999999</v>
      </c>
      <c r="BV263" s="328"/>
      <c r="BW263" s="336">
        <v>5.94</v>
      </c>
      <c r="BX263" s="328"/>
      <c r="BY263" s="328">
        <v>6.8160000000000025</v>
      </c>
      <c r="BZ263" s="328"/>
      <c r="CA263" s="328"/>
      <c r="CB263" s="337"/>
      <c r="CC263" s="328">
        <v>5.78</v>
      </c>
      <c r="CD263" s="328"/>
      <c r="CE263" s="328"/>
      <c r="CF263" s="328"/>
      <c r="CG263" s="328"/>
      <c r="CH263" s="328"/>
      <c r="CI263" s="328"/>
      <c r="CJ263" s="328"/>
      <c r="CK263" s="328" t="s">
        <v>8377</v>
      </c>
      <c r="CL263" s="328"/>
      <c r="CM263" s="328"/>
    </row>
    <row r="264" spans="1:91">
      <c r="A264" s="154" t="s">
        <v>7662</v>
      </c>
      <c r="B264" t="s">
        <v>8287</v>
      </c>
      <c r="C264">
        <v>2</v>
      </c>
      <c r="D264">
        <v>1474</v>
      </c>
      <c r="E264" s="113">
        <v>74</v>
      </c>
      <c r="F264" s="113">
        <v>14</v>
      </c>
      <c r="I264">
        <v>18.5</v>
      </c>
      <c r="K264" s="320">
        <v>9</v>
      </c>
      <c r="L264" s="320"/>
      <c r="M264">
        <v>3.34</v>
      </c>
      <c r="N264" s="320"/>
      <c r="O264"/>
      <c r="P264"/>
      <c r="Q264"/>
      <c r="S264" s="320">
        <v>14.745125644579</v>
      </c>
      <c r="T264" s="320"/>
      <c r="U264">
        <v>10.8</v>
      </c>
      <c r="V264"/>
      <c r="W264"/>
      <c r="X264"/>
      <c r="Y264" s="321">
        <v>5.5980286999999995</v>
      </c>
      <c r="Z264" s="320"/>
      <c r="AA264" s="322">
        <v>87820.163487738406</v>
      </c>
      <c r="AB264" s="320"/>
      <c r="AC264" s="321">
        <v>30.1727591</v>
      </c>
      <c r="AD264" s="320"/>
      <c r="AE264" s="320">
        <v>32.229999999999997</v>
      </c>
      <c r="AF264" s="320"/>
      <c r="AG264">
        <v>3.67</v>
      </c>
      <c r="AH264"/>
      <c r="AI264">
        <v>133</v>
      </c>
      <c r="AJ264"/>
      <c r="AK264"/>
      <c r="AL264"/>
      <c r="AM264"/>
      <c r="AN264"/>
      <c r="AO264">
        <v>79</v>
      </c>
      <c r="AP264"/>
      <c r="AQ264" s="323"/>
      <c r="AR264" s="323"/>
      <c r="AS264">
        <v>112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>
        <v>1.6282000000000001</v>
      </c>
      <c r="BH264"/>
      <c r="BI264">
        <v>4.516</v>
      </c>
      <c r="BJ264"/>
      <c r="BK264">
        <v>1.5567</v>
      </c>
      <c r="BL264"/>
      <c r="BM264">
        <v>63.165999999999997</v>
      </c>
      <c r="BN264"/>
      <c r="BO264">
        <v>21.234000000000002</v>
      </c>
      <c r="BP264"/>
      <c r="BQ264">
        <v>9.3003999999999998</v>
      </c>
      <c r="BR264"/>
      <c r="BS264">
        <v>48.869</v>
      </c>
      <c r="BT264"/>
      <c r="BU264">
        <v>17.329999999999998</v>
      </c>
      <c r="BV264"/>
      <c r="BW264" s="325">
        <v>6.6</v>
      </c>
      <c r="BX264"/>
      <c r="BY264">
        <v>6.394999999999996</v>
      </c>
      <c r="BZ264"/>
      <c r="CA264"/>
      <c r="CC264">
        <v>5.15</v>
      </c>
      <c r="CD264"/>
      <c r="CE264"/>
      <c r="CF264"/>
      <c r="CG264"/>
      <c r="CH264"/>
      <c r="CI264"/>
      <c r="CJ264"/>
      <c r="CK264"/>
      <c r="CL264"/>
      <c r="CM264"/>
    </row>
    <row r="265" spans="1:91">
      <c r="A265" s="154" t="s">
        <v>7662</v>
      </c>
      <c r="B265" t="s">
        <v>8289</v>
      </c>
      <c r="C265">
        <v>1</v>
      </c>
      <c r="D265">
        <v>1710</v>
      </c>
      <c r="E265" s="113">
        <v>10</v>
      </c>
      <c r="F265" s="113">
        <v>17</v>
      </c>
      <c r="I265">
        <v>20.5</v>
      </c>
      <c r="K265" s="320">
        <v>8</v>
      </c>
      <c r="L265" s="320"/>
      <c r="M265">
        <v>3.08</v>
      </c>
      <c r="N265" s="320"/>
      <c r="O265"/>
      <c r="P265"/>
      <c r="Q265"/>
      <c r="S265" s="320">
        <v>13.75055682885</v>
      </c>
      <c r="T265" s="320"/>
      <c r="U265">
        <v>10.8</v>
      </c>
      <c r="V265"/>
      <c r="W265"/>
      <c r="X265"/>
      <c r="Y265" s="321">
        <v>5.5931937999999999</v>
      </c>
      <c r="Z265" s="320"/>
      <c r="AA265" s="322">
        <v>71731.707317073175</v>
      </c>
      <c r="AB265" s="320"/>
      <c r="AC265" s="321">
        <v>27.528642299999998</v>
      </c>
      <c r="AD265" s="320"/>
      <c r="AE265" s="320">
        <v>29.41</v>
      </c>
      <c r="AF265" s="320"/>
      <c r="AG265">
        <v>4.0999999999999996</v>
      </c>
      <c r="AH265"/>
      <c r="AI265">
        <v>125</v>
      </c>
      <c r="AJ265"/>
      <c r="AK265"/>
      <c r="AL265"/>
      <c r="AM265"/>
      <c r="AN265"/>
      <c r="AO265">
        <v>79</v>
      </c>
      <c r="AP265"/>
      <c r="AQ265" s="323"/>
      <c r="AR265" s="323"/>
      <c r="AS265">
        <v>112</v>
      </c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>
        <v>-3.3757999999999999</v>
      </c>
      <c r="BH265"/>
      <c r="BI265">
        <v>4.4554</v>
      </c>
      <c r="BJ265"/>
      <c r="BK265">
        <v>1.4876</v>
      </c>
      <c r="BL265"/>
      <c r="BM265">
        <v>62.856000000000002</v>
      </c>
      <c r="BN265"/>
      <c r="BO265">
        <v>20.145</v>
      </c>
      <c r="BP265"/>
      <c r="BQ265">
        <v>10.327</v>
      </c>
      <c r="BR265"/>
      <c r="BS265">
        <v>49.95</v>
      </c>
      <c r="BT265"/>
      <c r="BU265">
        <v>18.202999999999999</v>
      </c>
      <c r="BV265"/>
      <c r="BW265" s="325">
        <v>8.76</v>
      </c>
      <c r="BX265"/>
      <c r="BY265">
        <v>6.3130000000000024</v>
      </c>
      <c r="BZ265"/>
      <c r="CA265"/>
      <c r="CC265">
        <v>6.14</v>
      </c>
      <c r="CD265"/>
      <c r="CE265"/>
      <c r="CF265"/>
      <c r="CG265"/>
      <c r="CH265"/>
      <c r="CI265"/>
      <c r="CJ265"/>
      <c r="CK265"/>
      <c r="CL265"/>
      <c r="CM265"/>
    </row>
    <row r="266" spans="1:91">
      <c r="A266" s="327" t="s">
        <v>7663</v>
      </c>
      <c r="B266" s="328" t="s">
        <v>8287</v>
      </c>
      <c r="C266" s="328">
        <v>1</v>
      </c>
      <c r="D266" s="328">
        <v>921</v>
      </c>
      <c r="E266" s="113">
        <v>21</v>
      </c>
      <c r="F266" s="113">
        <v>9</v>
      </c>
      <c r="G266" s="329"/>
      <c r="H266" s="329"/>
      <c r="I266" s="328">
        <v>31</v>
      </c>
      <c r="J266" s="330"/>
      <c r="K266" s="331">
        <v>7</v>
      </c>
      <c r="L266" s="331"/>
      <c r="M266" s="328">
        <v>0.87</v>
      </c>
      <c r="N266" s="331"/>
      <c r="O266" s="328"/>
      <c r="P266" s="328"/>
      <c r="Q266" s="328"/>
      <c r="R266" s="332"/>
      <c r="S266" s="331">
        <v>3.5830064783630009</v>
      </c>
      <c r="T266" s="331"/>
      <c r="U266" s="328">
        <v>10.8</v>
      </c>
      <c r="V266" s="328"/>
      <c r="W266" s="328"/>
      <c r="X266" s="328"/>
      <c r="Y266" s="333">
        <v>1.3656514000000002</v>
      </c>
      <c r="Z266" s="331"/>
      <c r="AA266" s="334">
        <v>23457.142857142862</v>
      </c>
      <c r="AB266" s="331"/>
      <c r="AC266" s="333">
        <v>7.7155117000000013</v>
      </c>
      <c r="AD266" s="331"/>
      <c r="AE266" s="331">
        <v>8.2100000000000009</v>
      </c>
      <c r="AF266" s="331"/>
      <c r="AG266" s="328">
        <v>3.5</v>
      </c>
      <c r="AH266" s="328"/>
      <c r="AI266" s="328"/>
      <c r="AJ266" s="328"/>
      <c r="AK266" s="328"/>
      <c r="AL266" s="328"/>
      <c r="AM266" s="328"/>
      <c r="AN266" s="328"/>
      <c r="AO266" s="328">
        <v>90</v>
      </c>
      <c r="AP266" s="328"/>
      <c r="AQ266" s="335"/>
      <c r="AR266" s="335"/>
      <c r="AS266" s="328">
        <v>116</v>
      </c>
      <c r="AT266" s="328"/>
      <c r="AU266" s="328"/>
      <c r="AV266" s="328"/>
      <c r="AW266" s="328"/>
      <c r="AX266" s="328"/>
      <c r="AY266" s="328"/>
      <c r="AZ266" s="328"/>
      <c r="BA266" s="328"/>
      <c r="BB266" s="328"/>
      <c r="BC266" s="328"/>
      <c r="BD266" s="328"/>
      <c r="BE266" s="328"/>
      <c r="BF266" s="328"/>
      <c r="BG266" s="328">
        <v>10.381</v>
      </c>
      <c r="BH266" s="328"/>
      <c r="BI266" s="328">
        <v>4.6737000000000002</v>
      </c>
      <c r="BJ266" s="328"/>
      <c r="BK266" s="328">
        <v>1.4698</v>
      </c>
      <c r="BL266" s="328"/>
      <c r="BM266" s="328">
        <v>56.05</v>
      </c>
      <c r="BN266" s="328"/>
      <c r="BO266" s="328">
        <v>20.443999999999999</v>
      </c>
      <c r="BP266" s="328"/>
      <c r="BQ266" s="328">
        <v>9.0930999999999997</v>
      </c>
      <c r="BR266" s="328"/>
      <c r="BS266" s="328">
        <v>46.439</v>
      </c>
      <c r="BT266" s="328"/>
      <c r="BU266" s="328">
        <v>19.076000000000001</v>
      </c>
      <c r="BV266" s="328"/>
      <c r="BW266" s="336">
        <v>6.7</v>
      </c>
      <c r="BX266" s="328"/>
      <c r="BY266" s="328">
        <v>6.570999999999998</v>
      </c>
      <c r="BZ266" s="328"/>
      <c r="CA266" s="328"/>
      <c r="CB266" s="337"/>
      <c r="CC266" s="328">
        <v>7.23</v>
      </c>
      <c r="CD266" s="328"/>
      <c r="CE266" s="328"/>
      <c r="CF266" s="328"/>
      <c r="CG266" s="328"/>
      <c r="CH266" s="328"/>
      <c r="CI266" s="328"/>
      <c r="CJ266" s="328"/>
      <c r="CK266" s="328" t="s">
        <v>8377</v>
      </c>
      <c r="CL266" s="328"/>
      <c r="CM266" s="328"/>
    </row>
    <row r="267" spans="1:91">
      <c r="A267" s="327" t="s">
        <v>7663</v>
      </c>
      <c r="B267" s="328" t="s">
        <v>8289</v>
      </c>
      <c r="C267" s="328">
        <v>2</v>
      </c>
      <c r="D267" s="328">
        <v>952</v>
      </c>
      <c r="E267" s="113">
        <v>52</v>
      </c>
      <c r="F267" s="113">
        <v>9</v>
      </c>
      <c r="G267" s="329"/>
      <c r="H267" s="329"/>
      <c r="I267" s="328">
        <v>31</v>
      </c>
      <c r="J267" s="330"/>
      <c r="K267" s="331">
        <v>8</v>
      </c>
      <c r="L267" s="331"/>
      <c r="M267" s="328">
        <v>1.1499999999999999</v>
      </c>
      <c r="N267" s="331"/>
      <c r="O267" s="328"/>
      <c r="P267" s="328"/>
      <c r="Q267" s="328"/>
      <c r="R267" s="332"/>
      <c r="S267" s="331">
        <v>4.4820718387199996</v>
      </c>
      <c r="T267" s="331"/>
      <c r="U267" s="328">
        <v>10.8</v>
      </c>
      <c r="V267" s="328"/>
      <c r="W267" s="328"/>
      <c r="X267" s="328"/>
      <c r="Y267" s="333">
        <v>2.0611680000000003</v>
      </c>
      <c r="Z267" s="331"/>
      <c r="AA267" s="334">
        <v>29129.287598944589</v>
      </c>
      <c r="AB267" s="331"/>
      <c r="AC267" s="333">
        <v>10.344038399999999</v>
      </c>
      <c r="AD267" s="331"/>
      <c r="AE267" s="331">
        <v>11.04</v>
      </c>
      <c r="AF267" s="331"/>
      <c r="AG267" s="328">
        <v>3.79</v>
      </c>
      <c r="AH267" s="328"/>
      <c r="AI267" s="328"/>
      <c r="AJ267" s="328"/>
      <c r="AK267" s="328"/>
      <c r="AL267" s="328"/>
      <c r="AM267" s="328"/>
      <c r="AN267" s="328"/>
      <c r="AO267" s="328">
        <v>77</v>
      </c>
      <c r="AP267" s="328"/>
      <c r="AQ267" s="335"/>
      <c r="AR267" s="335"/>
      <c r="AS267" s="328">
        <v>118</v>
      </c>
      <c r="AT267" s="328"/>
      <c r="AU267" s="328"/>
      <c r="AV267" s="328"/>
      <c r="AW267" s="328"/>
      <c r="AX267" s="328"/>
      <c r="AY267" s="328"/>
      <c r="AZ267" s="328"/>
      <c r="BA267" s="328"/>
      <c r="BB267" s="328"/>
      <c r="BC267" s="328"/>
      <c r="BD267" s="328"/>
      <c r="BE267" s="328"/>
      <c r="BF267" s="328"/>
      <c r="BG267" s="328">
        <v>1.1994</v>
      </c>
      <c r="BH267" s="328"/>
      <c r="BI267" s="328">
        <v>5.0175000000000001</v>
      </c>
      <c r="BJ267" s="328"/>
      <c r="BK267" s="328">
        <v>1.6546000000000001</v>
      </c>
      <c r="BL267" s="328"/>
      <c r="BM267" s="328">
        <v>61.854999999999997</v>
      </c>
      <c r="BN267" s="328"/>
      <c r="BO267" s="328">
        <v>20.952000000000002</v>
      </c>
      <c r="BP267" s="328"/>
      <c r="BQ267" s="328">
        <v>8.6884999999999994</v>
      </c>
      <c r="BR267" s="328"/>
      <c r="BS267" s="328">
        <v>43.33</v>
      </c>
      <c r="BT267" s="328"/>
      <c r="BU267" s="328">
        <v>20.556000000000001</v>
      </c>
      <c r="BV267" s="328"/>
      <c r="BW267" s="336">
        <v>7.78</v>
      </c>
      <c r="BX267" s="328"/>
      <c r="BY267" s="328">
        <v>6.722999999999999</v>
      </c>
      <c r="BZ267" s="328"/>
      <c r="CA267" s="328"/>
      <c r="CB267" s="337"/>
      <c r="CC267" s="328">
        <v>5.67</v>
      </c>
      <c r="CD267" s="328"/>
      <c r="CE267" s="328"/>
      <c r="CF267" s="328"/>
      <c r="CG267" s="328"/>
      <c r="CH267" s="328"/>
      <c r="CI267" s="328"/>
      <c r="CJ267" s="328"/>
      <c r="CK267" s="328" t="s">
        <v>8377</v>
      </c>
      <c r="CL267" s="328"/>
      <c r="CM267" s="328"/>
    </row>
    <row r="268" spans="1:91">
      <c r="A268" s="154" t="s">
        <v>7663</v>
      </c>
      <c r="B268" t="s">
        <v>8287</v>
      </c>
      <c r="C268">
        <v>2</v>
      </c>
      <c r="D268">
        <v>1465</v>
      </c>
      <c r="E268" s="113">
        <v>65</v>
      </c>
      <c r="F268" s="113">
        <v>14</v>
      </c>
      <c r="I268">
        <v>23.5</v>
      </c>
      <c r="K268" s="320">
        <v>9</v>
      </c>
      <c r="L268" s="320"/>
      <c r="M268">
        <v>2.4300000000000002</v>
      </c>
      <c r="N268" s="320"/>
      <c r="O268"/>
      <c r="P268"/>
      <c r="Q268"/>
      <c r="S268" s="320">
        <v>10.166441005056001</v>
      </c>
      <c r="T268" s="320"/>
      <c r="U268">
        <v>10.8</v>
      </c>
      <c r="V268"/>
      <c r="W268"/>
      <c r="X268"/>
      <c r="Y268" s="321">
        <v>4.3426460000000002</v>
      </c>
      <c r="Z268" s="320"/>
      <c r="AA268" s="322">
        <v>65574.712643678155</v>
      </c>
      <c r="AB268" s="320"/>
      <c r="AC268" s="321">
        <v>21.381427200000001</v>
      </c>
      <c r="AD268" s="320"/>
      <c r="AE268" s="320">
        <v>22.82</v>
      </c>
      <c r="AF268" s="320"/>
      <c r="AG268">
        <v>3.48</v>
      </c>
      <c r="AH268"/>
      <c r="AI268">
        <v>133</v>
      </c>
      <c r="AJ268"/>
      <c r="AK268"/>
      <c r="AL268"/>
      <c r="AM268"/>
      <c r="AN268"/>
      <c r="AO268">
        <v>90</v>
      </c>
      <c r="AP268"/>
      <c r="AQ268" s="323"/>
      <c r="AR268" s="323"/>
      <c r="AS268">
        <v>116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>
        <v>3.1469999999999998</v>
      </c>
      <c r="BH268"/>
      <c r="BI268">
        <v>4.7028999999999996</v>
      </c>
      <c r="BJ268"/>
      <c r="BK268">
        <v>1.3947000000000001</v>
      </c>
      <c r="BL268"/>
      <c r="BM268">
        <v>56.469000000000001</v>
      </c>
      <c r="BN268"/>
      <c r="BO268">
        <v>22.962</v>
      </c>
      <c r="BP268"/>
      <c r="BQ268">
        <v>9.4433000000000007</v>
      </c>
      <c r="BR268"/>
      <c r="BS268">
        <v>47.548000000000002</v>
      </c>
      <c r="BT268"/>
      <c r="BU268">
        <v>18.439</v>
      </c>
      <c r="BV268"/>
      <c r="BW268" s="325">
        <v>7.81</v>
      </c>
      <c r="BX268"/>
      <c r="BY268">
        <v>6.563999999999993</v>
      </c>
      <c r="BZ268"/>
      <c r="CA268"/>
      <c r="CC268">
        <v>7.7</v>
      </c>
      <c r="CD268"/>
      <c r="CE268"/>
      <c r="CF268"/>
      <c r="CG268"/>
      <c r="CH268"/>
      <c r="CI268"/>
      <c r="CJ268"/>
      <c r="CK268"/>
      <c r="CL268"/>
      <c r="CM268"/>
    </row>
    <row r="269" spans="1:91">
      <c r="A269" s="154" t="s">
        <v>7663</v>
      </c>
      <c r="B269" t="s">
        <v>8289</v>
      </c>
      <c r="C269">
        <v>1</v>
      </c>
      <c r="D269">
        <v>1507</v>
      </c>
      <c r="E269" s="113">
        <v>7</v>
      </c>
      <c r="F269" s="113">
        <v>15</v>
      </c>
      <c r="I269">
        <v>23</v>
      </c>
      <c r="K269" s="320">
        <v>9</v>
      </c>
      <c r="L269" s="320"/>
      <c r="M269">
        <v>2.54</v>
      </c>
      <c r="N269" s="320"/>
      <c r="O269"/>
      <c r="P269"/>
      <c r="Q269"/>
      <c r="S269" s="320">
        <v>10.500299400896999</v>
      </c>
      <c r="T269" s="320"/>
      <c r="U269">
        <v>10.8</v>
      </c>
      <c r="V269"/>
      <c r="W269"/>
      <c r="X269"/>
      <c r="Y269" s="321">
        <v>4.5811463999999997</v>
      </c>
      <c r="Z269" s="320"/>
      <c r="AA269" s="322">
        <v>62913.38582677165</v>
      </c>
      <c r="AB269" s="320"/>
      <c r="AC269" s="321">
        <v>22.484099699999998</v>
      </c>
      <c r="AD269" s="320"/>
      <c r="AE269" s="320">
        <v>23.97</v>
      </c>
      <c r="AF269" s="320"/>
      <c r="AG269">
        <v>3.81</v>
      </c>
      <c r="AH269"/>
      <c r="AI269">
        <v>130</v>
      </c>
      <c r="AJ269"/>
      <c r="AK269"/>
      <c r="AL269"/>
      <c r="AM269"/>
      <c r="AN269"/>
      <c r="AO269">
        <v>80</v>
      </c>
      <c r="AP269"/>
      <c r="AQ269" s="323"/>
      <c r="AR269" s="323"/>
      <c r="AS269">
        <v>118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3.7425999999999999</v>
      </c>
      <c r="BH269"/>
      <c r="BI269">
        <v>4.5689000000000002</v>
      </c>
      <c r="BJ269"/>
      <c r="BK269">
        <v>1.4967999999999999</v>
      </c>
      <c r="BL269"/>
      <c r="BM269">
        <v>61.085000000000001</v>
      </c>
      <c r="BN269"/>
      <c r="BO269">
        <v>20.116</v>
      </c>
      <c r="BP269"/>
      <c r="BQ269">
        <v>9.5653000000000006</v>
      </c>
      <c r="BR269"/>
      <c r="BS269">
        <v>46.701000000000001</v>
      </c>
      <c r="BT269"/>
      <c r="BU269">
        <v>19.478000000000002</v>
      </c>
      <c r="BV269"/>
      <c r="BW269" s="325">
        <v>7.47</v>
      </c>
      <c r="BX269"/>
      <c r="BY269">
        <v>6.5490000000000066</v>
      </c>
      <c r="BZ269"/>
      <c r="CA269"/>
      <c r="CC269">
        <v>7.27</v>
      </c>
      <c r="CD269"/>
      <c r="CE269"/>
      <c r="CF269"/>
      <c r="CG269"/>
      <c r="CH269"/>
      <c r="CI269"/>
      <c r="CJ269"/>
      <c r="CK269"/>
      <c r="CL269"/>
      <c r="CM269"/>
    </row>
    <row r="270" spans="1:91">
      <c r="A270" s="154" t="s">
        <v>7664</v>
      </c>
      <c r="B270" t="s">
        <v>8287</v>
      </c>
      <c r="C270">
        <v>1</v>
      </c>
      <c r="D270">
        <v>414</v>
      </c>
      <c r="E270" s="113">
        <v>14</v>
      </c>
      <c r="F270" s="113">
        <v>4</v>
      </c>
      <c r="I270">
        <v>25</v>
      </c>
      <c r="K270" s="320">
        <v>8</v>
      </c>
      <c r="L270" s="320"/>
      <c r="M270">
        <v>2.86</v>
      </c>
      <c r="N270" s="320"/>
      <c r="O270"/>
      <c r="P270"/>
      <c r="Q270"/>
      <c r="S270" s="320">
        <v>13.360311380588998</v>
      </c>
      <c r="T270" s="320"/>
      <c r="U270">
        <v>10.8</v>
      </c>
      <c r="V270"/>
      <c r="W270"/>
      <c r="X270"/>
      <c r="Y270" s="321">
        <v>4.958469</v>
      </c>
      <c r="Z270" s="320"/>
      <c r="AA270" s="322">
        <v>70102.30179028133</v>
      </c>
      <c r="AB270" s="320"/>
      <c r="AC270" s="321">
        <v>25.7042757</v>
      </c>
      <c r="AD270" s="320"/>
      <c r="AE270" s="320">
        <v>27.41</v>
      </c>
      <c r="AF270" s="320"/>
      <c r="AG270">
        <v>3.91</v>
      </c>
      <c r="AH270"/>
      <c r="AI270">
        <v>135</v>
      </c>
      <c r="AJ270"/>
      <c r="AK270"/>
      <c r="AL270"/>
      <c r="AM270"/>
      <c r="AN270"/>
      <c r="AO270">
        <v>77</v>
      </c>
      <c r="AP270"/>
      <c r="AQ270" s="323"/>
      <c r="AR270" s="323"/>
      <c r="AS270">
        <v>112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>
        <v>2.7597999999999998</v>
      </c>
      <c r="BH270"/>
      <c r="BI270">
        <v>4.4481000000000002</v>
      </c>
      <c r="BJ270"/>
      <c r="BK270">
        <v>1.5728</v>
      </c>
      <c r="BL270"/>
      <c r="BM270">
        <v>61.883000000000003</v>
      </c>
      <c r="BN270"/>
      <c r="BO270">
        <v>19.29</v>
      </c>
      <c r="BP270"/>
      <c r="BQ270">
        <v>7.9301000000000004</v>
      </c>
      <c r="BR270"/>
      <c r="BS270">
        <v>51.976999999999997</v>
      </c>
      <c r="BT270"/>
      <c r="BU270">
        <v>17.53</v>
      </c>
      <c r="BV270"/>
      <c r="BW270" s="325">
        <v>15.04</v>
      </c>
      <c r="BX270"/>
      <c r="BY270">
        <v>6.2469999999999999</v>
      </c>
      <c r="BZ270"/>
      <c r="CA270"/>
      <c r="CC270">
        <v>5.81</v>
      </c>
      <c r="CD270"/>
      <c r="CE270"/>
      <c r="CF270"/>
      <c r="CG270"/>
      <c r="CH270"/>
      <c r="CI270"/>
      <c r="CJ270"/>
      <c r="CK270"/>
      <c r="CL270"/>
      <c r="CM270"/>
    </row>
    <row r="271" spans="1:91">
      <c r="A271" s="154" t="s">
        <v>7664</v>
      </c>
      <c r="B271" t="s">
        <v>8289</v>
      </c>
      <c r="C271">
        <v>2</v>
      </c>
      <c r="D271">
        <v>565</v>
      </c>
      <c r="E271" s="113">
        <v>65</v>
      </c>
      <c r="F271" s="113">
        <v>5</v>
      </c>
      <c r="I271">
        <v>29.5</v>
      </c>
      <c r="K271" s="320">
        <v>9</v>
      </c>
      <c r="L271" s="320"/>
      <c r="M271">
        <v>1.9</v>
      </c>
      <c r="N271" s="320"/>
      <c r="O271"/>
      <c r="P271"/>
      <c r="Q271"/>
      <c r="S271" s="320">
        <v>7.1014245000689993</v>
      </c>
      <c r="T271" s="320"/>
      <c r="U271">
        <v>10.8</v>
      </c>
      <c r="V271"/>
      <c r="W271"/>
      <c r="X271"/>
      <c r="Y271" s="321">
        <v>3.3753086999999997</v>
      </c>
      <c r="Z271" s="320"/>
      <c r="AA271" s="322">
        <v>42536.231884057968</v>
      </c>
      <c r="AB271" s="320"/>
      <c r="AC271" s="321">
        <v>16.393325099999998</v>
      </c>
      <c r="AD271" s="320"/>
      <c r="AE271" s="320">
        <v>17.61</v>
      </c>
      <c r="AF271" s="320"/>
      <c r="AG271">
        <v>4.1399999999999997</v>
      </c>
      <c r="AH271"/>
      <c r="AI271">
        <v>125</v>
      </c>
      <c r="AJ271"/>
      <c r="AK271"/>
      <c r="AL271"/>
      <c r="AM271"/>
      <c r="AN271"/>
      <c r="AO271">
        <v>77</v>
      </c>
      <c r="AP271"/>
      <c r="AQ271" s="323"/>
      <c r="AR271" s="323"/>
      <c r="AS271">
        <v>112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>
        <v>1.4055</v>
      </c>
      <c r="BH271"/>
      <c r="BI271">
        <v>4.9157000000000002</v>
      </c>
      <c r="BJ271"/>
      <c r="BK271">
        <v>1.6009</v>
      </c>
      <c r="BL271"/>
      <c r="BM271">
        <v>57.378</v>
      </c>
      <c r="BN271"/>
      <c r="BO271">
        <v>19.407</v>
      </c>
      <c r="BP271"/>
      <c r="BQ271">
        <v>9.4686000000000003</v>
      </c>
      <c r="BR271"/>
      <c r="BS271">
        <v>43.319000000000003</v>
      </c>
      <c r="BT271"/>
      <c r="BU271">
        <v>21.071000000000002</v>
      </c>
      <c r="BV271"/>
      <c r="BW271" s="325">
        <v>4.9400000000000004</v>
      </c>
      <c r="BX271"/>
      <c r="BY271">
        <v>7.4909999999999997</v>
      </c>
      <c r="BZ271"/>
      <c r="CA271"/>
      <c r="CC271">
        <v>8.91</v>
      </c>
      <c r="CD271"/>
      <c r="CE271"/>
      <c r="CF271"/>
      <c r="CG271"/>
      <c r="CH271"/>
      <c r="CI271"/>
      <c r="CJ271"/>
      <c r="CK271"/>
      <c r="CL271"/>
      <c r="CM271"/>
    </row>
    <row r="272" spans="1:91">
      <c r="A272" s="154" t="s">
        <v>7664</v>
      </c>
      <c r="B272" t="s">
        <v>8287</v>
      </c>
      <c r="C272">
        <v>2</v>
      </c>
      <c r="D272">
        <v>1541</v>
      </c>
      <c r="E272" s="113">
        <v>41</v>
      </c>
      <c r="F272" s="113">
        <v>15</v>
      </c>
      <c r="I272">
        <v>32</v>
      </c>
      <c r="K272" s="320">
        <v>8</v>
      </c>
      <c r="L272" s="320"/>
      <c r="M272">
        <v>3.51</v>
      </c>
      <c r="N272" s="320"/>
      <c r="O272"/>
      <c r="P272"/>
      <c r="Q272"/>
      <c r="S272" s="320" t="s">
        <v>8361</v>
      </c>
      <c r="T272" s="320"/>
      <c r="U272">
        <v>10.8</v>
      </c>
      <c r="V272"/>
      <c r="W272"/>
      <c r="X272"/>
      <c r="Y272" s="321">
        <v>0</v>
      </c>
      <c r="Z272" s="320"/>
      <c r="AA272" s="322">
        <v>90000</v>
      </c>
      <c r="AB272" s="320"/>
      <c r="AC272" s="321" t="s">
        <v>8361</v>
      </c>
      <c r="AD272" s="320"/>
      <c r="AE272" s="320">
        <v>33.75</v>
      </c>
      <c r="AF272" s="320"/>
      <c r="AG272">
        <v>3.75</v>
      </c>
      <c r="AH272"/>
      <c r="AI272">
        <v>130</v>
      </c>
      <c r="AJ272"/>
      <c r="AK272"/>
      <c r="AL272"/>
      <c r="AM272"/>
      <c r="AN272"/>
      <c r="AO272">
        <v>78</v>
      </c>
      <c r="AP272"/>
      <c r="AQ272" s="323"/>
      <c r="AR272" s="323"/>
      <c r="AS272">
        <v>112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>
        <v>0.19653999999999999</v>
      </c>
      <c r="BH272"/>
      <c r="BI272">
        <v>4.5757000000000003</v>
      </c>
      <c r="BJ272"/>
      <c r="BK272">
        <v>1.5692999999999999</v>
      </c>
      <c r="BL272"/>
      <c r="BM272">
        <v>64.543999999999997</v>
      </c>
      <c r="BN272"/>
      <c r="BO272">
        <v>20.059999999999999</v>
      </c>
      <c r="BP272"/>
      <c r="BQ272">
        <v>8.4514999999999993</v>
      </c>
      <c r="BR272"/>
      <c r="BS272">
        <v>50.338000000000001</v>
      </c>
      <c r="BT272"/>
      <c r="BU272">
        <v>18.869</v>
      </c>
      <c r="BV272"/>
      <c r="BW272" s="325">
        <v>7.8</v>
      </c>
      <c r="BX272"/>
      <c r="BY272">
        <v>6.3490000000000038</v>
      </c>
      <c r="BZ272"/>
      <c r="CA272"/>
      <c r="CC272">
        <v>5.51</v>
      </c>
      <c r="CD272"/>
      <c r="CE272"/>
      <c r="CF272"/>
      <c r="CG272"/>
      <c r="CH272"/>
      <c r="CI272"/>
      <c r="CJ272"/>
      <c r="CK272"/>
      <c r="CL272"/>
      <c r="CM272"/>
    </row>
    <row r="273" spans="1:91">
      <c r="A273" s="154" t="s">
        <v>7664</v>
      </c>
      <c r="B273" t="s">
        <v>8289</v>
      </c>
      <c r="C273">
        <v>1</v>
      </c>
      <c r="D273">
        <v>1534</v>
      </c>
      <c r="E273" s="113">
        <v>34</v>
      </c>
      <c r="F273" s="113">
        <v>15</v>
      </c>
      <c r="I273">
        <v>32</v>
      </c>
      <c r="K273" s="320">
        <v>8</v>
      </c>
      <c r="L273" s="320"/>
      <c r="M273">
        <v>3.57</v>
      </c>
      <c r="N273" s="320"/>
      <c r="O273"/>
      <c r="P273"/>
      <c r="Q273"/>
      <c r="S273" s="320">
        <v>15.725051761700001</v>
      </c>
      <c r="T273" s="320"/>
      <c r="U273">
        <v>10.8</v>
      </c>
      <c r="V273"/>
      <c r="W273"/>
      <c r="X273"/>
      <c r="Y273" s="321">
        <v>6.6105550000000006</v>
      </c>
      <c r="Z273" s="320"/>
      <c r="AA273" s="322">
        <v>89095.744680851072</v>
      </c>
      <c r="AB273" s="320"/>
      <c r="AC273" s="321">
        <v>31.375430000000001</v>
      </c>
      <c r="AD273" s="320"/>
      <c r="AE273" s="320">
        <v>33.5</v>
      </c>
      <c r="AF273" s="320"/>
      <c r="AG273">
        <v>3.76</v>
      </c>
      <c r="AH273"/>
      <c r="AI273">
        <v>128</v>
      </c>
      <c r="AJ273"/>
      <c r="AK273"/>
      <c r="AL273"/>
      <c r="AM273"/>
      <c r="AN273"/>
      <c r="AO273">
        <v>79</v>
      </c>
      <c r="AP273"/>
      <c r="AQ273" s="323"/>
      <c r="AR273" s="323"/>
      <c r="AS273">
        <v>112</v>
      </c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>
        <v>0.99936000000000003</v>
      </c>
      <c r="BH273"/>
      <c r="BI273">
        <v>4.5495999999999999</v>
      </c>
      <c r="BJ273"/>
      <c r="BK273">
        <v>1.5361</v>
      </c>
      <c r="BL273"/>
      <c r="BM273">
        <v>65.998000000000005</v>
      </c>
      <c r="BN273"/>
      <c r="BO273">
        <v>20.015999999999998</v>
      </c>
      <c r="BP273"/>
      <c r="BQ273">
        <v>7.9938000000000002</v>
      </c>
      <c r="BR273"/>
      <c r="BS273">
        <v>50.119</v>
      </c>
      <c r="BT273"/>
      <c r="BU273">
        <v>18.402999999999999</v>
      </c>
      <c r="BV273"/>
      <c r="BW273" s="325">
        <v>8.18</v>
      </c>
      <c r="BX273"/>
      <c r="BY273">
        <v>6.5390000000000015</v>
      </c>
      <c r="BZ273"/>
      <c r="CA273"/>
      <c r="CC273">
        <v>7.78</v>
      </c>
      <c r="CD273"/>
      <c r="CE273"/>
      <c r="CF273"/>
      <c r="CG273"/>
      <c r="CH273"/>
      <c r="CI273"/>
      <c r="CJ273"/>
      <c r="CK273"/>
      <c r="CL273"/>
      <c r="CM273"/>
    </row>
    <row r="274" spans="1:91">
      <c r="A274" s="154" t="s">
        <v>7665</v>
      </c>
      <c r="B274" t="s">
        <v>8289</v>
      </c>
      <c r="C274">
        <v>2</v>
      </c>
      <c r="D274">
        <v>441</v>
      </c>
      <c r="E274" s="113">
        <v>41</v>
      </c>
      <c r="F274" s="113">
        <v>4</v>
      </c>
      <c r="I274">
        <v>31</v>
      </c>
      <c r="K274" s="320">
        <v>9</v>
      </c>
      <c r="L274" s="320"/>
      <c r="M274">
        <v>3.3</v>
      </c>
      <c r="N274" s="320"/>
      <c r="O274"/>
      <c r="P274"/>
      <c r="Q274"/>
      <c r="S274" s="320">
        <v>14.958005333900001</v>
      </c>
      <c r="T274" s="320"/>
      <c r="U274">
        <v>10.8</v>
      </c>
      <c r="V274"/>
      <c r="W274"/>
      <c r="X274"/>
      <c r="Y274" s="321">
        <v>5.1816819999999995</v>
      </c>
      <c r="Z274" s="320"/>
      <c r="AA274" s="322">
        <v>89295.774647887316</v>
      </c>
      <c r="AB274" s="320"/>
      <c r="AC274" s="321">
        <v>29.675637999999999</v>
      </c>
      <c r="AD274" s="320"/>
      <c r="AE274" s="320">
        <v>31.7</v>
      </c>
      <c r="AF274" s="320"/>
      <c r="AG274">
        <v>3.55</v>
      </c>
      <c r="AH274"/>
      <c r="AI274">
        <v>133</v>
      </c>
      <c r="AJ274"/>
      <c r="AK274"/>
      <c r="AL274"/>
      <c r="AM274"/>
      <c r="AN274"/>
      <c r="AO274">
        <v>77</v>
      </c>
      <c r="AP274"/>
      <c r="AQ274" s="323"/>
      <c r="AR274" s="323"/>
      <c r="AS274">
        <v>112</v>
      </c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>
        <v>0.47070000000000001</v>
      </c>
      <c r="BH274"/>
      <c r="BI274">
        <v>4.6185</v>
      </c>
      <c r="BJ274"/>
      <c r="BK274">
        <v>1.5036</v>
      </c>
      <c r="BL274"/>
      <c r="BM274">
        <v>62.002000000000002</v>
      </c>
      <c r="BN274"/>
      <c r="BO274">
        <v>20.469000000000001</v>
      </c>
      <c r="BP274"/>
      <c r="BQ274">
        <v>9.2053999999999991</v>
      </c>
      <c r="BR274"/>
      <c r="BS274">
        <v>50.405000000000001</v>
      </c>
      <c r="BT274"/>
      <c r="BU274">
        <v>17.398</v>
      </c>
      <c r="BV274"/>
      <c r="BW274" s="325">
        <v>10.19</v>
      </c>
      <c r="BX274"/>
      <c r="BY274">
        <v>6.3829999999999956</v>
      </c>
      <c r="BZ274"/>
      <c r="CA274"/>
      <c r="CC274">
        <v>5.6</v>
      </c>
      <c r="CD274"/>
      <c r="CE274"/>
      <c r="CF274"/>
      <c r="CG274"/>
      <c r="CH274"/>
      <c r="CI274"/>
      <c r="CJ274"/>
      <c r="CK274"/>
      <c r="CL274"/>
      <c r="CM274"/>
    </row>
    <row r="275" spans="1:91">
      <c r="A275" s="154" t="s">
        <v>7665</v>
      </c>
      <c r="B275" t="s">
        <v>8287</v>
      </c>
      <c r="C275">
        <v>1</v>
      </c>
      <c r="D275">
        <v>503</v>
      </c>
      <c r="E275" s="113">
        <v>3</v>
      </c>
      <c r="F275" s="113">
        <v>5</v>
      </c>
      <c r="I275">
        <v>31.499999999999996</v>
      </c>
      <c r="K275" s="320">
        <v>9</v>
      </c>
      <c r="L275" s="320"/>
      <c r="M275">
        <v>3.38</v>
      </c>
      <c r="N275" s="320"/>
      <c r="O275"/>
      <c r="P275"/>
      <c r="Q275"/>
      <c r="S275" s="320">
        <v>15.565918181856</v>
      </c>
      <c r="T275" s="320"/>
      <c r="U275">
        <v>10.8</v>
      </c>
      <c r="V275"/>
      <c r="W275"/>
      <c r="X275"/>
      <c r="Y275" s="321">
        <v>5.4309788000000001</v>
      </c>
      <c r="Z275" s="320"/>
      <c r="AA275" s="322">
        <v>89146.00550964188</v>
      </c>
      <c r="AB275" s="320"/>
      <c r="AC275" s="321">
        <v>30.291548800000001</v>
      </c>
      <c r="AD275" s="320"/>
      <c r="AE275" s="320">
        <v>32.36</v>
      </c>
      <c r="AF275" s="320"/>
      <c r="AG275">
        <v>3.63</v>
      </c>
      <c r="AH275"/>
      <c r="AI275">
        <v>125</v>
      </c>
      <c r="AJ275"/>
      <c r="AK275"/>
      <c r="AL275"/>
      <c r="AM275"/>
      <c r="AN275"/>
      <c r="AO275">
        <v>77</v>
      </c>
      <c r="AP275"/>
      <c r="AQ275" s="323"/>
      <c r="AR275" s="323"/>
      <c r="AS275">
        <v>112</v>
      </c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>
        <v>-0.11229</v>
      </c>
      <c r="BH275"/>
      <c r="BI275">
        <v>4.2878999999999996</v>
      </c>
      <c r="BJ275"/>
      <c r="BK275">
        <v>1.5649999999999999</v>
      </c>
      <c r="BL275"/>
      <c r="BM275">
        <v>62.420999999999999</v>
      </c>
      <c r="BN275"/>
      <c r="BO275">
        <v>20.347999999999999</v>
      </c>
      <c r="BP275"/>
      <c r="BQ275">
        <v>9.7074999999999996</v>
      </c>
      <c r="BR275"/>
      <c r="BS275">
        <v>51.387</v>
      </c>
      <c r="BT275"/>
      <c r="BU275">
        <v>17.3</v>
      </c>
      <c r="BV275"/>
      <c r="BW275" s="325">
        <v>8.2899999999999991</v>
      </c>
      <c r="BX275"/>
      <c r="BY275">
        <v>6.2729999999999961</v>
      </c>
      <c r="BZ275"/>
      <c r="CA275"/>
      <c r="CC275">
        <v>5.91</v>
      </c>
      <c r="CD275"/>
      <c r="CE275"/>
      <c r="CF275"/>
      <c r="CG275"/>
      <c r="CH275"/>
      <c r="CI275"/>
      <c r="CJ275"/>
      <c r="CK275"/>
      <c r="CL275"/>
      <c r="CM275"/>
    </row>
    <row r="276" spans="1:91">
      <c r="A276" s="154" t="s">
        <v>7665</v>
      </c>
      <c r="B276" t="s">
        <v>8289</v>
      </c>
      <c r="C276">
        <v>1</v>
      </c>
      <c r="D276">
        <v>1012</v>
      </c>
      <c r="E276" s="113">
        <v>12</v>
      </c>
      <c r="F276" s="113">
        <v>10</v>
      </c>
      <c r="I276">
        <v>17.5</v>
      </c>
      <c r="K276" s="320">
        <v>9</v>
      </c>
      <c r="L276" s="320"/>
      <c r="M276">
        <v>3.04</v>
      </c>
      <c r="N276" s="320"/>
      <c r="O276"/>
      <c r="P276"/>
      <c r="Q276"/>
      <c r="S276" s="320">
        <v>13.365726641230003</v>
      </c>
      <c r="T276" s="320"/>
      <c r="U276">
        <v>10.8</v>
      </c>
      <c r="V276"/>
      <c r="W276"/>
      <c r="X276"/>
      <c r="Y276" s="321">
        <v>5.5262565000000006</v>
      </c>
      <c r="Z276" s="320"/>
      <c r="AA276" s="322">
        <v>78837.83783783784</v>
      </c>
      <c r="AB276" s="320"/>
      <c r="AC276" s="321">
        <v>27.204817100000003</v>
      </c>
      <c r="AD276" s="320"/>
      <c r="AE276" s="320">
        <v>29.17</v>
      </c>
      <c r="AF276" s="320"/>
      <c r="AG276">
        <v>3.7</v>
      </c>
      <c r="AH276"/>
      <c r="AI276">
        <v>118</v>
      </c>
      <c r="AJ276"/>
      <c r="AK276"/>
      <c r="AL276"/>
      <c r="AM276"/>
      <c r="AN276"/>
      <c r="AO276">
        <v>77</v>
      </c>
      <c r="AP276"/>
      <c r="AQ276" s="323"/>
      <c r="AR276" s="323"/>
      <c r="AS276">
        <v>112</v>
      </c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>
        <v>-1.2203999999999999</v>
      </c>
      <c r="BH276"/>
      <c r="BI276">
        <v>4.4425999999999997</v>
      </c>
      <c r="BJ276"/>
      <c r="BK276">
        <v>1.6163000000000001</v>
      </c>
      <c r="BL276"/>
      <c r="BM276">
        <v>65.447999999999993</v>
      </c>
      <c r="BN276"/>
      <c r="BO276">
        <v>19.423999999999999</v>
      </c>
      <c r="BP276"/>
      <c r="BQ276">
        <v>9.7353000000000005</v>
      </c>
      <c r="BR276"/>
      <c r="BS276">
        <v>49.13</v>
      </c>
      <c r="BT276"/>
      <c r="BU276">
        <v>19.195</v>
      </c>
      <c r="BV276"/>
      <c r="BW276" s="325">
        <v>10.02</v>
      </c>
      <c r="BX276"/>
      <c r="BY276">
        <v>6.4030000000000058</v>
      </c>
      <c r="BZ276"/>
      <c r="CA276"/>
      <c r="CC276">
        <v>5.69</v>
      </c>
      <c r="CD276"/>
      <c r="CE276"/>
      <c r="CF276"/>
      <c r="CG276"/>
      <c r="CH276"/>
      <c r="CI276"/>
      <c r="CJ276"/>
      <c r="CK276"/>
      <c r="CL276"/>
      <c r="CM276"/>
    </row>
    <row r="277" spans="1:91">
      <c r="A277" s="154" t="s">
        <v>7665</v>
      </c>
      <c r="B277" t="s">
        <v>8287</v>
      </c>
      <c r="C277">
        <v>2</v>
      </c>
      <c r="D277">
        <v>1269</v>
      </c>
      <c r="E277" s="113">
        <v>69</v>
      </c>
      <c r="F277" s="113">
        <v>12</v>
      </c>
      <c r="I277">
        <v>30.499999999999996</v>
      </c>
      <c r="K277" s="320">
        <v>9</v>
      </c>
      <c r="L277" s="320"/>
      <c r="M277">
        <v>3</v>
      </c>
      <c r="N277" s="320"/>
      <c r="O277"/>
      <c r="P277"/>
      <c r="Q277"/>
      <c r="S277" s="320">
        <v>13.98710702592</v>
      </c>
      <c r="T277" s="320"/>
      <c r="U277">
        <v>10.8</v>
      </c>
      <c r="V277"/>
      <c r="W277"/>
      <c r="X277"/>
      <c r="Y277" s="321">
        <v>4.5990719999999996</v>
      </c>
      <c r="Z277" s="320"/>
      <c r="AA277" s="322">
        <v>82051.282051282062</v>
      </c>
      <c r="AB277" s="320"/>
      <c r="AC277" s="321">
        <v>26.900351999999998</v>
      </c>
      <c r="AD277" s="320"/>
      <c r="AE277" s="320">
        <v>28.8</v>
      </c>
      <c r="AF277" s="320"/>
      <c r="AG277">
        <v>3.51</v>
      </c>
      <c r="AH277"/>
      <c r="AI277">
        <v>115</v>
      </c>
      <c r="AJ277"/>
      <c r="AK277"/>
      <c r="AL277"/>
      <c r="AM277"/>
      <c r="AN277"/>
      <c r="AO277">
        <v>77</v>
      </c>
      <c r="AP277"/>
      <c r="AQ277" s="323"/>
      <c r="AR277" s="323"/>
      <c r="AS277">
        <v>112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>
        <v>1.248</v>
      </c>
      <c r="BH277"/>
      <c r="BI277">
        <v>5.0218999999999996</v>
      </c>
      <c r="BJ277"/>
      <c r="BK277">
        <v>1.4644999999999999</v>
      </c>
      <c r="BL277"/>
      <c r="BM277">
        <v>65.822999999999993</v>
      </c>
      <c r="BN277"/>
      <c r="BO277">
        <v>20.716000000000001</v>
      </c>
      <c r="BP277"/>
      <c r="BQ277">
        <v>8.7288999999999994</v>
      </c>
      <c r="BR277"/>
      <c r="BS277">
        <v>51.996000000000002</v>
      </c>
      <c r="BT277"/>
      <c r="BU277">
        <v>16.344999999999999</v>
      </c>
      <c r="BV277"/>
      <c r="BW277" s="325">
        <v>10.37</v>
      </c>
      <c r="BX277"/>
      <c r="BY277">
        <v>6.4890000000000043</v>
      </c>
      <c r="BZ277"/>
      <c r="CA277"/>
      <c r="CC277">
        <v>5.64</v>
      </c>
      <c r="CD277"/>
      <c r="CE277"/>
      <c r="CF277"/>
      <c r="CG277"/>
      <c r="CH277"/>
      <c r="CI277"/>
      <c r="CJ277"/>
      <c r="CK277"/>
      <c r="CL277"/>
      <c r="CM277"/>
    </row>
    <row r="278" spans="1:91">
      <c r="A278" s="154" t="s">
        <v>7666</v>
      </c>
      <c r="B278" t="s">
        <v>8287</v>
      </c>
      <c r="C278">
        <v>1</v>
      </c>
      <c r="D278">
        <v>526</v>
      </c>
      <c r="E278" s="113">
        <v>26</v>
      </c>
      <c r="F278" s="113">
        <v>5</v>
      </c>
      <c r="I278">
        <v>32.999999999999993</v>
      </c>
      <c r="K278" s="320">
        <v>9</v>
      </c>
      <c r="L278" s="320"/>
      <c r="M278">
        <v>3.4</v>
      </c>
      <c r="N278" s="320"/>
      <c r="O278"/>
      <c r="P278"/>
      <c r="Q278"/>
      <c r="S278" s="320">
        <v>15.385065474479998</v>
      </c>
      <c r="T278" s="320"/>
      <c r="U278">
        <v>10.8</v>
      </c>
      <c r="V278"/>
      <c r="W278"/>
      <c r="X278"/>
      <c r="Y278" s="321">
        <v>5.3127360000000001</v>
      </c>
      <c r="Z278" s="320"/>
      <c r="AA278" s="322">
        <v>75728.155339805817</v>
      </c>
      <c r="AB278" s="320"/>
      <c r="AC278" s="321">
        <v>29.165447999999998</v>
      </c>
      <c r="AD278" s="320"/>
      <c r="AE278" s="320">
        <v>31.2</v>
      </c>
      <c r="AF278" s="320"/>
      <c r="AG278">
        <v>4.12</v>
      </c>
      <c r="AH278"/>
      <c r="AI278">
        <v>125</v>
      </c>
      <c r="AJ278"/>
      <c r="AK278"/>
      <c r="AL278"/>
      <c r="AM278"/>
      <c r="AN278"/>
      <c r="AO278">
        <v>77</v>
      </c>
      <c r="AP278"/>
      <c r="AQ278" s="323"/>
      <c r="AR278" s="323"/>
      <c r="AS278">
        <v>112</v>
      </c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>
        <v>5.3606999999999996</v>
      </c>
      <c r="BH278"/>
      <c r="BI278">
        <v>4.4164000000000003</v>
      </c>
      <c r="BJ278"/>
      <c r="BK278">
        <v>1.3364</v>
      </c>
      <c r="BL278"/>
      <c r="BM278">
        <v>57.527000000000001</v>
      </c>
      <c r="BN278"/>
      <c r="BO278">
        <v>20.053000000000001</v>
      </c>
      <c r="BP278"/>
      <c r="BQ278">
        <v>9.4506999999999994</v>
      </c>
      <c r="BR278"/>
      <c r="BS278">
        <v>52.750999999999998</v>
      </c>
      <c r="BT278"/>
      <c r="BU278">
        <v>16.47</v>
      </c>
      <c r="BV278"/>
      <c r="BW278" s="325">
        <v>16.36</v>
      </c>
      <c r="BX278"/>
      <c r="BY278">
        <v>6.188999999999993</v>
      </c>
      <c r="BZ278"/>
      <c r="CA278"/>
      <c r="CC278">
        <v>9.81</v>
      </c>
      <c r="CD278"/>
      <c r="CE278"/>
      <c r="CF278"/>
      <c r="CG278"/>
      <c r="CH278"/>
      <c r="CI278"/>
      <c r="CJ278"/>
      <c r="CK278"/>
      <c r="CL278"/>
      <c r="CM278"/>
    </row>
    <row r="279" spans="1:91">
      <c r="A279" s="154" t="s">
        <v>7666</v>
      </c>
      <c r="B279" t="s">
        <v>8289</v>
      </c>
      <c r="C279">
        <v>2</v>
      </c>
      <c r="D279">
        <v>566</v>
      </c>
      <c r="E279" s="113">
        <v>66</v>
      </c>
      <c r="F279" s="113">
        <v>5</v>
      </c>
      <c r="I279">
        <v>32.999999999999993</v>
      </c>
      <c r="K279" s="320">
        <v>9</v>
      </c>
      <c r="L279" s="320"/>
      <c r="M279">
        <v>2.9</v>
      </c>
      <c r="N279" s="320"/>
      <c r="O279"/>
      <c r="P279"/>
      <c r="Q279"/>
      <c r="S279" s="320">
        <v>11.933290963999998</v>
      </c>
      <c r="T279" s="320"/>
      <c r="U279">
        <v>10.8</v>
      </c>
      <c r="V279"/>
      <c r="W279"/>
      <c r="X279"/>
      <c r="Y279" s="321">
        <v>5.731312</v>
      </c>
      <c r="Z279" s="320"/>
      <c r="AA279" s="322">
        <v>66503.667481662589</v>
      </c>
      <c r="AB279" s="320"/>
      <c r="AC279" s="321">
        <v>25.162447999999998</v>
      </c>
      <c r="AD279" s="320"/>
      <c r="AE279" s="320">
        <v>27.2</v>
      </c>
      <c r="AF279" s="320"/>
      <c r="AG279">
        <v>4.09</v>
      </c>
      <c r="AH279"/>
      <c r="AI279">
        <v>120</v>
      </c>
      <c r="AJ279"/>
      <c r="AK279"/>
      <c r="AL279"/>
      <c r="AM279"/>
      <c r="AN279"/>
      <c r="AO279">
        <v>77</v>
      </c>
      <c r="AP279"/>
      <c r="AQ279" s="323"/>
      <c r="AR279" s="323"/>
      <c r="AS279">
        <v>112</v>
      </c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>
        <v>1.8206</v>
      </c>
      <c r="BH279"/>
      <c r="BI279">
        <v>4.8072999999999997</v>
      </c>
      <c r="BJ279"/>
      <c r="BK279">
        <v>1.3906000000000001</v>
      </c>
      <c r="BL279"/>
      <c r="BM279">
        <v>54.715000000000003</v>
      </c>
      <c r="BN279"/>
      <c r="BO279">
        <v>21.984999999999999</v>
      </c>
      <c r="BP279"/>
      <c r="BQ279">
        <v>9.4038000000000004</v>
      </c>
      <c r="BR279"/>
      <c r="BS279">
        <v>47.424999999999997</v>
      </c>
      <c r="BT279"/>
      <c r="BU279">
        <v>18.968</v>
      </c>
      <c r="BV279"/>
      <c r="BW279" s="325">
        <v>6.32</v>
      </c>
      <c r="BX279"/>
      <c r="BY279">
        <v>6.5499999999999972</v>
      </c>
      <c r="BZ279"/>
      <c r="CA279"/>
      <c r="CC279">
        <v>7.81</v>
      </c>
      <c r="CD279"/>
      <c r="CE279"/>
      <c r="CF279"/>
      <c r="CG279"/>
      <c r="CH279"/>
      <c r="CI279"/>
      <c r="CJ279"/>
      <c r="CK279"/>
      <c r="CL279"/>
      <c r="CM279"/>
    </row>
    <row r="280" spans="1:91">
      <c r="A280" s="154" t="s">
        <v>7666</v>
      </c>
      <c r="B280" t="s">
        <v>8287</v>
      </c>
      <c r="C280">
        <v>2</v>
      </c>
      <c r="D280">
        <v>1170</v>
      </c>
      <c r="E280" s="113">
        <v>70</v>
      </c>
      <c r="F280" s="113">
        <v>11</v>
      </c>
      <c r="I280">
        <v>35.499999999999993</v>
      </c>
      <c r="K280" s="320">
        <v>9</v>
      </c>
      <c r="L280" s="320"/>
      <c r="M280">
        <v>3.15</v>
      </c>
      <c r="N280" s="320"/>
      <c r="O280"/>
      <c r="P280"/>
      <c r="Q280"/>
      <c r="S280" s="320">
        <v>14.702495292211998</v>
      </c>
      <c r="T280" s="320"/>
      <c r="U280">
        <v>10.8</v>
      </c>
      <c r="V280"/>
      <c r="W280"/>
      <c r="X280"/>
      <c r="Y280" s="321">
        <v>5.3310400000000007</v>
      </c>
      <c r="Z280" s="320"/>
      <c r="AA280" s="322">
        <v>61315.789473684206</v>
      </c>
      <c r="AB280" s="320"/>
      <c r="AC280" s="321">
        <v>28.177575399999998</v>
      </c>
      <c r="AD280" s="320"/>
      <c r="AE280" s="320">
        <v>30.29</v>
      </c>
      <c r="AF280" s="320"/>
      <c r="AG280">
        <v>4.9400000000000004</v>
      </c>
      <c r="AH280"/>
      <c r="AI280">
        <v>118</v>
      </c>
      <c r="AJ280"/>
      <c r="AK280"/>
      <c r="AL280"/>
      <c r="AM280"/>
      <c r="AN280"/>
      <c r="AO280">
        <v>72</v>
      </c>
      <c r="AP280"/>
      <c r="AQ280" s="323"/>
      <c r="AR280" s="323"/>
      <c r="AS280">
        <v>112</v>
      </c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>
        <v>3.2296999999999998</v>
      </c>
      <c r="BH280"/>
      <c r="BI280">
        <v>4.4027000000000003</v>
      </c>
      <c r="BJ280"/>
      <c r="BK280">
        <v>1.3506</v>
      </c>
      <c r="BL280"/>
      <c r="BM280">
        <v>55.121000000000002</v>
      </c>
      <c r="BN280"/>
      <c r="BO280">
        <v>21.846</v>
      </c>
      <c r="BP280"/>
      <c r="BQ280">
        <v>9.0466999999999995</v>
      </c>
      <c r="BR280"/>
      <c r="BS280">
        <v>52.177999999999997</v>
      </c>
      <c r="BT280"/>
      <c r="BU280">
        <v>16.638000000000002</v>
      </c>
      <c r="BV280"/>
      <c r="BW280" s="325">
        <v>15.52</v>
      </c>
      <c r="BX280"/>
      <c r="BY280">
        <v>6.2540000000000049</v>
      </c>
      <c r="BZ280"/>
      <c r="CA280"/>
      <c r="CC280">
        <v>5.48</v>
      </c>
      <c r="CD280"/>
      <c r="CE280"/>
      <c r="CF280"/>
      <c r="CG280"/>
      <c r="CH280"/>
      <c r="CI280"/>
      <c r="CJ280"/>
      <c r="CK280"/>
      <c r="CL280"/>
      <c r="CM280"/>
    </row>
    <row r="281" spans="1:91">
      <c r="A281" s="154" t="s">
        <v>7666</v>
      </c>
      <c r="B281" t="s">
        <v>8289</v>
      </c>
      <c r="C281">
        <v>1</v>
      </c>
      <c r="D281">
        <v>1408</v>
      </c>
      <c r="E281" s="113">
        <v>8</v>
      </c>
      <c r="F281" s="113">
        <v>14</v>
      </c>
      <c r="I281">
        <v>23</v>
      </c>
      <c r="K281" s="320">
        <v>9</v>
      </c>
      <c r="L281" s="320"/>
      <c r="M281">
        <v>3.09</v>
      </c>
      <c r="N281" s="320"/>
      <c r="O281"/>
      <c r="P281"/>
      <c r="Q281"/>
      <c r="S281" s="320">
        <v>13.673470118328</v>
      </c>
      <c r="T281" s="320"/>
      <c r="U281">
        <v>10.8</v>
      </c>
      <c r="V281"/>
      <c r="W281"/>
      <c r="X281"/>
      <c r="Y281" s="321">
        <v>4.8855916000000006</v>
      </c>
      <c r="Z281" s="320"/>
      <c r="AA281" s="322">
        <v>77157.894736842107</v>
      </c>
      <c r="AB281" s="320"/>
      <c r="AC281" s="321">
        <v>27.633220399999999</v>
      </c>
      <c r="AD281" s="320"/>
      <c r="AE281" s="320">
        <v>29.32</v>
      </c>
      <c r="AF281" s="320"/>
      <c r="AG281">
        <v>3.8</v>
      </c>
      <c r="AH281"/>
      <c r="AI281">
        <v>120</v>
      </c>
      <c r="AJ281"/>
      <c r="AK281"/>
      <c r="AL281"/>
      <c r="AM281"/>
      <c r="AN281"/>
      <c r="AO281">
        <v>79</v>
      </c>
      <c r="AP281"/>
      <c r="AQ281" s="323"/>
      <c r="AR281" s="323"/>
      <c r="AS281">
        <v>112</v>
      </c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>
        <v>3.1313</v>
      </c>
      <c r="BH281"/>
      <c r="BI281">
        <v>4.3868</v>
      </c>
      <c r="BJ281"/>
      <c r="BK281">
        <v>1.3716999999999999</v>
      </c>
      <c r="BL281"/>
      <c r="BM281">
        <v>56.619</v>
      </c>
      <c r="BN281"/>
      <c r="BO281">
        <v>22.952000000000002</v>
      </c>
      <c r="BP281"/>
      <c r="BQ281">
        <v>9.1696000000000009</v>
      </c>
      <c r="BR281"/>
      <c r="BS281">
        <v>49.481999999999999</v>
      </c>
      <c r="BT281"/>
      <c r="BU281">
        <v>19.387</v>
      </c>
      <c r="BV281"/>
      <c r="BW281" s="325">
        <v>14.5</v>
      </c>
      <c r="BX281"/>
      <c r="BY281">
        <v>6.0370000000000061</v>
      </c>
      <c r="BZ281"/>
      <c r="CA281"/>
      <c r="CC281">
        <v>6.76</v>
      </c>
      <c r="CD281"/>
      <c r="CE281"/>
      <c r="CF281"/>
      <c r="CG281"/>
      <c r="CH281"/>
      <c r="CI281"/>
      <c r="CJ281"/>
      <c r="CK281"/>
      <c r="CL281"/>
      <c r="CM281"/>
    </row>
    <row r="282" spans="1:91">
      <c r="A282" s="327" t="s">
        <v>7667</v>
      </c>
      <c r="B282" s="328" t="s">
        <v>8287</v>
      </c>
      <c r="C282" s="328">
        <v>1</v>
      </c>
      <c r="D282" s="328">
        <v>810</v>
      </c>
      <c r="E282" s="113">
        <v>10</v>
      </c>
      <c r="F282" s="113">
        <v>8</v>
      </c>
      <c r="G282" s="329"/>
      <c r="H282" s="329"/>
      <c r="I282" s="328">
        <v>23.999999999999996</v>
      </c>
      <c r="J282" s="330"/>
      <c r="K282" s="331">
        <v>8</v>
      </c>
      <c r="L282" s="331"/>
      <c r="M282" s="328">
        <v>1.93</v>
      </c>
      <c r="N282" s="331"/>
      <c r="O282" s="328"/>
      <c r="P282" s="328"/>
      <c r="Q282" s="328"/>
      <c r="R282" s="332"/>
      <c r="S282" s="331">
        <v>8.3625506142360013</v>
      </c>
      <c r="T282" s="331"/>
      <c r="U282" s="328">
        <v>10.8</v>
      </c>
      <c r="V282" s="328"/>
      <c r="W282" s="328"/>
      <c r="X282" s="328"/>
      <c r="Y282" s="333">
        <v>3.3728862000000004</v>
      </c>
      <c r="Z282" s="331"/>
      <c r="AA282" s="334">
        <v>46632.911392405062</v>
      </c>
      <c r="AB282" s="331"/>
      <c r="AC282" s="333">
        <v>17.236330800000001</v>
      </c>
      <c r="AD282" s="331"/>
      <c r="AE282" s="331">
        <v>18.420000000000002</v>
      </c>
      <c r="AF282" s="331"/>
      <c r="AG282" s="328">
        <v>3.95</v>
      </c>
      <c r="AH282" s="328"/>
      <c r="AI282" s="328">
        <v>125</v>
      </c>
      <c r="AJ282" s="328"/>
      <c r="AK282" s="328"/>
      <c r="AL282" s="328"/>
      <c r="AM282" s="328"/>
      <c r="AN282" s="328"/>
      <c r="AO282" s="328">
        <v>80</v>
      </c>
      <c r="AP282" s="328"/>
      <c r="AQ282" s="335"/>
      <c r="AR282" s="335"/>
      <c r="AS282" s="328">
        <v>112</v>
      </c>
      <c r="AT282" s="328"/>
      <c r="AU282" s="328"/>
      <c r="AV282" s="328"/>
      <c r="AW282" s="328"/>
      <c r="AX282" s="328"/>
      <c r="AY282" s="328"/>
      <c r="AZ282" s="328"/>
      <c r="BA282" s="328"/>
      <c r="BB282" s="328"/>
      <c r="BC282" s="328"/>
      <c r="BD282" s="328"/>
      <c r="BE282" s="328"/>
      <c r="BF282" s="328"/>
      <c r="BG282" s="328">
        <v>2.7831000000000001</v>
      </c>
      <c r="BH282" s="328"/>
      <c r="BI282" s="328">
        <v>4.7354000000000003</v>
      </c>
      <c r="BJ282" s="328"/>
      <c r="BK282" s="328">
        <v>1.3633999999999999</v>
      </c>
      <c r="BL282" s="328"/>
      <c r="BM282" s="328">
        <v>58.968000000000004</v>
      </c>
      <c r="BN282" s="328"/>
      <c r="BO282" s="328">
        <v>20.949000000000002</v>
      </c>
      <c r="BP282" s="328"/>
      <c r="BQ282" s="328">
        <v>9.8930000000000007</v>
      </c>
      <c r="BR282" s="328"/>
      <c r="BS282" s="328">
        <v>48.517000000000003</v>
      </c>
      <c r="BT282" s="328"/>
      <c r="BU282" s="328">
        <v>19.347000000000001</v>
      </c>
      <c r="BV282" s="328"/>
      <c r="BW282" s="336">
        <v>7.76</v>
      </c>
      <c r="BX282" s="328"/>
      <c r="BY282" s="328">
        <v>6.8610000000000042</v>
      </c>
      <c r="BZ282" s="328"/>
      <c r="CA282" s="328"/>
      <c r="CB282" s="337"/>
      <c r="CC282" s="328">
        <v>6.2</v>
      </c>
      <c r="CD282" s="328"/>
      <c r="CE282" s="328"/>
      <c r="CF282" s="328"/>
      <c r="CG282" s="328"/>
      <c r="CH282" s="328"/>
      <c r="CI282" s="328"/>
      <c r="CJ282" s="328"/>
      <c r="CK282" s="328" t="s">
        <v>8377</v>
      </c>
      <c r="CL282" s="328"/>
      <c r="CM282" s="328"/>
    </row>
    <row r="283" spans="1:91">
      <c r="A283" s="327" t="s">
        <v>7667</v>
      </c>
      <c r="B283" s="328" t="s">
        <v>8289</v>
      </c>
      <c r="C283" s="328">
        <v>2</v>
      </c>
      <c r="D283" s="328">
        <v>947</v>
      </c>
      <c r="E283" s="113">
        <v>47</v>
      </c>
      <c r="F283" s="113">
        <v>9</v>
      </c>
      <c r="G283" s="329"/>
      <c r="H283" s="329"/>
      <c r="I283" s="328">
        <v>28.999999999999996</v>
      </c>
      <c r="J283" s="330"/>
      <c r="K283" s="331">
        <v>8</v>
      </c>
      <c r="L283" s="331"/>
      <c r="M283" s="328">
        <v>1.89</v>
      </c>
      <c r="N283" s="331"/>
      <c r="O283" s="328"/>
      <c r="P283" s="328"/>
      <c r="Q283" s="328"/>
      <c r="R283" s="332"/>
      <c r="S283" s="331">
        <v>7.665661467384</v>
      </c>
      <c r="T283" s="331"/>
      <c r="U283" s="328">
        <v>10.8</v>
      </c>
      <c r="V283" s="328"/>
      <c r="W283" s="328"/>
      <c r="X283" s="328"/>
      <c r="Y283" s="333">
        <v>3.5323013000000003</v>
      </c>
      <c r="Z283" s="331"/>
      <c r="AA283" s="334">
        <v>43086.124401913883</v>
      </c>
      <c r="AB283" s="331"/>
      <c r="AC283" s="333">
        <v>16.8350276</v>
      </c>
      <c r="AD283" s="331"/>
      <c r="AE283" s="331">
        <v>18.010000000000002</v>
      </c>
      <c r="AF283" s="331"/>
      <c r="AG283" s="328">
        <v>4.18</v>
      </c>
      <c r="AH283" s="328"/>
      <c r="AI283" s="328">
        <v>105</v>
      </c>
      <c r="AJ283" s="328"/>
      <c r="AK283" s="328"/>
      <c r="AL283" s="328"/>
      <c r="AM283" s="328"/>
      <c r="AN283" s="328"/>
      <c r="AO283" s="328">
        <v>77</v>
      </c>
      <c r="AP283" s="328"/>
      <c r="AQ283" s="335"/>
      <c r="AR283" s="335"/>
      <c r="AS283" s="328">
        <v>114</v>
      </c>
      <c r="AT283" s="328"/>
      <c r="AU283" s="328"/>
      <c r="AV283" s="328"/>
      <c r="AW283" s="328"/>
      <c r="AX283" s="328"/>
      <c r="AY283" s="328"/>
      <c r="AZ283" s="328"/>
      <c r="BA283" s="328"/>
      <c r="BB283" s="328"/>
      <c r="BC283" s="328"/>
      <c r="BD283" s="328"/>
      <c r="BE283" s="328"/>
      <c r="BF283" s="328"/>
      <c r="BG283" s="328">
        <v>0.12540000000000001</v>
      </c>
      <c r="BH283" s="328"/>
      <c r="BI283" s="328">
        <v>4.4062999999999999</v>
      </c>
      <c r="BJ283" s="328"/>
      <c r="BK283" s="328">
        <v>1.5749</v>
      </c>
      <c r="BL283" s="328"/>
      <c r="BM283" s="328">
        <v>62.83</v>
      </c>
      <c r="BN283" s="328"/>
      <c r="BO283" s="328">
        <v>20.806000000000001</v>
      </c>
      <c r="BP283" s="328"/>
      <c r="BQ283" s="328">
        <v>9.4171999999999993</v>
      </c>
      <c r="BR283" s="328"/>
      <c r="BS283" s="328">
        <v>45.533999999999999</v>
      </c>
      <c r="BT283" s="328"/>
      <c r="BU283" s="328">
        <v>21.164000000000001</v>
      </c>
      <c r="BV283" s="328"/>
      <c r="BW283" s="336">
        <v>3.47</v>
      </c>
      <c r="BX283" s="328"/>
      <c r="BY283" s="328">
        <v>6.8520000000000039</v>
      </c>
      <c r="BZ283" s="328"/>
      <c r="CA283" s="328"/>
      <c r="CB283" s="337"/>
      <c r="CC283" s="328">
        <v>6.36</v>
      </c>
      <c r="CD283" s="328"/>
      <c r="CE283" s="328"/>
      <c r="CF283" s="328"/>
      <c r="CG283" s="328"/>
      <c r="CH283" s="328"/>
      <c r="CI283" s="328"/>
      <c r="CJ283" s="328"/>
      <c r="CK283" s="328" t="s">
        <v>8377</v>
      </c>
      <c r="CL283" s="328"/>
      <c r="CM283" s="328"/>
    </row>
    <row r="284" spans="1:91">
      <c r="A284" s="154" t="s">
        <v>7667</v>
      </c>
      <c r="B284" t="s">
        <v>8287</v>
      </c>
      <c r="C284">
        <v>2</v>
      </c>
      <c r="D284">
        <v>1454</v>
      </c>
      <c r="E284" s="113">
        <v>54</v>
      </c>
      <c r="F284" s="113">
        <v>14</v>
      </c>
      <c r="I284">
        <v>26</v>
      </c>
      <c r="K284" s="320">
        <v>9</v>
      </c>
      <c r="L284" s="320"/>
      <c r="M284">
        <v>3.21</v>
      </c>
      <c r="N284" s="320"/>
      <c r="O284"/>
      <c r="P284"/>
      <c r="Q284"/>
      <c r="S284" s="320">
        <v>13.895915034367999</v>
      </c>
      <c r="T284" s="320"/>
      <c r="U284">
        <v>10.8</v>
      </c>
      <c r="V284"/>
      <c r="W284"/>
      <c r="X284"/>
      <c r="Y284" s="321">
        <v>5.408221199999999</v>
      </c>
      <c r="Z284" s="320"/>
      <c r="AA284" s="322">
        <v>78801.020408163269</v>
      </c>
      <c r="AB284" s="320"/>
      <c r="AC284" s="321">
        <v>29.021772800000001</v>
      </c>
      <c r="AD284" s="320"/>
      <c r="AE284" s="320">
        <v>30.89</v>
      </c>
      <c r="AF284" s="320"/>
      <c r="AG284">
        <v>3.92</v>
      </c>
      <c r="AH284"/>
      <c r="AI284">
        <v>125</v>
      </c>
      <c r="AJ284"/>
      <c r="AK284"/>
      <c r="AL284"/>
      <c r="AM284"/>
      <c r="AN284"/>
      <c r="AO284">
        <v>83</v>
      </c>
      <c r="AP284"/>
      <c r="AQ284" s="323"/>
      <c r="AR284" s="323"/>
      <c r="AS284">
        <v>112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>
        <v>3.8843000000000001</v>
      </c>
      <c r="BH284"/>
      <c r="BI284">
        <v>4.4039999999999999</v>
      </c>
      <c r="BJ284"/>
      <c r="BK284">
        <v>1.4539</v>
      </c>
      <c r="BL284"/>
      <c r="BM284">
        <v>60.981999999999999</v>
      </c>
      <c r="BN284"/>
      <c r="BO284">
        <v>21.934999999999999</v>
      </c>
      <c r="BP284"/>
      <c r="BQ284">
        <v>9.4816000000000003</v>
      </c>
      <c r="BR284"/>
      <c r="BS284">
        <v>47.881</v>
      </c>
      <c r="BT284"/>
      <c r="BU284">
        <v>19.928000000000001</v>
      </c>
      <c r="BV284"/>
      <c r="BW284" s="325">
        <v>1.84</v>
      </c>
      <c r="BX284"/>
      <c r="BY284">
        <v>6.5439999999999969</v>
      </c>
      <c r="BZ284"/>
      <c r="CA284"/>
      <c r="CC284">
        <v>5.42</v>
      </c>
      <c r="CD284"/>
      <c r="CE284"/>
      <c r="CF284"/>
      <c r="CG284"/>
      <c r="CH284"/>
      <c r="CI284"/>
      <c r="CJ284"/>
      <c r="CK284"/>
      <c r="CL284"/>
      <c r="CM284"/>
    </row>
    <row r="285" spans="1:91">
      <c r="A285" s="154" t="s">
        <v>7667</v>
      </c>
      <c r="B285" t="s">
        <v>8289</v>
      </c>
      <c r="C285">
        <v>1</v>
      </c>
      <c r="D285">
        <v>1631</v>
      </c>
      <c r="E285" s="113">
        <v>31</v>
      </c>
      <c r="F285" s="113">
        <v>16</v>
      </c>
      <c r="I285">
        <v>29.5</v>
      </c>
      <c r="K285" s="320">
        <v>8</v>
      </c>
      <c r="L285" s="320"/>
      <c r="M285">
        <v>2.35</v>
      </c>
      <c r="N285" s="320"/>
      <c r="O285"/>
      <c r="P285"/>
      <c r="Q285"/>
      <c r="S285" s="320">
        <v>8.9466348245959999</v>
      </c>
      <c r="T285" s="320"/>
      <c r="U285">
        <v>10.8</v>
      </c>
      <c r="V285"/>
      <c r="W285"/>
      <c r="X285"/>
      <c r="Y285" s="321">
        <v>4.4096038000000002</v>
      </c>
      <c r="Z285" s="320"/>
      <c r="AA285" s="322">
        <v>57270.341207349084</v>
      </c>
      <c r="AB285" s="320"/>
      <c r="AC285" s="321">
        <v>20.2563788</v>
      </c>
      <c r="AD285" s="320"/>
      <c r="AE285" s="320">
        <v>21.82</v>
      </c>
      <c r="AF285" s="320"/>
      <c r="AG285">
        <v>3.81</v>
      </c>
      <c r="AH285"/>
      <c r="AI285">
        <v>125</v>
      </c>
      <c r="AJ285"/>
      <c r="AK285"/>
      <c r="AL285"/>
      <c r="AM285"/>
      <c r="AN285"/>
      <c r="AO285">
        <v>81</v>
      </c>
      <c r="AP285"/>
      <c r="AQ285" s="323"/>
      <c r="AR285" s="323"/>
      <c r="AS285">
        <v>114</v>
      </c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>
        <v>3.6095999999999999</v>
      </c>
      <c r="BH285"/>
      <c r="BI285">
        <v>4.3307000000000002</v>
      </c>
      <c r="BJ285"/>
      <c r="BK285">
        <v>1.5163</v>
      </c>
      <c r="BL285"/>
      <c r="BM285">
        <v>54.896999999999998</v>
      </c>
      <c r="BN285"/>
      <c r="BO285">
        <v>21.04</v>
      </c>
      <c r="BP285"/>
      <c r="BQ285">
        <v>9.5652000000000008</v>
      </c>
      <c r="BR285"/>
      <c r="BS285">
        <v>44.167000000000002</v>
      </c>
      <c r="BT285"/>
      <c r="BU285">
        <v>22.077000000000002</v>
      </c>
      <c r="BV285"/>
      <c r="BW285" s="325">
        <v>0.62</v>
      </c>
      <c r="BX285"/>
      <c r="BY285">
        <v>7.0510000000000019</v>
      </c>
      <c r="BZ285"/>
      <c r="CA285"/>
      <c r="CC285">
        <v>8.76</v>
      </c>
      <c r="CD285"/>
      <c r="CE285"/>
      <c r="CF285"/>
      <c r="CG285"/>
      <c r="CH285"/>
      <c r="CI285"/>
      <c r="CJ285"/>
      <c r="CK285"/>
      <c r="CL285"/>
      <c r="CM285"/>
    </row>
    <row r="286" spans="1:91">
      <c r="A286" s="154" t="s">
        <v>7668</v>
      </c>
      <c r="B286" t="s">
        <v>8287</v>
      </c>
      <c r="C286">
        <v>1</v>
      </c>
      <c r="D286">
        <v>222</v>
      </c>
      <c r="E286" s="113">
        <v>22</v>
      </c>
      <c r="F286" s="113">
        <v>2</v>
      </c>
      <c r="I286">
        <v>27.999999999999996</v>
      </c>
      <c r="K286" s="320">
        <v>9</v>
      </c>
      <c r="L286" s="320"/>
      <c r="M286">
        <v>2.84</v>
      </c>
      <c r="N286" s="320"/>
      <c r="O286"/>
      <c r="P286"/>
      <c r="Q286"/>
      <c r="S286" s="320">
        <v>12.499732042127999</v>
      </c>
      <c r="T286" s="320"/>
      <c r="U286">
        <v>10.8</v>
      </c>
      <c r="V286"/>
      <c r="W286"/>
      <c r="X286"/>
      <c r="Y286" s="321">
        <v>4.6831008000000001</v>
      </c>
      <c r="Z286" s="320"/>
      <c r="AA286" s="322">
        <v>65167.464114832539</v>
      </c>
      <c r="AB286" s="320"/>
      <c r="AC286" s="321">
        <v>25.625757599999996</v>
      </c>
      <c r="AD286" s="320"/>
      <c r="AE286" s="320">
        <v>27.24</v>
      </c>
      <c r="AF286" s="320"/>
      <c r="AG286">
        <v>4.18</v>
      </c>
      <c r="AH286"/>
      <c r="AI286">
        <v>130</v>
      </c>
      <c r="AJ286"/>
      <c r="AK286"/>
      <c r="AL286"/>
      <c r="AM286"/>
      <c r="AN286"/>
      <c r="AO286">
        <v>80</v>
      </c>
      <c r="AP286"/>
      <c r="AQ286" s="323"/>
      <c r="AR286" s="323"/>
      <c r="AS286">
        <v>114</v>
      </c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>
        <v>-0.10346</v>
      </c>
      <c r="BH286"/>
      <c r="BI286">
        <v>4.5202999999999998</v>
      </c>
      <c r="BJ286"/>
      <c r="BK286">
        <v>1.4750000000000001</v>
      </c>
      <c r="BL286"/>
      <c r="BM286">
        <v>59.726999999999997</v>
      </c>
      <c r="BN286"/>
      <c r="BO286">
        <v>20.439</v>
      </c>
      <c r="BP286"/>
      <c r="BQ286">
        <v>9.6021999999999998</v>
      </c>
      <c r="BR286"/>
      <c r="BS286">
        <v>48.777999999999999</v>
      </c>
      <c r="BT286"/>
      <c r="BU286">
        <v>18.75</v>
      </c>
      <c r="BV286"/>
      <c r="BW286" s="325">
        <v>10.19</v>
      </c>
      <c r="BX286"/>
      <c r="BY286">
        <v>6.5040000000000049</v>
      </c>
      <c r="BZ286"/>
      <c r="CA286"/>
      <c r="CC286">
        <v>5.74</v>
      </c>
      <c r="CD286"/>
      <c r="CE286"/>
      <c r="CF286"/>
      <c r="CG286"/>
      <c r="CH286"/>
      <c r="CI286"/>
      <c r="CJ286"/>
      <c r="CK286"/>
      <c r="CL286"/>
      <c r="CM286"/>
    </row>
    <row r="287" spans="1:91">
      <c r="A287" s="154" t="s">
        <v>7668</v>
      </c>
      <c r="B287" t="s">
        <v>8289</v>
      </c>
      <c r="C287">
        <v>2</v>
      </c>
      <c r="D287">
        <v>645</v>
      </c>
      <c r="E287" s="113">
        <v>45</v>
      </c>
      <c r="F287" s="113">
        <v>6</v>
      </c>
      <c r="I287">
        <v>21.999999999999996</v>
      </c>
      <c r="K287" s="320">
        <v>9</v>
      </c>
      <c r="L287" s="320"/>
      <c r="M287">
        <v>2.4900000000000002</v>
      </c>
      <c r="N287" s="320"/>
      <c r="O287"/>
      <c r="P287"/>
      <c r="Q287"/>
      <c r="S287" s="320">
        <v>10.9359104304</v>
      </c>
      <c r="T287" s="320"/>
      <c r="U287">
        <v>10.8</v>
      </c>
      <c r="V287"/>
      <c r="W287"/>
      <c r="X287"/>
      <c r="Y287" s="321">
        <v>5.3106764000000002</v>
      </c>
      <c r="Z287" s="320"/>
      <c r="AA287" s="322">
        <v>59211.822660098522</v>
      </c>
      <c r="AB287" s="320"/>
      <c r="AC287" s="321">
        <v>22.400472000000001</v>
      </c>
      <c r="AD287" s="320"/>
      <c r="AE287" s="320">
        <v>24.04</v>
      </c>
      <c r="AF287" s="320"/>
      <c r="AG287">
        <v>4.0599999999999996</v>
      </c>
      <c r="AH287"/>
      <c r="AI287">
        <v>135</v>
      </c>
      <c r="AJ287"/>
      <c r="AK287"/>
      <c r="AL287"/>
      <c r="AM287"/>
      <c r="AN287"/>
      <c r="AO287">
        <v>77</v>
      </c>
      <c r="AP287"/>
      <c r="AQ287" s="323"/>
      <c r="AR287" s="323"/>
      <c r="AS287">
        <v>112</v>
      </c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>
        <v>3.3481000000000001</v>
      </c>
      <c r="BH287"/>
      <c r="BI287">
        <v>4.2004999999999999</v>
      </c>
      <c r="BJ287"/>
      <c r="BK287">
        <v>1.4266000000000001</v>
      </c>
      <c r="BL287"/>
      <c r="BM287">
        <v>57.276000000000003</v>
      </c>
      <c r="BN287"/>
      <c r="BO287">
        <v>19.72</v>
      </c>
      <c r="BP287"/>
      <c r="BQ287">
        <v>9.1684999999999999</v>
      </c>
      <c r="BR287"/>
      <c r="BS287">
        <v>48.82</v>
      </c>
      <c r="BT287"/>
      <c r="BU287">
        <v>19.088999999999999</v>
      </c>
      <c r="BV287"/>
      <c r="BW287" s="325">
        <v>8.4700000000000006</v>
      </c>
      <c r="BX287"/>
      <c r="BY287">
        <v>6.3539999999999992</v>
      </c>
      <c r="BZ287"/>
      <c r="CA287"/>
      <c r="CC287">
        <v>5.1100000000000003</v>
      </c>
      <c r="CD287"/>
      <c r="CE287"/>
      <c r="CF287"/>
      <c r="CG287"/>
      <c r="CH287"/>
      <c r="CI287"/>
      <c r="CJ287"/>
      <c r="CK287"/>
      <c r="CL287"/>
      <c r="CM287"/>
    </row>
    <row r="288" spans="1:91">
      <c r="A288" s="154" t="s">
        <v>7668</v>
      </c>
      <c r="B288" t="s">
        <v>8287</v>
      </c>
      <c r="C288">
        <v>2</v>
      </c>
      <c r="D288">
        <v>1074</v>
      </c>
      <c r="E288" s="113">
        <v>74</v>
      </c>
      <c r="F288" s="113">
        <v>10</v>
      </c>
      <c r="I288">
        <v>25</v>
      </c>
      <c r="K288" s="320">
        <v>8</v>
      </c>
      <c r="L288" s="320"/>
      <c r="M288">
        <v>1.92</v>
      </c>
      <c r="N288" s="320"/>
      <c r="O288"/>
      <c r="P288"/>
      <c r="Q288"/>
      <c r="S288" s="320">
        <v>8.0285934027600003</v>
      </c>
      <c r="T288" s="320"/>
      <c r="U288">
        <v>10.8</v>
      </c>
      <c r="V288"/>
      <c r="W288"/>
      <c r="X288"/>
      <c r="Y288" s="321">
        <v>3.5698980000000007</v>
      </c>
      <c r="Z288" s="320"/>
      <c r="AA288" s="322">
        <v>48691.099476439791</v>
      </c>
      <c r="AB288" s="320"/>
      <c r="AC288" s="321">
        <v>17.309718</v>
      </c>
      <c r="AD288" s="320"/>
      <c r="AE288" s="320">
        <v>18.600000000000001</v>
      </c>
      <c r="AF288" s="320"/>
      <c r="AG288">
        <v>3.82</v>
      </c>
      <c r="AH288"/>
      <c r="AI288">
        <v>118</v>
      </c>
      <c r="AJ288"/>
      <c r="AK288"/>
      <c r="AL288"/>
      <c r="AM288"/>
      <c r="AN288"/>
      <c r="AO288">
        <v>79</v>
      </c>
      <c r="AP288"/>
      <c r="AQ288" s="323"/>
      <c r="AR288" s="323"/>
      <c r="AS288">
        <v>112</v>
      </c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>
        <v>-2.8532000000000002</v>
      </c>
      <c r="BH288"/>
      <c r="BI288">
        <v>4.9253</v>
      </c>
      <c r="BJ288"/>
      <c r="BK288">
        <v>1.4895</v>
      </c>
      <c r="BL288"/>
      <c r="BM288">
        <v>60.232999999999997</v>
      </c>
      <c r="BN288"/>
      <c r="BO288">
        <v>21.175999999999998</v>
      </c>
      <c r="BP288"/>
      <c r="BQ288">
        <v>8.6828000000000003</v>
      </c>
      <c r="BR288"/>
      <c r="BS288">
        <v>46.381999999999998</v>
      </c>
      <c r="BT288"/>
      <c r="BU288">
        <v>19.16</v>
      </c>
      <c r="BV288"/>
      <c r="BW288" s="325">
        <v>6.04</v>
      </c>
      <c r="BX288"/>
      <c r="BY288">
        <v>6.8340000000000032</v>
      </c>
      <c r="BZ288"/>
      <c r="CA288"/>
      <c r="CC288">
        <v>4.8</v>
      </c>
      <c r="CD288"/>
      <c r="CE288"/>
      <c r="CF288"/>
      <c r="CG288"/>
      <c r="CH288"/>
      <c r="CI288"/>
      <c r="CJ288"/>
      <c r="CK288"/>
      <c r="CL288"/>
      <c r="CM288"/>
    </row>
    <row r="289" spans="1:91">
      <c r="A289" s="154" t="s">
        <v>7668</v>
      </c>
      <c r="B289" t="s">
        <v>8289</v>
      </c>
      <c r="C289">
        <v>1</v>
      </c>
      <c r="D289">
        <v>1603</v>
      </c>
      <c r="E289" s="113">
        <v>3</v>
      </c>
      <c r="F289" s="113">
        <v>16</v>
      </c>
      <c r="I289">
        <v>29.999999999999996</v>
      </c>
      <c r="K289" s="320">
        <v>8</v>
      </c>
      <c r="L289" s="320"/>
      <c r="M289">
        <v>3.31</v>
      </c>
      <c r="N289" s="320"/>
      <c r="O289"/>
      <c r="P289"/>
      <c r="Q289"/>
      <c r="S289" s="320">
        <v>14.599024698900003</v>
      </c>
      <c r="T289" s="320"/>
      <c r="U289">
        <v>10.8</v>
      </c>
      <c r="V289"/>
      <c r="W289"/>
      <c r="X289"/>
      <c r="Y289" s="321">
        <v>5.5877466</v>
      </c>
      <c r="Z289" s="320"/>
      <c r="AA289" s="322">
        <v>85679.34782608696</v>
      </c>
      <c r="AB289" s="320"/>
      <c r="AC289" s="321">
        <v>29.522800200000002</v>
      </c>
      <c r="AD289" s="320"/>
      <c r="AE289" s="320">
        <v>31.53</v>
      </c>
      <c r="AF289" s="320"/>
      <c r="AG289">
        <v>3.68</v>
      </c>
      <c r="AH289"/>
      <c r="AI289">
        <v>128</v>
      </c>
      <c r="AJ289"/>
      <c r="AK289"/>
      <c r="AL289"/>
      <c r="AM289"/>
      <c r="AN289"/>
      <c r="AO289">
        <v>79</v>
      </c>
      <c r="AP289"/>
      <c r="AQ289" s="323"/>
      <c r="AR289" s="323"/>
      <c r="AS289">
        <v>112</v>
      </c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>
        <v>6.9512</v>
      </c>
      <c r="BH289"/>
      <c r="BI289">
        <v>4.5221999999999998</v>
      </c>
      <c r="BJ289"/>
      <c r="BK289">
        <v>1.3945000000000001</v>
      </c>
      <c r="BL289"/>
      <c r="BM289">
        <v>57.497</v>
      </c>
      <c r="BN289"/>
      <c r="BO289">
        <v>20.533000000000001</v>
      </c>
      <c r="BP289"/>
      <c r="BQ289">
        <v>8.9031000000000002</v>
      </c>
      <c r="BR289"/>
      <c r="BS289">
        <v>49.45</v>
      </c>
      <c r="BT289"/>
      <c r="BU289">
        <v>18.795000000000002</v>
      </c>
      <c r="BV289"/>
      <c r="BW289" s="325">
        <v>11.34</v>
      </c>
      <c r="BX289"/>
      <c r="BY289">
        <v>6.3179999999999978</v>
      </c>
      <c r="BZ289"/>
      <c r="CA289"/>
      <c r="CC289">
        <v>6.37</v>
      </c>
      <c r="CD289"/>
      <c r="CE289"/>
      <c r="CF289"/>
      <c r="CG289"/>
      <c r="CH289"/>
      <c r="CI289"/>
      <c r="CJ289"/>
      <c r="CK289"/>
      <c r="CL289"/>
      <c r="CM289"/>
    </row>
    <row r="290" spans="1:91">
      <c r="A290" s="154" t="s">
        <v>7669</v>
      </c>
      <c r="B290" t="s">
        <v>8287</v>
      </c>
      <c r="C290">
        <v>1</v>
      </c>
      <c r="D290">
        <v>403</v>
      </c>
      <c r="E290" s="113">
        <v>3</v>
      </c>
      <c r="F290" s="113">
        <v>4</v>
      </c>
      <c r="I290">
        <v>31</v>
      </c>
      <c r="K290" s="320">
        <v>8</v>
      </c>
      <c r="L290" s="320"/>
      <c r="M290">
        <v>2.75</v>
      </c>
      <c r="N290" s="320"/>
      <c r="O290"/>
      <c r="P290"/>
      <c r="Q290"/>
      <c r="S290" s="320">
        <v>12.48618597294</v>
      </c>
      <c r="T290" s="320"/>
      <c r="U290">
        <v>10.8</v>
      </c>
      <c r="V290"/>
      <c r="W290"/>
      <c r="X290"/>
      <c r="Y290" s="321">
        <v>4.8121539999999996</v>
      </c>
      <c r="Z290" s="320"/>
      <c r="AA290" s="322">
        <v>59009.009009009009</v>
      </c>
      <c r="AB290" s="320"/>
      <c r="AC290" s="321">
        <v>24.501453999999999</v>
      </c>
      <c r="AD290" s="320"/>
      <c r="AE290" s="320">
        <v>26.2</v>
      </c>
      <c r="AF290" s="320"/>
      <c r="AG290">
        <v>4.4400000000000004</v>
      </c>
      <c r="AH290"/>
      <c r="AI290">
        <v>135</v>
      </c>
      <c r="AJ290"/>
      <c r="AK290"/>
      <c r="AL290"/>
      <c r="AM290"/>
      <c r="AN290"/>
      <c r="AO290">
        <v>72</v>
      </c>
      <c r="AP290"/>
      <c r="AQ290" s="323"/>
      <c r="AR290" s="323"/>
      <c r="AS290">
        <v>114</v>
      </c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>
        <v>13.58</v>
      </c>
      <c r="BH290"/>
      <c r="BI290">
        <v>4.4645000000000001</v>
      </c>
      <c r="BJ290"/>
      <c r="BK290">
        <v>1.3991</v>
      </c>
      <c r="BL290"/>
      <c r="BM290">
        <v>51.317</v>
      </c>
      <c r="BN290"/>
      <c r="BO290">
        <v>18.914999999999999</v>
      </c>
      <c r="BP290"/>
      <c r="BQ290">
        <v>7.8070000000000004</v>
      </c>
      <c r="BR290"/>
      <c r="BS290">
        <v>50.960999999999999</v>
      </c>
      <c r="BT290"/>
      <c r="BU290">
        <v>17.657</v>
      </c>
      <c r="BV290"/>
      <c r="BW290" s="325">
        <v>22.93</v>
      </c>
      <c r="BX290"/>
      <c r="BY290">
        <v>5.7800000000000011</v>
      </c>
      <c r="BZ290"/>
      <c r="CA290"/>
      <c r="CC290">
        <v>6.38</v>
      </c>
      <c r="CD290"/>
      <c r="CE290"/>
      <c r="CF290"/>
      <c r="CG290"/>
      <c r="CH290"/>
      <c r="CI290"/>
      <c r="CJ290"/>
      <c r="CK290"/>
      <c r="CL290"/>
      <c r="CM290"/>
    </row>
    <row r="291" spans="1:91">
      <c r="A291" s="154" t="s">
        <v>7669</v>
      </c>
      <c r="B291" t="s">
        <v>8289</v>
      </c>
      <c r="C291">
        <v>2</v>
      </c>
      <c r="D291">
        <v>453</v>
      </c>
      <c r="E291" s="113">
        <v>53</v>
      </c>
      <c r="F291" s="113">
        <v>4</v>
      </c>
      <c r="I291">
        <v>29.999999999999996</v>
      </c>
      <c r="K291" s="320">
        <v>8</v>
      </c>
      <c r="L291" s="320"/>
      <c r="M291">
        <v>2.86</v>
      </c>
      <c r="N291" s="320"/>
      <c r="O291"/>
      <c r="P291"/>
      <c r="Q291"/>
      <c r="S291" s="320">
        <v>12.504931610975998</v>
      </c>
      <c r="T291" s="320"/>
      <c r="U291">
        <v>10.8</v>
      </c>
      <c r="V291"/>
      <c r="W291"/>
      <c r="X291"/>
      <c r="Y291" s="321">
        <v>5.2948083999999991</v>
      </c>
      <c r="Z291" s="320"/>
      <c r="AA291" s="322">
        <v>61425.389755011129</v>
      </c>
      <c r="AB291" s="320"/>
      <c r="AC291" s="321">
        <v>25.861214399999998</v>
      </c>
      <c r="AD291" s="320"/>
      <c r="AE291" s="320">
        <v>27.58</v>
      </c>
      <c r="AF291" s="320"/>
      <c r="AG291">
        <v>4.49</v>
      </c>
      <c r="AH291"/>
      <c r="AI291">
        <v>123</v>
      </c>
      <c r="AJ291"/>
      <c r="AK291"/>
      <c r="AL291"/>
      <c r="AM291"/>
      <c r="AN291"/>
      <c r="AO291">
        <v>72</v>
      </c>
      <c r="AP291"/>
      <c r="AQ291" s="323"/>
      <c r="AR291" s="323"/>
      <c r="AS291">
        <v>116</v>
      </c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>
        <v>29.33</v>
      </c>
      <c r="BH291"/>
      <c r="BI291">
        <v>4.3461999999999996</v>
      </c>
      <c r="BJ291"/>
      <c r="BK291">
        <v>1.3248</v>
      </c>
      <c r="BL291"/>
      <c r="BM291">
        <v>33.978999999999999</v>
      </c>
      <c r="BN291"/>
      <c r="BO291">
        <v>16.931999999999999</v>
      </c>
      <c r="BP291"/>
      <c r="BQ291">
        <v>8.7303999999999995</v>
      </c>
      <c r="BR291"/>
      <c r="BS291">
        <v>48.353999999999999</v>
      </c>
      <c r="BT291"/>
      <c r="BU291">
        <v>19.584</v>
      </c>
      <c r="BV291"/>
      <c r="BW291" s="325">
        <v>15.3</v>
      </c>
      <c r="BX291"/>
      <c r="BY291">
        <v>6.1419999999999959</v>
      </c>
      <c r="BZ291"/>
      <c r="CA291"/>
      <c r="CC291">
        <v>5.24</v>
      </c>
      <c r="CD291"/>
      <c r="CE291"/>
      <c r="CF291"/>
      <c r="CG291"/>
      <c r="CH291"/>
      <c r="CI291"/>
      <c r="CJ291"/>
      <c r="CK291"/>
      <c r="CL291"/>
      <c r="CM291"/>
    </row>
    <row r="292" spans="1:91">
      <c r="A292" s="154" t="s">
        <v>7669</v>
      </c>
      <c r="B292" t="s">
        <v>8289</v>
      </c>
      <c r="C292">
        <v>1</v>
      </c>
      <c r="D292">
        <v>1115</v>
      </c>
      <c r="E292" s="113">
        <v>15</v>
      </c>
      <c r="F292" s="113">
        <v>11</v>
      </c>
      <c r="I292">
        <v>26</v>
      </c>
      <c r="K292" s="320">
        <v>9</v>
      </c>
      <c r="L292" s="320"/>
      <c r="M292">
        <v>2.81</v>
      </c>
      <c r="N292" s="320"/>
      <c r="O292"/>
      <c r="P292"/>
      <c r="Q292"/>
      <c r="S292" s="320">
        <v>12.034642218649999</v>
      </c>
      <c r="T292" s="320"/>
      <c r="U292">
        <v>10.8</v>
      </c>
      <c r="V292"/>
      <c r="W292"/>
      <c r="X292"/>
      <c r="Y292" s="321">
        <v>4.9691289000000003</v>
      </c>
      <c r="Z292" s="320"/>
      <c r="AA292" s="322">
        <v>64724.220623501198</v>
      </c>
      <c r="AB292" s="320"/>
      <c r="AC292" s="321">
        <v>25.211358999999998</v>
      </c>
      <c r="AD292" s="320"/>
      <c r="AE292" s="320">
        <v>26.99</v>
      </c>
      <c r="AF292" s="320"/>
      <c r="AG292">
        <v>4.17</v>
      </c>
      <c r="AH292"/>
      <c r="AI292">
        <v>125</v>
      </c>
      <c r="AJ292"/>
      <c r="AK292"/>
      <c r="AL292"/>
      <c r="AM292"/>
      <c r="AN292"/>
      <c r="AO292">
        <v>72</v>
      </c>
      <c r="AP292"/>
      <c r="AQ292" s="323"/>
      <c r="AR292" s="323"/>
      <c r="AS292">
        <v>112</v>
      </c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>
        <v>15.534000000000001</v>
      </c>
      <c r="BH292"/>
      <c r="BI292">
        <v>4.4901999999999997</v>
      </c>
      <c r="BJ292"/>
      <c r="BK292">
        <v>1.323</v>
      </c>
      <c r="BL292"/>
      <c r="BM292">
        <v>43.584000000000003</v>
      </c>
      <c r="BN292"/>
      <c r="BO292">
        <v>19.227</v>
      </c>
      <c r="BP292"/>
      <c r="BQ292">
        <v>8.7022999999999993</v>
      </c>
      <c r="BR292"/>
      <c r="BS292">
        <v>47.734999999999999</v>
      </c>
      <c r="BT292"/>
      <c r="BU292">
        <v>20.146999999999998</v>
      </c>
      <c r="BV292"/>
      <c r="BW292" s="325">
        <v>22.02</v>
      </c>
      <c r="BX292"/>
      <c r="BY292">
        <v>6.2339999999999947</v>
      </c>
      <c r="BZ292"/>
      <c r="CA292"/>
      <c r="CC292">
        <v>5.61</v>
      </c>
      <c r="CD292"/>
      <c r="CE292"/>
      <c r="CF292"/>
      <c r="CG292"/>
      <c r="CH292"/>
      <c r="CI292"/>
      <c r="CJ292"/>
      <c r="CK292"/>
      <c r="CL292"/>
      <c r="CM292"/>
    </row>
    <row r="293" spans="1:91">
      <c r="A293" s="154" t="s">
        <v>7669</v>
      </c>
      <c r="B293" t="s">
        <v>8287</v>
      </c>
      <c r="C293">
        <v>2</v>
      </c>
      <c r="D293">
        <v>1266</v>
      </c>
      <c r="E293" s="113">
        <v>66</v>
      </c>
      <c r="F293" s="113">
        <v>12</v>
      </c>
      <c r="I293">
        <v>23</v>
      </c>
      <c r="K293" s="320">
        <v>9</v>
      </c>
      <c r="L293" s="320"/>
      <c r="M293">
        <v>2.61</v>
      </c>
      <c r="N293" s="320"/>
      <c r="O293"/>
      <c r="P293"/>
      <c r="Q293"/>
      <c r="S293" s="320">
        <v>11.877343558299996</v>
      </c>
      <c r="T293" s="320"/>
      <c r="U293">
        <v>10.8</v>
      </c>
      <c r="V293"/>
      <c r="W293"/>
      <c r="X293"/>
      <c r="Y293" s="321">
        <v>4.2587154999999992</v>
      </c>
      <c r="Z293" s="320"/>
      <c r="AA293" s="322">
        <v>56320.54176072235</v>
      </c>
      <c r="AB293" s="320"/>
      <c r="AC293" s="321">
        <v>23.287082499999997</v>
      </c>
      <c r="AD293" s="320"/>
      <c r="AE293" s="320">
        <v>24.95</v>
      </c>
      <c r="AF293" s="320"/>
      <c r="AG293">
        <v>4.43</v>
      </c>
      <c r="AH293"/>
      <c r="AI293">
        <v>125</v>
      </c>
      <c r="AJ293"/>
      <c r="AK293"/>
      <c r="AL293"/>
      <c r="AM293"/>
      <c r="AN293"/>
      <c r="AO293">
        <v>72</v>
      </c>
      <c r="AP293"/>
      <c r="AQ293" s="323"/>
      <c r="AR293" s="323"/>
      <c r="AS293">
        <v>112</v>
      </c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>
        <v>25.21</v>
      </c>
      <c r="BH293"/>
      <c r="BI293">
        <v>4.7744999999999997</v>
      </c>
      <c r="BJ293"/>
      <c r="BK293">
        <v>1.1910000000000001</v>
      </c>
      <c r="BL293"/>
      <c r="BM293">
        <v>42.631</v>
      </c>
      <c r="BN293"/>
      <c r="BO293">
        <v>18.361999999999998</v>
      </c>
      <c r="BP293"/>
      <c r="BQ293">
        <v>7.9488000000000003</v>
      </c>
      <c r="BR293"/>
      <c r="BS293">
        <v>51.003999999999998</v>
      </c>
      <c r="BT293"/>
      <c r="BU293">
        <v>17.274999999999999</v>
      </c>
      <c r="BV293"/>
      <c r="BW293" s="325">
        <v>26.42</v>
      </c>
      <c r="BX293"/>
      <c r="BY293">
        <v>6.0999999999999943</v>
      </c>
      <c r="BZ293"/>
      <c r="CA293"/>
      <c r="CC293">
        <v>6.04</v>
      </c>
      <c r="CD293"/>
      <c r="CE293"/>
      <c r="CF293"/>
      <c r="CG293"/>
      <c r="CH293"/>
      <c r="CI293"/>
      <c r="CJ293"/>
      <c r="CK293"/>
      <c r="CL293"/>
      <c r="CM293"/>
    </row>
    <row r="294" spans="1:91">
      <c r="A294" s="154" t="s">
        <v>7670</v>
      </c>
      <c r="B294" t="s">
        <v>8287</v>
      </c>
      <c r="C294">
        <v>1</v>
      </c>
      <c r="D294">
        <v>232</v>
      </c>
      <c r="E294" s="113">
        <v>32</v>
      </c>
      <c r="F294" s="113">
        <v>2</v>
      </c>
      <c r="I294">
        <v>27.499999999999996</v>
      </c>
      <c r="K294" s="320">
        <v>9</v>
      </c>
      <c r="L294" s="320"/>
      <c r="M294">
        <v>3.95</v>
      </c>
      <c r="N294" s="320"/>
      <c r="O294"/>
      <c r="P294"/>
      <c r="Q294"/>
      <c r="S294" s="320">
        <v>17.980580077425</v>
      </c>
      <c r="T294" s="320"/>
      <c r="U294">
        <v>10.8</v>
      </c>
      <c r="V294"/>
      <c r="W294"/>
      <c r="X294"/>
      <c r="Y294" s="321">
        <v>6.4018500000000005</v>
      </c>
      <c r="Z294" s="320"/>
      <c r="AA294" s="322">
        <v>76086.956521739135</v>
      </c>
      <c r="AB294" s="320"/>
      <c r="AC294" s="321">
        <v>34.553452499999999</v>
      </c>
      <c r="AD294" s="320"/>
      <c r="AE294" s="320">
        <v>36.75</v>
      </c>
      <c r="AF294" s="320"/>
      <c r="AG294">
        <v>4.83</v>
      </c>
      <c r="AH294"/>
      <c r="AI294">
        <v>140</v>
      </c>
      <c r="AJ294"/>
      <c r="AK294"/>
      <c r="AL294"/>
      <c r="AM294"/>
      <c r="AN294"/>
      <c r="AO294">
        <v>90</v>
      </c>
      <c r="AP294"/>
      <c r="AQ294" s="323"/>
      <c r="AR294" s="323"/>
      <c r="AS294">
        <v>110</v>
      </c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>
        <v>0.64012000000000002</v>
      </c>
      <c r="BH294"/>
      <c r="BI294">
        <v>4.5354999999999999</v>
      </c>
      <c r="BJ294"/>
      <c r="BK294">
        <v>1.4748000000000001</v>
      </c>
      <c r="BL294"/>
      <c r="BM294">
        <v>64.932000000000002</v>
      </c>
      <c r="BN294"/>
      <c r="BO294">
        <v>22.591000000000001</v>
      </c>
      <c r="BP294"/>
      <c r="BQ294">
        <v>8.5206999999999997</v>
      </c>
      <c r="BR294"/>
      <c r="BS294">
        <v>52.036999999999999</v>
      </c>
      <c r="BT294"/>
      <c r="BU294">
        <v>17.154</v>
      </c>
      <c r="BV294"/>
      <c r="BW294" s="325">
        <v>5.34</v>
      </c>
      <c r="BX294"/>
      <c r="BY294">
        <v>6.2489999999999952</v>
      </c>
      <c r="BZ294"/>
      <c r="CA294"/>
      <c r="CC294">
        <v>8.56</v>
      </c>
      <c r="CD294"/>
      <c r="CE294"/>
      <c r="CF294"/>
      <c r="CG294"/>
      <c r="CH294"/>
      <c r="CI294"/>
      <c r="CJ294"/>
      <c r="CK294"/>
      <c r="CL294"/>
      <c r="CM294"/>
    </row>
    <row r="295" spans="1:91">
      <c r="A295" s="154" t="s">
        <v>7670</v>
      </c>
      <c r="B295" t="s">
        <v>8289</v>
      </c>
      <c r="C295">
        <v>2</v>
      </c>
      <c r="D295">
        <v>567</v>
      </c>
      <c r="E295" s="113">
        <v>67</v>
      </c>
      <c r="F295" s="113">
        <v>5</v>
      </c>
      <c r="I295">
        <v>33.5</v>
      </c>
      <c r="K295" s="320">
        <v>9</v>
      </c>
      <c r="L295" s="320"/>
      <c r="M295">
        <v>3.25</v>
      </c>
      <c r="N295" s="320"/>
      <c r="O295"/>
      <c r="P295"/>
      <c r="Q295"/>
      <c r="S295" s="320">
        <v>13.213230892050001</v>
      </c>
      <c r="T295" s="320"/>
      <c r="U295">
        <v>10.8</v>
      </c>
      <c r="V295"/>
      <c r="W295"/>
      <c r="X295"/>
      <c r="Y295" s="321">
        <v>5.7909303999999997</v>
      </c>
      <c r="Z295" s="320"/>
      <c r="AA295" s="322">
        <v>58598.848368522071</v>
      </c>
      <c r="AB295" s="320"/>
      <c r="AC295" s="321">
        <v>28.530285000000003</v>
      </c>
      <c r="AD295" s="320"/>
      <c r="AE295" s="320">
        <v>30.53</v>
      </c>
      <c r="AF295" s="320"/>
      <c r="AG295">
        <v>5.21</v>
      </c>
      <c r="AH295"/>
      <c r="AI295">
        <v>125</v>
      </c>
      <c r="AJ295"/>
      <c r="AK295"/>
      <c r="AL295"/>
      <c r="AM295"/>
      <c r="AN295"/>
      <c r="AO295">
        <v>79</v>
      </c>
      <c r="AP295"/>
      <c r="AQ295" s="323"/>
      <c r="AR295" s="323"/>
      <c r="AS295">
        <v>112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>
        <v>-1.1581999999999999</v>
      </c>
      <c r="BH295"/>
      <c r="BI295">
        <v>4.5587999999999997</v>
      </c>
      <c r="BJ295"/>
      <c r="BK295">
        <v>1.4772000000000001</v>
      </c>
      <c r="BL295"/>
      <c r="BM295">
        <v>58.655000000000001</v>
      </c>
      <c r="BN295"/>
      <c r="BO295">
        <v>21.315000000000001</v>
      </c>
      <c r="BP295"/>
      <c r="BQ295">
        <v>9.3262999999999998</v>
      </c>
      <c r="BR295"/>
      <c r="BS295">
        <v>46.313000000000002</v>
      </c>
      <c r="BT295"/>
      <c r="BU295">
        <v>19.891999999999999</v>
      </c>
      <c r="BV295"/>
      <c r="BW295" s="325">
        <v>10.15</v>
      </c>
      <c r="BX295"/>
      <c r="BY295">
        <v>6.7870000000000061</v>
      </c>
      <c r="BZ295"/>
      <c r="CA295"/>
      <c r="CC295">
        <v>7.67</v>
      </c>
      <c r="CD295"/>
      <c r="CE295"/>
      <c r="CF295"/>
      <c r="CG295"/>
      <c r="CH295"/>
      <c r="CI295"/>
      <c r="CJ295"/>
      <c r="CK295"/>
      <c r="CL295"/>
      <c r="CM295"/>
    </row>
    <row r="296" spans="1:91">
      <c r="A296" s="154" t="s">
        <v>7670</v>
      </c>
      <c r="B296" t="s">
        <v>8289</v>
      </c>
      <c r="C296">
        <v>1</v>
      </c>
      <c r="D296">
        <v>1216</v>
      </c>
      <c r="E296" s="113">
        <v>16</v>
      </c>
      <c r="F296" s="113">
        <v>12</v>
      </c>
      <c r="I296">
        <v>32.999999999999993</v>
      </c>
      <c r="K296" s="320">
        <v>9</v>
      </c>
      <c r="L296" s="320"/>
      <c r="M296">
        <v>4.07</v>
      </c>
      <c r="N296" s="320"/>
      <c r="O296"/>
      <c r="P296"/>
      <c r="Q296"/>
      <c r="S296" s="320">
        <v>18.074251128569998</v>
      </c>
      <c r="T296" s="320"/>
      <c r="U296">
        <v>10.8</v>
      </c>
      <c r="V296"/>
      <c r="W296"/>
      <c r="X296"/>
      <c r="Y296" s="321">
        <v>7.2457566999999985</v>
      </c>
      <c r="Z296" s="320"/>
      <c r="AA296" s="322">
        <v>90606.060606060608</v>
      </c>
      <c r="AB296" s="320"/>
      <c r="AC296" s="321">
        <v>36.359386699999995</v>
      </c>
      <c r="AD296" s="320"/>
      <c r="AE296" s="320">
        <v>38.869999999999997</v>
      </c>
      <c r="AF296" s="320"/>
      <c r="AG296">
        <v>4.29</v>
      </c>
      <c r="AH296"/>
      <c r="AI296">
        <v>125</v>
      </c>
      <c r="AJ296"/>
      <c r="AK296"/>
      <c r="AL296"/>
      <c r="AM296"/>
      <c r="AN296"/>
      <c r="AO296">
        <v>79</v>
      </c>
      <c r="AP296"/>
      <c r="AQ296" s="323"/>
      <c r="AR296" s="323"/>
      <c r="AS296">
        <v>112</v>
      </c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>
        <v>-0.52942999999999996</v>
      </c>
      <c r="BH296"/>
      <c r="BI296">
        <v>4.5167999999999999</v>
      </c>
      <c r="BJ296"/>
      <c r="BK296">
        <v>1.4633</v>
      </c>
      <c r="BL296"/>
      <c r="BM296">
        <v>62.396999999999998</v>
      </c>
      <c r="BN296"/>
      <c r="BO296">
        <v>21.279</v>
      </c>
      <c r="BP296"/>
      <c r="BQ296">
        <v>9.4678000000000004</v>
      </c>
      <c r="BR296"/>
      <c r="BS296">
        <v>49.71</v>
      </c>
      <c r="BT296"/>
      <c r="BU296">
        <v>18.689</v>
      </c>
      <c r="BV296"/>
      <c r="BW296" s="325">
        <v>11.31</v>
      </c>
      <c r="BX296"/>
      <c r="BY296">
        <v>6.3269999999999982</v>
      </c>
      <c r="BZ296"/>
      <c r="CA296"/>
      <c r="CC296">
        <v>6.13</v>
      </c>
      <c r="CD296"/>
      <c r="CE296"/>
      <c r="CF296"/>
      <c r="CG296"/>
      <c r="CH296"/>
      <c r="CI296"/>
      <c r="CJ296"/>
      <c r="CK296"/>
      <c r="CL296"/>
      <c r="CM296"/>
    </row>
    <row r="297" spans="1:91">
      <c r="A297" s="154" t="s">
        <v>7670</v>
      </c>
      <c r="B297" t="s">
        <v>8287</v>
      </c>
      <c r="C297">
        <v>2</v>
      </c>
      <c r="D297">
        <v>1768</v>
      </c>
      <c r="E297" s="113">
        <v>68</v>
      </c>
      <c r="F297" s="113">
        <v>17</v>
      </c>
      <c r="I297">
        <v>28.5</v>
      </c>
      <c r="K297" s="320">
        <v>8</v>
      </c>
      <c r="L297" s="320"/>
      <c r="M297">
        <v>3.92</v>
      </c>
      <c r="N297" s="320"/>
      <c r="O297"/>
      <c r="P297"/>
      <c r="Q297"/>
      <c r="S297" s="320">
        <v>18.113395026780001</v>
      </c>
      <c r="T297" s="320"/>
      <c r="U297">
        <v>10.8</v>
      </c>
      <c r="V297"/>
      <c r="W297"/>
      <c r="X297"/>
      <c r="Y297" s="321">
        <v>6.1037324000000002</v>
      </c>
      <c r="Z297" s="320"/>
      <c r="AA297" s="322">
        <v>85136.363636363632</v>
      </c>
      <c r="AB297" s="320"/>
      <c r="AC297" s="321">
        <v>35.093277200000003</v>
      </c>
      <c r="AD297" s="320"/>
      <c r="AE297" s="320">
        <v>37.46</v>
      </c>
      <c r="AF297" s="320"/>
      <c r="AG297">
        <v>4.4000000000000004</v>
      </c>
      <c r="AH297"/>
      <c r="AI297">
        <v>120</v>
      </c>
      <c r="AJ297"/>
      <c r="AK297"/>
      <c r="AL297"/>
      <c r="AM297"/>
      <c r="AN297"/>
      <c r="AO297">
        <v>77</v>
      </c>
      <c r="AP297"/>
      <c r="AQ297" s="323"/>
      <c r="AR297" s="323"/>
      <c r="AS297">
        <v>112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>
        <v>-0.44619999999999999</v>
      </c>
      <c r="BH297"/>
      <c r="BI297">
        <v>4.5559000000000003</v>
      </c>
      <c r="BJ297"/>
      <c r="BK297">
        <v>1.448</v>
      </c>
      <c r="BL297"/>
      <c r="BM297">
        <v>63.215000000000003</v>
      </c>
      <c r="BN297"/>
      <c r="BO297">
        <v>22.231999999999999</v>
      </c>
      <c r="BP297"/>
      <c r="BQ297">
        <v>8.5333000000000006</v>
      </c>
      <c r="BR297"/>
      <c r="BS297">
        <v>51.615000000000002</v>
      </c>
      <c r="BT297"/>
      <c r="BU297">
        <v>16.724</v>
      </c>
      <c r="BV297"/>
      <c r="BW297" s="325">
        <v>13.84</v>
      </c>
      <c r="BX297"/>
      <c r="BY297">
        <v>6.2289999999999992</v>
      </c>
      <c r="BZ297"/>
      <c r="CA297"/>
      <c r="CC297">
        <v>6.08</v>
      </c>
      <c r="CD297"/>
      <c r="CE297"/>
      <c r="CF297"/>
      <c r="CG297"/>
      <c r="CH297"/>
      <c r="CI297"/>
      <c r="CJ297"/>
      <c r="CK297"/>
      <c r="CL297"/>
      <c r="CM297"/>
    </row>
    <row r="298" spans="1:91">
      <c r="A298" s="154" t="s">
        <v>7671</v>
      </c>
      <c r="B298" t="s">
        <v>8287</v>
      </c>
      <c r="C298">
        <v>1</v>
      </c>
      <c r="D298">
        <v>407</v>
      </c>
      <c r="E298" s="113">
        <v>7</v>
      </c>
      <c r="F298" s="113">
        <v>4</v>
      </c>
      <c r="I298">
        <v>30.499999999999996</v>
      </c>
      <c r="K298" s="320">
        <v>8</v>
      </c>
      <c r="L298" s="320"/>
      <c r="M298">
        <v>2.91</v>
      </c>
      <c r="N298" s="320"/>
      <c r="O298"/>
      <c r="P298"/>
      <c r="Q298"/>
      <c r="S298" s="320">
        <v>13.164204933208</v>
      </c>
      <c r="T298" s="320"/>
      <c r="U298">
        <v>10.8</v>
      </c>
      <c r="V298"/>
      <c r="W298"/>
      <c r="X298"/>
      <c r="Y298" s="321">
        <v>4.5826598000000001</v>
      </c>
      <c r="Z298" s="320"/>
      <c r="AA298" s="322">
        <v>66819.277108433729</v>
      </c>
      <c r="AB298" s="320"/>
      <c r="AC298" s="321">
        <v>26.022386600000001</v>
      </c>
      <c r="AD298" s="320"/>
      <c r="AE298" s="320">
        <v>27.73</v>
      </c>
      <c r="AF298" s="320"/>
      <c r="AG298">
        <v>4.1500000000000004</v>
      </c>
      <c r="AH298"/>
      <c r="AI298">
        <v>115</v>
      </c>
      <c r="AJ298"/>
      <c r="AK298"/>
      <c r="AL298"/>
      <c r="AM298"/>
      <c r="AN298"/>
      <c r="AO298">
        <v>72</v>
      </c>
      <c r="AP298"/>
      <c r="AQ298" s="323"/>
      <c r="AR298" s="323"/>
      <c r="AS298">
        <v>112</v>
      </c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>
        <v>-2.4399000000000002</v>
      </c>
      <c r="BH298"/>
      <c r="BI298">
        <v>4.1163999999999996</v>
      </c>
      <c r="BJ298"/>
      <c r="BK298">
        <v>1.4964</v>
      </c>
      <c r="BL298"/>
      <c r="BM298">
        <v>68.078999999999994</v>
      </c>
      <c r="BN298"/>
      <c r="BO298">
        <v>18.779</v>
      </c>
      <c r="BP298"/>
      <c r="BQ298">
        <v>8.3687000000000005</v>
      </c>
      <c r="BR298"/>
      <c r="BS298">
        <v>50.588000000000001</v>
      </c>
      <c r="BT298"/>
      <c r="BU298">
        <v>18.260000000000002</v>
      </c>
      <c r="BV298"/>
      <c r="BW298" s="325">
        <v>7.71</v>
      </c>
      <c r="BX298"/>
      <c r="BY298">
        <v>6.5390000000000015</v>
      </c>
      <c r="BZ298"/>
      <c r="CA298"/>
      <c r="CC298">
        <v>6.36</v>
      </c>
      <c r="CD298"/>
      <c r="CE298"/>
      <c r="CF298"/>
      <c r="CG298"/>
      <c r="CH298"/>
      <c r="CI298"/>
      <c r="CJ298"/>
      <c r="CK298"/>
      <c r="CL298"/>
      <c r="CM298"/>
    </row>
    <row r="299" spans="1:91">
      <c r="A299" s="154" t="s">
        <v>7671</v>
      </c>
      <c r="B299" t="s">
        <v>8289</v>
      </c>
      <c r="C299">
        <v>2</v>
      </c>
      <c r="D299">
        <v>759</v>
      </c>
      <c r="E299" s="113">
        <v>59</v>
      </c>
      <c r="F299" s="113">
        <v>7</v>
      </c>
      <c r="I299">
        <v>25.499999999999996</v>
      </c>
      <c r="K299" s="320">
        <v>8</v>
      </c>
      <c r="L299" s="320"/>
      <c r="M299">
        <v>2.21</v>
      </c>
      <c r="N299" s="320"/>
      <c r="O299"/>
      <c r="P299"/>
      <c r="Q299"/>
      <c r="S299" s="320">
        <v>8.662175894512</v>
      </c>
      <c r="T299" s="320"/>
      <c r="U299">
        <v>10.8</v>
      </c>
      <c r="V299"/>
      <c r="W299"/>
      <c r="X299"/>
      <c r="Y299" s="321">
        <v>4.0727414000000008</v>
      </c>
      <c r="Z299" s="320"/>
      <c r="AA299" s="322">
        <v>47304.147465437796</v>
      </c>
      <c r="AB299" s="320"/>
      <c r="AC299" s="321">
        <v>19.1234897</v>
      </c>
      <c r="AD299" s="320"/>
      <c r="AE299" s="320">
        <v>20.53</v>
      </c>
      <c r="AF299" s="320"/>
      <c r="AG299">
        <v>4.34</v>
      </c>
      <c r="AH299"/>
      <c r="AI299">
        <v>85</v>
      </c>
      <c r="AJ299"/>
      <c r="AK299"/>
      <c r="AL299"/>
      <c r="AM299"/>
      <c r="AN299"/>
      <c r="AO299">
        <v>73</v>
      </c>
      <c r="AP299"/>
      <c r="AQ299" s="323"/>
      <c r="AR299" s="323"/>
      <c r="AS299">
        <v>112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>
        <v>-0.11155</v>
      </c>
      <c r="BH299"/>
      <c r="BI299">
        <v>4.1948999999999996</v>
      </c>
      <c r="BJ299"/>
      <c r="BK299">
        <v>1.7205999999999999</v>
      </c>
      <c r="BL299"/>
      <c r="BM299">
        <v>66.045000000000002</v>
      </c>
      <c r="BN299"/>
      <c r="BO299">
        <v>18.917999999999999</v>
      </c>
      <c r="BP299"/>
      <c r="BQ299">
        <v>8.3317999999999994</v>
      </c>
      <c r="BR299"/>
      <c r="BS299">
        <v>45.295999999999999</v>
      </c>
      <c r="BT299"/>
      <c r="BU299">
        <v>20.945</v>
      </c>
      <c r="BV299"/>
      <c r="BW299" s="325">
        <v>5.15</v>
      </c>
      <c r="BX299"/>
      <c r="BY299">
        <v>7.4129999999999967</v>
      </c>
      <c r="BZ299"/>
      <c r="CA299"/>
      <c r="CC299">
        <v>8.68</v>
      </c>
      <c r="CD299"/>
      <c r="CE299"/>
      <c r="CF299"/>
      <c r="CG299"/>
      <c r="CH299"/>
      <c r="CI299"/>
      <c r="CJ299"/>
      <c r="CK299"/>
      <c r="CL299"/>
      <c r="CM299"/>
    </row>
    <row r="300" spans="1:91">
      <c r="A300" s="154" t="s">
        <v>7671</v>
      </c>
      <c r="B300" t="s">
        <v>8287</v>
      </c>
      <c r="C300">
        <v>2</v>
      </c>
      <c r="D300">
        <v>1446</v>
      </c>
      <c r="E300" s="113">
        <v>46</v>
      </c>
      <c r="F300" s="113">
        <v>14</v>
      </c>
      <c r="I300">
        <v>24.5</v>
      </c>
      <c r="K300" s="320">
        <v>9</v>
      </c>
      <c r="L300" s="320"/>
      <c r="M300">
        <v>3</v>
      </c>
      <c r="N300" s="320"/>
      <c r="O300"/>
      <c r="P300"/>
      <c r="Q300"/>
      <c r="S300" s="320">
        <v>13.417003466426001</v>
      </c>
      <c r="T300" s="320"/>
      <c r="U300">
        <v>10.8</v>
      </c>
      <c r="V300"/>
      <c r="W300"/>
      <c r="X300"/>
      <c r="Y300" s="321">
        <v>5.7010519999999998</v>
      </c>
      <c r="Z300" s="320"/>
      <c r="AA300" s="322">
        <v>64387.527839643648</v>
      </c>
      <c r="AB300" s="320"/>
      <c r="AC300" s="321">
        <v>27.0487742</v>
      </c>
      <c r="AD300" s="320"/>
      <c r="AE300" s="320">
        <v>28.91</v>
      </c>
      <c r="AF300" s="320"/>
      <c r="AG300">
        <v>4.49</v>
      </c>
      <c r="AH300"/>
      <c r="AI300">
        <v>123</v>
      </c>
      <c r="AJ300"/>
      <c r="AK300"/>
      <c r="AL300"/>
      <c r="AM300"/>
      <c r="AN300"/>
      <c r="AO300">
        <v>77</v>
      </c>
      <c r="AP300"/>
      <c r="AQ300" s="323"/>
      <c r="AR300" s="323"/>
      <c r="AS300">
        <v>112</v>
      </c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>
        <v>1.8714999999999999</v>
      </c>
      <c r="BH300"/>
      <c r="BI300">
        <v>4.1776</v>
      </c>
      <c r="BJ300"/>
      <c r="BK300">
        <v>1.4792000000000001</v>
      </c>
      <c r="BL300"/>
      <c r="BM300">
        <v>62.843000000000004</v>
      </c>
      <c r="BN300"/>
      <c r="BO300">
        <v>19.919</v>
      </c>
      <c r="BP300"/>
      <c r="BQ300">
        <v>8.1485000000000003</v>
      </c>
      <c r="BR300"/>
      <c r="BS300">
        <v>49.603000000000002</v>
      </c>
      <c r="BT300"/>
      <c r="BU300">
        <v>18.41</v>
      </c>
      <c r="BV300"/>
      <c r="BW300" s="325">
        <v>8.91</v>
      </c>
      <c r="BX300"/>
      <c r="BY300">
        <v>6.4410000000000025</v>
      </c>
      <c r="BZ300"/>
      <c r="CA300"/>
      <c r="CC300">
        <v>5.28</v>
      </c>
      <c r="CD300"/>
      <c r="CE300"/>
      <c r="CF300"/>
      <c r="CG300"/>
      <c r="CH300"/>
      <c r="CI300"/>
      <c r="CJ300"/>
      <c r="CK300"/>
      <c r="CL300"/>
      <c r="CM300"/>
    </row>
    <row r="301" spans="1:91">
      <c r="A301" s="154" t="s">
        <v>7671</v>
      </c>
      <c r="B301" t="s">
        <v>8289</v>
      </c>
      <c r="C301">
        <v>1</v>
      </c>
      <c r="D301">
        <v>1728</v>
      </c>
      <c r="E301" s="113">
        <v>28</v>
      </c>
      <c r="F301" s="113">
        <v>17</v>
      </c>
      <c r="I301">
        <v>33.5</v>
      </c>
      <c r="K301" s="320">
        <v>8</v>
      </c>
      <c r="L301" s="320"/>
      <c r="M301">
        <v>3.18</v>
      </c>
      <c r="N301" s="320"/>
      <c r="O301"/>
      <c r="P301"/>
      <c r="Q301"/>
      <c r="S301" s="320">
        <v>13.313646128358</v>
      </c>
      <c r="T301" s="320"/>
      <c r="U301">
        <v>10.8</v>
      </c>
      <c r="V301"/>
      <c r="W301"/>
      <c r="X301"/>
      <c r="Y301" s="321">
        <v>5.7359070000000001</v>
      </c>
      <c r="Z301" s="320"/>
      <c r="AA301" s="322">
        <v>71086.956521739135</v>
      </c>
      <c r="AB301" s="320"/>
      <c r="AC301" s="321">
        <v>27.3078027</v>
      </c>
      <c r="AD301" s="320"/>
      <c r="AE301" s="320">
        <v>29.43</v>
      </c>
      <c r="AF301" s="320"/>
      <c r="AG301">
        <v>4.1399999999999997</v>
      </c>
      <c r="AH301"/>
      <c r="AI301">
        <v>100</v>
      </c>
      <c r="AJ301"/>
      <c r="AK301"/>
      <c r="AL301"/>
      <c r="AM301"/>
      <c r="AN301"/>
      <c r="AO301">
        <v>79</v>
      </c>
      <c r="AP301"/>
      <c r="AQ301" s="323"/>
      <c r="AR301" s="323"/>
      <c r="AS301">
        <v>112</v>
      </c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>
        <v>-0.21872</v>
      </c>
      <c r="BH301"/>
      <c r="BI301">
        <v>4.5674000000000001</v>
      </c>
      <c r="BJ301"/>
      <c r="BK301">
        <v>1.4661</v>
      </c>
      <c r="BL301"/>
      <c r="BM301">
        <v>62.923000000000002</v>
      </c>
      <c r="BN301"/>
      <c r="BO301">
        <v>20.420999999999999</v>
      </c>
      <c r="BP301"/>
      <c r="BQ301">
        <v>8.6654</v>
      </c>
      <c r="BR301"/>
      <c r="BS301">
        <v>48.753999999999998</v>
      </c>
      <c r="BT301"/>
      <c r="BU301">
        <v>19.123999999999999</v>
      </c>
      <c r="BV301"/>
      <c r="BW301" s="325">
        <v>12.94</v>
      </c>
      <c r="BX301"/>
      <c r="BY301">
        <v>6.8169999999999931</v>
      </c>
      <c r="BZ301"/>
      <c r="CA301"/>
      <c r="CC301">
        <v>9.0500000000000007</v>
      </c>
      <c r="CD301"/>
      <c r="CE301"/>
      <c r="CF301"/>
      <c r="CG301"/>
      <c r="CH301"/>
      <c r="CI301"/>
      <c r="CJ301"/>
      <c r="CK301"/>
      <c r="CL301"/>
      <c r="CM301"/>
    </row>
    <row r="302" spans="1:91">
      <c r="A302" s="154" t="s">
        <v>7672</v>
      </c>
      <c r="B302" t="s">
        <v>8287</v>
      </c>
      <c r="C302">
        <v>1</v>
      </c>
      <c r="D302">
        <v>206</v>
      </c>
      <c r="E302" s="113">
        <v>6</v>
      </c>
      <c r="F302" s="113">
        <v>2</v>
      </c>
      <c r="I302">
        <v>30.499999999999996</v>
      </c>
      <c r="K302" s="320">
        <v>9</v>
      </c>
      <c r="L302" s="320"/>
      <c r="M302">
        <v>3.79</v>
      </c>
      <c r="N302" s="320"/>
      <c r="O302"/>
      <c r="P302"/>
      <c r="Q302"/>
      <c r="S302" s="320">
        <v>16.885750617736001</v>
      </c>
      <c r="T302" s="320"/>
      <c r="U302">
        <v>10.8</v>
      </c>
      <c r="V302"/>
      <c r="W302"/>
      <c r="X302"/>
      <c r="Y302" s="321">
        <v>6.6505955999999991</v>
      </c>
      <c r="Z302" s="320"/>
      <c r="AA302" s="322">
        <v>93142.85714285713</v>
      </c>
      <c r="AB302" s="320"/>
      <c r="AC302" s="321">
        <v>33.7094758</v>
      </c>
      <c r="AD302" s="320"/>
      <c r="AE302" s="320">
        <v>35.86</v>
      </c>
      <c r="AF302" s="320"/>
      <c r="AG302">
        <v>3.85</v>
      </c>
      <c r="AH302"/>
      <c r="AI302">
        <v>145</v>
      </c>
      <c r="AJ302"/>
      <c r="AK302"/>
      <c r="AL302"/>
      <c r="AM302"/>
      <c r="AN302"/>
      <c r="AO302">
        <v>90</v>
      </c>
      <c r="AP302"/>
      <c r="AQ302" s="323"/>
      <c r="AR302" s="323"/>
      <c r="AS302">
        <v>120</v>
      </c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>
        <v>-2.2136</v>
      </c>
      <c r="BH302"/>
      <c r="BI302">
        <v>4.8442999999999996</v>
      </c>
      <c r="BJ302"/>
      <c r="BK302">
        <v>1.4624999999999999</v>
      </c>
      <c r="BL302"/>
      <c r="BM302">
        <v>61.377000000000002</v>
      </c>
      <c r="BN302"/>
      <c r="BO302">
        <v>22.364000000000001</v>
      </c>
      <c r="BP302"/>
      <c r="BQ302">
        <v>9.9978999999999996</v>
      </c>
      <c r="BR302"/>
      <c r="BS302">
        <v>50.091999999999999</v>
      </c>
      <c r="BT302"/>
      <c r="BU302">
        <v>18.722000000000001</v>
      </c>
      <c r="BV302"/>
      <c r="BW302" s="325">
        <v>3.72</v>
      </c>
      <c r="BX302"/>
      <c r="BY302">
        <v>6.4039999999999964</v>
      </c>
      <c r="BZ302"/>
      <c r="CA302"/>
      <c r="CC302">
        <v>7.02</v>
      </c>
      <c r="CD302"/>
      <c r="CE302"/>
      <c r="CF302"/>
      <c r="CG302"/>
      <c r="CH302"/>
      <c r="CI302"/>
      <c r="CJ302"/>
      <c r="CK302"/>
      <c r="CL302"/>
      <c r="CM302"/>
    </row>
    <row r="303" spans="1:91">
      <c r="A303" s="154" t="s">
        <v>7672</v>
      </c>
      <c r="B303" t="s">
        <v>8289</v>
      </c>
      <c r="C303">
        <v>2</v>
      </c>
      <c r="D303">
        <v>775</v>
      </c>
      <c r="E303" s="113">
        <v>75</v>
      </c>
      <c r="F303" s="113">
        <v>7</v>
      </c>
      <c r="I303">
        <v>25</v>
      </c>
      <c r="K303" s="320">
        <v>8</v>
      </c>
      <c r="L303" s="320"/>
      <c r="M303">
        <v>1.61</v>
      </c>
      <c r="N303" s="320"/>
      <c r="O303"/>
      <c r="P303"/>
      <c r="Q303"/>
      <c r="S303" s="320">
        <v>6.3742786186170006</v>
      </c>
      <c r="T303" s="320"/>
      <c r="U303">
        <v>10.8</v>
      </c>
      <c r="V303"/>
      <c r="W303"/>
      <c r="X303"/>
      <c r="Y303" s="321">
        <v>3.1814055000000003</v>
      </c>
      <c r="Z303" s="320"/>
      <c r="AA303" s="322">
        <v>35400.457665903894</v>
      </c>
      <c r="AB303" s="320"/>
      <c r="AC303" s="321">
        <v>14.3736411</v>
      </c>
      <c r="AD303" s="320"/>
      <c r="AE303" s="320">
        <v>15.47</v>
      </c>
      <c r="AF303" s="320"/>
      <c r="AG303">
        <v>4.37</v>
      </c>
      <c r="AH303"/>
      <c r="AI303">
        <v>125</v>
      </c>
      <c r="AJ303"/>
      <c r="AK303"/>
      <c r="AL303"/>
      <c r="AM303"/>
      <c r="AN303"/>
      <c r="AO303">
        <v>87</v>
      </c>
      <c r="AP303"/>
      <c r="AQ303" s="323"/>
      <c r="AR303" s="323"/>
      <c r="AS303">
        <v>118</v>
      </c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>
        <v>-5.1313000000000004</v>
      </c>
      <c r="BH303"/>
      <c r="BI303">
        <v>5.0536000000000003</v>
      </c>
      <c r="BJ303"/>
      <c r="BK303">
        <v>1.5634999999999999</v>
      </c>
      <c r="BL303"/>
      <c r="BM303">
        <v>59.249000000000002</v>
      </c>
      <c r="BN303"/>
      <c r="BO303">
        <v>22.036000000000001</v>
      </c>
      <c r="BP303"/>
      <c r="BQ303">
        <v>8.3329000000000004</v>
      </c>
      <c r="BR303"/>
      <c r="BS303">
        <v>44.347000000000001</v>
      </c>
      <c r="BT303"/>
      <c r="BU303">
        <v>20.315999999999999</v>
      </c>
      <c r="BV303"/>
      <c r="BW303" s="325">
        <v>3.52</v>
      </c>
      <c r="BX303"/>
      <c r="BY303">
        <v>7.2930000000000064</v>
      </c>
      <c r="BZ303"/>
      <c r="CA303"/>
      <c r="CC303">
        <v>5.55</v>
      </c>
      <c r="CD303"/>
      <c r="CE303"/>
      <c r="CF303"/>
      <c r="CG303"/>
      <c r="CH303"/>
      <c r="CI303"/>
      <c r="CJ303"/>
      <c r="CK303"/>
      <c r="CL303"/>
      <c r="CM303"/>
    </row>
    <row r="304" spans="1:91">
      <c r="A304" s="154" t="s">
        <v>7672</v>
      </c>
      <c r="B304" t="s">
        <v>8289</v>
      </c>
      <c r="C304">
        <v>1</v>
      </c>
      <c r="D304">
        <v>1229</v>
      </c>
      <c r="E304" s="113">
        <v>29</v>
      </c>
      <c r="F304" s="113">
        <v>12</v>
      </c>
      <c r="I304">
        <v>32.5</v>
      </c>
      <c r="K304" s="320">
        <v>9</v>
      </c>
      <c r="L304" s="320"/>
      <c r="M304">
        <v>3.78</v>
      </c>
      <c r="N304" s="320"/>
      <c r="O304"/>
      <c r="P304"/>
      <c r="Q304"/>
      <c r="S304" s="320">
        <v>15.754133279821996</v>
      </c>
      <c r="T304" s="320"/>
      <c r="U304">
        <v>10.8</v>
      </c>
      <c r="V304"/>
      <c r="W304"/>
      <c r="X304"/>
      <c r="Y304" s="321">
        <v>6.7756818999999986</v>
      </c>
      <c r="Z304" s="320"/>
      <c r="AA304" s="322">
        <v>85354.523227383863</v>
      </c>
      <c r="AB304" s="320"/>
      <c r="AC304" s="321">
        <v>32.508890199999996</v>
      </c>
      <c r="AD304" s="320"/>
      <c r="AE304" s="320">
        <v>34.909999999999997</v>
      </c>
      <c r="AF304" s="320"/>
      <c r="AG304">
        <v>4.09</v>
      </c>
      <c r="AH304"/>
      <c r="AI304">
        <v>120</v>
      </c>
      <c r="AJ304"/>
      <c r="AK304"/>
      <c r="AL304"/>
      <c r="AM304"/>
      <c r="AN304"/>
      <c r="AO304">
        <v>79</v>
      </c>
      <c r="AP304"/>
      <c r="AQ304" s="323"/>
      <c r="AR304" s="323"/>
      <c r="AS304">
        <v>120</v>
      </c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>
        <v>-0.54903000000000002</v>
      </c>
      <c r="BH304"/>
      <c r="BI304">
        <v>4.7788000000000004</v>
      </c>
      <c r="BJ304"/>
      <c r="BK304">
        <v>1.4249000000000001</v>
      </c>
      <c r="BL304"/>
      <c r="BM304">
        <v>60.179000000000002</v>
      </c>
      <c r="BN304"/>
      <c r="BO304">
        <v>22.494</v>
      </c>
      <c r="BP304"/>
      <c r="BQ304">
        <v>9.3023000000000007</v>
      </c>
      <c r="BR304"/>
      <c r="BS304">
        <v>48.460999999999999</v>
      </c>
      <c r="BT304"/>
      <c r="BU304">
        <v>19.207999999999998</v>
      </c>
      <c r="BV304"/>
      <c r="BW304" s="325">
        <v>7.82</v>
      </c>
      <c r="BX304"/>
      <c r="BY304">
        <v>6.8990000000000009</v>
      </c>
      <c r="BZ304"/>
      <c r="CA304"/>
      <c r="CC304">
        <v>9.24</v>
      </c>
      <c r="CD304"/>
      <c r="CE304"/>
      <c r="CF304"/>
      <c r="CG304"/>
      <c r="CH304"/>
      <c r="CI304"/>
      <c r="CJ304"/>
      <c r="CK304"/>
      <c r="CL304"/>
      <c r="CM304"/>
    </row>
    <row r="305" spans="1:91">
      <c r="A305" s="154" t="s">
        <v>7672</v>
      </c>
      <c r="B305" t="s">
        <v>8287</v>
      </c>
      <c r="C305">
        <v>2</v>
      </c>
      <c r="D305">
        <v>1552</v>
      </c>
      <c r="E305" s="113">
        <v>52</v>
      </c>
      <c r="F305" s="113">
        <v>15</v>
      </c>
      <c r="I305">
        <v>35.499999999999993</v>
      </c>
      <c r="K305" s="320">
        <v>8</v>
      </c>
      <c r="L305" s="320"/>
      <c r="M305">
        <v>2.82</v>
      </c>
      <c r="N305" s="320"/>
      <c r="O305"/>
      <c r="P305"/>
      <c r="Q305"/>
      <c r="S305" s="320">
        <v>12.964007363399999</v>
      </c>
      <c r="T305" s="320"/>
      <c r="U305">
        <v>10.8</v>
      </c>
      <c r="V305"/>
      <c r="W305"/>
      <c r="X305"/>
      <c r="Y305" s="321">
        <v>4.6333745999999998</v>
      </c>
      <c r="Z305" s="320"/>
      <c r="AA305" s="322">
        <v>70414.507772020734</v>
      </c>
      <c r="AB305" s="320"/>
      <c r="AC305" s="321">
        <v>25.469562599999996</v>
      </c>
      <c r="AD305" s="320"/>
      <c r="AE305" s="320">
        <v>27.18</v>
      </c>
      <c r="AF305" s="320"/>
      <c r="AG305">
        <v>3.86</v>
      </c>
      <c r="AH305"/>
      <c r="AI305">
        <v>125</v>
      </c>
      <c r="AJ305"/>
      <c r="AK305"/>
      <c r="AL305"/>
      <c r="AM305"/>
      <c r="AN305"/>
      <c r="AO305">
        <v>85</v>
      </c>
      <c r="AP305"/>
      <c r="AQ305" s="323"/>
      <c r="AR305" s="323"/>
      <c r="AS305">
        <v>118</v>
      </c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>
        <v>-9.2499000000000002</v>
      </c>
      <c r="BH305"/>
      <c r="BI305">
        <v>4.8018000000000001</v>
      </c>
      <c r="BJ305"/>
      <c r="BK305">
        <v>1.5123</v>
      </c>
      <c r="BL305"/>
      <c r="BM305">
        <v>68.37</v>
      </c>
      <c r="BN305"/>
      <c r="BO305">
        <v>21.585000000000001</v>
      </c>
      <c r="BP305"/>
      <c r="BQ305">
        <v>8.7158999999999995</v>
      </c>
      <c r="BR305"/>
      <c r="BS305">
        <v>50.9</v>
      </c>
      <c r="BT305"/>
      <c r="BU305">
        <v>16.831</v>
      </c>
      <c r="BV305"/>
      <c r="BW305" s="325">
        <v>6.49</v>
      </c>
      <c r="BX305"/>
      <c r="BY305">
        <v>6.3400000000000034</v>
      </c>
      <c r="BZ305"/>
      <c r="CA305"/>
      <c r="CC305">
        <v>5.28</v>
      </c>
      <c r="CD305"/>
      <c r="CE305"/>
      <c r="CF305"/>
      <c r="CG305"/>
      <c r="CH305"/>
      <c r="CI305"/>
      <c r="CJ305"/>
      <c r="CK305"/>
      <c r="CL305"/>
      <c r="CM305"/>
    </row>
    <row r="306" spans="1:91">
      <c r="A306" s="154" t="s">
        <v>7673</v>
      </c>
      <c r="B306" t="s">
        <v>8289</v>
      </c>
      <c r="C306">
        <v>2</v>
      </c>
      <c r="D306">
        <v>660</v>
      </c>
      <c r="E306" s="113">
        <v>60</v>
      </c>
      <c r="F306" s="113">
        <v>6</v>
      </c>
      <c r="I306">
        <v>27</v>
      </c>
      <c r="K306" s="320">
        <v>9</v>
      </c>
      <c r="L306" s="320"/>
      <c r="M306">
        <v>0.68</v>
      </c>
      <c r="N306" s="320"/>
      <c r="O306"/>
      <c r="P306"/>
      <c r="Q306"/>
      <c r="S306" s="320">
        <v>0</v>
      </c>
      <c r="T306" s="320"/>
      <c r="U306">
        <v>10.8</v>
      </c>
      <c r="V306"/>
      <c r="W306"/>
      <c r="X306"/>
      <c r="Y306" s="321">
        <v>1.3290177999999999</v>
      </c>
      <c r="Z306" s="320"/>
      <c r="AA306" s="322">
        <v>15714.285714285716</v>
      </c>
      <c r="AB306" s="320"/>
      <c r="AC306" s="321">
        <v>5.9884594</v>
      </c>
      <c r="AD306" s="320"/>
      <c r="AE306" s="320">
        <v>6.38</v>
      </c>
      <c r="AF306" s="320"/>
      <c r="AG306">
        <v>4.0599999999999996</v>
      </c>
      <c r="AH306"/>
      <c r="AI306">
        <v>120</v>
      </c>
      <c r="AJ306"/>
      <c r="AK306"/>
      <c r="AL306"/>
      <c r="AM306"/>
      <c r="AN306"/>
      <c r="AO306">
        <v>77</v>
      </c>
      <c r="AP306"/>
      <c r="AQ306" s="323"/>
      <c r="AR306" s="323"/>
      <c r="AS306">
        <v>112</v>
      </c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 t="s">
        <v>8361</v>
      </c>
      <c r="BX306" s="324"/>
      <c r="BY306" t="s">
        <v>8237</v>
      </c>
      <c r="BZ306"/>
      <c r="CA306"/>
      <c r="CC306">
        <v>7.75</v>
      </c>
      <c r="CD306"/>
      <c r="CE306"/>
      <c r="CF306"/>
      <c r="CG306"/>
      <c r="CH306"/>
      <c r="CI306"/>
      <c r="CJ306"/>
      <c r="CK306"/>
      <c r="CL306"/>
      <c r="CM306"/>
    </row>
    <row r="307" spans="1:91">
      <c r="A307" s="327" t="s">
        <v>7673</v>
      </c>
      <c r="B307" s="328" t="s">
        <v>8287</v>
      </c>
      <c r="C307" s="328">
        <v>1</v>
      </c>
      <c r="D307" s="328">
        <v>931</v>
      </c>
      <c r="E307" s="113">
        <v>31</v>
      </c>
      <c r="F307" s="113">
        <v>9</v>
      </c>
      <c r="G307" s="329"/>
      <c r="H307" s="329"/>
      <c r="I307" s="328">
        <v>21.999999999999996</v>
      </c>
      <c r="J307" s="330"/>
      <c r="K307" s="331">
        <v>7</v>
      </c>
      <c r="L307" s="331"/>
      <c r="M307" s="328">
        <v>0.73</v>
      </c>
      <c r="N307" s="331"/>
      <c r="O307" s="328"/>
      <c r="P307" s="328"/>
      <c r="Q307" s="328"/>
      <c r="R307" s="332"/>
      <c r="S307" s="331">
        <v>2.7336470458440001</v>
      </c>
      <c r="T307" s="331"/>
      <c r="U307" s="328">
        <v>10.8</v>
      </c>
      <c r="V307" s="328"/>
      <c r="W307" s="328"/>
      <c r="X307" s="328"/>
      <c r="Y307" s="333">
        <v>1.2966290999999999</v>
      </c>
      <c r="Z307" s="331"/>
      <c r="AA307" s="334">
        <v>14690.831556503197</v>
      </c>
      <c r="AB307" s="331"/>
      <c r="AC307" s="333">
        <v>6.4498667999999997</v>
      </c>
      <c r="AD307" s="331"/>
      <c r="AE307" s="331">
        <v>6.89</v>
      </c>
      <c r="AF307" s="331"/>
      <c r="AG307" s="328">
        <v>4.6900000000000004</v>
      </c>
      <c r="AH307" s="328"/>
      <c r="AI307" s="328"/>
      <c r="AJ307" s="328"/>
      <c r="AK307" s="328"/>
      <c r="AL307" s="328"/>
      <c r="AM307" s="328"/>
      <c r="AN307" s="328"/>
      <c r="AO307" s="328">
        <v>83</v>
      </c>
      <c r="AP307" s="328"/>
      <c r="AQ307" s="335"/>
      <c r="AR307" s="335"/>
      <c r="AS307" s="328">
        <v>116</v>
      </c>
      <c r="AT307" s="328"/>
      <c r="AU307" s="328"/>
      <c r="AV307" s="328"/>
      <c r="AW307" s="328"/>
      <c r="AX307" s="328"/>
      <c r="AY307" s="328"/>
      <c r="AZ307" s="328"/>
      <c r="BA307" s="328"/>
      <c r="BB307" s="328"/>
      <c r="BC307" s="328"/>
      <c r="BD307" s="328"/>
      <c r="BE307" s="328"/>
      <c r="BF307" s="328"/>
      <c r="BG307" s="328">
        <v>-3.2576000000000001</v>
      </c>
      <c r="BH307" s="328"/>
      <c r="BI307" s="328">
        <v>5.6976000000000004</v>
      </c>
      <c r="BJ307" s="328"/>
      <c r="BK307" s="328">
        <v>1.5914999999999999</v>
      </c>
      <c r="BL307" s="328"/>
      <c r="BM307" s="328">
        <v>58.555</v>
      </c>
      <c r="BN307" s="328"/>
      <c r="BO307" s="328">
        <v>22.315999999999999</v>
      </c>
      <c r="BP307" s="328"/>
      <c r="BQ307" s="328">
        <v>8.3317999999999994</v>
      </c>
      <c r="BR307" s="328"/>
      <c r="BS307" s="328">
        <v>42.383000000000003</v>
      </c>
      <c r="BT307" s="328"/>
      <c r="BU307" s="328">
        <v>19.724</v>
      </c>
      <c r="BV307" s="328"/>
      <c r="BW307" s="336">
        <v>2.82</v>
      </c>
      <c r="BX307" s="328"/>
      <c r="BY307" s="328">
        <v>7.1760000000000019</v>
      </c>
      <c r="BZ307" s="328"/>
      <c r="CA307" s="328"/>
      <c r="CB307" s="337"/>
      <c r="CC307" s="328">
        <v>7.2</v>
      </c>
      <c r="CD307" s="328"/>
      <c r="CE307" s="328"/>
      <c r="CF307" s="328"/>
      <c r="CG307" s="328"/>
      <c r="CH307" s="328"/>
      <c r="CI307" s="328"/>
      <c r="CJ307" s="328"/>
      <c r="CK307" s="328" t="s">
        <v>8377</v>
      </c>
      <c r="CL307" s="328"/>
      <c r="CM307" s="328"/>
    </row>
    <row r="308" spans="1:91">
      <c r="A308" s="154" t="s">
        <v>7673</v>
      </c>
      <c r="B308" t="s">
        <v>8287</v>
      </c>
      <c r="C308">
        <v>2</v>
      </c>
      <c r="D308">
        <v>1057</v>
      </c>
      <c r="E308" s="113">
        <v>57</v>
      </c>
      <c r="F308" s="113">
        <v>10</v>
      </c>
      <c r="I308">
        <v>35</v>
      </c>
      <c r="K308" s="320">
        <v>9</v>
      </c>
      <c r="L308" s="320"/>
      <c r="M308">
        <v>2.4900000000000002</v>
      </c>
      <c r="N308" s="320"/>
      <c r="O308"/>
      <c r="P308"/>
      <c r="Q308"/>
      <c r="S308" s="320">
        <v>10.176273872376001</v>
      </c>
      <c r="T308" s="320"/>
      <c r="U308">
        <v>10.8</v>
      </c>
      <c r="V308"/>
      <c r="W308"/>
      <c r="X308"/>
      <c r="Y308" s="321">
        <v>4.8405072000000002</v>
      </c>
      <c r="Z308" s="320"/>
      <c r="AA308" s="322">
        <v>52108.843537414963</v>
      </c>
      <c r="AB308" s="320"/>
      <c r="AC308" s="321">
        <v>21.398056799999999</v>
      </c>
      <c r="AD308" s="320"/>
      <c r="AE308" s="320">
        <v>22.98</v>
      </c>
      <c r="AF308" s="320"/>
      <c r="AG308">
        <v>4.41</v>
      </c>
      <c r="AH308"/>
      <c r="AI308">
        <v>130</v>
      </c>
      <c r="AJ308"/>
      <c r="AK308"/>
      <c r="AL308"/>
      <c r="AM308"/>
      <c r="AN308"/>
      <c r="AO308">
        <v>79</v>
      </c>
      <c r="AP308"/>
      <c r="AQ308" s="323"/>
      <c r="AR308" s="323"/>
      <c r="AS308">
        <v>112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>
        <v>1.9634</v>
      </c>
      <c r="BH308"/>
      <c r="BI308">
        <v>4.7816000000000001</v>
      </c>
      <c r="BJ308"/>
      <c r="BK308">
        <v>1.4173</v>
      </c>
      <c r="BL308"/>
      <c r="BM308">
        <v>58.725999999999999</v>
      </c>
      <c r="BN308"/>
      <c r="BO308">
        <v>21.873000000000001</v>
      </c>
      <c r="BP308"/>
      <c r="BQ308">
        <v>9.7757000000000005</v>
      </c>
      <c r="BR308"/>
      <c r="BS308">
        <v>47.557000000000002</v>
      </c>
      <c r="BT308"/>
      <c r="BU308">
        <v>19.012</v>
      </c>
      <c r="BV308"/>
      <c r="BW308" s="325">
        <v>4.6100000000000003</v>
      </c>
      <c r="BX308"/>
      <c r="BY308">
        <v>6.7330000000000041</v>
      </c>
      <c r="BZ308"/>
      <c r="CA308"/>
      <c r="CC308">
        <v>9.3000000000000007</v>
      </c>
      <c r="CD308"/>
      <c r="CE308"/>
      <c r="CF308"/>
      <c r="CG308"/>
      <c r="CH308"/>
      <c r="CI308"/>
      <c r="CJ308"/>
      <c r="CK308"/>
      <c r="CL308"/>
      <c r="CM308"/>
    </row>
    <row r="309" spans="1:91">
      <c r="A309" s="154" t="s">
        <v>7673</v>
      </c>
      <c r="B309" t="s">
        <v>8289</v>
      </c>
      <c r="C309">
        <v>1</v>
      </c>
      <c r="D309">
        <v>1028</v>
      </c>
      <c r="E309" s="113">
        <v>28</v>
      </c>
      <c r="F309" s="113">
        <v>10</v>
      </c>
      <c r="I309">
        <v>28.5</v>
      </c>
      <c r="K309" s="320">
        <v>8</v>
      </c>
      <c r="L309" s="320"/>
      <c r="M309">
        <v>1.58</v>
      </c>
      <c r="N309" s="320"/>
      <c r="O309"/>
      <c r="P309"/>
      <c r="Q309"/>
      <c r="S309" s="320">
        <v>5.9679873640860013</v>
      </c>
      <c r="T309" s="320"/>
      <c r="U309">
        <v>10.8</v>
      </c>
      <c r="V309"/>
      <c r="W309"/>
      <c r="X309"/>
      <c r="Y309" s="321">
        <v>2.7100932000000002</v>
      </c>
      <c r="Z309" s="320"/>
      <c r="AA309" s="322">
        <v>32276.78571428571</v>
      </c>
      <c r="AB309" s="320"/>
      <c r="AC309" s="321">
        <v>13.492770600000002</v>
      </c>
      <c r="AD309" s="320"/>
      <c r="AE309" s="320">
        <v>14.46</v>
      </c>
      <c r="AF309" s="320"/>
      <c r="AG309">
        <v>4.4800000000000004</v>
      </c>
      <c r="AH309"/>
      <c r="AI309">
        <v>125</v>
      </c>
      <c r="AJ309"/>
      <c r="AK309"/>
      <c r="AL309"/>
      <c r="AM309"/>
      <c r="AN309"/>
      <c r="AO309">
        <v>79</v>
      </c>
      <c r="AP309"/>
      <c r="AQ309" s="323"/>
      <c r="AR309" s="323"/>
      <c r="AS309">
        <v>112</v>
      </c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>
        <v>-3.7454999999999998</v>
      </c>
      <c r="BH309"/>
      <c r="BI309">
        <v>5.0747999999999998</v>
      </c>
      <c r="BJ309"/>
      <c r="BK309">
        <v>1.5649</v>
      </c>
      <c r="BL309"/>
      <c r="BM309">
        <v>60.180999999999997</v>
      </c>
      <c r="BN309"/>
      <c r="BO309">
        <v>22.702999999999999</v>
      </c>
      <c r="BP309"/>
      <c r="BQ309">
        <v>9.7629000000000001</v>
      </c>
      <c r="BR309"/>
      <c r="BS309">
        <v>44.231000000000002</v>
      </c>
      <c r="BT309"/>
      <c r="BU309">
        <v>20.216000000000001</v>
      </c>
      <c r="BV309"/>
      <c r="BW309" s="325">
        <v>1.62</v>
      </c>
      <c r="BX309"/>
      <c r="BY309">
        <v>7.152000000000001</v>
      </c>
      <c r="BZ309"/>
      <c r="CA309"/>
      <c r="CC309">
        <v>10.06</v>
      </c>
      <c r="CD309"/>
      <c r="CE309"/>
      <c r="CF309"/>
      <c r="CG309"/>
      <c r="CH309"/>
      <c r="CI309"/>
      <c r="CJ309"/>
      <c r="CK309"/>
      <c r="CL309"/>
      <c r="CM309"/>
    </row>
    <row r="310" spans="1:91" s="338" customFormat="1">
      <c r="A310" s="327" t="s">
        <v>7674</v>
      </c>
      <c r="B310" s="328" t="s">
        <v>8287</v>
      </c>
      <c r="C310" s="328">
        <v>1</v>
      </c>
      <c r="D310" s="328">
        <v>814</v>
      </c>
      <c r="E310" s="113">
        <v>14</v>
      </c>
      <c r="F310" s="113">
        <v>8</v>
      </c>
      <c r="G310" s="329"/>
      <c r="H310" s="329"/>
      <c r="I310" s="328">
        <v>26.499999999999996</v>
      </c>
      <c r="J310" s="330"/>
      <c r="K310" s="331">
        <v>7</v>
      </c>
      <c r="L310" s="331"/>
      <c r="M310" s="328">
        <v>1.51</v>
      </c>
      <c r="N310" s="331"/>
      <c r="O310" s="328"/>
      <c r="P310" s="328"/>
      <c r="Q310" s="328"/>
      <c r="R310" s="332"/>
      <c r="S310" s="331">
        <v>6.9504823573919996</v>
      </c>
      <c r="T310" s="331"/>
      <c r="U310" s="328">
        <v>10.8</v>
      </c>
      <c r="V310" s="328"/>
      <c r="W310" s="328"/>
      <c r="X310" s="328"/>
      <c r="Y310" s="333">
        <v>2.3334695999999999</v>
      </c>
      <c r="Z310" s="331"/>
      <c r="AA310" s="334">
        <v>30569.620253164554</v>
      </c>
      <c r="AB310" s="331"/>
      <c r="AC310" s="333">
        <v>13.5695952</v>
      </c>
      <c r="AD310" s="331"/>
      <c r="AE310" s="331">
        <v>14.49</v>
      </c>
      <c r="AF310" s="331"/>
      <c r="AG310" s="328">
        <v>4.74</v>
      </c>
      <c r="AH310" s="328"/>
      <c r="AI310" s="328"/>
      <c r="AJ310" s="328"/>
      <c r="AK310" s="328"/>
      <c r="AL310" s="328"/>
      <c r="AM310" s="328"/>
      <c r="AN310" s="328"/>
      <c r="AO310" s="328">
        <v>77</v>
      </c>
      <c r="AP310" s="328"/>
      <c r="AQ310" s="335"/>
      <c r="AR310" s="335"/>
      <c r="AS310" s="328">
        <v>116</v>
      </c>
      <c r="AT310" s="328"/>
      <c r="AU310" s="328"/>
      <c r="AV310" s="328"/>
      <c r="AW310" s="328"/>
      <c r="AX310" s="328"/>
      <c r="AY310" s="328"/>
      <c r="AZ310" s="328"/>
      <c r="BA310" s="328"/>
      <c r="BB310" s="328"/>
      <c r="BC310" s="328"/>
      <c r="BD310" s="328"/>
      <c r="BE310" s="328"/>
      <c r="BF310" s="328"/>
      <c r="BG310" s="328">
        <v>-0.76432999999999995</v>
      </c>
      <c r="BH310" s="328"/>
      <c r="BI310" s="328">
        <v>4.5629999999999997</v>
      </c>
      <c r="BJ310" s="328"/>
      <c r="BK310" s="328">
        <v>1.5271999999999999</v>
      </c>
      <c r="BL310" s="328"/>
      <c r="BM310" s="328">
        <v>63.87</v>
      </c>
      <c r="BN310" s="328"/>
      <c r="BO310" s="328">
        <v>19.491</v>
      </c>
      <c r="BP310" s="328"/>
      <c r="BQ310" s="328">
        <v>10.824</v>
      </c>
      <c r="BR310" s="328"/>
      <c r="BS310" s="328">
        <v>51.220999999999997</v>
      </c>
      <c r="BT310" s="328"/>
      <c r="BU310" s="328">
        <v>17.295000000000002</v>
      </c>
      <c r="BV310" s="328"/>
      <c r="BW310" s="336">
        <v>6.57</v>
      </c>
      <c r="BX310" s="328"/>
      <c r="BY310" s="328">
        <v>6.3059999999999974</v>
      </c>
      <c r="BZ310" s="328"/>
      <c r="CA310" s="328"/>
      <c r="CB310" s="337"/>
      <c r="CC310" s="328">
        <v>5.71</v>
      </c>
      <c r="CD310" s="328"/>
      <c r="CE310" s="328"/>
      <c r="CF310" s="328"/>
      <c r="CG310" s="328"/>
      <c r="CH310" s="328"/>
      <c r="CI310" s="328"/>
      <c r="CJ310" s="328"/>
      <c r="CK310" s="328" t="s">
        <v>8377</v>
      </c>
      <c r="CL310" s="328"/>
      <c r="CM310" s="328"/>
    </row>
    <row r="311" spans="1:91" s="338" customFormat="1">
      <c r="A311" s="327" t="s">
        <v>7674</v>
      </c>
      <c r="B311" s="328" t="s">
        <v>8289</v>
      </c>
      <c r="C311" s="328">
        <v>2</v>
      </c>
      <c r="D311" s="328">
        <v>844</v>
      </c>
      <c r="E311" s="113">
        <v>44</v>
      </c>
      <c r="F311" s="113">
        <v>8</v>
      </c>
      <c r="G311" s="329"/>
      <c r="H311" s="329"/>
      <c r="I311" s="328">
        <v>29.999999999999996</v>
      </c>
      <c r="J311" s="330"/>
      <c r="K311" s="331">
        <v>9</v>
      </c>
      <c r="L311" s="331"/>
      <c r="M311" s="328">
        <v>2.75</v>
      </c>
      <c r="N311" s="331"/>
      <c r="O311" s="328"/>
      <c r="P311" s="328"/>
      <c r="Q311" s="328"/>
      <c r="R311" s="332"/>
      <c r="S311" s="331">
        <v>12.0227964318</v>
      </c>
      <c r="T311" s="331"/>
      <c r="U311" s="328">
        <v>10.8</v>
      </c>
      <c r="V311" s="328"/>
      <c r="W311" s="328"/>
      <c r="X311" s="328"/>
      <c r="Y311" s="333">
        <v>4.5262503999999995</v>
      </c>
      <c r="Z311" s="331"/>
      <c r="AA311" s="334">
        <v>57467.24890829694</v>
      </c>
      <c r="AB311" s="331"/>
      <c r="AC311" s="333">
        <v>24.536819999999999</v>
      </c>
      <c r="AD311" s="331"/>
      <c r="AE311" s="331">
        <v>26.32</v>
      </c>
      <c r="AF311" s="331"/>
      <c r="AG311" s="328">
        <v>4.58</v>
      </c>
      <c r="AH311" s="328"/>
      <c r="AI311" s="328">
        <v>100</v>
      </c>
      <c r="AJ311" s="328"/>
      <c r="AK311" s="328"/>
      <c r="AL311" s="328"/>
      <c r="AM311" s="328"/>
      <c r="AN311" s="328"/>
      <c r="AO311" s="328">
        <v>79</v>
      </c>
      <c r="AP311" s="328"/>
      <c r="AQ311" s="335"/>
      <c r="AR311" s="335"/>
      <c r="AS311" s="328">
        <v>114</v>
      </c>
      <c r="AT311" s="328"/>
      <c r="AU311" s="328"/>
      <c r="AV311" s="328"/>
      <c r="AW311" s="328"/>
      <c r="AX311" s="328"/>
      <c r="AY311" s="328"/>
      <c r="AZ311" s="328"/>
      <c r="BA311" s="328"/>
      <c r="BB311" s="328"/>
      <c r="BC311" s="328"/>
      <c r="BD311" s="328"/>
      <c r="BE311" s="328"/>
      <c r="BF311" s="328"/>
      <c r="BG311" s="328">
        <v>1.5404</v>
      </c>
      <c r="BH311" s="328"/>
      <c r="BI311" s="328">
        <v>5.2996999999999996</v>
      </c>
      <c r="BJ311" s="328"/>
      <c r="BK311" s="328">
        <v>1.5962000000000001</v>
      </c>
      <c r="BL311" s="328"/>
      <c r="BM311" s="328">
        <v>61.954000000000001</v>
      </c>
      <c r="BN311" s="328"/>
      <c r="BO311" s="328">
        <v>21.524999999999999</v>
      </c>
      <c r="BP311" s="328"/>
      <c r="BQ311" s="328">
        <v>10.355</v>
      </c>
      <c r="BR311" s="328"/>
      <c r="BS311" s="328">
        <v>48.999000000000002</v>
      </c>
      <c r="BT311" s="328"/>
      <c r="BU311" s="328">
        <v>17.654</v>
      </c>
      <c r="BV311" s="328"/>
      <c r="BW311" s="336">
        <v>8.7200000000000006</v>
      </c>
      <c r="BX311" s="328"/>
      <c r="BY311" s="328">
        <v>6.5079999999999956</v>
      </c>
      <c r="BZ311" s="328"/>
      <c r="CA311" s="328"/>
      <c r="CB311" s="337"/>
      <c r="CC311" s="328">
        <v>5.92</v>
      </c>
      <c r="CD311" s="328"/>
      <c r="CE311" s="328"/>
      <c r="CF311" s="328"/>
      <c r="CG311" s="328"/>
      <c r="CH311" s="328"/>
      <c r="CI311" s="328"/>
      <c r="CJ311" s="328"/>
      <c r="CK311" s="328" t="s">
        <v>8377</v>
      </c>
      <c r="CL311" s="328"/>
      <c r="CM311" s="328"/>
    </row>
    <row r="312" spans="1:91" s="338" customFormat="1">
      <c r="A312" s="154" t="s">
        <v>7674</v>
      </c>
      <c r="B312" t="s">
        <v>8289</v>
      </c>
      <c r="C312">
        <v>1</v>
      </c>
      <c r="D312">
        <v>1021</v>
      </c>
      <c r="E312" s="113">
        <v>21</v>
      </c>
      <c r="F312" s="113">
        <v>10</v>
      </c>
      <c r="G312" s="113"/>
      <c r="H312" s="113"/>
      <c r="I312">
        <v>32</v>
      </c>
      <c r="J312" s="112"/>
      <c r="K312" s="320">
        <v>8</v>
      </c>
      <c r="L312" s="320"/>
      <c r="M312">
        <v>1.57</v>
      </c>
      <c r="N312" s="320"/>
      <c r="O312"/>
      <c r="P312"/>
      <c r="Q312"/>
      <c r="R312" s="153"/>
      <c r="S312" s="320">
        <v>6.6188050956719993</v>
      </c>
      <c r="T312" s="320"/>
      <c r="U312">
        <v>10.8</v>
      </c>
      <c r="V312"/>
      <c r="W312"/>
      <c r="X312"/>
      <c r="Y312" s="321">
        <v>3.0901375999999998</v>
      </c>
      <c r="Z312" s="320"/>
      <c r="AA312" s="322">
        <v>31231.732776617959</v>
      </c>
      <c r="AB312" s="320"/>
      <c r="AC312" s="321">
        <v>13.958128800000001</v>
      </c>
      <c r="AD312" s="320"/>
      <c r="AE312" s="320">
        <v>14.96</v>
      </c>
      <c r="AF312" s="320"/>
      <c r="AG312">
        <v>4.79</v>
      </c>
      <c r="AH312"/>
      <c r="AI312">
        <v>108</v>
      </c>
      <c r="AJ312"/>
      <c r="AK312"/>
      <c r="AL312"/>
      <c r="AM312"/>
      <c r="AN312"/>
      <c r="AO312">
        <v>79</v>
      </c>
      <c r="AP312"/>
      <c r="AQ312" s="323"/>
      <c r="AR312" s="323"/>
      <c r="AS312">
        <v>114</v>
      </c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>
        <v>3.5057999999999998</v>
      </c>
      <c r="BH312"/>
      <c r="BI312">
        <v>4.5812999999999997</v>
      </c>
      <c r="BJ312"/>
      <c r="BK312">
        <v>1.5538000000000001</v>
      </c>
      <c r="BL312"/>
      <c r="BM312">
        <v>60.466999999999999</v>
      </c>
      <c r="BN312"/>
      <c r="BO312">
        <v>19.693000000000001</v>
      </c>
      <c r="BP312"/>
      <c r="BQ312">
        <v>11.455</v>
      </c>
      <c r="BR312"/>
      <c r="BS312">
        <v>47.418999999999997</v>
      </c>
      <c r="BT312"/>
      <c r="BU312">
        <v>20.361999999999998</v>
      </c>
      <c r="BV312"/>
      <c r="BW312" s="325">
        <v>7.37</v>
      </c>
      <c r="BX312"/>
      <c r="BY312">
        <v>6.3790000000000049</v>
      </c>
      <c r="BZ312"/>
      <c r="CA312"/>
      <c r="CB312" s="136"/>
      <c r="CC312">
        <v>6.36</v>
      </c>
      <c r="CD312"/>
      <c r="CE312"/>
      <c r="CF312"/>
      <c r="CG312"/>
      <c r="CH312"/>
      <c r="CI312"/>
      <c r="CJ312"/>
      <c r="CK312"/>
      <c r="CL312"/>
      <c r="CM312"/>
    </row>
    <row r="313" spans="1:91" s="338" customFormat="1">
      <c r="A313" s="154" t="s">
        <v>7674</v>
      </c>
      <c r="B313" t="s">
        <v>8287</v>
      </c>
      <c r="C313">
        <v>2</v>
      </c>
      <c r="D313">
        <v>1272</v>
      </c>
      <c r="E313" s="113">
        <v>72</v>
      </c>
      <c r="F313" s="113">
        <v>12</v>
      </c>
      <c r="G313" s="113"/>
      <c r="H313" s="113"/>
      <c r="I313">
        <v>31.499999999999996</v>
      </c>
      <c r="J313" s="112"/>
      <c r="K313" s="320">
        <v>9</v>
      </c>
      <c r="L313" s="320"/>
      <c r="M313">
        <v>2.84</v>
      </c>
      <c r="N313" s="320"/>
      <c r="O313"/>
      <c r="P313"/>
      <c r="Q313"/>
      <c r="R313" s="153"/>
      <c r="S313" s="320">
        <v>13.08191301824</v>
      </c>
      <c r="T313" s="320"/>
      <c r="U313">
        <v>10.8</v>
      </c>
      <c r="V313"/>
      <c r="W313"/>
      <c r="X313"/>
      <c r="Y313" s="321">
        <v>5.1787225000000001</v>
      </c>
      <c r="Z313" s="320"/>
      <c r="AA313" s="322">
        <v>68891.687657430724</v>
      </c>
      <c r="AB313" s="320"/>
      <c r="AC313" s="321">
        <v>25.564592000000001</v>
      </c>
      <c r="AD313" s="320"/>
      <c r="AE313" s="320">
        <v>27.35</v>
      </c>
      <c r="AF313" s="320"/>
      <c r="AG313">
        <v>3.97</v>
      </c>
      <c r="AH313"/>
      <c r="AI313">
        <v>115</v>
      </c>
      <c r="AJ313"/>
      <c r="AK313"/>
      <c r="AL313"/>
      <c r="AM313"/>
      <c r="AN313"/>
      <c r="AO313">
        <v>85</v>
      </c>
      <c r="AP313"/>
      <c r="AQ313" s="323"/>
      <c r="AR313" s="323"/>
      <c r="AS313">
        <v>114</v>
      </c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>
        <v>7.1059000000000001</v>
      </c>
      <c r="BH313"/>
      <c r="BI313">
        <v>4.8151000000000002</v>
      </c>
      <c r="BJ313"/>
      <c r="BK313">
        <v>1.4319</v>
      </c>
      <c r="BL313"/>
      <c r="BM313">
        <v>59.482999999999997</v>
      </c>
      <c r="BN313"/>
      <c r="BO313">
        <v>19.683</v>
      </c>
      <c r="BP313"/>
      <c r="BQ313">
        <v>12.007999999999999</v>
      </c>
      <c r="BR313"/>
      <c r="BS313">
        <v>51.171999999999997</v>
      </c>
      <c r="BT313"/>
      <c r="BU313">
        <v>16.824000000000002</v>
      </c>
      <c r="BV313"/>
      <c r="BW313">
        <v>14</v>
      </c>
      <c r="BX313"/>
      <c r="BY313">
        <v>6.3499999999999943</v>
      </c>
      <c r="BZ313"/>
      <c r="CA313"/>
      <c r="CB313" s="136"/>
      <c r="CC313">
        <v>5.35</v>
      </c>
      <c r="CD313"/>
      <c r="CE313"/>
      <c r="CF313"/>
      <c r="CG313"/>
      <c r="CH313"/>
      <c r="CI313"/>
      <c r="CJ313"/>
      <c r="CK313"/>
      <c r="CL313"/>
      <c r="CM313"/>
    </row>
    <row r="314" spans="1:91">
      <c r="A314" s="154" t="s">
        <v>7675</v>
      </c>
      <c r="B314" t="s">
        <v>8289</v>
      </c>
      <c r="C314">
        <v>2</v>
      </c>
      <c r="D314">
        <v>464</v>
      </c>
      <c r="E314" s="113">
        <v>64</v>
      </c>
      <c r="F314" s="113">
        <v>4</v>
      </c>
      <c r="I314">
        <v>32.999999999999993</v>
      </c>
      <c r="K314" s="320">
        <v>7</v>
      </c>
      <c r="L314" s="320"/>
      <c r="M314">
        <v>2.69</v>
      </c>
      <c r="N314" s="320"/>
      <c r="O314"/>
      <c r="P314"/>
      <c r="Q314"/>
      <c r="S314" s="320">
        <v>10.18466928032</v>
      </c>
      <c r="T314" s="320"/>
      <c r="U314">
        <v>10.8</v>
      </c>
      <c r="V314"/>
      <c r="W314"/>
      <c r="X314"/>
      <c r="Y314" s="321">
        <v>4.8345120000000001</v>
      </c>
      <c r="Z314" s="320"/>
      <c r="AA314" s="322">
        <v>50406.504065040652</v>
      </c>
      <c r="AB314" s="320"/>
      <c r="AC314" s="321">
        <v>23.051103999999999</v>
      </c>
      <c r="AD314" s="320"/>
      <c r="AE314" s="320">
        <v>24.8</v>
      </c>
      <c r="AF314" s="320"/>
      <c r="AG314">
        <v>4.92</v>
      </c>
      <c r="AH314"/>
      <c r="AI314">
        <v>113</v>
      </c>
      <c r="AJ314"/>
      <c r="AK314"/>
      <c r="AL314"/>
      <c r="AM314"/>
      <c r="AN314"/>
      <c r="AO314">
        <v>83</v>
      </c>
      <c r="AP314"/>
      <c r="AQ314" s="323"/>
      <c r="AR314" s="323"/>
      <c r="AS314">
        <v>116</v>
      </c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>
        <v>-4.7186000000000003</v>
      </c>
      <c r="BH314"/>
      <c r="BI314">
        <v>5.1257000000000001</v>
      </c>
      <c r="BJ314"/>
      <c r="BK314">
        <v>1.6093999999999999</v>
      </c>
      <c r="BL314"/>
      <c r="BM314">
        <v>60.19</v>
      </c>
      <c r="BN314"/>
      <c r="BO314">
        <v>21.602</v>
      </c>
      <c r="BP314"/>
      <c r="BQ314">
        <v>7.7995000000000001</v>
      </c>
      <c r="BR314"/>
      <c r="BS314">
        <v>44.183</v>
      </c>
      <c r="BT314"/>
      <c r="BU314">
        <v>21.145</v>
      </c>
      <c r="BV314"/>
      <c r="BW314" s="325">
        <v>4.93</v>
      </c>
      <c r="BX314"/>
      <c r="BY314">
        <v>7.179000000000002</v>
      </c>
      <c r="BZ314"/>
      <c r="CA314"/>
      <c r="CC314">
        <v>9.39</v>
      </c>
      <c r="CD314"/>
      <c r="CE314"/>
      <c r="CF314"/>
      <c r="CG314"/>
      <c r="CH314"/>
      <c r="CI314"/>
      <c r="CJ314"/>
      <c r="CK314"/>
      <c r="CL314"/>
      <c r="CM314"/>
    </row>
    <row r="315" spans="1:91">
      <c r="A315" s="154" t="s">
        <v>7675</v>
      </c>
      <c r="B315" t="s">
        <v>8287</v>
      </c>
      <c r="C315">
        <v>1</v>
      </c>
      <c r="D315">
        <v>602</v>
      </c>
      <c r="E315" s="113">
        <v>2</v>
      </c>
      <c r="F315" s="113">
        <v>6</v>
      </c>
      <c r="I315">
        <v>32</v>
      </c>
      <c r="K315" s="320">
        <v>9</v>
      </c>
      <c r="L315" s="320"/>
      <c r="M315">
        <v>3.74</v>
      </c>
      <c r="N315" s="320"/>
      <c r="O315"/>
      <c r="P315"/>
      <c r="Q315"/>
      <c r="S315" s="320">
        <v>17.260528640459999</v>
      </c>
      <c r="T315" s="320"/>
      <c r="U315">
        <v>10.8</v>
      </c>
      <c r="V315"/>
      <c r="W315"/>
      <c r="X315"/>
      <c r="Y315" s="321">
        <v>6.0544780000000005</v>
      </c>
      <c r="Z315" s="320"/>
      <c r="AA315" s="322">
        <v>75170.940170940186</v>
      </c>
      <c r="AB315" s="320"/>
      <c r="AC315" s="321">
        <v>32.921092199999997</v>
      </c>
      <c r="AD315" s="320"/>
      <c r="AE315" s="320">
        <v>35.18</v>
      </c>
      <c r="AF315" s="320"/>
      <c r="AG315">
        <v>4.68</v>
      </c>
      <c r="AH315"/>
      <c r="AI315">
        <v>135</v>
      </c>
      <c r="AJ315"/>
      <c r="AK315"/>
      <c r="AL315"/>
      <c r="AM315"/>
      <c r="AN315"/>
      <c r="AO315">
        <v>85</v>
      </c>
      <c r="AP315"/>
      <c r="AQ315" s="323"/>
      <c r="AR315" s="323"/>
      <c r="AS315">
        <v>114</v>
      </c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>
        <v>0.42122999999999999</v>
      </c>
      <c r="BH315"/>
      <c r="BI315">
        <v>5.0574000000000003</v>
      </c>
      <c r="BJ315"/>
      <c r="BK315">
        <v>1.3765000000000001</v>
      </c>
      <c r="BL315"/>
      <c r="BM315">
        <v>58.148000000000003</v>
      </c>
      <c r="BN315"/>
      <c r="BO315">
        <v>22.007999999999999</v>
      </c>
      <c r="BP315"/>
      <c r="BQ315">
        <v>9.5320999999999998</v>
      </c>
      <c r="BR315"/>
      <c r="BS315">
        <v>52.43</v>
      </c>
      <c r="BT315"/>
      <c r="BU315">
        <v>17.134</v>
      </c>
      <c r="BV315"/>
      <c r="BW315" s="325">
        <v>11.89</v>
      </c>
      <c r="BX315"/>
      <c r="BY315">
        <v>6.3080000000000069</v>
      </c>
      <c r="BZ315"/>
      <c r="CA315"/>
      <c r="CC315">
        <v>7.56</v>
      </c>
      <c r="CD315"/>
      <c r="CE315"/>
      <c r="CF315"/>
      <c r="CG315"/>
      <c r="CH315"/>
      <c r="CI315"/>
      <c r="CJ315"/>
      <c r="CK315"/>
      <c r="CL315"/>
      <c r="CM315"/>
    </row>
    <row r="316" spans="1:91">
      <c r="A316" s="154" t="s">
        <v>7675</v>
      </c>
      <c r="B316" t="s">
        <v>8289</v>
      </c>
      <c r="C316">
        <v>1</v>
      </c>
      <c r="D316">
        <v>1327</v>
      </c>
      <c r="E316" s="113">
        <v>27</v>
      </c>
      <c r="F316" s="113">
        <v>13</v>
      </c>
      <c r="I316">
        <v>29.999999999999996</v>
      </c>
      <c r="K316" s="320">
        <v>9</v>
      </c>
      <c r="L316" s="320"/>
      <c r="M316">
        <v>3.49</v>
      </c>
      <c r="N316" s="320"/>
      <c r="O316"/>
      <c r="P316"/>
      <c r="Q316"/>
      <c r="S316" s="320">
        <v>13.538604591252001</v>
      </c>
      <c r="T316" s="320"/>
      <c r="U316">
        <v>10.8</v>
      </c>
      <c r="V316"/>
      <c r="W316"/>
      <c r="X316"/>
      <c r="Y316" s="321">
        <v>6.0610735999999994</v>
      </c>
      <c r="Z316" s="320"/>
      <c r="AA316" s="322">
        <v>75942.720763723148</v>
      </c>
      <c r="AB316" s="320"/>
      <c r="AC316" s="321">
        <v>29.647012200000002</v>
      </c>
      <c r="AD316" s="320"/>
      <c r="AE316" s="320">
        <v>31.82</v>
      </c>
      <c r="AF316" s="320"/>
      <c r="AG316">
        <v>4.1900000000000004</v>
      </c>
      <c r="AH316"/>
      <c r="AI316">
        <v>123</v>
      </c>
      <c r="AJ316"/>
      <c r="AK316"/>
      <c r="AL316"/>
      <c r="AM316"/>
      <c r="AN316"/>
      <c r="AO316">
        <v>83</v>
      </c>
      <c r="AP316"/>
      <c r="AQ316" s="323"/>
      <c r="AR316" s="323"/>
      <c r="AS316">
        <v>114</v>
      </c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>
        <v>-6.3704999999999998</v>
      </c>
      <c r="BH316"/>
      <c r="BI316">
        <v>5.0068000000000001</v>
      </c>
      <c r="BJ316"/>
      <c r="BK316">
        <v>1.5646</v>
      </c>
      <c r="BL316"/>
      <c r="BM316">
        <v>63.539000000000001</v>
      </c>
      <c r="BN316"/>
      <c r="BO316">
        <v>23.006</v>
      </c>
      <c r="BP316"/>
      <c r="BQ316">
        <v>8.8049999999999997</v>
      </c>
      <c r="BR316"/>
      <c r="BS316">
        <v>45.665999999999997</v>
      </c>
      <c r="BT316"/>
      <c r="BU316">
        <v>19.655999999999999</v>
      </c>
      <c r="BV316"/>
      <c r="BW316" s="325">
        <v>5.07</v>
      </c>
      <c r="BX316"/>
      <c r="BY316">
        <v>6.8870000000000005</v>
      </c>
      <c r="BZ316"/>
      <c r="CA316"/>
      <c r="CC316">
        <v>10.4</v>
      </c>
      <c r="CD316"/>
      <c r="CE316"/>
      <c r="CF316"/>
      <c r="CG316"/>
      <c r="CH316"/>
      <c r="CI316"/>
      <c r="CJ316"/>
      <c r="CK316"/>
      <c r="CL316"/>
      <c r="CM316"/>
    </row>
    <row r="317" spans="1:91">
      <c r="A317" s="154" t="s">
        <v>7675</v>
      </c>
      <c r="B317" t="s">
        <v>8287</v>
      </c>
      <c r="C317">
        <v>2</v>
      </c>
      <c r="D317">
        <v>1448</v>
      </c>
      <c r="E317" s="113">
        <v>48</v>
      </c>
      <c r="F317" s="113">
        <v>14</v>
      </c>
      <c r="I317">
        <v>24.5</v>
      </c>
      <c r="K317" s="320">
        <v>9</v>
      </c>
      <c r="L317" s="320"/>
      <c r="M317">
        <v>3.89</v>
      </c>
      <c r="N317" s="320"/>
      <c r="O317"/>
      <c r="P317"/>
      <c r="Q317"/>
      <c r="S317" s="320">
        <v>17.368364628186001</v>
      </c>
      <c r="T317" s="320"/>
      <c r="U317">
        <v>10.8</v>
      </c>
      <c r="V317"/>
      <c r="W317"/>
      <c r="X317"/>
      <c r="Y317" s="321">
        <v>7.2239481000000003</v>
      </c>
      <c r="Z317" s="320"/>
      <c r="AA317" s="322">
        <v>88419.811320754714</v>
      </c>
      <c r="AB317" s="320"/>
      <c r="AC317" s="321">
        <v>35.061397800000002</v>
      </c>
      <c r="AD317" s="320"/>
      <c r="AE317" s="320">
        <v>37.49</v>
      </c>
      <c r="AF317" s="320"/>
      <c r="AG317">
        <v>4.24</v>
      </c>
      <c r="AH317"/>
      <c r="AI317">
        <v>133</v>
      </c>
      <c r="AJ317"/>
      <c r="AK317"/>
      <c r="AL317"/>
      <c r="AM317"/>
      <c r="AN317"/>
      <c r="AO317">
        <v>81</v>
      </c>
      <c r="AP317"/>
      <c r="AQ317" s="323"/>
      <c r="AR317" s="323"/>
      <c r="AS317">
        <v>112</v>
      </c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>
        <v>1.4585999999999999</v>
      </c>
      <c r="BH317"/>
      <c r="BI317">
        <v>4.835</v>
      </c>
      <c r="BJ317"/>
      <c r="BK317">
        <v>1.3321000000000001</v>
      </c>
      <c r="BL317"/>
      <c r="BM317">
        <v>52.779000000000003</v>
      </c>
      <c r="BN317"/>
      <c r="BO317">
        <v>23.532</v>
      </c>
      <c r="BP317"/>
      <c r="BQ317">
        <v>8.9563000000000006</v>
      </c>
      <c r="BR317"/>
      <c r="BS317">
        <v>49.536999999999999</v>
      </c>
      <c r="BT317"/>
      <c r="BU317">
        <v>18.256</v>
      </c>
      <c r="BV317"/>
      <c r="BW317" s="325">
        <v>9.77</v>
      </c>
      <c r="BX317"/>
      <c r="BY317">
        <v>6.2420000000000044</v>
      </c>
      <c r="BZ317"/>
      <c r="CA317"/>
      <c r="CC317">
        <v>5.28</v>
      </c>
      <c r="CD317"/>
      <c r="CE317"/>
      <c r="CF317"/>
      <c r="CG317"/>
      <c r="CH317"/>
      <c r="CI317"/>
      <c r="CJ317"/>
      <c r="CK317"/>
      <c r="CL317"/>
      <c r="CM317"/>
    </row>
    <row r="318" spans="1:91" s="338" customFormat="1">
      <c r="A318" s="154" t="s">
        <v>7676</v>
      </c>
      <c r="B318" t="s">
        <v>8287</v>
      </c>
      <c r="C318">
        <v>1</v>
      </c>
      <c r="D318">
        <v>434</v>
      </c>
      <c r="E318" s="113">
        <v>34</v>
      </c>
      <c r="F318" s="113">
        <v>4</v>
      </c>
      <c r="G318" s="113"/>
      <c r="H318" s="113"/>
      <c r="I318">
        <v>37</v>
      </c>
      <c r="J318" s="112"/>
      <c r="K318" s="320">
        <v>9</v>
      </c>
      <c r="L318" s="320"/>
      <c r="M318">
        <v>2.9</v>
      </c>
      <c r="N318" s="320"/>
      <c r="O318"/>
      <c r="P318"/>
      <c r="Q318"/>
      <c r="R318" s="153"/>
      <c r="S318" s="320">
        <v>12.624314069272</v>
      </c>
      <c r="T318" s="320"/>
      <c r="U318">
        <v>10.8</v>
      </c>
      <c r="V318"/>
      <c r="W318"/>
      <c r="X318"/>
      <c r="Y318" s="321">
        <v>4.8259635999999997</v>
      </c>
      <c r="Z318" s="320"/>
      <c r="AA318" s="322">
        <v>60376.10619469027</v>
      </c>
      <c r="AB318" s="320"/>
      <c r="AC318" s="321">
        <v>25.366327899999998</v>
      </c>
      <c r="AD318" s="320"/>
      <c r="AE318" s="320">
        <v>27.29</v>
      </c>
      <c r="AF318" s="320"/>
      <c r="AG318">
        <v>4.5199999999999996</v>
      </c>
      <c r="AH318"/>
      <c r="AI318">
        <v>118</v>
      </c>
      <c r="AJ318"/>
      <c r="AK318"/>
      <c r="AL318"/>
      <c r="AM318"/>
      <c r="AN318"/>
      <c r="AO318">
        <v>79</v>
      </c>
      <c r="AP318"/>
      <c r="AQ318" s="323"/>
      <c r="AR318" s="323"/>
      <c r="AS318">
        <v>112</v>
      </c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>
        <v>-2.2782</v>
      </c>
      <c r="BH318"/>
      <c r="BI318">
        <v>4.6093999999999999</v>
      </c>
      <c r="BJ318"/>
      <c r="BK318">
        <v>1.4871000000000001</v>
      </c>
      <c r="BL318"/>
      <c r="BM318">
        <v>64.537000000000006</v>
      </c>
      <c r="BN318"/>
      <c r="BO318">
        <v>20.945</v>
      </c>
      <c r="BP318"/>
      <c r="BQ318">
        <v>10.587999999999999</v>
      </c>
      <c r="BR318"/>
      <c r="BS318">
        <v>49.768000000000001</v>
      </c>
      <c r="BT318"/>
      <c r="BU318">
        <v>17.744</v>
      </c>
      <c r="BV318"/>
      <c r="BW318" s="325">
        <v>8.2200000000000006</v>
      </c>
      <c r="BX318"/>
      <c r="BY318">
        <v>6.4519999999999982</v>
      </c>
      <c r="BZ318"/>
      <c r="CA318"/>
      <c r="CB318" s="136"/>
      <c r="CC318">
        <v>7.51</v>
      </c>
      <c r="CD318"/>
      <c r="CE318"/>
      <c r="CF318"/>
      <c r="CG318"/>
      <c r="CH318"/>
      <c r="CI318"/>
      <c r="CJ318"/>
      <c r="CK318"/>
      <c r="CL318"/>
      <c r="CM318"/>
    </row>
    <row r="319" spans="1:91" s="338" customFormat="1">
      <c r="A319" s="154" t="s">
        <v>7676</v>
      </c>
      <c r="B319" t="s">
        <v>8289</v>
      </c>
      <c r="C319">
        <v>2</v>
      </c>
      <c r="D319">
        <v>665</v>
      </c>
      <c r="E319" s="113">
        <v>65</v>
      </c>
      <c r="F319" s="113">
        <v>6</v>
      </c>
      <c r="G319" s="113"/>
      <c r="H319" s="113"/>
      <c r="I319">
        <v>32.999999999999993</v>
      </c>
      <c r="J319" s="112"/>
      <c r="K319" s="320">
        <v>9</v>
      </c>
      <c r="L319" s="320"/>
      <c r="M319">
        <v>2.12</v>
      </c>
      <c r="N319" s="320"/>
      <c r="O319"/>
      <c r="P319"/>
      <c r="Q319"/>
      <c r="R319" s="153"/>
      <c r="S319" s="320">
        <v>7.8298954974719992</v>
      </c>
      <c r="T319" s="320"/>
      <c r="U319">
        <v>10.8</v>
      </c>
      <c r="V319"/>
      <c r="W319"/>
      <c r="X319"/>
      <c r="Y319" s="321">
        <v>3.8697919999999999</v>
      </c>
      <c r="Z319" s="320"/>
      <c r="AA319" s="322">
        <v>44584.269662921346</v>
      </c>
      <c r="AB319" s="320"/>
      <c r="AC319" s="321">
        <v>18.420249599999998</v>
      </c>
      <c r="AD319" s="320"/>
      <c r="AE319" s="320">
        <v>19.84</v>
      </c>
      <c r="AF319" s="320"/>
      <c r="AG319">
        <v>4.45</v>
      </c>
      <c r="AH319"/>
      <c r="AI319">
        <v>113</v>
      </c>
      <c r="AJ319"/>
      <c r="AK319"/>
      <c r="AL319"/>
      <c r="AM319"/>
      <c r="AN319"/>
      <c r="AO319">
        <v>81</v>
      </c>
      <c r="AP319"/>
      <c r="AQ319" s="323"/>
      <c r="AR319" s="323"/>
      <c r="AS319">
        <v>112</v>
      </c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>
        <v>-1.9162999999999999</v>
      </c>
      <c r="BH319"/>
      <c r="BI319">
        <v>5.4077000000000002</v>
      </c>
      <c r="BJ319"/>
      <c r="BK319">
        <v>1.6272</v>
      </c>
      <c r="BL319"/>
      <c r="BM319">
        <v>59.929000000000002</v>
      </c>
      <c r="BN319"/>
      <c r="BO319">
        <v>21.631</v>
      </c>
      <c r="BP319"/>
      <c r="BQ319">
        <v>10.577999999999999</v>
      </c>
      <c r="BR319"/>
      <c r="BS319">
        <v>42.506999999999998</v>
      </c>
      <c r="BT319"/>
      <c r="BU319">
        <v>19.916</v>
      </c>
      <c r="BV319"/>
      <c r="BW319" s="325">
        <v>6.01</v>
      </c>
      <c r="BX319"/>
      <c r="BY319">
        <v>7.3930000000000007</v>
      </c>
      <c r="BZ319"/>
      <c r="CA319"/>
      <c r="CB319" s="136"/>
      <c r="CC319">
        <v>8.01</v>
      </c>
      <c r="CD319"/>
      <c r="CE319"/>
      <c r="CF319"/>
      <c r="CG319"/>
      <c r="CH319"/>
      <c r="CI319"/>
      <c r="CJ319"/>
      <c r="CK319"/>
      <c r="CL319"/>
      <c r="CM319"/>
    </row>
    <row r="320" spans="1:91" s="338" customFormat="1">
      <c r="A320" s="154" t="s">
        <v>7676</v>
      </c>
      <c r="B320" t="s">
        <v>8289</v>
      </c>
      <c r="C320">
        <v>1</v>
      </c>
      <c r="D320">
        <v>1008</v>
      </c>
      <c r="E320" s="113">
        <v>8</v>
      </c>
      <c r="F320" s="113">
        <v>10</v>
      </c>
      <c r="G320" s="113"/>
      <c r="H320" s="113"/>
      <c r="I320">
        <v>25.499999999999996</v>
      </c>
      <c r="J320" s="112"/>
      <c r="K320" s="320">
        <v>9</v>
      </c>
      <c r="L320" s="320"/>
      <c r="M320">
        <v>2.4700000000000002</v>
      </c>
      <c r="N320" s="320"/>
      <c r="O320"/>
      <c r="P320"/>
      <c r="Q320"/>
      <c r="R320" s="153"/>
      <c r="S320" s="320">
        <v>10.181894388156001</v>
      </c>
      <c r="T320" s="320"/>
      <c r="U320">
        <v>10.8</v>
      </c>
      <c r="V320"/>
      <c r="W320"/>
      <c r="X320"/>
      <c r="Y320" s="321">
        <v>4.8904062000000001</v>
      </c>
      <c r="Z320" s="320"/>
      <c r="AA320" s="322">
        <v>58279.301745635916</v>
      </c>
      <c r="AB320" s="320"/>
      <c r="AC320" s="321">
        <v>21.961723800000001</v>
      </c>
      <c r="AD320" s="320"/>
      <c r="AE320" s="320">
        <v>23.37</v>
      </c>
      <c r="AF320" s="320"/>
      <c r="AG320">
        <v>4.01</v>
      </c>
      <c r="AH320"/>
      <c r="AI320">
        <v>110</v>
      </c>
      <c r="AJ320"/>
      <c r="AK320"/>
      <c r="AL320"/>
      <c r="AM320"/>
      <c r="AN320"/>
      <c r="AO320">
        <v>81</v>
      </c>
      <c r="AP320"/>
      <c r="AQ320" s="323"/>
      <c r="AR320" s="323"/>
      <c r="AS320">
        <v>112</v>
      </c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>
        <v>-4.1871</v>
      </c>
      <c r="BH320"/>
      <c r="BI320">
        <v>4.9790000000000001</v>
      </c>
      <c r="BJ320"/>
      <c r="BK320">
        <v>1.5666</v>
      </c>
      <c r="BL320"/>
      <c r="BM320">
        <v>64.731999999999999</v>
      </c>
      <c r="BN320"/>
      <c r="BO320">
        <v>22.206</v>
      </c>
      <c r="BP320"/>
      <c r="BQ320">
        <v>10.557</v>
      </c>
      <c r="BR320"/>
      <c r="BS320">
        <v>46.362000000000002</v>
      </c>
      <c r="BT320"/>
      <c r="BU320">
        <v>18.951000000000001</v>
      </c>
      <c r="BV320"/>
      <c r="BW320" s="325">
        <v>2.94</v>
      </c>
      <c r="BX320"/>
      <c r="BY320">
        <v>6.6620000000000061</v>
      </c>
      <c r="BZ320"/>
      <c r="CA320"/>
      <c r="CB320" s="136"/>
      <c r="CC320">
        <v>7</v>
      </c>
      <c r="CD320"/>
      <c r="CE320"/>
      <c r="CF320"/>
      <c r="CG320"/>
      <c r="CH320"/>
      <c r="CI320"/>
      <c r="CJ320"/>
      <c r="CK320"/>
      <c r="CL320"/>
      <c r="CM320"/>
    </row>
    <row r="321" spans="1:91" s="338" customFormat="1">
      <c r="A321" s="154" t="s">
        <v>7676</v>
      </c>
      <c r="B321" t="s">
        <v>8287</v>
      </c>
      <c r="C321">
        <v>2</v>
      </c>
      <c r="D321">
        <v>1442</v>
      </c>
      <c r="E321" s="113">
        <v>42</v>
      </c>
      <c r="F321" s="113">
        <v>14</v>
      </c>
      <c r="G321" s="113"/>
      <c r="H321" s="113"/>
      <c r="I321">
        <v>28.5</v>
      </c>
      <c r="J321" s="112"/>
      <c r="K321" s="320">
        <v>9</v>
      </c>
      <c r="L321" s="320"/>
      <c r="M321">
        <v>2.96</v>
      </c>
      <c r="N321" s="320"/>
      <c r="O321"/>
      <c r="P321"/>
      <c r="Q321"/>
      <c r="R321" s="153"/>
      <c r="S321" s="320">
        <v>12.883124941368001</v>
      </c>
      <c r="T321" s="320"/>
      <c r="U321">
        <v>10.8</v>
      </c>
      <c r="V321"/>
      <c r="W321"/>
      <c r="X321"/>
      <c r="Y321" s="321">
        <v>4.6710056</v>
      </c>
      <c r="Z321" s="320"/>
      <c r="AA321" s="322">
        <v>72569.974554707384</v>
      </c>
      <c r="AB321" s="320"/>
      <c r="AC321" s="321">
        <v>26.702990800000002</v>
      </c>
      <c r="AD321" s="320"/>
      <c r="AE321" s="320">
        <v>28.52</v>
      </c>
      <c r="AF321" s="320"/>
      <c r="AG321">
        <v>3.93</v>
      </c>
      <c r="AH321"/>
      <c r="AI321">
        <v>123</v>
      </c>
      <c r="AJ321"/>
      <c r="AK321"/>
      <c r="AL321"/>
      <c r="AM321"/>
      <c r="AN321"/>
      <c r="AO321">
        <v>79</v>
      </c>
      <c r="AP321"/>
      <c r="AQ321" s="323"/>
      <c r="AR321" s="323"/>
      <c r="AS321">
        <v>112</v>
      </c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>
        <v>-1.9429000000000001</v>
      </c>
      <c r="BH321"/>
      <c r="BI321">
        <v>4.7434000000000003</v>
      </c>
      <c r="BJ321"/>
      <c r="BK321">
        <v>1.4985999999999999</v>
      </c>
      <c r="BL321"/>
      <c r="BM321">
        <v>65.331000000000003</v>
      </c>
      <c r="BN321"/>
      <c r="BO321">
        <v>21.405000000000001</v>
      </c>
      <c r="BP321"/>
      <c r="BQ321">
        <v>10.276</v>
      </c>
      <c r="BR321"/>
      <c r="BS321">
        <v>48.246000000000002</v>
      </c>
      <c r="BT321"/>
      <c r="BU321">
        <v>17.765000000000001</v>
      </c>
      <c r="BV321"/>
      <c r="BW321" s="325">
        <v>2.42</v>
      </c>
      <c r="BX321"/>
      <c r="BY321">
        <v>6.296999999999997</v>
      </c>
      <c r="BZ321"/>
      <c r="CA321"/>
      <c r="CB321" s="136"/>
      <c r="CC321">
        <v>5.3</v>
      </c>
      <c r="CD321"/>
      <c r="CE321"/>
      <c r="CF321"/>
      <c r="CG321"/>
      <c r="CH321"/>
      <c r="CI321"/>
      <c r="CJ321"/>
      <c r="CK321"/>
      <c r="CL321"/>
      <c r="CM321"/>
    </row>
    <row r="322" spans="1:91">
      <c r="A322" s="154" t="s">
        <v>7677</v>
      </c>
      <c r="B322" t="s">
        <v>8287</v>
      </c>
      <c r="C322">
        <v>1</v>
      </c>
      <c r="D322">
        <v>609</v>
      </c>
      <c r="E322" s="113">
        <v>9</v>
      </c>
      <c r="F322" s="113">
        <v>6</v>
      </c>
      <c r="I322">
        <v>30.499999999999996</v>
      </c>
      <c r="K322" s="320">
        <v>9</v>
      </c>
      <c r="L322" s="320"/>
      <c r="M322">
        <v>3.39</v>
      </c>
      <c r="N322" s="320"/>
      <c r="O322"/>
      <c r="P322"/>
      <c r="Q322"/>
      <c r="S322" s="320">
        <v>15.305899119119999</v>
      </c>
      <c r="T322" s="320"/>
      <c r="U322">
        <v>10.8</v>
      </c>
      <c r="V322"/>
      <c r="W322"/>
      <c r="X322"/>
      <c r="Y322" s="321">
        <v>6.2149679999999989</v>
      </c>
      <c r="Z322" s="320"/>
      <c r="AA322" s="322">
        <v>80798.004987531182</v>
      </c>
      <c r="AB322" s="320"/>
      <c r="AC322" s="321">
        <v>30.403835999999998</v>
      </c>
      <c r="AD322" s="320"/>
      <c r="AE322" s="320">
        <v>32.4</v>
      </c>
      <c r="AF322" s="320"/>
      <c r="AG322">
        <v>4.01</v>
      </c>
      <c r="AH322"/>
      <c r="AI322">
        <v>140</v>
      </c>
      <c r="AJ322"/>
      <c r="AK322"/>
      <c r="AL322"/>
      <c r="AM322"/>
      <c r="AN322"/>
      <c r="AO322">
        <v>87</v>
      </c>
      <c r="AP322"/>
      <c r="AQ322" s="323"/>
      <c r="AR322" s="323"/>
      <c r="AS322">
        <v>112</v>
      </c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>
        <v>-0.17601</v>
      </c>
      <c r="BH322"/>
      <c r="BI322">
        <v>4.3940000000000001</v>
      </c>
      <c r="BJ322"/>
      <c r="BK322">
        <v>1.4977</v>
      </c>
      <c r="BL322"/>
      <c r="BM322">
        <v>67.31</v>
      </c>
      <c r="BN322"/>
      <c r="BO322">
        <v>18.966999999999999</v>
      </c>
      <c r="BP322"/>
      <c r="BQ322">
        <v>9.7201000000000004</v>
      </c>
      <c r="BR322"/>
      <c r="BS322">
        <v>50.341999999999999</v>
      </c>
      <c r="BT322"/>
      <c r="BU322">
        <v>18.393000000000001</v>
      </c>
      <c r="BV322"/>
      <c r="BW322" s="325">
        <v>8.93</v>
      </c>
      <c r="BX322"/>
      <c r="BY322">
        <v>6.561000000000007</v>
      </c>
      <c r="BZ322"/>
      <c r="CA322"/>
      <c r="CC322">
        <v>6.06</v>
      </c>
      <c r="CD322"/>
      <c r="CE322"/>
      <c r="CF322"/>
      <c r="CG322"/>
      <c r="CH322"/>
      <c r="CI322"/>
      <c r="CJ322"/>
      <c r="CK322"/>
      <c r="CL322"/>
      <c r="CM322"/>
    </row>
    <row r="323" spans="1:91">
      <c r="A323" s="327" t="s">
        <v>7677</v>
      </c>
      <c r="B323" s="328" t="s">
        <v>8289</v>
      </c>
      <c r="C323" s="328">
        <v>2</v>
      </c>
      <c r="D323" s="328">
        <v>969</v>
      </c>
      <c r="E323" s="113">
        <v>69</v>
      </c>
      <c r="F323" s="113">
        <v>9</v>
      </c>
      <c r="G323" s="329"/>
      <c r="H323" s="329"/>
      <c r="I323" s="328">
        <v>33.5</v>
      </c>
      <c r="J323" s="330"/>
      <c r="K323" s="331">
        <v>8</v>
      </c>
      <c r="L323" s="331"/>
      <c r="M323" s="328">
        <v>2.35</v>
      </c>
      <c r="N323" s="331"/>
      <c r="O323" s="328"/>
      <c r="P323" s="328"/>
      <c r="Q323" s="328"/>
      <c r="R323" s="332"/>
      <c r="S323" s="331">
        <v>8.9058500868479999</v>
      </c>
      <c r="T323" s="331"/>
      <c r="U323" s="328">
        <v>10.8</v>
      </c>
      <c r="V323" s="328"/>
      <c r="W323" s="328"/>
      <c r="X323" s="328"/>
      <c r="Y323" s="333">
        <v>4.3876475999999993</v>
      </c>
      <c r="Z323" s="331"/>
      <c r="AA323" s="334">
        <v>49619.686800894859</v>
      </c>
      <c r="AB323" s="331"/>
      <c r="AC323" s="333">
        <v>20.622076799999999</v>
      </c>
      <c r="AD323" s="331"/>
      <c r="AE323" s="331">
        <v>22.18</v>
      </c>
      <c r="AF323" s="331"/>
      <c r="AG323" s="328">
        <v>4.47</v>
      </c>
      <c r="AH323" s="328"/>
      <c r="AI323" s="328"/>
      <c r="AJ323" s="328"/>
      <c r="AK323" s="328"/>
      <c r="AL323" s="328"/>
      <c r="AM323" s="328"/>
      <c r="AN323" s="328"/>
      <c r="AO323" s="328">
        <v>81</v>
      </c>
      <c r="AP323" s="328"/>
      <c r="AQ323" s="335"/>
      <c r="AR323" s="335"/>
      <c r="AS323" s="328">
        <v>114</v>
      </c>
      <c r="AT323" s="328"/>
      <c r="AU323" s="328"/>
      <c r="AV323" s="328"/>
      <c r="AW323" s="328"/>
      <c r="AX323" s="328"/>
      <c r="AY323" s="328"/>
      <c r="AZ323" s="328"/>
      <c r="BA323" s="328"/>
      <c r="BB323" s="328"/>
      <c r="BC323" s="328"/>
      <c r="BD323" s="328"/>
      <c r="BE323" s="328"/>
      <c r="BF323" s="328"/>
      <c r="BG323" s="328">
        <v>1.6032</v>
      </c>
      <c r="BH323" s="328"/>
      <c r="BI323" s="328">
        <v>5.0666000000000002</v>
      </c>
      <c r="BJ323" s="328"/>
      <c r="BK323" s="328">
        <v>1.6457999999999999</v>
      </c>
      <c r="BL323" s="328"/>
      <c r="BM323" s="328">
        <v>63.820999999999998</v>
      </c>
      <c r="BN323" s="328"/>
      <c r="BO323" s="328">
        <v>18.736999999999998</v>
      </c>
      <c r="BP323" s="328"/>
      <c r="BQ323" s="328">
        <v>9.4719999999999995</v>
      </c>
      <c r="BR323" s="328"/>
      <c r="BS323" s="328">
        <v>43.186</v>
      </c>
      <c r="BT323" s="328"/>
      <c r="BU323" s="328">
        <v>20.43</v>
      </c>
      <c r="BV323" s="328"/>
      <c r="BW323" s="328" t="s">
        <v>8361</v>
      </c>
      <c r="BX323" s="339"/>
      <c r="BY323" s="328">
        <v>7.2099999999999937</v>
      </c>
      <c r="BZ323" s="328"/>
      <c r="CA323" s="328"/>
      <c r="CB323" s="337"/>
      <c r="CC323" s="328">
        <v>7.23</v>
      </c>
      <c r="CD323" s="328"/>
      <c r="CE323" s="328"/>
      <c r="CF323" s="328"/>
      <c r="CG323" s="328"/>
      <c r="CH323" s="328"/>
      <c r="CI323" s="328"/>
      <c r="CJ323" s="328"/>
      <c r="CK323" s="328" t="s">
        <v>8377</v>
      </c>
      <c r="CL323" s="328"/>
      <c r="CM323" s="328"/>
    </row>
    <row r="324" spans="1:91">
      <c r="A324" s="154" t="s">
        <v>7677</v>
      </c>
      <c r="B324" t="s">
        <v>8287</v>
      </c>
      <c r="C324">
        <v>2</v>
      </c>
      <c r="D324">
        <v>1364</v>
      </c>
      <c r="E324" s="113">
        <v>64</v>
      </c>
      <c r="F324" s="113">
        <v>13</v>
      </c>
      <c r="I324">
        <v>37</v>
      </c>
      <c r="K324" s="320">
        <v>9</v>
      </c>
      <c r="L324" s="320"/>
      <c r="M324">
        <v>3.44</v>
      </c>
      <c r="N324" s="320"/>
      <c r="O324"/>
      <c r="P324"/>
      <c r="Q324"/>
      <c r="S324" s="320">
        <v>15.486422647761001</v>
      </c>
      <c r="T324" s="320"/>
      <c r="U324">
        <v>10.8</v>
      </c>
      <c r="V324"/>
      <c r="W324"/>
      <c r="X324"/>
      <c r="Y324" s="321">
        <v>5.9836894000000003</v>
      </c>
      <c r="Z324" s="320"/>
      <c r="AA324" s="322">
        <v>79391.727493917278</v>
      </c>
      <c r="AB324" s="320"/>
      <c r="AC324" s="321">
        <v>30.528954300000006</v>
      </c>
      <c r="AD324" s="320"/>
      <c r="AE324" s="320">
        <v>32.630000000000003</v>
      </c>
      <c r="AF324" s="320"/>
      <c r="AG324">
        <v>4.1100000000000003</v>
      </c>
      <c r="AH324"/>
      <c r="AI324">
        <v>128</v>
      </c>
      <c r="AJ324"/>
      <c r="AK324"/>
      <c r="AL324"/>
      <c r="AM324"/>
      <c r="AN324"/>
      <c r="AO324">
        <v>81</v>
      </c>
      <c r="AP324"/>
      <c r="AQ324" s="323"/>
      <c r="AR324" s="323"/>
      <c r="AS324">
        <v>112</v>
      </c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>
        <v>-1.6373</v>
      </c>
      <c r="BH324"/>
      <c r="BI324">
        <v>4.4428000000000001</v>
      </c>
      <c r="BJ324"/>
      <c r="BK324">
        <v>1.4374</v>
      </c>
      <c r="BL324"/>
      <c r="BM324">
        <v>67.509</v>
      </c>
      <c r="BN324"/>
      <c r="BO324">
        <v>19.300999999999998</v>
      </c>
      <c r="BP324"/>
      <c r="BQ324">
        <v>9.7050999999999998</v>
      </c>
      <c r="BR324"/>
      <c r="BS324">
        <v>50.726999999999997</v>
      </c>
      <c r="BT324"/>
      <c r="BU324">
        <v>17.710999999999999</v>
      </c>
      <c r="BV324"/>
      <c r="BW324" s="325">
        <v>9.52</v>
      </c>
      <c r="BX324"/>
      <c r="BY324">
        <v>6.6599999999999966</v>
      </c>
      <c r="BZ324"/>
      <c r="CA324"/>
      <c r="CC324">
        <v>6.79</v>
      </c>
      <c r="CD324"/>
      <c r="CE324"/>
      <c r="CF324"/>
      <c r="CG324"/>
      <c r="CH324"/>
      <c r="CI324"/>
      <c r="CJ324"/>
      <c r="CK324"/>
      <c r="CL324"/>
      <c r="CM324"/>
    </row>
    <row r="325" spans="1:91">
      <c r="A325" s="154" t="s">
        <v>7677</v>
      </c>
      <c r="B325" t="s">
        <v>8289</v>
      </c>
      <c r="C325">
        <v>1</v>
      </c>
      <c r="D325">
        <v>1625</v>
      </c>
      <c r="E325" s="113">
        <v>25</v>
      </c>
      <c r="F325" s="113">
        <v>16</v>
      </c>
      <c r="I325">
        <v>32</v>
      </c>
      <c r="K325" s="320">
        <v>8</v>
      </c>
      <c r="L325" s="320"/>
      <c r="M325">
        <v>3.24</v>
      </c>
      <c r="N325" s="320"/>
      <c r="O325"/>
      <c r="P325"/>
      <c r="Q325"/>
      <c r="S325" s="320">
        <v>13.270017136031999</v>
      </c>
      <c r="T325" s="320"/>
      <c r="U325">
        <v>10.8</v>
      </c>
      <c r="V325"/>
      <c r="W325"/>
      <c r="X325"/>
      <c r="Y325" s="321">
        <v>6.0668546000000001</v>
      </c>
      <c r="Z325" s="320"/>
      <c r="AA325" s="322">
        <v>72769.607843137259</v>
      </c>
      <c r="AB325" s="320"/>
      <c r="AC325" s="321">
        <v>27.618825600000001</v>
      </c>
      <c r="AD325" s="320"/>
      <c r="AE325" s="320">
        <v>29.69</v>
      </c>
      <c r="AF325" s="320"/>
      <c r="AG325">
        <v>4.08</v>
      </c>
      <c r="AH325"/>
      <c r="AI325">
        <v>125</v>
      </c>
      <c r="AJ325"/>
      <c r="AK325"/>
      <c r="AL325"/>
      <c r="AM325"/>
      <c r="AN325"/>
      <c r="AO325">
        <v>83</v>
      </c>
      <c r="AP325"/>
      <c r="AQ325" s="323"/>
      <c r="AR325" s="323"/>
      <c r="AS325">
        <v>112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>
        <v>-0.19983000000000001</v>
      </c>
      <c r="BH325"/>
      <c r="BI325">
        <v>4.4836</v>
      </c>
      <c r="BJ325"/>
      <c r="BK325">
        <v>1.5322</v>
      </c>
      <c r="BL325"/>
      <c r="BM325">
        <v>66.274000000000001</v>
      </c>
      <c r="BN325"/>
      <c r="BO325">
        <v>18.945</v>
      </c>
      <c r="BP325"/>
      <c r="BQ325">
        <v>10.500999999999999</v>
      </c>
      <c r="BR325"/>
      <c r="BS325">
        <v>48.046999999999997</v>
      </c>
      <c r="BT325"/>
      <c r="BU325">
        <v>19.984000000000002</v>
      </c>
      <c r="BV325"/>
      <c r="BW325" s="325">
        <v>8.17</v>
      </c>
      <c r="BX325"/>
      <c r="BY325">
        <v>6.7469999999999999</v>
      </c>
      <c r="BZ325"/>
      <c r="CA325"/>
      <c r="CC325">
        <v>9.93</v>
      </c>
      <c r="CD325"/>
      <c r="CE325"/>
      <c r="CF325"/>
      <c r="CG325"/>
      <c r="CH325"/>
      <c r="CI325"/>
      <c r="CJ325"/>
      <c r="CK325"/>
      <c r="CL325"/>
      <c r="CM325"/>
    </row>
    <row r="326" spans="1:91">
      <c r="A326" s="154" t="s">
        <v>7678</v>
      </c>
      <c r="B326" t="s">
        <v>8287</v>
      </c>
      <c r="C326">
        <v>1</v>
      </c>
      <c r="D326">
        <v>412</v>
      </c>
      <c r="E326" s="113">
        <v>12</v>
      </c>
      <c r="F326" s="113">
        <v>4</v>
      </c>
      <c r="I326">
        <v>30.499999999999996</v>
      </c>
      <c r="K326" s="320">
        <v>9</v>
      </c>
      <c r="L326" s="320"/>
      <c r="M326">
        <v>2.97</v>
      </c>
      <c r="N326" s="320"/>
      <c r="O326"/>
      <c r="P326"/>
      <c r="Q326"/>
      <c r="S326" s="320">
        <v>13.803718659120001</v>
      </c>
      <c r="T326" s="320"/>
      <c r="U326">
        <v>10.8</v>
      </c>
      <c r="V326"/>
      <c r="W326"/>
      <c r="X326"/>
      <c r="Y326" s="321">
        <v>4.8971444999999996</v>
      </c>
      <c r="Z326" s="320"/>
      <c r="AA326" s="322">
        <v>75994.694960212204</v>
      </c>
      <c r="AB326" s="320"/>
      <c r="AC326" s="321">
        <v>26.732742000000002</v>
      </c>
      <c r="AD326" s="320"/>
      <c r="AE326" s="320">
        <v>28.65</v>
      </c>
      <c r="AF326" s="320"/>
      <c r="AG326">
        <v>3.77</v>
      </c>
      <c r="AH326"/>
      <c r="AI326">
        <v>128</v>
      </c>
      <c r="AJ326"/>
      <c r="AK326"/>
      <c r="AL326"/>
      <c r="AM326"/>
      <c r="AN326"/>
      <c r="AO326">
        <v>78</v>
      </c>
      <c r="AP326"/>
      <c r="AQ326" s="323"/>
      <c r="AR326" s="323"/>
      <c r="AS326">
        <v>114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>
        <v>6.5182000000000002</v>
      </c>
      <c r="BH326"/>
      <c r="BI326">
        <v>4.9063999999999997</v>
      </c>
      <c r="BJ326"/>
      <c r="BK326">
        <v>1.4972000000000001</v>
      </c>
      <c r="BL326"/>
      <c r="BM326">
        <v>58.57</v>
      </c>
      <c r="BN326"/>
      <c r="BO326">
        <v>20.257000000000001</v>
      </c>
      <c r="BP326"/>
      <c r="BQ326">
        <v>9.7504000000000008</v>
      </c>
      <c r="BR326"/>
      <c r="BS326">
        <v>51.636000000000003</v>
      </c>
      <c r="BT326"/>
      <c r="BU326">
        <v>16.826000000000001</v>
      </c>
      <c r="BV326"/>
      <c r="BW326" s="325">
        <v>4.2300000000000004</v>
      </c>
      <c r="BX326"/>
      <c r="BY326">
        <v>6.1809999999999974</v>
      </c>
      <c r="BZ326"/>
      <c r="CA326"/>
      <c r="CC326">
        <v>5.19</v>
      </c>
      <c r="CD326"/>
      <c r="CE326"/>
      <c r="CF326"/>
      <c r="CG326"/>
      <c r="CH326"/>
      <c r="CI326"/>
      <c r="CJ326"/>
      <c r="CK326"/>
      <c r="CL326"/>
      <c r="CM326"/>
    </row>
    <row r="327" spans="1:91">
      <c r="A327" s="154" t="s">
        <v>7678</v>
      </c>
      <c r="B327" t="s">
        <v>8289</v>
      </c>
      <c r="C327">
        <v>2</v>
      </c>
      <c r="D327">
        <v>654</v>
      </c>
      <c r="E327" s="113">
        <v>54</v>
      </c>
      <c r="F327" s="113">
        <v>6</v>
      </c>
      <c r="I327">
        <v>32.999999999999993</v>
      </c>
      <c r="K327" s="320">
        <v>9</v>
      </c>
      <c r="L327" s="320"/>
      <c r="M327">
        <v>2.29</v>
      </c>
      <c r="N327" s="320"/>
      <c r="O327"/>
      <c r="P327"/>
      <c r="Q327"/>
      <c r="S327" s="320">
        <v>9.4093084804680007</v>
      </c>
      <c r="T327" s="320"/>
      <c r="U327">
        <v>10.8</v>
      </c>
      <c r="V327"/>
      <c r="W327"/>
      <c r="X327"/>
      <c r="Y327" s="321">
        <v>4.7995902000000008</v>
      </c>
      <c r="Z327" s="320"/>
      <c r="AA327" s="322">
        <v>54949.748743718592</v>
      </c>
      <c r="AB327" s="320"/>
      <c r="AC327" s="321">
        <v>20.467476900000001</v>
      </c>
      <c r="AD327" s="320"/>
      <c r="AE327" s="320">
        <v>21.87</v>
      </c>
      <c r="AF327" s="320"/>
      <c r="AG327">
        <v>3.98</v>
      </c>
      <c r="AH327"/>
      <c r="AI327">
        <v>118</v>
      </c>
      <c r="AJ327"/>
      <c r="AK327"/>
      <c r="AL327"/>
      <c r="AM327"/>
      <c r="AN327"/>
      <c r="AO327">
        <v>77</v>
      </c>
      <c r="AP327"/>
      <c r="AQ327" s="323"/>
      <c r="AR327" s="323"/>
      <c r="AS327">
        <v>116</v>
      </c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>
        <v>-2.6856</v>
      </c>
      <c r="BH327"/>
      <c r="BI327">
        <v>4.5148000000000001</v>
      </c>
      <c r="BJ327"/>
      <c r="BK327">
        <v>1.6811</v>
      </c>
      <c r="BL327"/>
      <c r="BM327">
        <v>60.09</v>
      </c>
      <c r="BN327"/>
      <c r="BO327">
        <v>19.957999999999998</v>
      </c>
      <c r="BP327"/>
      <c r="BQ327">
        <v>9.5832999999999995</v>
      </c>
      <c r="BR327"/>
      <c r="BS327">
        <v>45.972000000000001</v>
      </c>
      <c r="BT327"/>
      <c r="BU327">
        <v>20.29</v>
      </c>
      <c r="BV327"/>
      <c r="BW327" s="325">
        <v>4.46</v>
      </c>
      <c r="BX327"/>
      <c r="BY327">
        <v>6.820999999999998</v>
      </c>
      <c r="BZ327"/>
      <c r="CA327"/>
      <c r="CC327">
        <v>6.15</v>
      </c>
      <c r="CD327"/>
      <c r="CE327"/>
      <c r="CF327"/>
      <c r="CG327"/>
      <c r="CH327"/>
      <c r="CI327"/>
      <c r="CJ327"/>
      <c r="CK327"/>
      <c r="CL327"/>
      <c r="CM327"/>
    </row>
    <row r="328" spans="1:91">
      <c r="A328" s="154" t="s">
        <v>7678</v>
      </c>
      <c r="B328" t="s">
        <v>8287</v>
      </c>
      <c r="C328">
        <v>2</v>
      </c>
      <c r="D328">
        <v>1445</v>
      </c>
      <c r="E328" s="113">
        <v>45</v>
      </c>
      <c r="F328" s="113">
        <v>14</v>
      </c>
      <c r="I328">
        <v>24.5</v>
      </c>
      <c r="K328" s="320">
        <v>9</v>
      </c>
      <c r="L328" s="320"/>
      <c r="M328">
        <v>3.15</v>
      </c>
      <c r="N328" s="320"/>
      <c r="O328"/>
      <c r="P328"/>
      <c r="Q328"/>
      <c r="S328" s="320">
        <v>13.834103780415999</v>
      </c>
      <c r="T328" s="320"/>
      <c r="U328">
        <v>10.8</v>
      </c>
      <c r="V328"/>
      <c r="W328"/>
      <c r="X328"/>
      <c r="Y328" s="321">
        <v>5.5855939999999995</v>
      </c>
      <c r="Z328" s="320"/>
      <c r="AA328" s="322">
        <v>91661.631419939571</v>
      </c>
      <c r="AB328" s="320"/>
      <c r="AC328" s="321">
        <v>28.3858006</v>
      </c>
      <c r="AD328" s="320"/>
      <c r="AE328" s="320">
        <v>30.34</v>
      </c>
      <c r="AF328" s="320"/>
      <c r="AG328">
        <v>3.31</v>
      </c>
      <c r="AH328"/>
      <c r="AI328">
        <v>123</v>
      </c>
      <c r="AJ328"/>
      <c r="AK328"/>
      <c r="AL328"/>
      <c r="AM328"/>
      <c r="AN328"/>
      <c r="AO328">
        <v>79</v>
      </c>
      <c r="AP328"/>
      <c r="AQ328" s="323"/>
      <c r="AR328" s="323"/>
      <c r="AS328">
        <v>112</v>
      </c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>
        <v>-2.6741000000000001</v>
      </c>
      <c r="BH328"/>
      <c r="BI328">
        <v>4.8471000000000002</v>
      </c>
      <c r="BJ328"/>
      <c r="BK328">
        <v>1.5189999999999999</v>
      </c>
      <c r="BL328"/>
      <c r="BM328">
        <v>60.695</v>
      </c>
      <c r="BN328"/>
      <c r="BO328">
        <v>20.823</v>
      </c>
      <c r="BP328"/>
      <c r="BQ328">
        <v>9.5176999999999996</v>
      </c>
      <c r="BR328"/>
      <c r="BS328">
        <v>48.735999999999997</v>
      </c>
      <c r="BT328"/>
      <c r="BU328">
        <v>17.454999999999998</v>
      </c>
      <c r="BV328"/>
      <c r="BW328" s="325">
        <v>8.9700000000000006</v>
      </c>
      <c r="BX328"/>
      <c r="BY328">
        <v>6.304000000000002</v>
      </c>
      <c r="BZ328"/>
      <c r="CA328"/>
      <c r="CC328">
        <v>5.35</v>
      </c>
      <c r="CD328"/>
      <c r="CE328"/>
      <c r="CF328"/>
      <c r="CG328"/>
      <c r="CH328"/>
      <c r="CI328"/>
      <c r="CJ328"/>
      <c r="CK328"/>
      <c r="CL328"/>
      <c r="CM328"/>
    </row>
    <row r="329" spans="1:91">
      <c r="A329" s="154" t="s">
        <v>7678</v>
      </c>
      <c r="B329" t="s">
        <v>8289</v>
      </c>
      <c r="C329">
        <v>1</v>
      </c>
      <c r="D329">
        <v>1709</v>
      </c>
      <c r="E329" s="113">
        <v>9</v>
      </c>
      <c r="F329" s="113">
        <v>17</v>
      </c>
      <c r="I329">
        <v>29.999999999999996</v>
      </c>
      <c r="K329" s="320">
        <v>8</v>
      </c>
      <c r="L329" s="320"/>
      <c r="M329">
        <v>3.45</v>
      </c>
      <c r="N329" s="320"/>
      <c r="O329"/>
      <c r="P329"/>
      <c r="Q329"/>
      <c r="S329" s="320">
        <v>14.846116173375002</v>
      </c>
      <c r="T329" s="320"/>
      <c r="U329">
        <v>10.8</v>
      </c>
      <c r="V329"/>
      <c r="W329"/>
      <c r="X329"/>
      <c r="Y329" s="321">
        <v>5.8090849999999996</v>
      </c>
      <c r="Z329" s="320"/>
      <c r="AA329" s="322">
        <v>90027.322404371575</v>
      </c>
      <c r="AB329" s="320"/>
      <c r="AC329" s="321">
        <v>30.836257500000002</v>
      </c>
      <c r="AD329" s="320"/>
      <c r="AE329" s="320">
        <v>32.950000000000003</v>
      </c>
      <c r="AF329" s="320"/>
      <c r="AG329">
        <v>3.66</v>
      </c>
      <c r="AH329"/>
      <c r="AI329">
        <v>120</v>
      </c>
      <c r="AJ329"/>
      <c r="AK329"/>
      <c r="AL329"/>
      <c r="AM329"/>
      <c r="AN329"/>
      <c r="AO329">
        <v>79</v>
      </c>
      <c r="AP329"/>
      <c r="AQ329" s="323"/>
      <c r="AR329" s="323"/>
      <c r="AS329">
        <v>112</v>
      </c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>
        <v>-0.69777</v>
      </c>
      <c r="BH329"/>
      <c r="BI329">
        <v>4.5632999999999999</v>
      </c>
      <c r="BJ329"/>
      <c r="BK329">
        <v>1.5794999999999999</v>
      </c>
      <c r="BL329"/>
      <c r="BM329">
        <v>62.314</v>
      </c>
      <c r="BN329"/>
      <c r="BO329">
        <v>20.042999999999999</v>
      </c>
      <c r="BP329"/>
      <c r="BQ329">
        <v>9.3780999999999999</v>
      </c>
      <c r="BR329"/>
      <c r="BS329">
        <v>48.145000000000003</v>
      </c>
      <c r="BT329"/>
      <c r="BU329">
        <v>19.018000000000001</v>
      </c>
      <c r="BV329"/>
      <c r="BW329" s="325">
        <v>12.98</v>
      </c>
      <c r="BX329"/>
      <c r="BY329">
        <v>6.3970000000000056</v>
      </c>
      <c r="BZ329"/>
      <c r="CA329"/>
      <c r="CC329">
        <v>6.13</v>
      </c>
      <c r="CD329"/>
      <c r="CE329"/>
      <c r="CF329"/>
      <c r="CG329"/>
      <c r="CH329"/>
      <c r="CI329"/>
      <c r="CJ329"/>
      <c r="CK329"/>
      <c r="CL329"/>
      <c r="CM329"/>
    </row>
    <row r="330" spans="1:91">
      <c r="A330" s="154" t="s">
        <v>7679</v>
      </c>
      <c r="B330" t="s">
        <v>8287</v>
      </c>
      <c r="C330">
        <v>1</v>
      </c>
      <c r="D330">
        <v>324</v>
      </c>
      <c r="E330" s="113">
        <v>24</v>
      </c>
      <c r="F330" s="113">
        <v>3</v>
      </c>
      <c r="I330">
        <v>26</v>
      </c>
      <c r="K330" s="320">
        <v>8</v>
      </c>
      <c r="L330" s="320"/>
      <c r="M330">
        <v>3.07</v>
      </c>
      <c r="N330" s="320"/>
      <c r="O330"/>
      <c r="P330"/>
      <c r="Q330"/>
      <c r="S330" s="320">
        <v>13.057572982373999</v>
      </c>
      <c r="T330" s="320"/>
      <c r="U330">
        <v>10.8</v>
      </c>
      <c r="V330"/>
      <c r="W330"/>
      <c r="X330"/>
      <c r="Y330" s="321">
        <v>4.7734481999999998</v>
      </c>
      <c r="Z330" s="320"/>
      <c r="AA330" s="322">
        <v>57048.192771084337</v>
      </c>
      <c r="AB330" s="320"/>
      <c r="AC330" s="321">
        <v>26.584089299999999</v>
      </c>
      <c r="AD330" s="320"/>
      <c r="AE330" s="320">
        <v>28.41</v>
      </c>
      <c r="AF330" s="320"/>
      <c r="AG330">
        <v>4.9800000000000004</v>
      </c>
      <c r="AH330"/>
      <c r="AI330">
        <v>133</v>
      </c>
      <c r="AJ330"/>
      <c r="AK330"/>
      <c r="AL330"/>
      <c r="AM330"/>
      <c r="AN330"/>
      <c r="AO330">
        <v>80</v>
      </c>
      <c r="AP330"/>
      <c r="AQ330" s="323"/>
      <c r="AR330" s="323"/>
      <c r="AS330">
        <v>115</v>
      </c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>
        <v>1.4007000000000001</v>
      </c>
      <c r="BH330"/>
      <c r="BI330">
        <v>4.7556000000000003</v>
      </c>
      <c r="BJ330"/>
      <c r="BK330">
        <v>1.4752000000000001</v>
      </c>
      <c r="BL330"/>
      <c r="BM330">
        <v>59.210999999999999</v>
      </c>
      <c r="BN330"/>
      <c r="BO330">
        <v>21.15</v>
      </c>
      <c r="BP330"/>
      <c r="BQ330">
        <v>9.8813999999999993</v>
      </c>
      <c r="BR330"/>
      <c r="BS330">
        <v>49.118000000000002</v>
      </c>
      <c r="BT330"/>
      <c r="BU330">
        <v>19.937999999999999</v>
      </c>
      <c r="BV330"/>
      <c r="BW330" s="325">
        <v>16.579999999999998</v>
      </c>
      <c r="BX330"/>
      <c r="BY330">
        <v>6.5789999999999935</v>
      </c>
      <c r="BZ330"/>
      <c r="CA330"/>
      <c r="CC330">
        <v>9.0500000000000007</v>
      </c>
      <c r="CD330"/>
      <c r="CE330"/>
      <c r="CF330"/>
      <c r="CG330"/>
      <c r="CH330"/>
      <c r="CI330"/>
      <c r="CJ330"/>
      <c r="CK330" t="str">
        <f>IF(F330=ET276*(B330="N+"),"submertion","")</f>
        <v/>
      </c>
      <c r="CL330"/>
      <c r="CM330"/>
    </row>
    <row r="331" spans="1:91">
      <c r="A331" s="327" t="s">
        <v>7679</v>
      </c>
      <c r="B331" s="328" t="s">
        <v>8289</v>
      </c>
      <c r="C331" s="328">
        <v>2</v>
      </c>
      <c r="D331" s="328">
        <v>364</v>
      </c>
      <c r="E331" s="113">
        <v>64</v>
      </c>
      <c r="F331" s="113">
        <v>3</v>
      </c>
      <c r="G331" s="329"/>
      <c r="H331" s="329"/>
      <c r="I331" s="328">
        <v>25</v>
      </c>
      <c r="J331" s="330"/>
      <c r="K331" s="331">
        <v>6</v>
      </c>
      <c r="L331" s="331"/>
      <c r="M331" s="328">
        <v>0.99</v>
      </c>
      <c r="N331" s="331"/>
      <c r="O331" s="328"/>
      <c r="P331" s="328"/>
      <c r="Q331" s="328"/>
      <c r="R331" s="332"/>
      <c r="S331" s="331" t="s">
        <v>8361</v>
      </c>
      <c r="T331" s="331"/>
      <c r="U331" s="328">
        <v>10.8</v>
      </c>
      <c r="V331" s="328"/>
      <c r="W331" s="328"/>
      <c r="X331" s="328"/>
      <c r="Y331" s="333">
        <v>0</v>
      </c>
      <c r="Z331" s="331"/>
      <c r="AA331" s="334">
        <v>17817.460317460318</v>
      </c>
      <c r="AB331" s="331"/>
      <c r="AC331" s="333" t="s">
        <v>8361</v>
      </c>
      <c r="AD331" s="331"/>
      <c r="AE331" s="331">
        <v>8.98</v>
      </c>
      <c r="AF331" s="331"/>
      <c r="AG331" s="328">
        <v>5.04</v>
      </c>
      <c r="AH331" s="328"/>
      <c r="AI331" s="328">
        <v>100</v>
      </c>
      <c r="AJ331" s="328"/>
      <c r="AK331" s="328"/>
      <c r="AL331" s="328"/>
      <c r="AM331" s="328"/>
      <c r="AN331" s="328"/>
      <c r="AO331" s="328">
        <v>80</v>
      </c>
      <c r="AP331" s="328"/>
      <c r="AQ331" s="335"/>
      <c r="AR331" s="335"/>
      <c r="AS331" s="328">
        <v>118</v>
      </c>
      <c r="AT331" s="328"/>
      <c r="AU331" s="328"/>
      <c r="AV331" s="328"/>
      <c r="AW331" s="328"/>
      <c r="AX331" s="328"/>
      <c r="AY331" s="328"/>
      <c r="AZ331" s="328"/>
      <c r="BA331" s="328"/>
      <c r="BB331" s="328"/>
      <c r="BC331" s="328"/>
      <c r="BD331" s="328"/>
      <c r="BE331" s="328"/>
      <c r="BF331" s="328"/>
      <c r="BG331" s="328"/>
      <c r="BH331" s="328"/>
      <c r="BI331" s="328"/>
      <c r="BJ331" s="328"/>
      <c r="BK331" s="328"/>
      <c r="BL331" s="328"/>
      <c r="BM331" s="328"/>
      <c r="BN331" s="328"/>
      <c r="BO331" s="328"/>
      <c r="BP331" s="328"/>
      <c r="BQ331" s="328"/>
      <c r="BR331" s="328"/>
      <c r="BS331" s="328"/>
      <c r="BT331" s="328"/>
      <c r="BU331" s="328"/>
      <c r="BV331" s="328"/>
      <c r="BW331" s="328" t="s">
        <v>8361</v>
      </c>
      <c r="BX331" s="339"/>
      <c r="BY331" s="328" t="s">
        <v>8237</v>
      </c>
      <c r="BZ331" s="328"/>
      <c r="CA331" s="328"/>
      <c r="CB331" s="337"/>
      <c r="CC331" s="328">
        <v>10.85</v>
      </c>
      <c r="CD331" s="328"/>
      <c r="CE331" s="328"/>
      <c r="CF331" s="328"/>
      <c r="CG331" s="328"/>
      <c r="CH331" s="328"/>
      <c r="CI331" s="328"/>
      <c r="CJ331" s="328"/>
      <c r="CK331" s="328" t="s">
        <v>8377</v>
      </c>
      <c r="CL331" s="328"/>
      <c r="CM331" s="328"/>
    </row>
    <row r="332" spans="1:91">
      <c r="A332" s="154" t="s">
        <v>7679</v>
      </c>
      <c r="B332" t="s">
        <v>8289</v>
      </c>
      <c r="C332">
        <v>1</v>
      </c>
      <c r="D332">
        <v>1209</v>
      </c>
      <c r="E332" s="113">
        <v>9</v>
      </c>
      <c r="F332" s="113">
        <v>12</v>
      </c>
      <c r="I332">
        <v>27.999999999999996</v>
      </c>
      <c r="K332" s="320">
        <v>9</v>
      </c>
      <c r="L332" s="320"/>
      <c r="M332">
        <v>2.81</v>
      </c>
      <c r="N332" s="320"/>
      <c r="O332"/>
      <c r="P332"/>
      <c r="Q332"/>
      <c r="S332" s="320">
        <v>11.578650490836001</v>
      </c>
      <c r="T332" s="320"/>
      <c r="U332">
        <v>10.8</v>
      </c>
      <c r="V332"/>
      <c r="W332"/>
      <c r="X332"/>
      <c r="Y332" s="321">
        <v>5.7108645000000005</v>
      </c>
      <c r="Z332" s="320"/>
      <c r="AA332" s="322">
        <v>55687.500000000007</v>
      </c>
      <c r="AB332" s="320"/>
      <c r="AC332" s="321">
        <v>24.904608300000003</v>
      </c>
      <c r="AD332" s="320"/>
      <c r="AE332" s="320">
        <v>26.73</v>
      </c>
      <c r="AF332" s="320"/>
      <c r="AG332">
        <v>4.8</v>
      </c>
      <c r="AH332"/>
      <c r="AI332">
        <v>125</v>
      </c>
      <c r="AJ332"/>
      <c r="AK332"/>
      <c r="AL332"/>
      <c r="AM332"/>
      <c r="AN332"/>
      <c r="AO332">
        <v>79</v>
      </c>
      <c r="AP332"/>
      <c r="AQ332" s="323"/>
      <c r="AR332" s="323"/>
      <c r="AS332">
        <v>112</v>
      </c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>
        <v>11.685</v>
      </c>
      <c r="BH332"/>
      <c r="BI332">
        <v>4.7976000000000001</v>
      </c>
      <c r="BJ332"/>
      <c r="BK332">
        <v>1.3555999999999999</v>
      </c>
      <c r="BL332"/>
      <c r="BM332">
        <v>48.813000000000002</v>
      </c>
      <c r="BN332"/>
      <c r="BO332">
        <v>20.256</v>
      </c>
      <c r="BP332"/>
      <c r="BQ332">
        <v>9.8045000000000009</v>
      </c>
      <c r="BR332"/>
      <c r="BS332">
        <v>46.491999999999997</v>
      </c>
      <c r="BT332"/>
      <c r="BU332">
        <v>21.992000000000001</v>
      </c>
      <c r="BV332"/>
      <c r="BW332" s="325">
        <v>24.42</v>
      </c>
      <c r="BX332"/>
      <c r="BY332">
        <v>6.8850000000000051</v>
      </c>
      <c r="BZ332"/>
      <c r="CA332"/>
      <c r="CC332">
        <v>6.51</v>
      </c>
      <c r="CD332"/>
      <c r="CE332"/>
      <c r="CF332"/>
      <c r="CG332"/>
      <c r="CH332"/>
      <c r="CI332"/>
      <c r="CJ332"/>
      <c r="CK332"/>
      <c r="CL332"/>
      <c r="CM332"/>
    </row>
    <row r="333" spans="1:91" s="338" customFormat="1">
      <c r="A333" s="154" t="s">
        <v>7679</v>
      </c>
      <c r="B333" t="s">
        <v>8287</v>
      </c>
      <c r="C333">
        <v>2</v>
      </c>
      <c r="D333">
        <v>1447</v>
      </c>
      <c r="E333" s="113">
        <v>47</v>
      </c>
      <c r="F333" s="113">
        <v>14</v>
      </c>
      <c r="G333" s="113"/>
      <c r="H333" s="113"/>
      <c r="I333">
        <v>25.499999999999996</v>
      </c>
      <c r="J333" s="112"/>
      <c r="K333" s="320">
        <v>9</v>
      </c>
      <c r="L333" s="320"/>
      <c r="M333">
        <v>3.13</v>
      </c>
      <c r="N333" s="320"/>
      <c r="O333"/>
      <c r="P333"/>
      <c r="Q333"/>
      <c r="R333" s="153"/>
      <c r="S333" s="320">
        <v>13.248109471379998</v>
      </c>
      <c r="T333" s="320"/>
      <c r="U333">
        <v>10.8</v>
      </c>
      <c r="V333"/>
      <c r="W333"/>
      <c r="X333"/>
      <c r="Y333" s="321">
        <v>5.4859280000000004</v>
      </c>
      <c r="Z333" s="320"/>
      <c r="AA333" s="322">
        <v>70210.280373831774</v>
      </c>
      <c r="AB333" s="320"/>
      <c r="AC333" s="321">
        <v>28.174278999999999</v>
      </c>
      <c r="AD333" s="320"/>
      <c r="AE333" s="320">
        <v>30.05</v>
      </c>
      <c r="AF333" s="320"/>
      <c r="AG333">
        <v>4.28</v>
      </c>
      <c r="AH333"/>
      <c r="AI333">
        <v>130</v>
      </c>
      <c r="AJ333"/>
      <c r="AK333"/>
      <c r="AL333"/>
      <c r="AM333"/>
      <c r="AN333"/>
      <c r="AO333">
        <v>81</v>
      </c>
      <c r="AP333"/>
      <c r="AQ333" s="323"/>
      <c r="AR333" s="323"/>
      <c r="AS333">
        <v>112</v>
      </c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>
        <v>-4.7693000000000003</v>
      </c>
      <c r="BH333"/>
      <c r="BI333">
        <v>4.8421000000000003</v>
      </c>
      <c r="BJ333"/>
      <c r="BK333">
        <v>1.6389</v>
      </c>
      <c r="BL333"/>
      <c r="BM333">
        <v>62.81</v>
      </c>
      <c r="BN333"/>
      <c r="BO333">
        <v>21.818000000000001</v>
      </c>
      <c r="BP333"/>
      <c r="BQ333">
        <v>9.2805</v>
      </c>
      <c r="BR333"/>
      <c r="BS333">
        <v>47.021999999999998</v>
      </c>
      <c r="BT333"/>
      <c r="BU333">
        <v>19.72</v>
      </c>
      <c r="BV333"/>
      <c r="BW333" s="325">
        <v>7.39</v>
      </c>
      <c r="BX333"/>
      <c r="BY333">
        <v>6.4380000000000024</v>
      </c>
      <c r="BZ333"/>
      <c r="CA333"/>
      <c r="CB333" s="136"/>
      <c r="CC333">
        <v>5.65</v>
      </c>
      <c r="CD333"/>
      <c r="CE333"/>
      <c r="CF333"/>
      <c r="CG333"/>
      <c r="CH333"/>
      <c r="CI333"/>
      <c r="CJ333"/>
      <c r="CK333"/>
      <c r="CL333"/>
      <c r="CM333"/>
    </row>
    <row r="334" spans="1:91" s="338" customFormat="1">
      <c r="A334" s="154" t="s">
        <v>7680</v>
      </c>
      <c r="B334" t="s">
        <v>8287</v>
      </c>
      <c r="C334">
        <v>1</v>
      </c>
      <c r="D334">
        <v>224</v>
      </c>
      <c r="E334" s="113">
        <v>24</v>
      </c>
      <c r="F334" s="113">
        <v>2</v>
      </c>
      <c r="G334" s="113"/>
      <c r="H334" s="113"/>
      <c r="I334">
        <v>37</v>
      </c>
      <c r="J334" s="112"/>
      <c r="K334" s="320">
        <v>8</v>
      </c>
      <c r="L334" s="320"/>
      <c r="M334">
        <v>2.78</v>
      </c>
      <c r="N334" s="320"/>
      <c r="O334"/>
      <c r="P334"/>
      <c r="Q334"/>
      <c r="R334" s="153"/>
      <c r="S334" s="320">
        <v>11.565156490271999</v>
      </c>
      <c r="T334" s="320"/>
      <c r="U334">
        <v>10.8</v>
      </c>
      <c r="V334"/>
      <c r="W334"/>
      <c r="X334"/>
      <c r="Y334" s="321">
        <v>4.9737203999999995</v>
      </c>
      <c r="Z334" s="320"/>
      <c r="AA334" s="322">
        <v>56800</v>
      </c>
      <c r="AB334" s="320"/>
      <c r="AC334" s="321">
        <v>23.892976799999996</v>
      </c>
      <c r="AD334" s="320"/>
      <c r="AE334" s="320">
        <v>25.56</v>
      </c>
      <c r="AF334" s="320"/>
      <c r="AG334">
        <v>4.5</v>
      </c>
      <c r="AH334"/>
      <c r="AI334">
        <v>138</v>
      </c>
      <c r="AJ334"/>
      <c r="AK334"/>
      <c r="AL334"/>
      <c r="AM334"/>
      <c r="AN334"/>
      <c r="AO334">
        <v>85</v>
      </c>
      <c r="AP334"/>
      <c r="AQ334" s="323"/>
      <c r="AR334" s="323"/>
      <c r="AS334">
        <v>118</v>
      </c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>
        <v>-2.2603</v>
      </c>
      <c r="BH334"/>
      <c r="BI334">
        <v>4.2746000000000004</v>
      </c>
      <c r="BJ334"/>
      <c r="BK334">
        <v>1.7302999999999999</v>
      </c>
      <c r="BL334"/>
      <c r="BM334">
        <v>70.594999999999999</v>
      </c>
      <c r="BN334"/>
      <c r="BO334">
        <v>18.363</v>
      </c>
      <c r="BP334"/>
      <c r="BQ334">
        <v>6.3217999999999996</v>
      </c>
      <c r="BR334"/>
      <c r="BS334">
        <v>48.404000000000003</v>
      </c>
      <c r="BT334"/>
      <c r="BU334">
        <v>19.524999999999999</v>
      </c>
      <c r="BV334"/>
      <c r="BW334" s="325">
        <v>5.59</v>
      </c>
      <c r="BX334"/>
      <c r="BY334">
        <v>6.597999999999999</v>
      </c>
      <c r="BZ334"/>
      <c r="CA334"/>
      <c r="CB334" s="136"/>
      <c r="CC334">
        <v>9.65</v>
      </c>
      <c r="CD334"/>
      <c r="CE334"/>
      <c r="CF334"/>
      <c r="CG334"/>
      <c r="CH334"/>
      <c r="CI334"/>
      <c r="CJ334"/>
      <c r="CK334"/>
      <c r="CL334"/>
      <c r="CM334"/>
    </row>
    <row r="335" spans="1:91" s="338" customFormat="1">
      <c r="A335" s="154" t="s">
        <v>7680</v>
      </c>
      <c r="B335" t="s">
        <v>8289</v>
      </c>
      <c r="C335">
        <v>2</v>
      </c>
      <c r="D335">
        <v>254</v>
      </c>
      <c r="E335" s="113">
        <v>54</v>
      </c>
      <c r="F335" s="113">
        <v>2</v>
      </c>
      <c r="G335" s="113"/>
      <c r="H335" s="113"/>
      <c r="I335">
        <v>32.5</v>
      </c>
      <c r="J335" s="112"/>
      <c r="K335" s="320">
        <v>8</v>
      </c>
      <c r="L335" s="320"/>
      <c r="M335">
        <v>2.33</v>
      </c>
      <c r="N335" s="320"/>
      <c r="O335"/>
      <c r="P335"/>
      <c r="Q335"/>
      <c r="R335" s="153"/>
      <c r="S335" s="320">
        <v>10.250646914004001</v>
      </c>
      <c r="T335" s="320"/>
      <c r="U335">
        <v>10.8</v>
      </c>
      <c r="V335"/>
      <c r="W335"/>
      <c r="X335"/>
      <c r="Y335" s="321">
        <v>4.7321498000000002</v>
      </c>
      <c r="Z335" s="320"/>
      <c r="AA335" s="322">
        <v>49057.017543859656</v>
      </c>
      <c r="AB335" s="320"/>
      <c r="AC335" s="321">
        <v>21.034734700000001</v>
      </c>
      <c r="AD335" s="320"/>
      <c r="AE335" s="320">
        <v>22.37</v>
      </c>
      <c r="AF335" s="320"/>
      <c r="AG335">
        <v>4.5599999999999996</v>
      </c>
      <c r="AH335"/>
      <c r="AI335">
        <v>130</v>
      </c>
      <c r="AJ335"/>
      <c r="AK335"/>
      <c r="AL335"/>
      <c r="AM335"/>
      <c r="AN335"/>
      <c r="AO335">
        <v>80</v>
      </c>
      <c r="AP335"/>
      <c r="AQ335" s="323"/>
      <c r="AR335" s="323"/>
      <c r="AS335">
        <v>112</v>
      </c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>
        <v>2.2812999999999999</v>
      </c>
      <c r="BH335"/>
      <c r="BI335">
        <v>4.4242999999999997</v>
      </c>
      <c r="BJ335"/>
      <c r="BK335">
        <v>1.6617999999999999</v>
      </c>
      <c r="BL335"/>
      <c r="BM335">
        <v>67.102999999999994</v>
      </c>
      <c r="BN335"/>
      <c r="BO335">
        <v>18.385000000000002</v>
      </c>
      <c r="BP335"/>
      <c r="BQ335">
        <v>6.9695999999999998</v>
      </c>
      <c r="BR335"/>
      <c r="BS335">
        <v>48.731999999999999</v>
      </c>
      <c r="BT335"/>
      <c r="BU335">
        <v>19.771999999999998</v>
      </c>
      <c r="BV335"/>
      <c r="BW335" s="325">
        <v>8.92</v>
      </c>
      <c r="BX335"/>
      <c r="BY335">
        <v>6.1640000000000015</v>
      </c>
      <c r="BZ335"/>
      <c r="CA335"/>
      <c r="CB335" s="136"/>
      <c r="CC335">
        <v>5.66</v>
      </c>
      <c r="CD335"/>
      <c r="CE335"/>
      <c r="CF335"/>
      <c r="CG335"/>
      <c r="CH335"/>
      <c r="CI335"/>
      <c r="CJ335"/>
      <c r="CK335"/>
      <c r="CL335"/>
      <c r="CM335"/>
    </row>
    <row r="336" spans="1:91" s="338" customFormat="1">
      <c r="A336" s="154" t="s">
        <v>7680</v>
      </c>
      <c r="B336" t="s">
        <v>8287</v>
      </c>
      <c r="C336">
        <v>2</v>
      </c>
      <c r="D336">
        <v>1449</v>
      </c>
      <c r="E336" s="113">
        <v>49</v>
      </c>
      <c r="F336" s="113">
        <v>14</v>
      </c>
      <c r="G336" s="113"/>
      <c r="H336" s="113"/>
      <c r="I336">
        <v>26</v>
      </c>
      <c r="J336" s="112"/>
      <c r="K336" s="320">
        <v>9</v>
      </c>
      <c r="L336" s="320"/>
      <c r="M336">
        <v>2.56</v>
      </c>
      <c r="N336" s="320"/>
      <c r="O336"/>
      <c r="P336"/>
      <c r="Q336"/>
      <c r="R336" s="153"/>
      <c r="S336" s="320">
        <v>11.088170911919999</v>
      </c>
      <c r="T336" s="320"/>
      <c r="U336">
        <v>10.8</v>
      </c>
      <c r="V336"/>
      <c r="W336"/>
      <c r="X336"/>
      <c r="Y336" s="321">
        <v>4.2410208000000003</v>
      </c>
      <c r="Z336" s="320"/>
      <c r="AA336" s="322">
        <v>63462.532299741593</v>
      </c>
      <c r="AB336" s="320"/>
      <c r="AC336" s="321">
        <v>22.984475999999997</v>
      </c>
      <c r="AD336" s="320"/>
      <c r="AE336" s="320">
        <v>24.56</v>
      </c>
      <c r="AF336" s="320"/>
      <c r="AG336">
        <v>3.87</v>
      </c>
      <c r="AH336"/>
      <c r="AI336">
        <v>128</v>
      </c>
      <c r="AJ336"/>
      <c r="AK336"/>
      <c r="AL336"/>
      <c r="AM336"/>
      <c r="AN336"/>
      <c r="AO336">
        <v>79</v>
      </c>
      <c r="AP336"/>
      <c r="AQ336" s="323"/>
      <c r="AR336" s="323"/>
      <c r="AS336">
        <v>116</v>
      </c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>
        <v>3.2263999999999999</v>
      </c>
      <c r="BH336"/>
      <c r="BI336">
        <v>4.5414000000000003</v>
      </c>
      <c r="BJ336"/>
      <c r="BK336">
        <v>1.5446</v>
      </c>
      <c r="BL336"/>
      <c r="BM336">
        <v>59.457000000000001</v>
      </c>
      <c r="BN336"/>
      <c r="BO336">
        <v>20.059000000000001</v>
      </c>
      <c r="BP336"/>
      <c r="BQ336">
        <v>5.7942</v>
      </c>
      <c r="BR336"/>
      <c r="BS336">
        <v>48.241999999999997</v>
      </c>
      <c r="BT336"/>
      <c r="BU336">
        <v>19.268999999999998</v>
      </c>
      <c r="BV336"/>
      <c r="BW336" s="325">
        <v>12.97</v>
      </c>
      <c r="BX336"/>
      <c r="BY336">
        <v>6.4779999999999944</v>
      </c>
      <c r="BZ336"/>
      <c r="CA336"/>
      <c r="CB336" s="136"/>
      <c r="CC336">
        <v>5.73</v>
      </c>
      <c r="CD336"/>
      <c r="CE336"/>
      <c r="CF336"/>
      <c r="CG336"/>
      <c r="CH336"/>
      <c r="CI336"/>
      <c r="CJ336"/>
      <c r="CK336"/>
      <c r="CL336"/>
      <c r="CM336"/>
    </row>
    <row r="337" spans="1:91" s="338" customFormat="1">
      <c r="A337" s="154" t="s">
        <v>7680</v>
      </c>
      <c r="B337" t="s">
        <v>8289</v>
      </c>
      <c r="C337">
        <v>1</v>
      </c>
      <c r="D337">
        <v>1506</v>
      </c>
      <c r="E337" s="113">
        <v>6</v>
      </c>
      <c r="F337" s="113">
        <v>15</v>
      </c>
      <c r="G337" s="113"/>
      <c r="H337" s="113"/>
      <c r="I337">
        <v>28.5</v>
      </c>
      <c r="J337" s="112"/>
      <c r="K337" s="320">
        <v>8</v>
      </c>
      <c r="L337" s="320"/>
      <c r="M337">
        <v>2.71</v>
      </c>
      <c r="N337" s="320"/>
      <c r="O337"/>
      <c r="P337"/>
      <c r="Q337"/>
      <c r="R337" s="153"/>
      <c r="S337" s="320">
        <v>12.070319861120002</v>
      </c>
      <c r="T337" s="320"/>
      <c r="U337">
        <v>10.8</v>
      </c>
      <c r="V337"/>
      <c r="W337"/>
      <c r="X337"/>
      <c r="Y337" s="321">
        <v>4.7936158000000004</v>
      </c>
      <c r="Z337" s="320"/>
      <c r="AA337" s="322">
        <v>57556.053811659192</v>
      </c>
      <c r="AB337" s="320"/>
      <c r="AC337" s="321">
        <v>24.102076400000001</v>
      </c>
      <c r="AD337" s="320"/>
      <c r="AE337" s="320">
        <v>25.67</v>
      </c>
      <c r="AF337" s="320"/>
      <c r="AG337">
        <v>4.46</v>
      </c>
      <c r="AH337"/>
      <c r="AI337">
        <v>120</v>
      </c>
      <c r="AJ337"/>
      <c r="AK337"/>
      <c r="AL337"/>
      <c r="AM337"/>
      <c r="AN337"/>
      <c r="AO337">
        <v>80</v>
      </c>
      <c r="AP337"/>
      <c r="AQ337" s="323"/>
      <c r="AR337" s="323"/>
      <c r="AS337">
        <v>114</v>
      </c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>
        <v>1.0055000000000001</v>
      </c>
      <c r="BH337"/>
      <c r="BI337">
        <v>4.3573000000000004</v>
      </c>
      <c r="BJ337"/>
      <c r="BK337">
        <v>1.6968000000000001</v>
      </c>
      <c r="BL337"/>
      <c r="BM337">
        <v>69.370999999999995</v>
      </c>
      <c r="BN337"/>
      <c r="BO337">
        <v>18.908999999999999</v>
      </c>
      <c r="BP337"/>
      <c r="BQ337">
        <v>6.1585000000000001</v>
      </c>
      <c r="BR337"/>
      <c r="BS337">
        <v>50.08</v>
      </c>
      <c r="BT337"/>
      <c r="BU337">
        <v>19.111999999999998</v>
      </c>
      <c r="BV337"/>
      <c r="BW337" s="325">
        <v>11.88</v>
      </c>
      <c r="BX337"/>
      <c r="BY337">
        <v>6.1989999999999981</v>
      </c>
      <c r="BZ337"/>
      <c r="CA337"/>
      <c r="CB337" s="136"/>
      <c r="CC337">
        <v>6.92</v>
      </c>
      <c r="CD337"/>
      <c r="CE337"/>
      <c r="CF337"/>
      <c r="CG337"/>
      <c r="CH337"/>
      <c r="CI337"/>
      <c r="CJ337"/>
      <c r="CK337"/>
      <c r="CL337"/>
      <c r="CM337"/>
    </row>
    <row r="338" spans="1:91" s="338" customFormat="1">
      <c r="A338" s="154" t="s">
        <v>7681</v>
      </c>
      <c r="B338" t="s">
        <v>8287</v>
      </c>
      <c r="C338">
        <v>1</v>
      </c>
      <c r="D338">
        <v>209</v>
      </c>
      <c r="E338" s="113">
        <v>9</v>
      </c>
      <c r="F338" s="113">
        <v>2</v>
      </c>
      <c r="G338" s="113"/>
      <c r="H338" s="113"/>
      <c r="I338">
        <v>31.499999999999996</v>
      </c>
      <c r="J338" s="112"/>
      <c r="K338" s="320">
        <v>9</v>
      </c>
      <c r="L338" s="320"/>
      <c r="M338">
        <v>3.62</v>
      </c>
      <c r="N338" s="320"/>
      <c r="O338"/>
      <c r="P338"/>
      <c r="Q338"/>
      <c r="R338" s="153"/>
      <c r="S338" s="320">
        <v>16.47306221925</v>
      </c>
      <c r="T338" s="320"/>
      <c r="U338">
        <v>10.8</v>
      </c>
      <c r="V338"/>
      <c r="W338"/>
      <c r="X338"/>
      <c r="Y338" s="321">
        <v>5.9805960000000002</v>
      </c>
      <c r="Z338" s="320"/>
      <c r="AA338" s="322">
        <v>91835.106382978731</v>
      </c>
      <c r="AB338" s="320"/>
      <c r="AC338" s="321">
        <v>32.459235900000003</v>
      </c>
      <c r="AD338" s="320"/>
      <c r="AE338" s="320">
        <v>34.53</v>
      </c>
      <c r="AF338" s="320"/>
      <c r="AG338">
        <v>3.76</v>
      </c>
      <c r="AH338"/>
      <c r="AI338">
        <v>148</v>
      </c>
      <c r="AJ338"/>
      <c r="AK338"/>
      <c r="AL338"/>
      <c r="AM338"/>
      <c r="AN338"/>
      <c r="AO338">
        <v>79</v>
      </c>
      <c r="AP338"/>
      <c r="AQ338" s="323"/>
      <c r="AR338" s="323"/>
      <c r="AS338">
        <v>115</v>
      </c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>
        <v>-1.7844</v>
      </c>
      <c r="BH338"/>
      <c r="BI338">
        <v>4.8234000000000004</v>
      </c>
      <c r="BJ338"/>
      <c r="BK338">
        <v>1.5648</v>
      </c>
      <c r="BL338"/>
      <c r="BM338">
        <v>67.927999999999997</v>
      </c>
      <c r="BN338"/>
      <c r="BO338">
        <v>20.373000000000001</v>
      </c>
      <c r="BP338"/>
      <c r="BQ338">
        <v>8.7524999999999995</v>
      </c>
      <c r="BR338"/>
      <c r="BS338">
        <v>50.75</v>
      </c>
      <c r="BT338"/>
      <c r="BU338">
        <v>17.236000000000001</v>
      </c>
      <c r="BV338"/>
      <c r="BW338" s="325">
        <v>8.25</v>
      </c>
      <c r="BX338"/>
      <c r="BY338">
        <v>6.0430000000000064</v>
      </c>
      <c r="BZ338"/>
      <c r="CA338"/>
      <c r="CB338" s="136"/>
      <c r="CC338">
        <v>6.25</v>
      </c>
      <c r="CD338"/>
      <c r="CE338"/>
      <c r="CF338"/>
      <c r="CG338"/>
      <c r="CH338"/>
      <c r="CI338"/>
      <c r="CJ338"/>
      <c r="CK338"/>
      <c r="CL338"/>
      <c r="CM338"/>
    </row>
    <row r="339" spans="1:91" s="338" customFormat="1">
      <c r="A339" s="154" t="s">
        <v>7681</v>
      </c>
      <c r="B339" t="s">
        <v>8289</v>
      </c>
      <c r="C339">
        <v>2</v>
      </c>
      <c r="D339">
        <v>452</v>
      </c>
      <c r="E339" s="113">
        <v>52</v>
      </c>
      <c r="F339" s="113">
        <v>4</v>
      </c>
      <c r="G339" s="113"/>
      <c r="H339" s="113"/>
      <c r="I339">
        <v>31</v>
      </c>
      <c r="J339" s="112"/>
      <c r="K339" s="320">
        <v>9</v>
      </c>
      <c r="L339" s="320"/>
      <c r="M339">
        <v>3.03</v>
      </c>
      <c r="N339" s="320"/>
      <c r="O339"/>
      <c r="P339"/>
      <c r="Q339"/>
      <c r="R339" s="153"/>
      <c r="S339" s="320">
        <v>12.8373059346</v>
      </c>
      <c r="T339" s="320"/>
      <c r="U339">
        <v>10.8</v>
      </c>
      <c r="V339"/>
      <c r="W339"/>
      <c r="X339"/>
      <c r="Y339" s="321">
        <v>5.6480255999999995</v>
      </c>
      <c r="Z339" s="320"/>
      <c r="AA339" s="322">
        <v>70170.316301703147</v>
      </c>
      <c r="AB339" s="320"/>
      <c r="AC339" s="321">
        <v>27.068647200000001</v>
      </c>
      <c r="AD339" s="320"/>
      <c r="AE339" s="320">
        <v>28.84</v>
      </c>
      <c r="AF339" s="320"/>
      <c r="AG339">
        <v>4.1100000000000003</v>
      </c>
      <c r="AH339"/>
      <c r="AI339">
        <v>118</v>
      </c>
      <c r="AJ339"/>
      <c r="AK339"/>
      <c r="AL339"/>
      <c r="AM339"/>
      <c r="AN339"/>
      <c r="AO339">
        <v>77</v>
      </c>
      <c r="AP339"/>
      <c r="AQ339" s="323"/>
      <c r="AR339" s="323"/>
      <c r="AS339">
        <v>114</v>
      </c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>
        <v>-4.2716000000000003</v>
      </c>
      <c r="BH339"/>
      <c r="BI339">
        <v>4.5989000000000004</v>
      </c>
      <c r="BJ339"/>
      <c r="BK339">
        <v>1.6492</v>
      </c>
      <c r="BL339"/>
      <c r="BM339">
        <v>63.939</v>
      </c>
      <c r="BN339"/>
      <c r="BO339">
        <v>19.791</v>
      </c>
      <c r="BP339"/>
      <c r="BQ339">
        <v>9.8211999999999993</v>
      </c>
      <c r="BR339"/>
      <c r="BS339">
        <v>47.424999999999997</v>
      </c>
      <c r="BT339"/>
      <c r="BU339">
        <v>19.951000000000001</v>
      </c>
      <c r="BV339"/>
      <c r="BW339" s="325">
        <v>5.35</v>
      </c>
      <c r="BX339"/>
      <c r="BY339">
        <v>6.5250000000000057</v>
      </c>
      <c r="BZ339"/>
      <c r="CA339"/>
      <c r="CB339" s="136"/>
      <c r="CC339">
        <v>6.47</v>
      </c>
      <c r="CD339"/>
      <c r="CE339"/>
      <c r="CF339"/>
      <c r="CG339"/>
      <c r="CH339"/>
      <c r="CI339"/>
      <c r="CJ339"/>
      <c r="CK339"/>
      <c r="CL339"/>
      <c r="CM339"/>
    </row>
    <row r="340" spans="1:91" s="338" customFormat="1">
      <c r="A340" s="154" t="s">
        <v>7681</v>
      </c>
      <c r="B340" t="s">
        <v>8287</v>
      </c>
      <c r="C340">
        <v>2</v>
      </c>
      <c r="D340">
        <v>1144</v>
      </c>
      <c r="E340" s="113">
        <v>44</v>
      </c>
      <c r="F340" s="113">
        <v>11</v>
      </c>
      <c r="G340" s="113"/>
      <c r="H340" s="113"/>
      <c r="I340">
        <v>32</v>
      </c>
      <c r="J340" s="112"/>
      <c r="K340" s="320">
        <v>9</v>
      </c>
      <c r="L340" s="320"/>
      <c r="M340">
        <v>3.55</v>
      </c>
      <c r="N340" s="320"/>
      <c r="O340"/>
      <c r="P340"/>
      <c r="Q340"/>
      <c r="R340" s="153"/>
      <c r="S340" s="320">
        <v>15.640741291140003</v>
      </c>
      <c r="T340" s="320"/>
      <c r="U340">
        <v>10.8</v>
      </c>
      <c r="V340"/>
      <c r="W340"/>
      <c r="X340"/>
      <c r="Y340" s="321">
        <v>5.9340420000000007</v>
      </c>
      <c r="Z340" s="320"/>
      <c r="AA340" s="322">
        <v>102395.20958083833</v>
      </c>
      <c r="AB340" s="320"/>
      <c r="AC340" s="321">
        <v>31.933566000000006</v>
      </c>
      <c r="AD340" s="320"/>
      <c r="AE340" s="320">
        <v>34.200000000000003</v>
      </c>
      <c r="AF340" s="320"/>
      <c r="AG340">
        <v>3.34</v>
      </c>
      <c r="AH340"/>
      <c r="AI340">
        <v>120</v>
      </c>
      <c r="AJ340"/>
      <c r="AK340"/>
      <c r="AL340"/>
      <c r="AM340"/>
      <c r="AN340"/>
      <c r="AO340">
        <v>79</v>
      </c>
      <c r="AP340"/>
      <c r="AQ340" s="323"/>
      <c r="AR340" s="323"/>
      <c r="AS340">
        <v>112</v>
      </c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>
        <v>0.92917000000000005</v>
      </c>
      <c r="BH340"/>
      <c r="BI340">
        <v>4.9625000000000004</v>
      </c>
      <c r="BJ340"/>
      <c r="BK340">
        <v>1.5464</v>
      </c>
      <c r="BL340"/>
      <c r="BM340">
        <v>60.17</v>
      </c>
      <c r="BN340"/>
      <c r="BO340">
        <v>21.248000000000001</v>
      </c>
      <c r="BP340"/>
      <c r="BQ340">
        <v>9.2851999999999997</v>
      </c>
      <c r="BR340"/>
      <c r="BS340">
        <v>48.978999999999999</v>
      </c>
      <c r="BT340"/>
      <c r="BU340">
        <v>17.7</v>
      </c>
      <c r="BV340"/>
      <c r="BW340" s="325">
        <v>3.54</v>
      </c>
      <c r="BX340"/>
      <c r="BY340">
        <v>6.6460000000000008</v>
      </c>
      <c r="BZ340"/>
      <c r="CA340"/>
      <c r="CB340" s="136"/>
      <c r="CC340">
        <v>5.33</v>
      </c>
      <c r="CD340"/>
      <c r="CE340"/>
      <c r="CF340"/>
      <c r="CG340"/>
      <c r="CH340"/>
      <c r="CI340"/>
      <c r="CJ340"/>
      <c r="CK340"/>
      <c r="CL340"/>
      <c r="CM340"/>
    </row>
    <row r="341" spans="1:91" s="338" customFormat="1">
      <c r="A341" s="154" t="s">
        <v>7681</v>
      </c>
      <c r="B341" t="s">
        <v>8289</v>
      </c>
      <c r="C341">
        <v>1</v>
      </c>
      <c r="D341">
        <v>1314</v>
      </c>
      <c r="E341" s="113">
        <v>14</v>
      </c>
      <c r="F341" s="113">
        <v>13</v>
      </c>
      <c r="G341" s="113"/>
      <c r="H341" s="113"/>
      <c r="I341">
        <v>26</v>
      </c>
      <c r="J341" s="112"/>
      <c r="K341" s="320">
        <v>9</v>
      </c>
      <c r="L341" s="320"/>
      <c r="M341">
        <v>3.12</v>
      </c>
      <c r="N341" s="320"/>
      <c r="O341"/>
      <c r="P341"/>
      <c r="Q341"/>
      <c r="R341" s="153"/>
      <c r="S341" s="320">
        <v>13.890107546699999</v>
      </c>
      <c r="T341" s="320"/>
      <c r="U341">
        <v>10.8</v>
      </c>
      <c r="V341"/>
      <c r="W341"/>
      <c r="X341"/>
      <c r="Y341" s="321">
        <v>6.0392679999999999</v>
      </c>
      <c r="Z341" s="320"/>
      <c r="AA341" s="322">
        <v>82320.441988950275</v>
      </c>
      <c r="AB341" s="320"/>
      <c r="AC341" s="321">
        <v>27.967597999999999</v>
      </c>
      <c r="AD341" s="320"/>
      <c r="AE341" s="320">
        <v>29.8</v>
      </c>
      <c r="AF341" s="320"/>
      <c r="AG341">
        <v>3.62</v>
      </c>
      <c r="AH341"/>
      <c r="AI341">
        <v>120</v>
      </c>
      <c r="AJ341"/>
      <c r="AK341"/>
      <c r="AL341"/>
      <c r="AM341"/>
      <c r="AN341"/>
      <c r="AO341">
        <v>79</v>
      </c>
      <c r="AP341"/>
      <c r="AQ341" s="323"/>
      <c r="AR341" s="323"/>
      <c r="AS341">
        <v>112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>
        <v>3.5836999999999999</v>
      </c>
      <c r="BH341"/>
      <c r="BI341">
        <v>4.8048999999999999</v>
      </c>
      <c r="BJ341"/>
      <c r="BK341">
        <v>1.5237000000000001</v>
      </c>
      <c r="BL341"/>
      <c r="BM341">
        <v>62.63</v>
      </c>
      <c r="BN341"/>
      <c r="BO341">
        <v>20.419</v>
      </c>
      <c r="BP341"/>
      <c r="BQ341">
        <v>9.8246000000000002</v>
      </c>
      <c r="BR341"/>
      <c r="BS341">
        <v>49.664999999999999</v>
      </c>
      <c r="BT341"/>
      <c r="BU341">
        <v>18.274999999999999</v>
      </c>
      <c r="BV341"/>
      <c r="BW341" s="325">
        <v>8.34</v>
      </c>
      <c r="BX341"/>
      <c r="BY341">
        <v>6.3930000000000007</v>
      </c>
      <c r="BZ341"/>
      <c r="CA341"/>
      <c r="CB341" s="136"/>
      <c r="CC341">
        <v>6.12</v>
      </c>
      <c r="CD341"/>
      <c r="CE341"/>
      <c r="CF341"/>
      <c r="CG341"/>
      <c r="CH341"/>
      <c r="CI341"/>
      <c r="CJ341"/>
      <c r="CK341"/>
      <c r="CL341"/>
      <c r="CM341"/>
    </row>
    <row r="342" spans="1:91" s="338" customFormat="1">
      <c r="A342" s="154" t="s">
        <v>7682</v>
      </c>
      <c r="B342" t="s">
        <v>8287</v>
      </c>
      <c r="C342">
        <v>1</v>
      </c>
      <c r="D342">
        <v>432</v>
      </c>
      <c r="E342" s="113">
        <v>32</v>
      </c>
      <c r="F342" s="113">
        <v>4</v>
      </c>
      <c r="G342" s="113"/>
      <c r="H342" s="113"/>
      <c r="I342">
        <v>28.999999999999996</v>
      </c>
      <c r="J342" s="112"/>
      <c r="K342" s="320">
        <v>9</v>
      </c>
      <c r="L342" s="320"/>
      <c r="M342">
        <v>3.17</v>
      </c>
      <c r="N342" s="320"/>
      <c r="O342"/>
      <c r="P342"/>
      <c r="Q342"/>
      <c r="R342" s="153"/>
      <c r="S342" s="320">
        <v>13.930279311311997</v>
      </c>
      <c r="T342" s="320"/>
      <c r="U342">
        <v>10.8</v>
      </c>
      <c r="V342"/>
      <c r="W342"/>
      <c r="X342"/>
      <c r="Y342" s="321">
        <v>5.3981295999999999</v>
      </c>
      <c r="Z342" s="320"/>
      <c r="AA342" s="322">
        <v>58253.968253968254</v>
      </c>
      <c r="AB342" s="320"/>
      <c r="AC342" s="321">
        <v>27.433690399999996</v>
      </c>
      <c r="AD342" s="320"/>
      <c r="AE342" s="320">
        <v>29.36</v>
      </c>
      <c r="AF342" s="320"/>
      <c r="AG342">
        <v>5.04</v>
      </c>
      <c r="AH342"/>
      <c r="AI342">
        <v>135</v>
      </c>
      <c r="AJ342"/>
      <c r="AK342"/>
      <c r="AL342"/>
      <c r="AM342"/>
      <c r="AN342"/>
      <c r="AO342">
        <v>90</v>
      </c>
      <c r="AP342"/>
      <c r="AQ342" s="323"/>
      <c r="AR342" s="323"/>
      <c r="AS342">
        <v>116</v>
      </c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>
        <v>1.6872000000000002E-2</v>
      </c>
      <c r="BH342"/>
      <c r="BI342">
        <v>4.4021999999999997</v>
      </c>
      <c r="BJ342"/>
      <c r="BK342">
        <v>1.4086000000000001</v>
      </c>
      <c r="BL342"/>
      <c r="BM342">
        <v>63.575000000000003</v>
      </c>
      <c r="BN342"/>
      <c r="BO342">
        <v>19.588000000000001</v>
      </c>
      <c r="BP342"/>
      <c r="BQ342">
        <v>9.6890999999999998</v>
      </c>
      <c r="BR342"/>
      <c r="BS342">
        <v>50.777999999999999</v>
      </c>
      <c r="BT342"/>
      <c r="BU342">
        <v>18.015999999999998</v>
      </c>
      <c r="BV342"/>
      <c r="BW342" s="325">
        <v>24.04</v>
      </c>
      <c r="BX342"/>
      <c r="BY342">
        <v>6.5759999999999934</v>
      </c>
      <c r="BZ342"/>
      <c r="CA342"/>
      <c r="CB342" s="136"/>
      <c r="CC342">
        <v>8.9700000000000006</v>
      </c>
      <c r="CD342"/>
      <c r="CE342"/>
      <c r="CF342"/>
      <c r="CG342"/>
      <c r="CH342"/>
      <c r="CI342"/>
      <c r="CJ342"/>
      <c r="CK342"/>
      <c r="CL342"/>
      <c r="CM342"/>
    </row>
    <row r="343" spans="1:91" s="338" customFormat="1">
      <c r="A343" s="327" t="s">
        <v>7682</v>
      </c>
      <c r="B343" s="328" t="s">
        <v>8289</v>
      </c>
      <c r="C343" s="328">
        <v>2</v>
      </c>
      <c r="D343" s="328">
        <v>961</v>
      </c>
      <c r="E343" s="113">
        <v>61</v>
      </c>
      <c r="F343" s="113">
        <v>9</v>
      </c>
      <c r="G343" s="329"/>
      <c r="H343" s="329"/>
      <c r="I343" s="328">
        <v>32.999999999999993</v>
      </c>
      <c r="J343" s="330"/>
      <c r="K343" s="331">
        <v>8</v>
      </c>
      <c r="L343" s="331"/>
      <c r="M343" s="328">
        <v>2.0499999999999998</v>
      </c>
      <c r="N343" s="331"/>
      <c r="O343" s="328"/>
      <c r="P343" s="328"/>
      <c r="Q343" s="328"/>
      <c r="R343" s="332"/>
      <c r="S343" s="331">
        <v>8.1324288051159996</v>
      </c>
      <c r="T343" s="331"/>
      <c r="U343" s="328">
        <v>10.8</v>
      </c>
      <c r="V343" s="328"/>
      <c r="W343" s="328"/>
      <c r="X343" s="328"/>
      <c r="Y343" s="333">
        <v>3.8759185999999994</v>
      </c>
      <c r="Z343" s="331"/>
      <c r="AA343" s="334">
        <v>41179.03930131004</v>
      </c>
      <c r="AB343" s="331"/>
      <c r="AC343" s="333">
        <v>17.573370799999999</v>
      </c>
      <c r="AD343" s="331"/>
      <c r="AE343" s="331">
        <v>18.86</v>
      </c>
      <c r="AF343" s="331"/>
      <c r="AG343" s="328">
        <v>4.58</v>
      </c>
      <c r="AH343" s="328"/>
      <c r="AI343" s="328"/>
      <c r="AJ343" s="328"/>
      <c r="AK343" s="328"/>
      <c r="AL343" s="328"/>
      <c r="AM343" s="328"/>
      <c r="AN343" s="328"/>
      <c r="AO343" s="328">
        <v>80</v>
      </c>
      <c r="AP343" s="328"/>
      <c r="AQ343" s="335"/>
      <c r="AR343" s="335"/>
      <c r="AS343" s="328">
        <v>116</v>
      </c>
      <c r="AT343" s="328"/>
      <c r="AU343" s="328"/>
      <c r="AV343" s="328"/>
      <c r="AW343" s="328"/>
      <c r="AX343" s="328"/>
      <c r="AY343" s="328"/>
      <c r="AZ343" s="328"/>
      <c r="BA343" s="328"/>
      <c r="BB343" s="328"/>
      <c r="BC343" s="328"/>
      <c r="BD343" s="328"/>
      <c r="BE343" s="328"/>
      <c r="BF343" s="328"/>
      <c r="BG343" s="328">
        <v>-1.4353</v>
      </c>
      <c r="BH343" s="328"/>
      <c r="BI343" s="328">
        <v>4.9523999999999999</v>
      </c>
      <c r="BJ343" s="328"/>
      <c r="BK343" s="328">
        <v>1.6021000000000001</v>
      </c>
      <c r="BL343" s="328"/>
      <c r="BM343" s="328">
        <v>59.335000000000001</v>
      </c>
      <c r="BN343" s="328"/>
      <c r="BO343" s="328">
        <v>21.311</v>
      </c>
      <c r="BP343" s="328"/>
      <c r="BQ343" s="328">
        <v>8.8886000000000003</v>
      </c>
      <c r="BR343" s="328"/>
      <c r="BS343" s="328">
        <v>46.277000000000001</v>
      </c>
      <c r="BT343" s="328"/>
      <c r="BU343" s="328">
        <v>19.285</v>
      </c>
      <c r="BV343" s="328"/>
      <c r="BW343" s="336">
        <v>2.58</v>
      </c>
      <c r="BX343" s="328"/>
      <c r="BY343" s="328">
        <v>7.3239999999999981</v>
      </c>
      <c r="BZ343" s="328"/>
      <c r="CA343" s="328"/>
      <c r="CB343" s="337"/>
      <c r="CC343" s="328">
        <v>9.58</v>
      </c>
      <c r="CD343" s="328"/>
      <c r="CE343" s="328"/>
      <c r="CF343" s="328"/>
      <c r="CG343" s="328"/>
      <c r="CH343" s="328"/>
      <c r="CI343" s="328"/>
      <c r="CJ343" s="328"/>
      <c r="CK343" s="328" t="s">
        <v>8377</v>
      </c>
      <c r="CL343" s="328"/>
      <c r="CM343" s="328"/>
    </row>
    <row r="344" spans="1:91" s="338" customFormat="1">
      <c r="A344" s="154" t="s">
        <v>7682</v>
      </c>
      <c r="B344" t="s">
        <v>8289</v>
      </c>
      <c r="C344">
        <v>1</v>
      </c>
      <c r="D344">
        <v>1007</v>
      </c>
      <c r="E344" s="113">
        <v>7</v>
      </c>
      <c r="F344" s="113">
        <v>10</v>
      </c>
      <c r="G344" s="113"/>
      <c r="H344" s="113"/>
      <c r="I344">
        <v>26</v>
      </c>
      <c r="J344" s="112"/>
      <c r="K344" s="320">
        <v>9</v>
      </c>
      <c r="L344" s="320"/>
      <c r="M344">
        <v>2.09</v>
      </c>
      <c r="N344" s="320"/>
      <c r="O344"/>
      <c r="P344"/>
      <c r="Q344"/>
      <c r="R344" s="153"/>
      <c r="S344" s="320">
        <v>8.5520069789699988</v>
      </c>
      <c r="T344" s="320"/>
      <c r="U344">
        <v>10.8</v>
      </c>
      <c r="V344"/>
      <c r="W344"/>
      <c r="X344"/>
      <c r="Y344" s="321">
        <v>3.7466127</v>
      </c>
      <c r="Z344" s="320"/>
      <c r="AA344" s="322">
        <v>47183.770883054887</v>
      </c>
      <c r="AB344" s="320"/>
      <c r="AC344" s="321">
        <v>18.452922599999997</v>
      </c>
      <c r="AD344" s="320"/>
      <c r="AE344" s="320">
        <v>19.77</v>
      </c>
      <c r="AF344" s="320"/>
      <c r="AG344">
        <v>4.1900000000000004</v>
      </c>
      <c r="AH344"/>
      <c r="AI344">
        <v>123</v>
      </c>
      <c r="AJ344"/>
      <c r="AK344"/>
      <c r="AL344"/>
      <c r="AM344"/>
      <c r="AN344"/>
      <c r="AO344">
        <v>72</v>
      </c>
      <c r="AP344"/>
      <c r="AQ344" s="323"/>
      <c r="AR344" s="323"/>
      <c r="AS344">
        <v>114</v>
      </c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>
        <v>5.0541999999999998</v>
      </c>
      <c r="BH344"/>
      <c r="BI344">
        <v>4.3449</v>
      </c>
      <c r="BJ344"/>
      <c r="BK344">
        <v>1.3711</v>
      </c>
      <c r="BL344"/>
      <c r="BM344">
        <v>55.271999999999998</v>
      </c>
      <c r="BN344"/>
      <c r="BO344">
        <v>20.326000000000001</v>
      </c>
      <c r="BP344"/>
      <c r="BQ344">
        <v>11.032</v>
      </c>
      <c r="BR344"/>
      <c r="BS344">
        <v>46.344999999999999</v>
      </c>
      <c r="BT344"/>
      <c r="BU344">
        <v>20.440000000000001</v>
      </c>
      <c r="BV344"/>
      <c r="BW344" s="325">
        <v>17.02</v>
      </c>
      <c r="BX344"/>
      <c r="BY344">
        <v>6.7609999999999957</v>
      </c>
      <c r="BZ344"/>
      <c r="CA344"/>
      <c r="CB344" s="136"/>
      <c r="CC344">
        <v>7.02</v>
      </c>
      <c r="CD344"/>
      <c r="CE344"/>
      <c r="CF344"/>
      <c r="CG344"/>
      <c r="CH344"/>
      <c r="CI344"/>
      <c r="CJ344"/>
      <c r="CK344"/>
      <c r="CL344"/>
      <c r="CM344"/>
    </row>
    <row r="345" spans="1:91" s="338" customFormat="1">
      <c r="A345" s="154" t="s">
        <v>7682</v>
      </c>
      <c r="B345" t="s">
        <v>8287</v>
      </c>
      <c r="C345">
        <v>2</v>
      </c>
      <c r="D345">
        <v>1271</v>
      </c>
      <c r="E345" s="113">
        <v>71</v>
      </c>
      <c r="F345" s="113">
        <v>12</v>
      </c>
      <c r="G345" s="113"/>
      <c r="H345" s="113"/>
      <c r="I345">
        <v>28.999999999999996</v>
      </c>
      <c r="J345" s="112"/>
      <c r="K345" s="320">
        <v>9</v>
      </c>
      <c r="L345" s="320"/>
      <c r="M345">
        <v>3.12</v>
      </c>
      <c r="N345" s="320"/>
      <c r="O345"/>
      <c r="P345"/>
      <c r="Q345"/>
      <c r="R345" s="153"/>
      <c r="S345" s="320">
        <v>14.167093672200002</v>
      </c>
      <c r="T345" s="320"/>
      <c r="U345">
        <v>10.8</v>
      </c>
      <c r="V345"/>
      <c r="W345"/>
      <c r="X345"/>
      <c r="Y345" s="321">
        <v>5.0404704000000002</v>
      </c>
      <c r="Z345" s="320"/>
      <c r="AA345" s="322">
        <v>63880.59701492537</v>
      </c>
      <c r="AB345" s="320"/>
      <c r="AC345" s="321">
        <v>28.057540000000003</v>
      </c>
      <c r="AD345" s="320"/>
      <c r="AE345" s="320">
        <v>29.96</v>
      </c>
      <c r="AF345" s="320"/>
      <c r="AG345">
        <v>4.6900000000000004</v>
      </c>
      <c r="AH345"/>
      <c r="AI345">
        <v>125</v>
      </c>
      <c r="AJ345"/>
      <c r="AK345"/>
      <c r="AL345"/>
      <c r="AM345"/>
      <c r="AN345"/>
      <c r="AO345">
        <v>85</v>
      </c>
      <c r="AP345"/>
      <c r="AQ345" s="323"/>
      <c r="AR345" s="323"/>
      <c r="AS345">
        <v>114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>
        <v>1.2302</v>
      </c>
      <c r="BH345"/>
      <c r="BI345">
        <v>4.8800999999999997</v>
      </c>
      <c r="BJ345"/>
      <c r="BK345">
        <v>1.3809</v>
      </c>
      <c r="BL345"/>
      <c r="BM345">
        <v>64.741</v>
      </c>
      <c r="BN345"/>
      <c r="BO345">
        <v>20.847999999999999</v>
      </c>
      <c r="BP345"/>
      <c r="BQ345">
        <v>9.5485000000000007</v>
      </c>
      <c r="BR345"/>
      <c r="BS345">
        <v>50.493000000000002</v>
      </c>
      <c r="BT345"/>
      <c r="BU345">
        <v>17.271999999999998</v>
      </c>
      <c r="BV345"/>
      <c r="BW345" s="325">
        <v>25.08</v>
      </c>
      <c r="BX345"/>
      <c r="BY345">
        <v>6.7780000000000058</v>
      </c>
      <c r="BZ345"/>
      <c r="CA345"/>
      <c r="CB345" s="136"/>
      <c r="CC345">
        <v>5.64</v>
      </c>
      <c r="CD345"/>
      <c r="CE345"/>
      <c r="CF345"/>
      <c r="CG345"/>
      <c r="CH345"/>
      <c r="CI345"/>
      <c r="CJ345"/>
      <c r="CK345"/>
      <c r="CL345"/>
      <c r="CM345"/>
    </row>
    <row r="346" spans="1:91" s="338" customFormat="1">
      <c r="A346" s="327" t="s">
        <v>7683</v>
      </c>
      <c r="B346" s="328" t="s">
        <v>8287</v>
      </c>
      <c r="C346" s="328">
        <v>1</v>
      </c>
      <c r="D346" s="328">
        <v>823</v>
      </c>
      <c r="E346" s="113">
        <v>23</v>
      </c>
      <c r="F346" s="113">
        <v>8</v>
      </c>
      <c r="G346" s="329"/>
      <c r="H346" s="329"/>
      <c r="I346" s="328">
        <v>28.999999999999996</v>
      </c>
      <c r="J346" s="330"/>
      <c r="K346" s="331">
        <v>7</v>
      </c>
      <c r="L346" s="331"/>
      <c r="M346" s="328">
        <v>2.0299999999999998</v>
      </c>
      <c r="N346" s="331"/>
      <c r="O346" s="328"/>
      <c r="P346" s="328"/>
      <c r="Q346" s="328"/>
      <c r="R346" s="332"/>
      <c r="S346" s="331">
        <v>9.562513656150001</v>
      </c>
      <c r="T346" s="331"/>
      <c r="U346" s="328">
        <v>10.8</v>
      </c>
      <c r="V346" s="328"/>
      <c r="W346" s="328"/>
      <c r="X346" s="328"/>
      <c r="Y346" s="333">
        <v>3.3903414999999999</v>
      </c>
      <c r="Z346" s="331"/>
      <c r="AA346" s="334">
        <v>43868.778280542989</v>
      </c>
      <c r="AB346" s="331"/>
      <c r="AC346" s="333">
        <v>18.162419100000001</v>
      </c>
      <c r="AD346" s="331"/>
      <c r="AE346" s="331">
        <v>19.39</v>
      </c>
      <c r="AF346" s="331"/>
      <c r="AG346" s="328">
        <v>4.42</v>
      </c>
      <c r="AH346" s="328"/>
      <c r="AI346" s="328">
        <v>110</v>
      </c>
      <c r="AJ346" s="328"/>
      <c r="AK346" s="328"/>
      <c r="AL346" s="328"/>
      <c r="AM346" s="328"/>
      <c r="AN346" s="328"/>
      <c r="AO346" s="328">
        <v>82</v>
      </c>
      <c r="AP346" s="328"/>
      <c r="AQ346" s="335"/>
      <c r="AR346" s="335"/>
      <c r="AS346" s="328">
        <v>112</v>
      </c>
      <c r="AT346" s="328"/>
      <c r="AU346" s="328"/>
      <c r="AV346" s="328"/>
      <c r="AW346" s="328"/>
      <c r="AX346" s="328"/>
      <c r="AY346" s="328"/>
      <c r="AZ346" s="328"/>
      <c r="BA346" s="328"/>
      <c r="BB346" s="328"/>
      <c r="BC346" s="328"/>
      <c r="BD346" s="328"/>
      <c r="BE346" s="328"/>
      <c r="BF346" s="328"/>
      <c r="BG346" s="328">
        <v>3.3624999999999998</v>
      </c>
      <c r="BH346" s="328"/>
      <c r="BI346" s="328">
        <v>4.6483999999999996</v>
      </c>
      <c r="BJ346" s="328"/>
      <c r="BK346" s="328">
        <v>1.4283999999999999</v>
      </c>
      <c r="BL346" s="328"/>
      <c r="BM346" s="328">
        <v>57.311999999999998</v>
      </c>
      <c r="BN346" s="328"/>
      <c r="BO346" s="328">
        <v>19.146999999999998</v>
      </c>
      <c r="BP346" s="328"/>
      <c r="BQ346" s="328">
        <v>9.9934999999999992</v>
      </c>
      <c r="BR346" s="328"/>
      <c r="BS346" s="328">
        <v>52.65</v>
      </c>
      <c r="BT346" s="328"/>
      <c r="BU346" s="328">
        <v>16.356999999999999</v>
      </c>
      <c r="BV346" s="328"/>
      <c r="BW346" s="336">
        <v>9.27</v>
      </c>
      <c r="BX346" s="328"/>
      <c r="BY346" s="328">
        <v>5.929000000000002</v>
      </c>
      <c r="BZ346" s="328"/>
      <c r="CA346" s="328"/>
      <c r="CB346" s="337"/>
      <c r="CC346" s="328">
        <v>6.13</v>
      </c>
      <c r="CD346" s="328"/>
      <c r="CE346" s="328"/>
      <c r="CF346" s="328"/>
      <c r="CG346" s="328"/>
      <c r="CH346" s="328"/>
      <c r="CI346" s="328"/>
      <c r="CJ346" s="328"/>
      <c r="CK346" s="328" t="s">
        <v>8377</v>
      </c>
      <c r="CL346" s="328"/>
      <c r="CM346" s="328"/>
    </row>
    <row r="347" spans="1:91" s="338" customFormat="1">
      <c r="A347" s="327" t="s">
        <v>7683</v>
      </c>
      <c r="B347" s="328" t="s">
        <v>8289</v>
      </c>
      <c r="C347" s="328">
        <v>2</v>
      </c>
      <c r="D347" s="328">
        <v>862</v>
      </c>
      <c r="E347" s="113">
        <v>62</v>
      </c>
      <c r="F347" s="113">
        <v>8</v>
      </c>
      <c r="G347" s="329"/>
      <c r="H347" s="329"/>
      <c r="I347" s="328">
        <v>32</v>
      </c>
      <c r="J347" s="330"/>
      <c r="K347" s="331">
        <v>8</v>
      </c>
      <c r="L347" s="331"/>
      <c r="M347" s="328">
        <v>2.23</v>
      </c>
      <c r="N347" s="331"/>
      <c r="O347" s="328"/>
      <c r="P347" s="328"/>
      <c r="Q347" s="328"/>
      <c r="R347" s="332"/>
      <c r="S347" s="331">
        <v>8.599239399167999</v>
      </c>
      <c r="T347" s="331"/>
      <c r="U347" s="328">
        <v>10.8</v>
      </c>
      <c r="V347" s="328"/>
      <c r="W347" s="328"/>
      <c r="X347" s="328"/>
      <c r="Y347" s="333">
        <v>4.4921356000000001</v>
      </c>
      <c r="Z347" s="331"/>
      <c r="AA347" s="334">
        <v>43180.873180873183</v>
      </c>
      <c r="AB347" s="331"/>
      <c r="AC347" s="333">
        <v>19.301145599999998</v>
      </c>
      <c r="AD347" s="331"/>
      <c r="AE347" s="331">
        <v>20.77</v>
      </c>
      <c r="AF347" s="331"/>
      <c r="AG347" s="328">
        <v>4.8099999999999996</v>
      </c>
      <c r="AH347" s="328"/>
      <c r="AI347" s="328">
        <v>108</v>
      </c>
      <c r="AJ347" s="328"/>
      <c r="AK347" s="328"/>
      <c r="AL347" s="328"/>
      <c r="AM347" s="328"/>
      <c r="AN347" s="328"/>
      <c r="AO347" s="328">
        <v>72</v>
      </c>
      <c r="AP347" s="328"/>
      <c r="AQ347" s="335"/>
      <c r="AR347" s="335"/>
      <c r="AS347" s="328">
        <v>112</v>
      </c>
      <c r="AT347" s="328"/>
      <c r="AU347" s="328"/>
      <c r="AV347" s="328"/>
      <c r="AW347" s="328"/>
      <c r="AX347" s="328"/>
      <c r="AY347" s="328"/>
      <c r="AZ347" s="328"/>
      <c r="BA347" s="328"/>
      <c r="BB347" s="328"/>
      <c r="BC347" s="328"/>
      <c r="BD347" s="328"/>
      <c r="BE347" s="328"/>
      <c r="BF347" s="328"/>
      <c r="BG347" s="328">
        <v>-0.35427999999999998</v>
      </c>
      <c r="BH347" s="328"/>
      <c r="BI347" s="328">
        <v>5.1463000000000001</v>
      </c>
      <c r="BJ347" s="328"/>
      <c r="BK347" s="328">
        <v>1.5784</v>
      </c>
      <c r="BL347" s="328"/>
      <c r="BM347" s="328">
        <v>59.780999999999999</v>
      </c>
      <c r="BN347" s="328"/>
      <c r="BO347" s="328">
        <v>19.568000000000001</v>
      </c>
      <c r="BP347" s="328"/>
      <c r="BQ347" s="328">
        <v>10.167999999999999</v>
      </c>
      <c r="BR347" s="328"/>
      <c r="BS347" s="328">
        <v>44.552999999999997</v>
      </c>
      <c r="BT347" s="328"/>
      <c r="BU347" s="328">
        <v>20.294</v>
      </c>
      <c r="BV347" s="328"/>
      <c r="BW347" s="336">
        <v>5.31</v>
      </c>
      <c r="BX347" s="328"/>
      <c r="BY347" s="328">
        <v>7.1560000000000059</v>
      </c>
      <c r="BZ347" s="328"/>
      <c r="CA347" s="328"/>
      <c r="CB347" s="337"/>
      <c r="CC347" s="328">
        <v>8.4600000000000009</v>
      </c>
      <c r="CD347" s="328"/>
      <c r="CE347" s="328"/>
      <c r="CF347" s="328"/>
      <c r="CG347" s="328"/>
      <c r="CH347" s="328"/>
      <c r="CI347" s="328"/>
      <c r="CJ347" s="328"/>
      <c r="CK347" s="328" t="s">
        <v>8377</v>
      </c>
      <c r="CL347" s="328"/>
      <c r="CM347" s="328"/>
    </row>
    <row r="348" spans="1:91" s="338" customFormat="1">
      <c r="A348" s="154" t="s">
        <v>7683</v>
      </c>
      <c r="B348" t="s">
        <v>8287</v>
      </c>
      <c r="C348">
        <v>2</v>
      </c>
      <c r="D348">
        <v>1258</v>
      </c>
      <c r="E348" s="113">
        <v>58</v>
      </c>
      <c r="F348" s="113">
        <v>12</v>
      </c>
      <c r="G348" s="113"/>
      <c r="H348" s="113"/>
      <c r="I348">
        <v>34.5</v>
      </c>
      <c r="J348" s="112"/>
      <c r="K348" s="320">
        <v>9</v>
      </c>
      <c r="L348" s="320"/>
      <c r="M348">
        <v>3.23</v>
      </c>
      <c r="N348" s="320"/>
      <c r="O348"/>
      <c r="P348"/>
      <c r="Q348"/>
      <c r="R348" s="153"/>
      <c r="S348" s="320">
        <v>14.652800106966</v>
      </c>
      <c r="T348" s="320"/>
      <c r="U348">
        <v>10.8</v>
      </c>
      <c r="V348"/>
      <c r="W348"/>
      <c r="X348"/>
      <c r="Y348" s="321">
        <v>5.0213484000000008</v>
      </c>
      <c r="Z348" s="320"/>
      <c r="AA348" s="322">
        <v>80053.050397877974</v>
      </c>
      <c r="AB348" s="320"/>
      <c r="AC348" s="321">
        <v>28.123836599999997</v>
      </c>
      <c r="AD348" s="320"/>
      <c r="AE348" s="320">
        <v>30.18</v>
      </c>
      <c r="AF348" s="320"/>
      <c r="AG348">
        <v>3.77</v>
      </c>
      <c r="AH348"/>
      <c r="AI348">
        <v>133</v>
      </c>
      <c r="AJ348"/>
      <c r="AK348"/>
      <c r="AL348"/>
      <c r="AM348"/>
      <c r="AN348"/>
      <c r="AO348">
        <v>77</v>
      </c>
      <c r="AP348"/>
      <c r="AQ348" s="323"/>
      <c r="AR348" s="323"/>
      <c r="AS348">
        <v>112</v>
      </c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>
        <v>-1.0125999999999999</v>
      </c>
      <c r="BH348"/>
      <c r="BI348">
        <v>4.6384999999999996</v>
      </c>
      <c r="BJ348"/>
      <c r="BK348">
        <v>1.4072</v>
      </c>
      <c r="BL348"/>
      <c r="BM348">
        <v>65.454999999999998</v>
      </c>
      <c r="BN348"/>
      <c r="BO348">
        <v>20.37</v>
      </c>
      <c r="BP348"/>
      <c r="BQ348">
        <v>9.5283999999999995</v>
      </c>
      <c r="BR348"/>
      <c r="BS348">
        <v>52.100999999999999</v>
      </c>
      <c r="BT348"/>
      <c r="BU348">
        <v>16.231000000000002</v>
      </c>
      <c r="BV348"/>
      <c r="BW348" s="325">
        <v>11.29</v>
      </c>
      <c r="BX348"/>
      <c r="BY348">
        <v>6.453000000000003</v>
      </c>
      <c r="BZ348"/>
      <c r="CA348"/>
      <c r="CB348" s="136"/>
      <c r="CC348">
        <v>8.17</v>
      </c>
      <c r="CD348"/>
      <c r="CE348"/>
      <c r="CF348"/>
      <c r="CG348"/>
      <c r="CH348"/>
      <c r="CI348"/>
      <c r="CJ348"/>
      <c r="CK348"/>
      <c r="CL348"/>
      <c r="CM348"/>
    </row>
    <row r="349" spans="1:91" s="338" customFormat="1">
      <c r="A349" s="154" t="s">
        <v>7683</v>
      </c>
      <c r="B349" t="s">
        <v>8289</v>
      </c>
      <c r="C349">
        <v>1</v>
      </c>
      <c r="D349">
        <v>1532</v>
      </c>
      <c r="E349" s="113">
        <v>32</v>
      </c>
      <c r="F349" s="113">
        <v>15</v>
      </c>
      <c r="G349" s="113"/>
      <c r="H349" s="113"/>
      <c r="I349">
        <v>32.999999999999993</v>
      </c>
      <c r="J349" s="112"/>
      <c r="K349" s="320">
        <v>8</v>
      </c>
      <c r="L349" s="320"/>
      <c r="M349">
        <v>2.6</v>
      </c>
      <c r="N349" s="320"/>
      <c r="O349"/>
      <c r="P349"/>
      <c r="Q349"/>
      <c r="R349" s="153"/>
      <c r="S349" s="320">
        <v>10.975057672062</v>
      </c>
      <c r="T349" s="320"/>
      <c r="U349">
        <v>10.8</v>
      </c>
      <c r="V349"/>
      <c r="W349"/>
      <c r="X349"/>
      <c r="Y349" s="321">
        <v>5.1228276000000008</v>
      </c>
      <c r="Z349" s="320"/>
      <c r="AA349" s="322">
        <v>59560.975609756104</v>
      </c>
      <c r="AB349" s="320"/>
      <c r="AC349" s="321">
        <v>22.677144600000002</v>
      </c>
      <c r="AD349" s="320"/>
      <c r="AE349" s="320">
        <v>24.42</v>
      </c>
      <c r="AF349" s="320"/>
      <c r="AG349">
        <v>4.0999999999999996</v>
      </c>
      <c r="AH349"/>
      <c r="AI349">
        <v>118</v>
      </c>
      <c r="AJ349"/>
      <c r="AK349"/>
      <c r="AL349"/>
      <c r="AM349"/>
      <c r="AN349"/>
      <c r="AO349">
        <v>77</v>
      </c>
      <c r="AP349"/>
      <c r="AQ349" s="323"/>
      <c r="AR349" s="323"/>
      <c r="AS349">
        <v>112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>
        <v>-2.5983000000000001</v>
      </c>
      <c r="BH349"/>
      <c r="BI349">
        <v>4.8792</v>
      </c>
      <c r="BJ349"/>
      <c r="BK349">
        <v>1.4359</v>
      </c>
      <c r="BL349"/>
      <c r="BM349">
        <v>62.598999999999997</v>
      </c>
      <c r="BN349"/>
      <c r="BO349">
        <v>20.658999999999999</v>
      </c>
      <c r="BP349"/>
      <c r="BQ349">
        <v>9.4728999999999992</v>
      </c>
      <c r="BR349"/>
      <c r="BS349">
        <v>48.396999999999998</v>
      </c>
      <c r="BT349"/>
      <c r="BU349">
        <v>18.699000000000002</v>
      </c>
      <c r="BV349"/>
      <c r="BW349" s="325">
        <v>4.21</v>
      </c>
      <c r="BX349"/>
      <c r="BY349">
        <v>6.554000000000002</v>
      </c>
      <c r="BZ349"/>
      <c r="CA349"/>
      <c r="CB349" s="136"/>
      <c r="CC349">
        <v>7.69</v>
      </c>
      <c r="CD349"/>
      <c r="CE349"/>
      <c r="CF349"/>
      <c r="CG349"/>
      <c r="CH349"/>
      <c r="CI349"/>
      <c r="CJ349"/>
      <c r="CK349"/>
      <c r="CL349"/>
      <c r="CM349"/>
    </row>
    <row r="350" spans="1:91" s="338" customFormat="1">
      <c r="A350" s="154" t="s">
        <v>7684</v>
      </c>
      <c r="B350" t="s">
        <v>8287</v>
      </c>
      <c r="C350">
        <v>1</v>
      </c>
      <c r="D350">
        <v>305</v>
      </c>
      <c r="E350" s="113">
        <v>5</v>
      </c>
      <c r="F350" s="113">
        <v>3</v>
      </c>
      <c r="G350" s="113"/>
      <c r="H350" s="113"/>
      <c r="I350">
        <v>32.5</v>
      </c>
      <c r="J350" s="112"/>
      <c r="K350" s="320">
        <v>9</v>
      </c>
      <c r="L350" s="320"/>
      <c r="M350">
        <v>3.84</v>
      </c>
      <c r="N350" s="320"/>
      <c r="O350"/>
      <c r="P350"/>
      <c r="Q350"/>
      <c r="R350" s="153"/>
      <c r="S350" s="320">
        <v>17.259861260096002</v>
      </c>
      <c r="T350" s="320"/>
      <c r="U350">
        <v>10.8</v>
      </c>
      <c r="V350"/>
      <c r="W350"/>
      <c r="X350"/>
      <c r="Y350" s="321">
        <v>6.3062343999999992</v>
      </c>
      <c r="Z350" s="320"/>
      <c r="AA350" s="322">
        <v>93503.836317135545</v>
      </c>
      <c r="AB350" s="320"/>
      <c r="AC350" s="321">
        <v>34.236246400000006</v>
      </c>
      <c r="AD350" s="320"/>
      <c r="AE350" s="320">
        <v>36.56</v>
      </c>
      <c r="AF350" s="320"/>
      <c r="AG350">
        <v>3.91</v>
      </c>
      <c r="AH350"/>
      <c r="AI350">
        <v>135</v>
      </c>
      <c r="AJ350"/>
      <c r="AK350"/>
      <c r="AL350"/>
      <c r="AM350"/>
      <c r="AN350"/>
      <c r="AO350">
        <v>72</v>
      </c>
      <c r="AP350"/>
      <c r="AQ350" s="323"/>
      <c r="AR350" s="323"/>
      <c r="AS350">
        <v>112</v>
      </c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>
        <v>-1.2512000000000001E-2</v>
      </c>
      <c r="BH350"/>
      <c r="BI350">
        <v>4.6097000000000001</v>
      </c>
      <c r="BJ350"/>
      <c r="BK350">
        <v>1.4401999999999999</v>
      </c>
      <c r="BL350"/>
      <c r="BM350">
        <v>61.073999999999998</v>
      </c>
      <c r="BN350"/>
      <c r="BO350">
        <v>20.521999999999998</v>
      </c>
      <c r="BP350"/>
      <c r="BQ350">
        <v>9.5168999999999997</v>
      </c>
      <c r="BR350"/>
      <c r="BS350">
        <v>50.414000000000001</v>
      </c>
      <c r="BT350"/>
      <c r="BU350">
        <v>18.03</v>
      </c>
      <c r="BV350"/>
      <c r="BW350" s="325">
        <v>6.8</v>
      </c>
      <c r="BX350"/>
      <c r="BY350">
        <v>6.2420000000000044</v>
      </c>
      <c r="BZ350"/>
      <c r="CA350"/>
      <c r="CB350" s="136"/>
      <c r="CC350">
        <v>6.42</v>
      </c>
      <c r="CD350"/>
      <c r="CE350"/>
      <c r="CF350"/>
      <c r="CG350"/>
      <c r="CH350"/>
      <c r="CI350"/>
      <c r="CJ350"/>
      <c r="CK350" t="str">
        <f>IF(F350=ET296*(B350="N+"),"submertion","")</f>
        <v/>
      </c>
      <c r="CL350"/>
      <c r="CM350"/>
    </row>
    <row r="351" spans="1:91" s="338" customFormat="1">
      <c r="A351" s="154" t="s">
        <v>7684</v>
      </c>
      <c r="B351" t="s">
        <v>8289</v>
      </c>
      <c r="C351">
        <v>2</v>
      </c>
      <c r="D351">
        <v>558</v>
      </c>
      <c r="E351" s="113">
        <v>58</v>
      </c>
      <c r="F351" s="113">
        <v>5</v>
      </c>
      <c r="G351" s="113"/>
      <c r="H351" s="113"/>
      <c r="I351">
        <v>37.5</v>
      </c>
      <c r="J351" s="112"/>
      <c r="K351" s="320">
        <v>7</v>
      </c>
      <c r="L351" s="320"/>
      <c r="M351">
        <v>3.37</v>
      </c>
      <c r="N351" s="320"/>
      <c r="O351"/>
      <c r="P351"/>
      <c r="Q351"/>
      <c r="R351" s="153"/>
      <c r="S351" s="320">
        <v>12.791717285760001</v>
      </c>
      <c r="T351" s="320"/>
      <c r="U351">
        <v>10.8</v>
      </c>
      <c r="V351"/>
      <c r="W351"/>
      <c r="X351"/>
      <c r="Y351" s="321">
        <v>7.0290080000000001</v>
      </c>
      <c r="Z351" s="320"/>
      <c r="AA351" s="322">
        <v>83665.768194070086</v>
      </c>
      <c r="AB351" s="320"/>
      <c r="AC351" s="321">
        <v>28.876511999999998</v>
      </c>
      <c r="AD351" s="320"/>
      <c r="AE351" s="320">
        <v>31.04</v>
      </c>
      <c r="AF351" s="320"/>
      <c r="AG351">
        <v>3.71</v>
      </c>
      <c r="AH351"/>
      <c r="AI351">
        <v>120</v>
      </c>
      <c r="AJ351"/>
      <c r="AK351"/>
      <c r="AL351"/>
      <c r="AM351"/>
      <c r="AN351"/>
      <c r="AO351">
        <v>74</v>
      </c>
      <c r="AP351"/>
      <c r="AQ351" s="323"/>
      <c r="AR351" s="323"/>
      <c r="AS351">
        <v>112</v>
      </c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>
        <v>-5.9843000000000002</v>
      </c>
      <c r="BH351"/>
      <c r="BI351">
        <v>5.0556999999999999</v>
      </c>
      <c r="BJ351"/>
      <c r="BK351">
        <v>1.6213</v>
      </c>
      <c r="BL351"/>
      <c r="BM351">
        <v>61.218000000000004</v>
      </c>
      <c r="BN351"/>
      <c r="BO351">
        <v>20.417000000000002</v>
      </c>
      <c r="BP351"/>
      <c r="BQ351">
        <v>8.2561</v>
      </c>
      <c r="BR351"/>
      <c r="BS351">
        <v>44.298000000000002</v>
      </c>
      <c r="BT351"/>
      <c r="BU351">
        <v>19.588999999999999</v>
      </c>
      <c r="BV351"/>
      <c r="BW351" s="325">
        <v>5.87</v>
      </c>
      <c r="BX351"/>
      <c r="BY351">
        <v>7.269999999999996</v>
      </c>
      <c r="BZ351"/>
      <c r="CA351"/>
      <c r="CB351" s="136"/>
      <c r="CC351">
        <v>9.4700000000000006</v>
      </c>
      <c r="CD351"/>
      <c r="CE351"/>
      <c r="CF351"/>
      <c r="CG351"/>
      <c r="CH351"/>
      <c r="CI351"/>
      <c r="CJ351"/>
      <c r="CK351"/>
      <c r="CL351"/>
      <c r="CM351"/>
    </row>
    <row r="352" spans="1:91" s="338" customFormat="1">
      <c r="A352" s="154" t="s">
        <v>7684</v>
      </c>
      <c r="B352" t="s">
        <v>8287</v>
      </c>
      <c r="C352">
        <v>2</v>
      </c>
      <c r="D352">
        <v>1176</v>
      </c>
      <c r="E352" s="113">
        <v>76</v>
      </c>
      <c r="F352" s="113">
        <v>11</v>
      </c>
      <c r="G352" s="113"/>
      <c r="H352" s="113"/>
      <c r="I352">
        <v>35</v>
      </c>
      <c r="J352" s="112"/>
      <c r="K352" s="320">
        <v>9</v>
      </c>
      <c r="L352" s="320"/>
      <c r="M352">
        <v>3.41</v>
      </c>
      <c r="N352" s="320"/>
      <c r="O352"/>
      <c r="P352"/>
      <c r="Q352"/>
      <c r="R352" s="153"/>
      <c r="S352" s="320">
        <v>15.547094628155998</v>
      </c>
      <c r="T352" s="320"/>
      <c r="U352">
        <v>10.8</v>
      </c>
      <c r="V352"/>
      <c r="W352"/>
      <c r="X352"/>
      <c r="Y352" s="321">
        <v>6.2791092000000006</v>
      </c>
      <c r="Z352" s="320"/>
      <c r="AA352" s="322">
        <v>90247.933884297512</v>
      </c>
      <c r="AB352" s="320"/>
      <c r="AC352" s="321">
        <v>30.7966932</v>
      </c>
      <c r="AD352" s="320"/>
      <c r="AE352" s="320">
        <v>32.76</v>
      </c>
      <c r="AF352" s="320"/>
      <c r="AG352">
        <v>3.63</v>
      </c>
      <c r="AH352"/>
      <c r="AI352">
        <v>130</v>
      </c>
      <c r="AJ352"/>
      <c r="AK352"/>
      <c r="AL352"/>
      <c r="AM352"/>
      <c r="AN352"/>
      <c r="AO352">
        <v>72</v>
      </c>
      <c r="AP352"/>
      <c r="AQ352" s="323"/>
      <c r="AR352" s="323"/>
      <c r="AS352">
        <v>112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>
        <v>-0.94135000000000002</v>
      </c>
      <c r="BH352"/>
      <c r="BI352">
        <v>4.7430000000000003</v>
      </c>
      <c r="BJ352"/>
      <c r="BK352">
        <v>1.5007999999999999</v>
      </c>
      <c r="BL352"/>
      <c r="BM352">
        <v>61.877000000000002</v>
      </c>
      <c r="BN352"/>
      <c r="BO352">
        <v>20.542000000000002</v>
      </c>
      <c r="BP352"/>
      <c r="BQ352">
        <v>9.0312000000000001</v>
      </c>
      <c r="BR352"/>
      <c r="BS352">
        <v>50.482999999999997</v>
      </c>
      <c r="BT352"/>
      <c r="BU352">
        <v>17.003</v>
      </c>
      <c r="BV352"/>
      <c r="BW352" s="325">
        <v>3.83</v>
      </c>
      <c r="BX352"/>
      <c r="BY352">
        <v>6.695999999999998</v>
      </c>
      <c r="BZ352"/>
      <c r="CA352"/>
      <c r="CB352" s="136"/>
      <c r="CC352">
        <v>5.57</v>
      </c>
      <c r="CD352"/>
      <c r="CE352"/>
      <c r="CF352"/>
      <c r="CG352"/>
      <c r="CH352"/>
      <c r="CI352"/>
      <c r="CJ352"/>
      <c r="CK352"/>
      <c r="CL352"/>
      <c r="CM352"/>
    </row>
    <row r="353" spans="1:91" s="338" customFormat="1">
      <c r="A353" s="154" t="s">
        <v>7684</v>
      </c>
      <c r="B353" t="s">
        <v>8289</v>
      </c>
      <c r="C353">
        <v>1</v>
      </c>
      <c r="D353">
        <v>1118</v>
      </c>
      <c r="E353" s="113">
        <v>18</v>
      </c>
      <c r="F353" s="113">
        <v>11</v>
      </c>
      <c r="G353" s="113"/>
      <c r="H353" s="113"/>
      <c r="I353">
        <v>24.5</v>
      </c>
      <c r="J353" s="112"/>
      <c r="K353" s="320">
        <v>9</v>
      </c>
      <c r="L353" s="320"/>
      <c r="M353">
        <v>3.68</v>
      </c>
      <c r="N353" s="320"/>
      <c r="O353"/>
      <c r="P353"/>
      <c r="Q353"/>
      <c r="R353" s="153"/>
      <c r="S353" s="320">
        <v>16.097986612775998</v>
      </c>
      <c r="T353" s="320"/>
      <c r="U353">
        <v>10.8</v>
      </c>
      <c r="V353"/>
      <c r="W353"/>
      <c r="X353"/>
      <c r="Y353" s="321">
        <v>7.484860799999999</v>
      </c>
      <c r="Z353" s="320"/>
      <c r="AA353" s="322">
        <v>98212.290502793287</v>
      </c>
      <c r="AB353" s="320"/>
      <c r="AC353" s="321">
        <v>32.8651068</v>
      </c>
      <c r="AD353" s="320"/>
      <c r="AE353" s="320">
        <v>35.159999999999997</v>
      </c>
      <c r="AF353" s="320"/>
      <c r="AG353">
        <v>3.58</v>
      </c>
      <c r="AH353"/>
      <c r="AI353">
        <v>130</v>
      </c>
      <c r="AJ353"/>
      <c r="AK353"/>
      <c r="AL353"/>
      <c r="AM353"/>
      <c r="AN353"/>
      <c r="AO353">
        <v>72</v>
      </c>
      <c r="AP353"/>
      <c r="AQ353" s="323"/>
      <c r="AR353" s="323"/>
      <c r="AS353">
        <v>112</v>
      </c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>
        <v>3.3203</v>
      </c>
      <c r="BH353"/>
      <c r="BI353">
        <v>4.4833999999999996</v>
      </c>
      <c r="BJ353"/>
      <c r="BK353">
        <v>1.4984</v>
      </c>
      <c r="BL353"/>
      <c r="BM353">
        <v>59.295999999999999</v>
      </c>
      <c r="BN353"/>
      <c r="BO353">
        <v>20.77</v>
      </c>
      <c r="BP353"/>
      <c r="BQ353">
        <v>9.8286999999999995</v>
      </c>
      <c r="BR353"/>
      <c r="BS353">
        <v>48.981999999999999</v>
      </c>
      <c r="BT353"/>
      <c r="BU353">
        <v>18.722000000000001</v>
      </c>
      <c r="BV353"/>
      <c r="BW353" s="325">
        <v>10.77</v>
      </c>
      <c r="BX353"/>
      <c r="BY353">
        <v>6.3780000000000001</v>
      </c>
      <c r="BZ353"/>
      <c r="CA353"/>
      <c r="CB353" s="136"/>
      <c r="CC353">
        <v>6.09</v>
      </c>
      <c r="CD353"/>
      <c r="CE353"/>
      <c r="CF353"/>
      <c r="CG353"/>
      <c r="CH353"/>
      <c r="CI353"/>
      <c r="CJ353"/>
      <c r="CK353"/>
      <c r="CL353"/>
      <c r="CM353"/>
    </row>
    <row r="354" spans="1:91" s="338" customFormat="1">
      <c r="A354" s="154" t="s">
        <v>7685</v>
      </c>
      <c r="B354" t="s">
        <v>8287</v>
      </c>
      <c r="C354">
        <v>1</v>
      </c>
      <c r="D354">
        <v>217</v>
      </c>
      <c r="E354" s="113">
        <v>17</v>
      </c>
      <c r="F354" s="113">
        <v>2</v>
      </c>
      <c r="G354" s="113"/>
      <c r="H354" s="113"/>
      <c r="I354">
        <v>32.999999999999993</v>
      </c>
      <c r="J354" s="112"/>
      <c r="K354" s="320">
        <v>9</v>
      </c>
      <c r="L354" s="320"/>
      <c r="M354">
        <v>3.14</v>
      </c>
      <c r="N354" s="320"/>
      <c r="O354"/>
      <c r="P354"/>
      <c r="Q354"/>
      <c r="R354" s="153"/>
      <c r="S354" s="320">
        <v>14.551196573664001</v>
      </c>
      <c r="T354" s="320"/>
      <c r="U354">
        <v>10.8</v>
      </c>
      <c r="V354"/>
      <c r="W354"/>
      <c r="X354"/>
      <c r="Y354" s="321">
        <v>5.5642301999999999</v>
      </c>
      <c r="Z354" s="320"/>
      <c r="AA354" s="322">
        <v>66452.328159645229</v>
      </c>
      <c r="AB354" s="320"/>
      <c r="AC354" s="321">
        <v>28.065106800000002</v>
      </c>
      <c r="AD354" s="320"/>
      <c r="AE354" s="320">
        <v>29.97</v>
      </c>
      <c r="AF354" s="320"/>
      <c r="AG354">
        <v>4.51</v>
      </c>
      <c r="AH354"/>
      <c r="AI354">
        <v>148</v>
      </c>
      <c r="AJ354"/>
      <c r="AK354"/>
      <c r="AL354"/>
      <c r="AM354"/>
      <c r="AN354"/>
      <c r="AO354">
        <v>81</v>
      </c>
      <c r="AP354"/>
      <c r="AQ354" s="323"/>
      <c r="AR354" s="323"/>
      <c r="AS354">
        <v>118</v>
      </c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>
        <v>4.1791</v>
      </c>
      <c r="BH354"/>
      <c r="BI354">
        <v>4.6402999999999999</v>
      </c>
      <c r="BJ354"/>
      <c r="BK354">
        <v>1.4531000000000001</v>
      </c>
      <c r="BL354"/>
      <c r="BM354">
        <v>62.293999999999997</v>
      </c>
      <c r="BN354"/>
      <c r="BO354">
        <v>20.803000000000001</v>
      </c>
      <c r="BP354"/>
      <c r="BQ354">
        <v>11.058999999999999</v>
      </c>
      <c r="BR354"/>
      <c r="BS354">
        <v>51.847999999999999</v>
      </c>
      <c r="BT354"/>
      <c r="BU354">
        <v>17.652999999999999</v>
      </c>
      <c r="BV354"/>
      <c r="BW354" s="325">
        <v>6.93</v>
      </c>
      <c r="BX354"/>
      <c r="BY354">
        <v>6.0649999999999977</v>
      </c>
      <c r="BZ354"/>
      <c r="CA354"/>
      <c r="CB354" s="136"/>
      <c r="CC354">
        <v>6.19</v>
      </c>
      <c r="CD354"/>
      <c r="CE354"/>
      <c r="CF354"/>
      <c r="CG354"/>
      <c r="CH354"/>
      <c r="CI354"/>
      <c r="CJ354"/>
      <c r="CK354"/>
      <c r="CL354"/>
      <c r="CM354"/>
    </row>
    <row r="355" spans="1:91" s="338" customFormat="1">
      <c r="A355" s="154" t="s">
        <v>7685</v>
      </c>
      <c r="B355" t="s">
        <v>8289</v>
      </c>
      <c r="C355">
        <v>2</v>
      </c>
      <c r="D355">
        <v>553</v>
      </c>
      <c r="E355" s="113">
        <v>53</v>
      </c>
      <c r="F355" s="113">
        <v>5</v>
      </c>
      <c r="G355" s="113"/>
      <c r="H355" s="113"/>
      <c r="I355">
        <v>30.499999999999996</v>
      </c>
      <c r="J355" s="112"/>
      <c r="K355" s="320">
        <v>8</v>
      </c>
      <c r="L355" s="320"/>
      <c r="M355">
        <v>3.53</v>
      </c>
      <c r="N355" s="320"/>
      <c r="O355"/>
      <c r="P355"/>
      <c r="Q355"/>
      <c r="R355" s="153"/>
      <c r="S355" s="320">
        <v>15.784197283800001</v>
      </c>
      <c r="T355" s="320"/>
      <c r="U355">
        <v>10.8</v>
      </c>
      <c r="V355"/>
      <c r="W355"/>
      <c r="X355"/>
      <c r="Y355" s="321">
        <v>6.8671295000000008</v>
      </c>
      <c r="Z355" s="320"/>
      <c r="AA355" s="322">
        <v>75211.581291759474</v>
      </c>
      <c r="AB355" s="320"/>
      <c r="AC355" s="321">
        <v>31.505383800000001</v>
      </c>
      <c r="AD355" s="320"/>
      <c r="AE355" s="320">
        <v>33.770000000000003</v>
      </c>
      <c r="AF355" s="320"/>
      <c r="AG355">
        <v>4.49</v>
      </c>
      <c r="AH355"/>
      <c r="AI355">
        <v>130</v>
      </c>
      <c r="AJ355"/>
      <c r="AK355"/>
      <c r="AL355"/>
      <c r="AM355"/>
      <c r="AN355"/>
      <c r="AO355">
        <v>81</v>
      </c>
      <c r="AP355"/>
      <c r="AQ355" s="323"/>
      <c r="AR355" s="323"/>
      <c r="AS355">
        <v>118</v>
      </c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>
        <v>8.8254999999999999</v>
      </c>
      <c r="BH355"/>
      <c r="BI355">
        <v>4.5187999999999997</v>
      </c>
      <c r="BJ355"/>
      <c r="BK355">
        <v>1.4749000000000001</v>
      </c>
      <c r="BL355"/>
      <c r="BM355">
        <v>55.122</v>
      </c>
      <c r="BN355"/>
      <c r="BO355">
        <v>20.59</v>
      </c>
      <c r="BP355"/>
      <c r="BQ355">
        <v>11.03</v>
      </c>
      <c r="BR355"/>
      <c r="BS355">
        <v>50.1</v>
      </c>
      <c r="BT355"/>
      <c r="BU355">
        <v>18.413</v>
      </c>
      <c r="BV355"/>
      <c r="BW355" s="325">
        <v>5.85</v>
      </c>
      <c r="BX355"/>
      <c r="BY355">
        <v>6.3509999999999991</v>
      </c>
      <c r="BZ355"/>
      <c r="CA355"/>
      <c r="CB355" s="136"/>
      <c r="CC355">
        <v>5.99</v>
      </c>
      <c r="CD355"/>
      <c r="CE355"/>
      <c r="CF355"/>
      <c r="CG355"/>
      <c r="CH355"/>
      <c r="CI355"/>
      <c r="CJ355"/>
      <c r="CK355"/>
      <c r="CL355"/>
      <c r="CM355"/>
    </row>
    <row r="356" spans="1:91" s="338" customFormat="1">
      <c r="A356" s="154" t="s">
        <v>7685</v>
      </c>
      <c r="B356" t="s">
        <v>8289</v>
      </c>
      <c r="C356">
        <v>1</v>
      </c>
      <c r="D356">
        <v>1432</v>
      </c>
      <c r="E356" s="113">
        <v>32</v>
      </c>
      <c r="F356" s="113">
        <v>14</v>
      </c>
      <c r="G356" s="113"/>
      <c r="H356" s="113"/>
      <c r="I356">
        <v>23</v>
      </c>
      <c r="J356" s="112"/>
      <c r="K356" s="320">
        <v>9</v>
      </c>
      <c r="L356" s="320"/>
      <c r="M356">
        <v>3.84</v>
      </c>
      <c r="N356" s="320"/>
      <c r="O356"/>
      <c r="P356"/>
      <c r="Q356"/>
      <c r="R356" s="153"/>
      <c r="S356" s="320">
        <v>16.662643614036</v>
      </c>
      <c r="T356" s="320"/>
      <c r="U356">
        <v>10.8</v>
      </c>
      <c r="V356"/>
      <c r="W356"/>
      <c r="X356"/>
      <c r="Y356" s="321">
        <v>6.6573549000000005</v>
      </c>
      <c r="Z356" s="320"/>
      <c r="AA356" s="322">
        <v>88014.705882352937</v>
      </c>
      <c r="AB356" s="320"/>
      <c r="AC356" s="321">
        <v>33.705485099999997</v>
      </c>
      <c r="AD356" s="320"/>
      <c r="AE356" s="320">
        <v>35.909999999999997</v>
      </c>
      <c r="AF356" s="320"/>
      <c r="AG356">
        <v>4.08</v>
      </c>
      <c r="AH356"/>
      <c r="AI356">
        <v>133</v>
      </c>
      <c r="AJ356"/>
      <c r="AK356"/>
      <c r="AL356"/>
      <c r="AM356"/>
      <c r="AN356"/>
      <c r="AO356">
        <v>83</v>
      </c>
      <c r="AP356"/>
      <c r="AQ356" s="323"/>
      <c r="AR356" s="323"/>
      <c r="AS356">
        <v>118</v>
      </c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>
        <v>0.70567999999999997</v>
      </c>
      <c r="BH356"/>
      <c r="BI356">
        <v>4.2599</v>
      </c>
      <c r="BJ356"/>
      <c r="BK356">
        <v>1.4351</v>
      </c>
      <c r="BL356"/>
      <c r="BM356">
        <v>60.322000000000003</v>
      </c>
      <c r="BN356"/>
      <c r="BO356">
        <v>20.771000000000001</v>
      </c>
      <c r="BP356"/>
      <c r="BQ356">
        <v>11.430999999999999</v>
      </c>
      <c r="BR356"/>
      <c r="BS356">
        <v>49.436</v>
      </c>
      <c r="BT356"/>
      <c r="BU356">
        <v>19.204999999999998</v>
      </c>
      <c r="BV356"/>
      <c r="BW356" s="325">
        <v>11.25</v>
      </c>
      <c r="BX356"/>
      <c r="BY356">
        <v>6.2180000000000035</v>
      </c>
      <c r="BZ356"/>
      <c r="CA356"/>
      <c r="CB356" s="136"/>
      <c r="CC356">
        <v>8.1</v>
      </c>
      <c r="CD356"/>
      <c r="CE356"/>
      <c r="CF356"/>
      <c r="CG356"/>
      <c r="CH356"/>
      <c r="CI356"/>
      <c r="CJ356"/>
      <c r="CK356"/>
      <c r="CL356"/>
      <c r="CM356"/>
    </row>
    <row r="357" spans="1:91" s="338" customFormat="1">
      <c r="A357" s="154" t="s">
        <v>7685</v>
      </c>
      <c r="B357" t="s">
        <v>8287</v>
      </c>
      <c r="C357">
        <v>2</v>
      </c>
      <c r="D357">
        <v>1747</v>
      </c>
      <c r="E357" s="113">
        <v>47</v>
      </c>
      <c r="F357" s="113">
        <v>17</v>
      </c>
      <c r="G357" s="113"/>
      <c r="H357" s="113"/>
      <c r="I357">
        <v>26</v>
      </c>
      <c r="J357" s="112"/>
      <c r="K357" s="320">
        <v>9</v>
      </c>
      <c r="L357" s="320"/>
      <c r="M357">
        <v>2.77</v>
      </c>
      <c r="N357" s="320"/>
      <c r="O357"/>
      <c r="P357"/>
      <c r="Q357"/>
      <c r="R357" s="153"/>
      <c r="S357" s="320">
        <v>13.552931687039997</v>
      </c>
      <c r="T357" s="320"/>
      <c r="U357">
        <v>10.8</v>
      </c>
      <c r="V357"/>
      <c r="W357"/>
      <c r="X357"/>
      <c r="Y357" s="321">
        <v>4.8875894999999998</v>
      </c>
      <c r="Z357" s="320"/>
      <c r="AA357" s="322">
        <v>59662.921348314609</v>
      </c>
      <c r="AB357" s="320"/>
      <c r="AC357" s="321">
        <v>24.910271999999999</v>
      </c>
      <c r="AD357" s="320"/>
      <c r="AE357" s="320">
        <v>26.55</v>
      </c>
      <c r="AF357" s="320"/>
      <c r="AG357">
        <v>4.45</v>
      </c>
      <c r="AH357"/>
      <c r="AI357">
        <v>120</v>
      </c>
      <c r="AJ357"/>
      <c r="AK357"/>
      <c r="AL357"/>
      <c r="AM357"/>
      <c r="AN357"/>
      <c r="AO357">
        <v>82</v>
      </c>
      <c r="AP357"/>
      <c r="AQ357" s="323"/>
      <c r="AR357" s="323"/>
      <c r="AS357">
        <v>116</v>
      </c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>
        <v>1.3275999999999999</v>
      </c>
      <c r="BH357"/>
      <c r="BI357">
        <v>4.9797000000000002</v>
      </c>
      <c r="BJ357"/>
      <c r="BK357">
        <v>1.4717</v>
      </c>
      <c r="BL357"/>
      <c r="BM357">
        <v>67.323999999999998</v>
      </c>
      <c r="BN357"/>
      <c r="BO357">
        <v>20.295000000000002</v>
      </c>
      <c r="BP357"/>
      <c r="BQ357">
        <v>10.705</v>
      </c>
      <c r="BR357"/>
      <c r="BS357">
        <v>54.406999999999996</v>
      </c>
      <c r="BT357"/>
      <c r="BU357">
        <v>15.497999999999999</v>
      </c>
      <c r="BV357"/>
      <c r="BW357" s="325">
        <v>6.66</v>
      </c>
      <c r="BX357"/>
      <c r="BY357">
        <v>6.188999999999993</v>
      </c>
      <c r="BZ357"/>
      <c r="CA357"/>
      <c r="CB357" s="136"/>
      <c r="CC357">
        <v>5.8</v>
      </c>
      <c r="CD357"/>
      <c r="CE357"/>
      <c r="CF357"/>
      <c r="CG357"/>
      <c r="CH357"/>
      <c r="CI357"/>
      <c r="CJ357"/>
      <c r="CK357"/>
      <c r="CL357"/>
      <c r="CM357"/>
    </row>
    <row r="358" spans="1:91" s="338" customFormat="1">
      <c r="A358" s="154" t="s">
        <v>7686</v>
      </c>
      <c r="B358" t="s">
        <v>8289</v>
      </c>
      <c r="C358">
        <v>2</v>
      </c>
      <c r="D358">
        <v>271</v>
      </c>
      <c r="E358" s="113">
        <v>71</v>
      </c>
      <c r="F358" s="113">
        <v>2</v>
      </c>
      <c r="G358" s="113"/>
      <c r="H358" s="113"/>
      <c r="I358">
        <v>36.5</v>
      </c>
      <c r="J358" s="112"/>
      <c r="K358" s="320">
        <v>7</v>
      </c>
      <c r="L358" s="320"/>
      <c r="M358">
        <v>2.75</v>
      </c>
      <c r="N358" s="320"/>
      <c r="O358"/>
      <c r="P358"/>
      <c r="Q358"/>
      <c r="R358" s="153"/>
      <c r="S358" s="320">
        <v>10.377296878859999</v>
      </c>
      <c r="T358" s="320"/>
      <c r="U358">
        <v>10.8</v>
      </c>
      <c r="V358"/>
      <c r="W358"/>
      <c r="X358"/>
      <c r="Y358" s="321">
        <v>5.8137605999999993</v>
      </c>
      <c r="Z358" s="320"/>
      <c r="AA358" s="322">
        <v>55316.455696202524</v>
      </c>
      <c r="AB358" s="320"/>
      <c r="AC358" s="321">
        <v>24.5529324</v>
      </c>
      <c r="AD358" s="320"/>
      <c r="AE358" s="320">
        <v>26.22</v>
      </c>
      <c r="AF358" s="320"/>
      <c r="AG358">
        <v>4.74</v>
      </c>
      <c r="AH358"/>
      <c r="AI358">
        <v>123</v>
      </c>
      <c r="AJ358"/>
      <c r="AK358"/>
      <c r="AL358"/>
      <c r="AM358"/>
      <c r="AN358"/>
      <c r="AO358">
        <v>79</v>
      </c>
      <c r="AP358"/>
      <c r="AQ358" s="323"/>
      <c r="AR358" s="323"/>
      <c r="AS358">
        <v>116</v>
      </c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>
        <v>0.18501999999999999</v>
      </c>
      <c r="BH358"/>
      <c r="BI358">
        <v>5.0709</v>
      </c>
      <c r="BJ358"/>
      <c r="BK358">
        <v>1.7459</v>
      </c>
      <c r="BL358"/>
      <c r="BM358">
        <v>67.542000000000002</v>
      </c>
      <c r="BN358"/>
      <c r="BO358">
        <v>21.366</v>
      </c>
      <c r="BP358"/>
      <c r="BQ358">
        <v>8.0257000000000005</v>
      </c>
      <c r="BR358"/>
      <c r="BS358">
        <v>42.265000000000001</v>
      </c>
      <c r="BT358"/>
      <c r="BU358">
        <v>20.998999999999999</v>
      </c>
      <c r="BV358"/>
      <c r="BW358" s="325">
        <v>5.66</v>
      </c>
      <c r="BX358"/>
      <c r="BY358">
        <v>6.7540000000000049</v>
      </c>
      <c r="BZ358"/>
      <c r="CA358"/>
      <c r="CB358" s="136"/>
      <c r="CC358">
        <v>6.28</v>
      </c>
      <c r="CD358"/>
      <c r="CE358"/>
      <c r="CF358"/>
      <c r="CG358"/>
      <c r="CH358"/>
      <c r="CI358"/>
      <c r="CJ358"/>
      <c r="CK358"/>
      <c r="CL358"/>
      <c r="CM358"/>
    </row>
    <row r="359" spans="1:91" s="338" customFormat="1">
      <c r="A359" s="327" t="s">
        <v>7686</v>
      </c>
      <c r="B359" s="328" t="s">
        <v>8287</v>
      </c>
      <c r="C359" s="328">
        <v>1</v>
      </c>
      <c r="D359" s="328">
        <v>828</v>
      </c>
      <c r="E359" s="113">
        <v>28</v>
      </c>
      <c r="F359" s="113">
        <v>8</v>
      </c>
      <c r="G359" s="329"/>
      <c r="H359" s="329"/>
      <c r="I359" s="328">
        <v>28.5</v>
      </c>
      <c r="J359" s="330"/>
      <c r="K359" s="331">
        <v>7</v>
      </c>
      <c r="L359" s="331"/>
      <c r="M359" s="328">
        <v>2.64</v>
      </c>
      <c r="N359" s="331"/>
      <c r="O359" s="328"/>
      <c r="P359" s="328"/>
      <c r="Q359" s="328"/>
      <c r="R359" s="332"/>
      <c r="S359" s="331">
        <v>11.171989626715002</v>
      </c>
      <c r="T359" s="331"/>
      <c r="U359" s="328">
        <v>10.8</v>
      </c>
      <c r="V359" s="328"/>
      <c r="W359" s="328"/>
      <c r="X359" s="328"/>
      <c r="Y359" s="333">
        <v>4.0786249999999997</v>
      </c>
      <c r="Z359" s="331"/>
      <c r="AA359" s="334">
        <v>49092.741935483871</v>
      </c>
      <c r="AB359" s="331"/>
      <c r="AC359" s="333">
        <v>22.684703500000001</v>
      </c>
      <c r="AD359" s="331"/>
      <c r="AE359" s="331">
        <v>24.35</v>
      </c>
      <c r="AF359" s="331"/>
      <c r="AG359" s="328">
        <v>4.96</v>
      </c>
      <c r="AH359" s="328"/>
      <c r="AI359" s="328">
        <v>108</v>
      </c>
      <c r="AJ359" s="328"/>
      <c r="AK359" s="328"/>
      <c r="AL359" s="328"/>
      <c r="AM359" s="328"/>
      <c r="AN359" s="328"/>
      <c r="AO359" s="328">
        <v>79</v>
      </c>
      <c r="AP359" s="328"/>
      <c r="AQ359" s="335"/>
      <c r="AR359" s="335"/>
      <c r="AS359" s="328">
        <v>112</v>
      </c>
      <c r="AT359" s="328"/>
      <c r="AU359" s="328"/>
      <c r="AV359" s="328"/>
      <c r="AW359" s="328"/>
      <c r="AX359" s="328"/>
      <c r="AY359" s="328"/>
      <c r="AZ359" s="328"/>
      <c r="BA359" s="328"/>
      <c r="BB359" s="328"/>
      <c r="BC359" s="328"/>
      <c r="BD359" s="328"/>
      <c r="BE359" s="328"/>
      <c r="BF359" s="328"/>
      <c r="BG359" s="328">
        <v>2.2191000000000001</v>
      </c>
      <c r="BH359" s="328"/>
      <c r="BI359" s="328">
        <v>4.6790000000000003</v>
      </c>
      <c r="BJ359" s="328"/>
      <c r="BK359" s="328">
        <v>1.4748000000000001</v>
      </c>
      <c r="BL359" s="328"/>
      <c r="BM359" s="328">
        <v>64.256</v>
      </c>
      <c r="BN359" s="328"/>
      <c r="BO359" s="328">
        <v>20.071999999999999</v>
      </c>
      <c r="BP359" s="328"/>
      <c r="BQ359" s="328">
        <v>9.9013000000000009</v>
      </c>
      <c r="BR359" s="328"/>
      <c r="BS359" s="328">
        <v>49.249000000000002</v>
      </c>
      <c r="BT359" s="328"/>
      <c r="BU359" s="328">
        <v>18.308</v>
      </c>
      <c r="BV359" s="328"/>
      <c r="BW359" s="336">
        <v>9.68</v>
      </c>
      <c r="BX359" s="328"/>
      <c r="BY359" s="328">
        <v>6.4759999999999991</v>
      </c>
      <c r="BZ359" s="328"/>
      <c r="CA359" s="328"/>
      <c r="CB359" s="337"/>
      <c r="CC359" s="328">
        <v>9.35</v>
      </c>
      <c r="CD359" s="328"/>
      <c r="CE359" s="328"/>
      <c r="CF359" s="328"/>
      <c r="CG359" s="328"/>
      <c r="CH359" s="328"/>
      <c r="CI359" s="328"/>
      <c r="CJ359" s="328"/>
      <c r="CK359" s="328" t="s">
        <v>8377</v>
      </c>
      <c r="CL359" s="328"/>
      <c r="CM359" s="328"/>
    </row>
    <row r="360" spans="1:91" s="338" customFormat="1">
      <c r="A360" s="154" t="s">
        <v>7686</v>
      </c>
      <c r="B360" t="s">
        <v>8287</v>
      </c>
      <c r="C360">
        <v>2</v>
      </c>
      <c r="D360">
        <v>1453</v>
      </c>
      <c r="E360" s="113">
        <v>53</v>
      </c>
      <c r="F360" s="113">
        <v>14</v>
      </c>
      <c r="G360" s="113"/>
      <c r="H360" s="113"/>
      <c r="I360">
        <v>27</v>
      </c>
      <c r="J360" s="112"/>
      <c r="K360" s="320">
        <v>9</v>
      </c>
      <c r="L360" s="320"/>
      <c r="M360">
        <v>3.76</v>
      </c>
      <c r="N360" s="320"/>
      <c r="O360"/>
      <c r="P360"/>
      <c r="Q360"/>
      <c r="R360" s="153"/>
      <c r="S360" s="320">
        <v>16.681892261760002</v>
      </c>
      <c r="T360" s="320"/>
      <c r="U360">
        <v>10.8</v>
      </c>
      <c r="V360"/>
      <c r="W360"/>
      <c r="X360"/>
      <c r="Y360" s="321">
        <v>7.2358568000000005</v>
      </c>
      <c r="Z360" s="320"/>
      <c r="AA360" s="322">
        <v>85636.792452830196</v>
      </c>
      <c r="AB360" s="320"/>
      <c r="AC360" s="321">
        <v>33.933873600000005</v>
      </c>
      <c r="AD360" s="320"/>
      <c r="AE360" s="320">
        <v>36.31</v>
      </c>
      <c r="AF360" s="320"/>
      <c r="AG360">
        <v>4.24</v>
      </c>
      <c r="AH360"/>
      <c r="AI360">
        <v>125</v>
      </c>
      <c r="AJ360"/>
      <c r="AK360"/>
      <c r="AL360"/>
      <c r="AM360"/>
      <c r="AN360"/>
      <c r="AO360">
        <v>78</v>
      </c>
      <c r="AP360"/>
      <c r="AQ360" s="323"/>
      <c r="AR360" s="323"/>
      <c r="AS360">
        <v>112</v>
      </c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>
        <v>0.73678999999999994</v>
      </c>
      <c r="BH360"/>
      <c r="BI360">
        <v>4.4549000000000003</v>
      </c>
      <c r="BJ360"/>
      <c r="BK360">
        <v>1.4859</v>
      </c>
      <c r="BL360"/>
      <c r="BM360">
        <v>65.311000000000007</v>
      </c>
      <c r="BN360"/>
      <c r="BO360">
        <v>20.887</v>
      </c>
      <c r="BP360"/>
      <c r="BQ360">
        <v>9.1234000000000002</v>
      </c>
      <c r="BR360"/>
      <c r="BS360">
        <v>49.16</v>
      </c>
      <c r="BT360"/>
      <c r="BU360">
        <v>17.972999999999999</v>
      </c>
      <c r="BV360"/>
      <c r="BW360" s="325">
        <v>3.71</v>
      </c>
      <c r="BX360"/>
      <c r="BY360">
        <v>6.1159999999999997</v>
      </c>
      <c r="BZ360"/>
      <c r="CA360"/>
      <c r="CB360" s="136"/>
      <c r="CC360">
        <v>5.09</v>
      </c>
      <c r="CD360"/>
      <c r="CE360"/>
      <c r="CF360"/>
      <c r="CG360"/>
      <c r="CH360"/>
      <c r="CI360"/>
      <c r="CJ360"/>
      <c r="CK360"/>
      <c r="CL360"/>
      <c r="CM360"/>
    </row>
    <row r="361" spans="1:91" s="338" customFormat="1">
      <c r="A361" s="154" t="s">
        <v>7686</v>
      </c>
      <c r="B361" t="s">
        <v>8289</v>
      </c>
      <c r="C361">
        <v>1</v>
      </c>
      <c r="D361">
        <v>1733</v>
      </c>
      <c r="E361" s="113">
        <v>33</v>
      </c>
      <c r="F361" s="113">
        <v>17</v>
      </c>
      <c r="G361" s="113"/>
      <c r="H361" s="113"/>
      <c r="I361">
        <v>28.5</v>
      </c>
      <c r="J361" s="112"/>
      <c r="K361" s="320">
        <v>8</v>
      </c>
      <c r="L361" s="320"/>
      <c r="M361">
        <v>3.43</v>
      </c>
      <c r="N361" s="320"/>
      <c r="O361"/>
      <c r="P361"/>
      <c r="Q361"/>
      <c r="R361" s="153"/>
      <c r="S361" s="320">
        <v>14.046092870316002</v>
      </c>
      <c r="T361" s="320"/>
      <c r="U361">
        <v>10.8</v>
      </c>
      <c r="V361"/>
      <c r="W361"/>
      <c r="X361"/>
      <c r="Y361" s="321">
        <v>6.2125204000000007</v>
      </c>
      <c r="Z361" s="320"/>
      <c r="AA361" s="322">
        <v>77530.266343825671</v>
      </c>
      <c r="AB361" s="320"/>
      <c r="AC361" s="321">
        <v>29.896753800000003</v>
      </c>
      <c r="AD361" s="320"/>
      <c r="AE361" s="320">
        <v>32.020000000000003</v>
      </c>
      <c r="AF361" s="320"/>
      <c r="AG361">
        <v>4.13</v>
      </c>
      <c r="AH361"/>
      <c r="AI361">
        <v>118</v>
      </c>
      <c r="AJ361"/>
      <c r="AK361"/>
      <c r="AL361"/>
      <c r="AM361"/>
      <c r="AN361"/>
      <c r="AO361">
        <v>79</v>
      </c>
      <c r="AP361"/>
      <c r="AQ361" s="323"/>
      <c r="AR361" s="323"/>
      <c r="AS361">
        <v>112</v>
      </c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>
        <v>0.98550000000000004</v>
      </c>
      <c r="BH361"/>
      <c r="BI361">
        <v>4.7644000000000002</v>
      </c>
      <c r="BJ361"/>
      <c r="BK361">
        <v>1.4021999999999999</v>
      </c>
      <c r="BL361"/>
      <c r="BM361">
        <v>60.378999999999998</v>
      </c>
      <c r="BN361"/>
      <c r="BO361">
        <v>21.722999999999999</v>
      </c>
      <c r="BP361"/>
      <c r="BQ361">
        <v>10.01</v>
      </c>
      <c r="BR361"/>
      <c r="BS361">
        <v>46.981999999999999</v>
      </c>
      <c r="BT361"/>
      <c r="BU361">
        <v>19.808</v>
      </c>
      <c r="BV361"/>
      <c r="BW361" s="325">
        <v>10.87</v>
      </c>
      <c r="BX361"/>
      <c r="BY361">
        <v>6.4590000000000032</v>
      </c>
      <c r="BZ361"/>
      <c r="CA361"/>
      <c r="CB361" s="136"/>
      <c r="CC361">
        <v>8.25</v>
      </c>
      <c r="CD361"/>
      <c r="CE361"/>
      <c r="CF361"/>
      <c r="CG361"/>
      <c r="CH361"/>
      <c r="CI361"/>
      <c r="CJ361"/>
      <c r="CK361"/>
      <c r="CL361"/>
      <c r="CM361"/>
    </row>
    <row r="362" spans="1:91" s="338" customFormat="1">
      <c r="A362" s="154" t="s">
        <v>7687</v>
      </c>
      <c r="B362" t="s">
        <v>8287</v>
      </c>
      <c r="C362">
        <v>1</v>
      </c>
      <c r="D362">
        <v>529</v>
      </c>
      <c r="E362" s="113">
        <v>29</v>
      </c>
      <c r="F362" s="113">
        <v>5</v>
      </c>
      <c r="G362" s="113"/>
      <c r="H362" s="113"/>
      <c r="I362">
        <v>27.999999999999996</v>
      </c>
      <c r="J362" s="112"/>
      <c r="K362" s="320">
        <v>9</v>
      </c>
      <c r="L362" s="320"/>
      <c r="M362">
        <v>3.87</v>
      </c>
      <c r="N362" s="320"/>
      <c r="O362"/>
      <c r="P362"/>
      <c r="Q362"/>
      <c r="R362" s="153"/>
      <c r="S362" s="320">
        <v>16.77637875436</v>
      </c>
      <c r="T362" s="320"/>
      <c r="U362">
        <v>10.8</v>
      </c>
      <c r="V362"/>
      <c r="W362"/>
      <c r="X362"/>
      <c r="Y362" s="321">
        <v>5.8477510000000006</v>
      </c>
      <c r="Z362" s="320"/>
      <c r="AA362" s="322">
        <v>74173.553719008269</v>
      </c>
      <c r="AB362" s="320"/>
      <c r="AC362" s="321">
        <v>33.609220999999998</v>
      </c>
      <c r="AD362" s="320"/>
      <c r="AE362" s="320">
        <v>35.9</v>
      </c>
      <c r="AF362" s="320"/>
      <c r="AG362">
        <v>4.84</v>
      </c>
      <c r="AH362"/>
      <c r="AI362">
        <v>133</v>
      </c>
      <c r="AJ362"/>
      <c r="AK362"/>
      <c r="AL362"/>
      <c r="AM362"/>
      <c r="AN362"/>
      <c r="AO362">
        <v>77</v>
      </c>
      <c r="AP362"/>
      <c r="AQ362" s="323"/>
      <c r="AR362" s="323"/>
      <c r="AS362">
        <v>112</v>
      </c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>
        <v>0.60453000000000001</v>
      </c>
      <c r="BH362"/>
      <c r="BI362">
        <v>4.3815999999999997</v>
      </c>
      <c r="BJ362"/>
      <c r="BK362">
        <v>1.5347999999999999</v>
      </c>
      <c r="BL362"/>
      <c r="BM362">
        <v>66.153000000000006</v>
      </c>
      <c r="BN362"/>
      <c r="BO362">
        <v>19.14</v>
      </c>
      <c r="BP362"/>
      <c r="BQ362">
        <v>8.2472999999999992</v>
      </c>
      <c r="BR362"/>
      <c r="BS362">
        <v>49.915999999999997</v>
      </c>
      <c r="BT362"/>
      <c r="BU362">
        <v>17.545999999999999</v>
      </c>
      <c r="BV362"/>
      <c r="BW362" s="325">
        <v>11.38</v>
      </c>
      <c r="BX362"/>
      <c r="BY362">
        <v>6.7369999999999948</v>
      </c>
      <c r="BZ362"/>
      <c r="CA362"/>
      <c r="CB362" s="136"/>
      <c r="CC362">
        <v>8.84</v>
      </c>
      <c r="CD362"/>
      <c r="CE362"/>
      <c r="CF362"/>
      <c r="CG362"/>
      <c r="CH362"/>
      <c r="CI362"/>
      <c r="CJ362"/>
      <c r="CK362"/>
      <c r="CL362"/>
      <c r="CM362"/>
    </row>
    <row r="363" spans="1:91" s="338" customFormat="1">
      <c r="A363" s="327" t="s">
        <v>7687</v>
      </c>
      <c r="B363" s="328" t="s">
        <v>8289</v>
      </c>
      <c r="C363" s="328">
        <v>2</v>
      </c>
      <c r="D363" s="328">
        <v>967</v>
      </c>
      <c r="E363" s="113">
        <v>67</v>
      </c>
      <c r="F363" s="113">
        <v>9</v>
      </c>
      <c r="G363" s="329"/>
      <c r="H363" s="329"/>
      <c r="I363" s="328">
        <v>33.5</v>
      </c>
      <c r="J363" s="330"/>
      <c r="K363" s="331">
        <v>8</v>
      </c>
      <c r="L363" s="331"/>
      <c r="M363" s="328">
        <v>1.58</v>
      </c>
      <c r="N363" s="331"/>
      <c r="O363" s="328"/>
      <c r="P363" s="328"/>
      <c r="Q363" s="328"/>
      <c r="R363" s="332"/>
      <c r="S363" s="331">
        <v>5.7205225019649992</v>
      </c>
      <c r="T363" s="331"/>
      <c r="U363" s="328">
        <v>10.8</v>
      </c>
      <c r="V363" s="328"/>
      <c r="W363" s="328"/>
      <c r="X363" s="328"/>
      <c r="Y363" s="333">
        <v>3.1309095999999998</v>
      </c>
      <c r="Z363" s="331"/>
      <c r="AA363" s="334">
        <v>35563.549160671464</v>
      </c>
      <c r="AB363" s="331"/>
      <c r="AC363" s="333">
        <v>13.702178499999999</v>
      </c>
      <c r="AD363" s="331"/>
      <c r="AE363" s="331">
        <v>14.83</v>
      </c>
      <c r="AF363" s="331"/>
      <c r="AG363" s="328">
        <v>4.17</v>
      </c>
      <c r="AH363" s="328"/>
      <c r="AI363" s="328"/>
      <c r="AJ363" s="328"/>
      <c r="AK363" s="328"/>
      <c r="AL363" s="328"/>
      <c r="AM363" s="328"/>
      <c r="AN363" s="328"/>
      <c r="AO363" s="328">
        <v>77</v>
      </c>
      <c r="AP363" s="328"/>
      <c r="AQ363" s="335"/>
      <c r="AR363" s="335"/>
      <c r="AS363" s="328">
        <v>114</v>
      </c>
      <c r="AT363" s="328"/>
      <c r="AU363" s="328"/>
      <c r="AV363" s="328"/>
      <c r="AW363" s="328"/>
      <c r="AX363" s="328"/>
      <c r="AY363" s="328"/>
      <c r="AZ363" s="328"/>
      <c r="BA363" s="328"/>
      <c r="BB363" s="328"/>
      <c r="BC363" s="328"/>
      <c r="BD363" s="328"/>
      <c r="BE363" s="328"/>
      <c r="BF363" s="328"/>
      <c r="BG363" s="328">
        <v>-6.9131</v>
      </c>
      <c r="BH363" s="328"/>
      <c r="BI363" s="328">
        <v>5.1284999999999998</v>
      </c>
      <c r="BJ363" s="328"/>
      <c r="BK363" s="328">
        <v>1.8259000000000001</v>
      </c>
      <c r="BL363" s="328"/>
      <c r="BM363" s="328">
        <v>66.655000000000001</v>
      </c>
      <c r="BN363" s="328"/>
      <c r="BO363" s="328">
        <v>19.213000000000001</v>
      </c>
      <c r="BP363" s="328"/>
      <c r="BQ363" s="328">
        <v>8.2134999999999998</v>
      </c>
      <c r="BR363" s="328"/>
      <c r="BS363" s="328">
        <v>41.749000000000002</v>
      </c>
      <c r="BT363" s="328"/>
      <c r="BU363" s="328">
        <v>20.300999999999998</v>
      </c>
      <c r="BV363" s="328"/>
      <c r="BW363" s="336">
        <v>4.62</v>
      </c>
      <c r="BX363" s="328"/>
      <c r="BY363" s="328">
        <v>7.5669999999999931</v>
      </c>
      <c r="BZ363" s="328"/>
      <c r="CA363" s="328"/>
      <c r="CB363" s="337"/>
      <c r="CC363" s="328">
        <v>7.78</v>
      </c>
      <c r="CD363" s="328"/>
      <c r="CE363" s="328"/>
      <c r="CF363" s="328"/>
      <c r="CG363" s="328"/>
      <c r="CH363" s="328"/>
      <c r="CI363" s="328"/>
      <c r="CJ363" s="328"/>
      <c r="CK363" s="328" t="s">
        <v>8377</v>
      </c>
      <c r="CL363" s="328"/>
      <c r="CM363" s="328"/>
    </row>
    <row r="364" spans="1:91" s="338" customFormat="1">
      <c r="A364" s="154" t="s">
        <v>7687</v>
      </c>
      <c r="B364" t="s">
        <v>8289</v>
      </c>
      <c r="C364">
        <v>1</v>
      </c>
      <c r="D364">
        <v>1212</v>
      </c>
      <c r="E364" s="113">
        <v>12</v>
      </c>
      <c r="F364" s="113">
        <v>12</v>
      </c>
      <c r="G364" s="113"/>
      <c r="H364" s="113"/>
      <c r="I364">
        <v>29.5</v>
      </c>
      <c r="J364" s="112"/>
      <c r="K364" s="320">
        <v>9</v>
      </c>
      <c r="L364" s="320"/>
      <c r="M364">
        <v>3.52</v>
      </c>
      <c r="N364" s="320"/>
      <c r="O364"/>
      <c r="P364"/>
      <c r="Q364"/>
      <c r="R364" s="153"/>
      <c r="S364" s="320">
        <v>14.250372065080002</v>
      </c>
      <c r="T364" s="320"/>
      <c r="U364">
        <v>10.8</v>
      </c>
      <c r="V364"/>
      <c r="W364"/>
      <c r="X364"/>
      <c r="Y364" s="321">
        <v>6.9527900000000002</v>
      </c>
      <c r="Z364" s="320"/>
      <c r="AA364" s="322">
        <v>76583.710407239822</v>
      </c>
      <c r="AB364" s="320"/>
      <c r="AC364" s="321">
        <v>31.715419000000004</v>
      </c>
      <c r="AD364" s="320"/>
      <c r="AE364" s="320">
        <v>33.85</v>
      </c>
      <c r="AF364" s="320"/>
      <c r="AG364">
        <v>4.42</v>
      </c>
      <c r="AH364"/>
      <c r="AI364">
        <v>126</v>
      </c>
      <c r="AJ364"/>
      <c r="AK364"/>
      <c r="AL364"/>
      <c r="AM364"/>
      <c r="AN364"/>
      <c r="AO364">
        <v>79</v>
      </c>
      <c r="AP364"/>
      <c r="AQ364" s="323"/>
      <c r="AR364" s="323"/>
      <c r="AS364">
        <v>112</v>
      </c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>
        <v>1.3288</v>
      </c>
      <c r="BH364"/>
      <c r="BI364">
        <v>4.7157999999999998</v>
      </c>
      <c r="BJ364"/>
      <c r="BK364">
        <v>1.6478999999999999</v>
      </c>
      <c r="BL364"/>
      <c r="BM364">
        <v>66.027000000000001</v>
      </c>
      <c r="BN364"/>
      <c r="BO364">
        <v>19.79</v>
      </c>
      <c r="BP364"/>
      <c r="BQ364">
        <v>8.8750999999999998</v>
      </c>
      <c r="BR364"/>
      <c r="BS364">
        <v>44.932000000000002</v>
      </c>
      <c r="BT364"/>
      <c r="BU364">
        <v>20.815999999999999</v>
      </c>
      <c r="BV364"/>
      <c r="BW364" s="325">
        <v>10.14</v>
      </c>
      <c r="BX364"/>
      <c r="BY364">
        <v>7.0649999999999977</v>
      </c>
      <c r="BZ364"/>
      <c r="CA364"/>
      <c r="CB364" s="136"/>
      <c r="CC364">
        <v>5.48</v>
      </c>
      <c r="CD364"/>
      <c r="CE364"/>
      <c r="CF364"/>
      <c r="CG364"/>
      <c r="CH364"/>
      <c r="CI364"/>
      <c r="CJ364"/>
      <c r="CK364"/>
      <c r="CL364"/>
      <c r="CM364"/>
    </row>
    <row r="365" spans="1:91" s="338" customFormat="1">
      <c r="A365" s="154" t="s">
        <v>7687</v>
      </c>
      <c r="B365" t="s">
        <v>8287</v>
      </c>
      <c r="C365">
        <v>2</v>
      </c>
      <c r="D365">
        <v>1741</v>
      </c>
      <c r="E365" s="113">
        <v>41</v>
      </c>
      <c r="F365" s="113">
        <v>17</v>
      </c>
      <c r="G365" s="113"/>
      <c r="H365" s="113"/>
      <c r="I365">
        <v>28.5</v>
      </c>
      <c r="J365" s="112"/>
      <c r="K365" s="320">
        <v>8</v>
      </c>
      <c r="L365" s="320"/>
      <c r="M365">
        <v>3.32</v>
      </c>
      <c r="N365" s="320"/>
      <c r="O365"/>
      <c r="P365"/>
      <c r="Q365"/>
      <c r="R365" s="153"/>
      <c r="S365" s="320" t="s">
        <v>8361</v>
      </c>
      <c r="T365" s="320"/>
      <c r="U365">
        <v>10.8</v>
      </c>
      <c r="V365"/>
      <c r="W365"/>
      <c r="X365"/>
      <c r="Y365" s="321">
        <v>0</v>
      </c>
      <c r="Z365" s="320"/>
      <c r="AA365" s="322">
        <v>72997.711670480538</v>
      </c>
      <c r="AB365" s="320"/>
      <c r="AC365" s="321" t="s">
        <v>8361</v>
      </c>
      <c r="AD365" s="320"/>
      <c r="AE365" s="320">
        <v>31.9</v>
      </c>
      <c r="AF365" s="320"/>
      <c r="AG365">
        <v>4.37</v>
      </c>
      <c r="AH365"/>
      <c r="AI365">
        <v>118</v>
      </c>
      <c r="AJ365"/>
      <c r="AK365"/>
      <c r="AL365"/>
      <c r="AM365"/>
      <c r="AN365"/>
      <c r="AO365">
        <v>79</v>
      </c>
      <c r="AP365"/>
      <c r="AQ365" s="323"/>
      <c r="AR365" s="323"/>
      <c r="AS365">
        <v>112</v>
      </c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>
        <v>-0.50634000000000001</v>
      </c>
      <c r="BH365"/>
      <c r="BI365">
        <v>4.7866</v>
      </c>
      <c r="BJ365"/>
      <c r="BK365">
        <v>1.5976999999999999</v>
      </c>
      <c r="BL365"/>
      <c r="BM365">
        <v>67.600999999999999</v>
      </c>
      <c r="BN365"/>
      <c r="BO365">
        <v>20.446999999999999</v>
      </c>
      <c r="BP365"/>
      <c r="BQ365">
        <v>7.7321</v>
      </c>
      <c r="BR365"/>
      <c r="BS365">
        <v>50.069000000000003</v>
      </c>
      <c r="BT365"/>
      <c r="BU365">
        <v>17.007999999999999</v>
      </c>
      <c r="BV365"/>
      <c r="BW365" s="325">
        <v>16.66</v>
      </c>
      <c r="BX365"/>
      <c r="BY365">
        <v>6.7019999999999982</v>
      </c>
      <c r="BZ365"/>
      <c r="CA365"/>
      <c r="CB365" s="136"/>
      <c r="CC365">
        <v>5.57</v>
      </c>
      <c r="CD365"/>
      <c r="CE365"/>
      <c r="CF365"/>
      <c r="CG365"/>
      <c r="CH365"/>
      <c r="CI365"/>
      <c r="CJ365"/>
      <c r="CK365"/>
      <c r="CL365"/>
      <c r="CM365"/>
    </row>
    <row r="366" spans="1:91" s="338" customFormat="1">
      <c r="A366" s="154" t="s">
        <v>7688</v>
      </c>
      <c r="B366" t="s">
        <v>8287</v>
      </c>
      <c r="C366">
        <v>1</v>
      </c>
      <c r="D366">
        <v>205</v>
      </c>
      <c r="E366" s="113">
        <v>5</v>
      </c>
      <c r="F366" s="113">
        <v>2</v>
      </c>
      <c r="G366" s="113"/>
      <c r="H366" s="113"/>
      <c r="I366">
        <v>31.499999999999996</v>
      </c>
      <c r="J366" s="112"/>
      <c r="K366" s="320">
        <v>9</v>
      </c>
      <c r="L366" s="320"/>
      <c r="M366">
        <v>3.26</v>
      </c>
      <c r="N366" s="320"/>
      <c r="O366"/>
      <c r="P366"/>
      <c r="Q366"/>
      <c r="R366" s="153"/>
      <c r="S366" s="320">
        <v>13.671645779064001</v>
      </c>
      <c r="T366" s="320"/>
      <c r="U366">
        <v>10.8</v>
      </c>
      <c r="V366"/>
      <c r="W366"/>
      <c r="X366"/>
      <c r="Y366" s="321">
        <v>5.7925868000000005</v>
      </c>
      <c r="Z366" s="320"/>
      <c r="AA366" s="322">
        <v>76206.896551724145</v>
      </c>
      <c r="AB366" s="320"/>
      <c r="AC366" s="321">
        <v>28.958602400000004</v>
      </c>
      <c r="AD366" s="320"/>
      <c r="AE366" s="320">
        <v>30.94</v>
      </c>
      <c r="AF366" s="320"/>
      <c r="AG366">
        <v>4.0599999999999996</v>
      </c>
      <c r="AH366"/>
      <c r="AI366">
        <v>123</v>
      </c>
      <c r="AJ366"/>
      <c r="AK366"/>
      <c r="AL366"/>
      <c r="AM366"/>
      <c r="AN366"/>
      <c r="AO366">
        <v>79</v>
      </c>
      <c r="AP366"/>
      <c r="AQ366" s="323"/>
      <c r="AR366" s="323"/>
      <c r="AS366">
        <v>115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>
        <v>-0.51117999999999997</v>
      </c>
      <c r="BH366"/>
      <c r="BI366">
        <v>4.5666000000000002</v>
      </c>
      <c r="BJ366"/>
      <c r="BK366">
        <v>1.6207</v>
      </c>
      <c r="BL366"/>
      <c r="BM366">
        <v>67.930000000000007</v>
      </c>
      <c r="BN366"/>
      <c r="BO366">
        <v>20.344000000000001</v>
      </c>
      <c r="BP366"/>
      <c r="BQ366">
        <v>9.2492000000000001</v>
      </c>
      <c r="BR366"/>
      <c r="BS366">
        <v>47.210999999999999</v>
      </c>
      <c r="BT366"/>
      <c r="BU366">
        <v>20.364000000000001</v>
      </c>
      <c r="BV366"/>
      <c r="BW366" s="325">
        <v>7.69</v>
      </c>
      <c r="BX366"/>
      <c r="BY366">
        <v>6.5600000000000023</v>
      </c>
      <c r="BZ366"/>
      <c r="CA366"/>
      <c r="CB366" s="136"/>
      <c r="CC366">
        <v>6.72</v>
      </c>
      <c r="CD366"/>
      <c r="CE366"/>
      <c r="CF366"/>
      <c r="CG366"/>
      <c r="CH366"/>
      <c r="CI366"/>
      <c r="CJ366"/>
      <c r="CK366"/>
      <c r="CL366"/>
      <c r="CM366"/>
    </row>
    <row r="367" spans="1:91" s="338" customFormat="1">
      <c r="A367" s="327" t="s">
        <v>7688</v>
      </c>
      <c r="B367" s="328" t="s">
        <v>8289</v>
      </c>
      <c r="C367" s="328">
        <v>2</v>
      </c>
      <c r="D367" s="328">
        <v>971</v>
      </c>
      <c r="E367" s="113">
        <v>71</v>
      </c>
      <c r="F367" s="113">
        <v>9</v>
      </c>
      <c r="G367" s="329"/>
      <c r="H367" s="329"/>
      <c r="I367" s="328">
        <v>29.5</v>
      </c>
      <c r="J367" s="330"/>
      <c r="K367" s="331">
        <v>7</v>
      </c>
      <c r="L367" s="331"/>
      <c r="M367" s="328">
        <v>1.4</v>
      </c>
      <c r="N367" s="331"/>
      <c r="O367" s="328"/>
      <c r="P367" s="328"/>
      <c r="Q367" s="328"/>
      <c r="R367" s="332"/>
      <c r="S367" s="331">
        <v>4.8956343746640005</v>
      </c>
      <c r="T367" s="331"/>
      <c r="U367" s="328">
        <v>10.8</v>
      </c>
      <c r="V367" s="328"/>
      <c r="W367" s="328"/>
      <c r="X367" s="328"/>
      <c r="Y367" s="333">
        <v>2.6911126000000003</v>
      </c>
      <c r="Z367" s="331"/>
      <c r="AA367" s="334">
        <v>35315.789473684214</v>
      </c>
      <c r="AB367" s="331"/>
      <c r="AC367" s="333">
        <v>12.452015400000001</v>
      </c>
      <c r="AD367" s="331"/>
      <c r="AE367" s="331">
        <v>13.42</v>
      </c>
      <c r="AF367" s="331"/>
      <c r="AG367" s="328">
        <v>3.8</v>
      </c>
      <c r="AH367" s="328"/>
      <c r="AI367" s="328"/>
      <c r="AJ367" s="328"/>
      <c r="AK367" s="328"/>
      <c r="AL367" s="328"/>
      <c r="AM367" s="328"/>
      <c r="AN367" s="328"/>
      <c r="AO367" s="328">
        <v>81</v>
      </c>
      <c r="AP367" s="328"/>
      <c r="AQ367" s="335"/>
      <c r="AR367" s="335"/>
      <c r="AS367" s="328">
        <v>114</v>
      </c>
      <c r="AT367" s="328"/>
      <c r="AU367" s="328"/>
      <c r="AV367" s="328"/>
      <c r="AW367" s="328"/>
      <c r="AX367" s="328"/>
      <c r="AY367" s="328"/>
      <c r="AZ367" s="328"/>
      <c r="BA367" s="328"/>
      <c r="BB367" s="328"/>
      <c r="BC367" s="328"/>
      <c r="BD367" s="328"/>
      <c r="BE367" s="328"/>
      <c r="BF367" s="328"/>
      <c r="BG367" s="328">
        <v>-6.2182000000000004</v>
      </c>
      <c r="BH367" s="328"/>
      <c r="BI367" s="328">
        <v>5.4196999999999997</v>
      </c>
      <c r="BJ367" s="328"/>
      <c r="BK367" s="328">
        <v>1.8744000000000001</v>
      </c>
      <c r="BL367" s="328"/>
      <c r="BM367" s="328">
        <v>64.456999999999994</v>
      </c>
      <c r="BN367" s="328"/>
      <c r="BO367" s="328">
        <v>20.190999999999999</v>
      </c>
      <c r="BP367" s="328"/>
      <c r="BQ367" s="328">
        <v>8.4016999999999999</v>
      </c>
      <c r="BR367" s="328"/>
      <c r="BS367" s="328">
        <v>39.316000000000003</v>
      </c>
      <c r="BT367" s="328"/>
      <c r="BU367" s="328">
        <v>21.292999999999999</v>
      </c>
      <c r="BV367" s="328"/>
      <c r="BW367" s="336">
        <v>2.4300000000000002</v>
      </c>
      <c r="BX367" s="328"/>
      <c r="BY367" s="328">
        <v>7.7339999999999947</v>
      </c>
      <c r="BZ367" s="328"/>
      <c r="CA367" s="328"/>
      <c r="CB367" s="337"/>
      <c r="CC367" s="328">
        <v>5.82</v>
      </c>
      <c r="CD367" s="328"/>
      <c r="CE367" s="328"/>
      <c r="CF367" s="328"/>
      <c r="CG367" s="328"/>
      <c r="CH367" s="328"/>
      <c r="CI367" s="328"/>
      <c r="CJ367" s="328"/>
      <c r="CK367" s="328" t="s">
        <v>8377</v>
      </c>
      <c r="CL367" s="328"/>
      <c r="CM367" s="328"/>
    </row>
    <row r="368" spans="1:91" s="338" customFormat="1">
      <c r="A368" s="154" t="s">
        <v>7688</v>
      </c>
      <c r="B368" t="s">
        <v>8289</v>
      </c>
      <c r="C368">
        <v>1</v>
      </c>
      <c r="D368">
        <v>1513</v>
      </c>
      <c r="E368" s="113">
        <v>13</v>
      </c>
      <c r="F368" s="113">
        <v>15</v>
      </c>
      <c r="G368" s="113"/>
      <c r="H368" s="113"/>
      <c r="I368">
        <v>27</v>
      </c>
      <c r="J368" s="112"/>
      <c r="K368" s="320">
        <v>8</v>
      </c>
      <c r="L368" s="320"/>
      <c r="M368">
        <v>3.37</v>
      </c>
      <c r="N368" s="320"/>
      <c r="O368"/>
      <c r="P368"/>
      <c r="Q368"/>
      <c r="R368" s="153"/>
      <c r="S368" s="320">
        <v>14.728158684511998</v>
      </c>
      <c r="T368" s="320"/>
      <c r="U368">
        <v>10.8</v>
      </c>
      <c r="V368"/>
      <c r="W368"/>
      <c r="X368"/>
      <c r="Y368" s="321">
        <v>5.8919360000000003</v>
      </c>
      <c r="Z368" s="320"/>
      <c r="AA368" s="322">
        <v>79022.004889975549</v>
      </c>
      <c r="AB368" s="320"/>
      <c r="AC368" s="321">
        <v>30.322947199999998</v>
      </c>
      <c r="AD368" s="320"/>
      <c r="AE368" s="320">
        <v>32.32</v>
      </c>
      <c r="AF368" s="320"/>
      <c r="AG368">
        <v>4.09</v>
      </c>
      <c r="AH368"/>
      <c r="AI368">
        <v>100</v>
      </c>
      <c r="AJ368"/>
      <c r="AK368"/>
      <c r="AL368"/>
      <c r="AM368"/>
      <c r="AN368"/>
      <c r="AO368">
        <v>77</v>
      </c>
      <c r="AP368"/>
      <c r="AQ368" s="323"/>
      <c r="AR368" s="323"/>
      <c r="AS368">
        <v>112</v>
      </c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>
        <v>1.7254</v>
      </c>
      <c r="BH368"/>
      <c r="BI368">
        <v>4.6059999999999999</v>
      </c>
      <c r="BJ368"/>
      <c r="BK368">
        <v>1.5564</v>
      </c>
      <c r="BL368"/>
      <c r="BM368">
        <v>63.515000000000001</v>
      </c>
      <c r="BN368"/>
      <c r="BO368">
        <v>19.007000000000001</v>
      </c>
      <c r="BP368"/>
      <c r="BQ368">
        <v>8.7700999999999993</v>
      </c>
      <c r="BR368"/>
      <c r="BS368">
        <v>48.570999999999998</v>
      </c>
      <c r="BT368"/>
      <c r="BU368">
        <v>19.864999999999998</v>
      </c>
      <c r="BV368"/>
      <c r="BW368" s="325">
        <v>12.67</v>
      </c>
      <c r="BX368"/>
      <c r="BY368">
        <v>6.4210000000000065</v>
      </c>
      <c r="BZ368"/>
      <c r="CA368"/>
      <c r="CB368" s="136"/>
      <c r="CC368">
        <v>5.75</v>
      </c>
      <c r="CD368"/>
      <c r="CE368"/>
      <c r="CF368"/>
      <c r="CG368"/>
      <c r="CH368"/>
      <c r="CI368"/>
      <c r="CJ368"/>
      <c r="CK368"/>
      <c r="CL368"/>
      <c r="CM368"/>
    </row>
    <row r="369" spans="1:91" s="338" customFormat="1">
      <c r="A369" s="154" t="s">
        <v>7688</v>
      </c>
      <c r="B369" t="s">
        <v>8287</v>
      </c>
      <c r="C369">
        <v>2</v>
      </c>
      <c r="D369">
        <v>1763</v>
      </c>
      <c r="E369" s="113">
        <v>63</v>
      </c>
      <c r="F369" s="113">
        <v>17</v>
      </c>
      <c r="G369" s="113"/>
      <c r="H369" s="113"/>
      <c r="I369">
        <v>29.999999999999996</v>
      </c>
      <c r="J369" s="112"/>
      <c r="K369" s="320">
        <v>8</v>
      </c>
      <c r="L369" s="320"/>
      <c r="M369">
        <v>3.06</v>
      </c>
      <c r="N369" s="320"/>
      <c r="O369"/>
      <c r="P369"/>
      <c r="Q369"/>
      <c r="R369" s="153"/>
      <c r="S369" s="320">
        <v>13.270879741189001</v>
      </c>
      <c r="T369" s="320"/>
      <c r="U369">
        <v>10.8</v>
      </c>
      <c r="V369"/>
      <c r="W369"/>
      <c r="X369"/>
      <c r="Y369" s="321">
        <v>5.0707826999999996</v>
      </c>
      <c r="Z369" s="320"/>
      <c r="AA369" s="322">
        <v>77601.078167115906</v>
      </c>
      <c r="AB369" s="320"/>
      <c r="AC369" s="321">
        <v>26.882086700000002</v>
      </c>
      <c r="AD369" s="320"/>
      <c r="AE369" s="320">
        <v>28.79</v>
      </c>
      <c r="AF369" s="320"/>
      <c r="AG369">
        <v>3.71</v>
      </c>
      <c r="AH369"/>
      <c r="AI369">
        <v>100</v>
      </c>
      <c r="AJ369"/>
      <c r="AK369"/>
      <c r="AL369"/>
      <c r="AM369"/>
      <c r="AN369"/>
      <c r="AO369">
        <v>79</v>
      </c>
      <c r="AP369"/>
      <c r="AQ369" s="323"/>
      <c r="AR369" s="323"/>
      <c r="AS369">
        <v>112</v>
      </c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>
        <v>-0.18098</v>
      </c>
      <c r="BH369"/>
      <c r="BI369">
        <v>4.4165000000000001</v>
      </c>
      <c r="BJ369"/>
      <c r="BK369">
        <v>1.5363</v>
      </c>
      <c r="BL369"/>
      <c r="BM369">
        <v>66.882999999999996</v>
      </c>
      <c r="BN369"/>
      <c r="BO369">
        <v>19.5</v>
      </c>
      <c r="BP369"/>
      <c r="BQ369">
        <v>8.5510000000000002</v>
      </c>
      <c r="BR369"/>
      <c r="BS369">
        <v>49.366999999999997</v>
      </c>
      <c r="BT369"/>
      <c r="BU369">
        <v>18.132000000000001</v>
      </c>
      <c r="BV369"/>
      <c r="BW369" s="325">
        <v>16.77</v>
      </c>
      <c r="BX369"/>
      <c r="BY369">
        <v>6.7710000000000008</v>
      </c>
      <c r="BZ369"/>
      <c r="CA369"/>
      <c r="CB369" s="136"/>
      <c r="CC369">
        <v>7.52</v>
      </c>
      <c r="CD369"/>
      <c r="CE369"/>
      <c r="CF369"/>
      <c r="CG369"/>
      <c r="CH369"/>
      <c r="CI369"/>
      <c r="CJ369"/>
      <c r="CK369"/>
      <c r="CL369"/>
      <c r="CM369"/>
    </row>
    <row r="370" spans="1:91" s="338" customFormat="1">
      <c r="A370" s="154" t="s">
        <v>7689</v>
      </c>
      <c r="B370" t="s">
        <v>8287</v>
      </c>
      <c r="C370">
        <v>1</v>
      </c>
      <c r="D370">
        <v>433</v>
      </c>
      <c r="E370" s="113">
        <v>33</v>
      </c>
      <c r="F370" s="113">
        <v>4</v>
      </c>
      <c r="G370" s="113"/>
      <c r="H370" s="113"/>
      <c r="I370">
        <v>32.5</v>
      </c>
      <c r="J370" s="112"/>
      <c r="K370" s="320">
        <v>9</v>
      </c>
      <c r="L370" s="320"/>
      <c r="M370">
        <v>3.22</v>
      </c>
      <c r="N370" s="320"/>
      <c r="O370"/>
      <c r="P370"/>
      <c r="Q370"/>
      <c r="R370" s="153"/>
      <c r="S370" s="320">
        <v>14.020132307999999</v>
      </c>
      <c r="T370" s="320"/>
      <c r="U370">
        <v>10.8</v>
      </c>
      <c r="V370"/>
      <c r="W370"/>
      <c r="X370"/>
      <c r="Y370" s="321">
        <v>5.323199999999999</v>
      </c>
      <c r="Z370" s="320"/>
      <c r="AA370" s="322">
        <v>66225.165562913913</v>
      </c>
      <c r="AB370" s="320"/>
      <c r="AC370" s="321">
        <v>28.064399999999999</v>
      </c>
      <c r="AD370" s="320"/>
      <c r="AE370" s="320">
        <v>30</v>
      </c>
      <c r="AF370" s="320"/>
      <c r="AG370">
        <v>4.53</v>
      </c>
      <c r="AH370"/>
      <c r="AI370">
        <v>110</v>
      </c>
      <c r="AJ370"/>
      <c r="AK370"/>
      <c r="AL370"/>
      <c r="AM370"/>
      <c r="AN370"/>
      <c r="AO370">
        <v>72</v>
      </c>
      <c r="AP370"/>
      <c r="AQ370" s="323"/>
      <c r="AR370" s="323"/>
      <c r="AS370">
        <v>112</v>
      </c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>
        <v>5.8356000000000003</v>
      </c>
      <c r="BH370"/>
      <c r="BI370">
        <v>4.2488000000000001</v>
      </c>
      <c r="BJ370"/>
      <c r="BK370">
        <v>1.3967000000000001</v>
      </c>
      <c r="BL370"/>
      <c r="BM370">
        <v>57.506</v>
      </c>
      <c r="BN370"/>
      <c r="BO370">
        <v>17.809999999999999</v>
      </c>
      <c r="BP370"/>
      <c r="BQ370">
        <v>10.048999999999999</v>
      </c>
      <c r="BR370"/>
      <c r="BS370">
        <v>49.957000000000001</v>
      </c>
      <c r="BT370"/>
      <c r="BU370">
        <v>18.385999999999999</v>
      </c>
      <c r="BV370"/>
      <c r="BW370" s="325">
        <v>19.57</v>
      </c>
      <c r="BX370"/>
      <c r="BY370">
        <v>6.561000000000007</v>
      </c>
      <c r="BZ370"/>
      <c r="CA370"/>
      <c r="CB370" s="136"/>
      <c r="CC370">
        <v>8.42</v>
      </c>
      <c r="CD370"/>
      <c r="CE370"/>
      <c r="CF370"/>
      <c r="CG370"/>
      <c r="CH370"/>
      <c r="CI370"/>
      <c r="CJ370"/>
      <c r="CK370"/>
      <c r="CL370"/>
      <c r="CM370"/>
    </row>
    <row r="371" spans="1:91" s="338" customFormat="1">
      <c r="A371" s="154" t="s">
        <v>7689</v>
      </c>
      <c r="B371" t="s">
        <v>8289</v>
      </c>
      <c r="C371">
        <v>2</v>
      </c>
      <c r="D371">
        <v>475</v>
      </c>
      <c r="E371" s="113">
        <v>75</v>
      </c>
      <c r="F371" s="113">
        <v>4</v>
      </c>
      <c r="G371" s="113"/>
      <c r="H371" s="113"/>
      <c r="I371">
        <v>37.999999999999993</v>
      </c>
      <c r="J371" s="112"/>
      <c r="K371" s="320">
        <v>8</v>
      </c>
      <c r="L371" s="320"/>
      <c r="M371">
        <v>1.8</v>
      </c>
      <c r="N371" s="320"/>
      <c r="O371"/>
      <c r="P371"/>
      <c r="Q371"/>
      <c r="R371" s="153"/>
      <c r="S371" s="320">
        <v>5.89012822797</v>
      </c>
      <c r="T371" s="320"/>
      <c r="U371">
        <v>10.8</v>
      </c>
      <c r="V371"/>
      <c r="W371"/>
      <c r="X371"/>
      <c r="Y371" s="321">
        <v>3.7985910999999999</v>
      </c>
      <c r="Z371" s="320"/>
      <c r="AA371" s="322">
        <v>41936.274509803916</v>
      </c>
      <c r="AB371" s="320"/>
      <c r="AC371" s="321">
        <v>15.8584035</v>
      </c>
      <c r="AD371" s="320"/>
      <c r="AE371" s="320">
        <v>17.11</v>
      </c>
      <c r="AF371" s="320"/>
      <c r="AG371">
        <v>4.08</v>
      </c>
      <c r="AH371"/>
      <c r="AI371">
        <v>115</v>
      </c>
      <c r="AJ371"/>
      <c r="AK371"/>
      <c r="AL371"/>
      <c r="AM371"/>
      <c r="AN371"/>
      <c r="AO371">
        <v>72</v>
      </c>
      <c r="AP371"/>
      <c r="AQ371" s="323"/>
      <c r="AR371" s="323"/>
      <c r="AS371">
        <v>112</v>
      </c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>
        <v>-4.3604000000000003</v>
      </c>
      <c r="BH371"/>
      <c r="BI371"/>
      <c r="BJ371"/>
      <c r="BK371">
        <v>2.0173999999999999</v>
      </c>
      <c r="BL371"/>
      <c r="BM371"/>
      <c r="BN371"/>
      <c r="BO371"/>
      <c r="BP371"/>
      <c r="BQ371"/>
      <c r="BR371"/>
      <c r="BS371">
        <v>37.142000000000003</v>
      </c>
      <c r="BT371"/>
      <c r="BU371">
        <v>20.082999999999998</v>
      </c>
      <c r="BV371"/>
      <c r="BW371" s="325">
        <v>2.5099999999999998</v>
      </c>
      <c r="BX371"/>
      <c r="BY371">
        <v>6.6170000000000044</v>
      </c>
      <c r="BZ371"/>
      <c r="CA371"/>
      <c r="CB371" s="136"/>
      <c r="CC371">
        <v>6.6</v>
      </c>
      <c r="CD371"/>
      <c r="CE371"/>
      <c r="CF371"/>
      <c r="CG371"/>
      <c r="CH371"/>
      <c r="CI371"/>
      <c r="CJ371"/>
      <c r="CK371"/>
      <c r="CL371"/>
      <c r="CM371"/>
    </row>
    <row r="372" spans="1:91" s="338" customFormat="1">
      <c r="A372" s="154" t="s">
        <v>7689</v>
      </c>
      <c r="B372" t="s">
        <v>8287</v>
      </c>
      <c r="C372">
        <v>2</v>
      </c>
      <c r="D372">
        <v>1254</v>
      </c>
      <c r="E372" s="113">
        <v>54</v>
      </c>
      <c r="F372" s="113">
        <v>12</v>
      </c>
      <c r="G372" s="113"/>
      <c r="H372" s="113"/>
      <c r="I372">
        <v>35</v>
      </c>
      <c r="J372" s="112"/>
      <c r="K372" s="320">
        <v>9</v>
      </c>
      <c r="L372" s="320"/>
      <c r="M372">
        <v>3.08</v>
      </c>
      <c r="N372" s="320"/>
      <c r="O372"/>
      <c r="P372"/>
      <c r="Q372"/>
      <c r="R372" s="153"/>
      <c r="S372" s="320">
        <v>13.950231645240001</v>
      </c>
      <c r="T372" s="320"/>
      <c r="U372">
        <v>10.8</v>
      </c>
      <c r="V372"/>
      <c r="W372"/>
      <c r="X372"/>
      <c r="Y372" s="321">
        <v>5.9411880000000004</v>
      </c>
      <c r="Z372" s="320"/>
      <c r="AA372" s="322">
        <v>78989.361702127659</v>
      </c>
      <c r="AB372" s="320"/>
      <c r="AC372" s="321">
        <v>27.859788000000002</v>
      </c>
      <c r="AD372" s="320"/>
      <c r="AE372" s="320">
        <v>29.7</v>
      </c>
      <c r="AF372" s="320"/>
      <c r="AG372">
        <v>3.76</v>
      </c>
      <c r="AH372"/>
      <c r="AI372">
        <v>115</v>
      </c>
      <c r="AJ372"/>
      <c r="AK372"/>
      <c r="AL372"/>
      <c r="AM372"/>
      <c r="AN372"/>
      <c r="AO372">
        <v>72</v>
      </c>
      <c r="AP372"/>
      <c r="AQ372" s="323"/>
      <c r="AR372" s="323"/>
      <c r="AS372">
        <v>112</v>
      </c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>
        <v>-6.7824999999999996E-2</v>
      </c>
      <c r="BH372"/>
      <c r="BI372">
        <v>5.0058999999999996</v>
      </c>
      <c r="BJ372"/>
      <c r="BK372">
        <v>1.5238</v>
      </c>
      <c r="BL372"/>
      <c r="BM372">
        <v>62.89</v>
      </c>
      <c r="BN372"/>
      <c r="BO372">
        <v>21.338999999999999</v>
      </c>
      <c r="BP372"/>
      <c r="BQ372">
        <v>9.1395999999999997</v>
      </c>
      <c r="BR372"/>
      <c r="BS372">
        <v>50.073</v>
      </c>
      <c r="BT372"/>
      <c r="BU372">
        <v>17.472999999999999</v>
      </c>
      <c r="BV372"/>
      <c r="BW372" s="325">
        <v>12.3</v>
      </c>
      <c r="BX372"/>
      <c r="BY372">
        <v>6.4699999999999989</v>
      </c>
      <c r="BZ372"/>
      <c r="CA372"/>
      <c r="CB372" s="136"/>
      <c r="CC372">
        <v>5.24</v>
      </c>
      <c r="CD372"/>
      <c r="CE372"/>
      <c r="CF372"/>
      <c r="CG372"/>
      <c r="CH372"/>
      <c r="CI372"/>
      <c r="CJ372"/>
      <c r="CK372"/>
      <c r="CL372"/>
      <c r="CM372"/>
    </row>
    <row r="373" spans="1:91" s="338" customFormat="1">
      <c r="A373" s="154" t="s">
        <v>7689</v>
      </c>
      <c r="B373" t="s">
        <v>8289</v>
      </c>
      <c r="C373">
        <v>1</v>
      </c>
      <c r="D373">
        <v>1317</v>
      </c>
      <c r="E373" s="113">
        <v>17</v>
      </c>
      <c r="F373" s="113">
        <v>13</v>
      </c>
      <c r="G373" s="113"/>
      <c r="H373" s="113"/>
      <c r="I373">
        <v>33.5</v>
      </c>
      <c r="J373" s="112"/>
      <c r="K373" s="320">
        <v>9</v>
      </c>
      <c r="L373" s="320"/>
      <c r="M373">
        <v>3.57</v>
      </c>
      <c r="N373" s="320"/>
      <c r="O373"/>
      <c r="P373"/>
      <c r="Q373"/>
      <c r="R373" s="153"/>
      <c r="S373" s="320">
        <v>15.019293085439999</v>
      </c>
      <c r="T373" s="320"/>
      <c r="U373">
        <v>10.8</v>
      </c>
      <c r="V373"/>
      <c r="W373"/>
      <c r="X373"/>
      <c r="Y373" s="321">
        <v>6.9880814999999998</v>
      </c>
      <c r="Z373" s="320"/>
      <c r="AA373" s="322">
        <v>90318.30238726789</v>
      </c>
      <c r="AB373" s="320"/>
      <c r="AC373" s="321">
        <v>31.972268999999997</v>
      </c>
      <c r="AD373" s="320"/>
      <c r="AE373" s="320">
        <v>34.049999999999997</v>
      </c>
      <c r="AF373" s="320"/>
      <c r="AG373">
        <v>3.77</v>
      </c>
      <c r="AH373"/>
      <c r="AI373">
        <v>118</v>
      </c>
      <c r="AJ373"/>
      <c r="AK373"/>
      <c r="AL373"/>
      <c r="AM373"/>
      <c r="AN373"/>
      <c r="AO373">
        <v>77</v>
      </c>
      <c r="AP373"/>
      <c r="AQ373" s="323"/>
      <c r="AR373" s="323"/>
      <c r="AS373">
        <v>112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>
        <v>-2.6025</v>
      </c>
      <c r="BH373"/>
      <c r="BI373">
        <v>4.5929000000000002</v>
      </c>
      <c r="BJ373"/>
      <c r="BK373">
        <v>1.5233000000000001</v>
      </c>
      <c r="BL373"/>
      <c r="BM373">
        <v>65.760999999999996</v>
      </c>
      <c r="BN373"/>
      <c r="BO373">
        <v>20.785</v>
      </c>
      <c r="BP373"/>
      <c r="BQ373">
        <v>10.064</v>
      </c>
      <c r="BR373"/>
      <c r="BS373">
        <v>46.975999999999999</v>
      </c>
      <c r="BT373"/>
      <c r="BU373">
        <v>20.9</v>
      </c>
      <c r="BV373"/>
      <c r="BW373" s="325">
        <v>11.99</v>
      </c>
      <c r="BX373"/>
      <c r="BY373">
        <v>6.3220000000000027</v>
      </c>
      <c r="BZ373"/>
      <c r="CA373"/>
      <c r="CB373" s="136"/>
      <c r="CC373">
        <v>6.27</v>
      </c>
      <c r="CD373"/>
      <c r="CE373"/>
      <c r="CF373"/>
      <c r="CG373"/>
      <c r="CH373"/>
      <c r="CI373"/>
      <c r="CJ373"/>
      <c r="CK373"/>
      <c r="CL373"/>
      <c r="CM373"/>
    </row>
    <row r="374" spans="1:91" s="338" customFormat="1">
      <c r="A374" s="327" t="s">
        <v>7690</v>
      </c>
      <c r="B374" s="328" t="s">
        <v>8287</v>
      </c>
      <c r="C374" s="328">
        <v>1</v>
      </c>
      <c r="D374" s="328">
        <v>821</v>
      </c>
      <c r="E374" s="113">
        <v>21</v>
      </c>
      <c r="F374" s="113">
        <v>8</v>
      </c>
      <c r="G374" s="329"/>
      <c r="H374" s="329"/>
      <c r="I374" s="328">
        <v>28.999999999999996</v>
      </c>
      <c r="J374" s="330"/>
      <c r="K374" s="331">
        <v>7</v>
      </c>
      <c r="L374" s="331"/>
      <c r="M374" s="328">
        <v>1.8</v>
      </c>
      <c r="N374" s="331"/>
      <c r="O374" s="328"/>
      <c r="P374" s="328"/>
      <c r="Q374" s="328"/>
      <c r="R374" s="332"/>
      <c r="S374" s="331">
        <v>8.5186774778879997</v>
      </c>
      <c r="T374" s="331"/>
      <c r="U374" s="328">
        <v>10.8</v>
      </c>
      <c r="V374" s="328"/>
      <c r="W374" s="328"/>
      <c r="X374" s="328"/>
      <c r="Y374" s="333">
        <v>3.0058560000000001</v>
      </c>
      <c r="Z374" s="331"/>
      <c r="AA374" s="334">
        <v>37124.183006535946</v>
      </c>
      <c r="AB374" s="331"/>
      <c r="AC374" s="333">
        <v>16.005331200000001</v>
      </c>
      <c r="AD374" s="331"/>
      <c r="AE374" s="331">
        <v>17.04</v>
      </c>
      <c r="AF374" s="331"/>
      <c r="AG374" s="328">
        <v>4.59</v>
      </c>
      <c r="AH374" s="328"/>
      <c r="AI374" s="328">
        <v>108</v>
      </c>
      <c r="AJ374" s="328"/>
      <c r="AK374" s="328"/>
      <c r="AL374" s="328"/>
      <c r="AM374" s="328"/>
      <c r="AN374" s="328"/>
      <c r="AO374" s="328">
        <v>81</v>
      </c>
      <c r="AP374" s="328"/>
      <c r="AQ374" s="335"/>
      <c r="AR374" s="335"/>
      <c r="AS374" s="328">
        <v>120</v>
      </c>
      <c r="AT374" s="328"/>
      <c r="AU374" s="328"/>
      <c r="AV374" s="328"/>
      <c r="AW374" s="328"/>
      <c r="AX374" s="328"/>
      <c r="AY374" s="328"/>
      <c r="AZ374" s="328"/>
      <c r="BA374" s="328"/>
      <c r="BB374" s="328"/>
      <c r="BC374" s="328"/>
      <c r="BD374" s="328"/>
      <c r="BE374" s="328"/>
      <c r="BF374" s="328"/>
      <c r="BG374" s="328">
        <v>-2.2486999999999999</v>
      </c>
      <c r="BH374" s="328"/>
      <c r="BI374" s="328">
        <v>4.7388000000000003</v>
      </c>
      <c r="BJ374" s="328"/>
      <c r="BK374" s="328">
        <v>1.6065</v>
      </c>
      <c r="BL374" s="328"/>
      <c r="BM374" s="328">
        <v>66.927000000000007</v>
      </c>
      <c r="BN374" s="328"/>
      <c r="BO374" s="328">
        <v>20.213000000000001</v>
      </c>
      <c r="BP374" s="328"/>
      <c r="BQ374" s="328">
        <v>8.7051999999999996</v>
      </c>
      <c r="BR374" s="328"/>
      <c r="BS374" s="328">
        <v>53.223999999999997</v>
      </c>
      <c r="BT374" s="328"/>
      <c r="BU374" s="328">
        <v>16.131</v>
      </c>
      <c r="BV374" s="328"/>
      <c r="BW374" s="336">
        <v>5.91</v>
      </c>
      <c r="BX374" s="328"/>
      <c r="BY374" s="328">
        <v>6.0690000000000026</v>
      </c>
      <c r="BZ374" s="328"/>
      <c r="CA374" s="328"/>
      <c r="CB374" s="337"/>
      <c r="CC374" s="328">
        <v>6.98</v>
      </c>
      <c r="CD374" s="328"/>
      <c r="CE374" s="328"/>
      <c r="CF374" s="328"/>
      <c r="CG374" s="328"/>
      <c r="CH374" s="328"/>
      <c r="CI374" s="328"/>
      <c r="CJ374" s="328"/>
      <c r="CK374" s="328" t="s">
        <v>8377</v>
      </c>
      <c r="CL374" s="328"/>
      <c r="CM374" s="328"/>
    </row>
    <row r="375" spans="1:91" s="338" customFormat="1">
      <c r="A375" s="327" t="s">
        <v>7690</v>
      </c>
      <c r="B375" s="328" t="s">
        <v>8289</v>
      </c>
      <c r="C375" s="328">
        <v>2</v>
      </c>
      <c r="D375" s="328">
        <v>964</v>
      </c>
      <c r="E375" s="113">
        <v>64</v>
      </c>
      <c r="F375" s="113">
        <v>9</v>
      </c>
      <c r="G375" s="329"/>
      <c r="H375" s="329"/>
      <c r="I375" s="328">
        <v>31</v>
      </c>
      <c r="J375" s="330"/>
      <c r="K375" s="331">
        <v>8</v>
      </c>
      <c r="L375" s="331"/>
      <c r="M375" s="328">
        <v>1.1399999999999999</v>
      </c>
      <c r="N375" s="331"/>
      <c r="O375" s="328"/>
      <c r="P375" s="328"/>
      <c r="Q375" s="328"/>
      <c r="R375" s="332"/>
      <c r="S375" s="331">
        <v>4.6962751599360004</v>
      </c>
      <c r="T375" s="331"/>
      <c r="U375" s="328">
        <v>10.8</v>
      </c>
      <c r="V375" s="328"/>
      <c r="W375" s="328"/>
      <c r="X375" s="328"/>
      <c r="Y375" s="333">
        <v>2.1640481999999999</v>
      </c>
      <c r="Z375" s="331"/>
      <c r="AA375" s="334">
        <v>28743.455497382201</v>
      </c>
      <c r="AB375" s="331"/>
      <c r="AC375" s="333">
        <v>10.199980800000001</v>
      </c>
      <c r="AD375" s="331"/>
      <c r="AE375" s="331">
        <v>10.98</v>
      </c>
      <c r="AF375" s="331"/>
      <c r="AG375" s="328">
        <v>3.82</v>
      </c>
      <c r="AH375" s="328"/>
      <c r="AI375" s="328"/>
      <c r="AJ375" s="328"/>
      <c r="AK375" s="328"/>
      <c r="AL375" s="328"/>
      <c r="AM375" s="328"/>
      <c r="AN375" s="328"/>
      <c r="AO375" s="328">
        <v>80</v>
      </c>
      <c r="AP375" s="328"/>
      <c r="AQ375" s="335"/>
      <c r="AR375" s="335"/>
      <c r="AS375" s="328">
        <v>114</v>
      </c>
      <c r="AT375" s="328"/>
      <c r="AU375" s="328"/>
      <c r="AV375" s="328"/>
      <c r="AW375" s="328"/>
      <c r="AX375" s="328"/>
      <c r="AY375" s="328"/>
      <c r="AZ375" s="328"/>
      <c r="BA375" s="328"/>
      <c r="BB375" s="328"/>
      <c r="BC375" s="328"/>
      <c r="BD375" s="328"/>
      <c r="BE375" s="328"/>
      <c r="BF375" s="328"/>
      <c r="BG375" s="328">
        <v>-5.1020000000000003</v>
      </c>
      <c r="BH375" s="328"/>
      <c r="BI375" s="328">
        <v>5.1527000000000003</v>
      </c>
      <c r="BJ375" s="328"/>
      <c r="BK375" s="328">
        <v>1.7017</v>
      </c>
      <c r="BL375" s="328"/>
      <c r="BM375" s="328">
        <v>62.281999999999996</v>
      </c>
      <c r="BN375" s="328"/>
      <c r="BO375" s="328">
        <v>20.565000000000001</v>
      </c>
      <c r="BP375" s="328"/>
      <c r="BQ375" s="328">
        <v>8.0079999999999991</v>
      </c>
      <c r="BR375" s="328"/>
      <c r="BS375" s="328">
        <v>46.042000000000002</v>
      </c>
      <c r="BT375" s="328"/>
      <c r="BU375" s="328">
        <v>18.045999999999999</v>
      </c>
      <c r="BV375" s="328"/>
      <c r="BW375" s="328" t="s">
        <v>8361</v>
      </c>
      <c r="BX375" s="339"/>
      <c r="BY375" s="328">
        <v>6.8790000000000049</v>
      </c>
      <c r="BZ375" s="328"/>
      <c r="CA375" s="328"/>
      <c r="CB375" s="337"/>
      <c r="CC375" s="328">
        <v>5.32</v>
      </c>
      <c r="CD375" s="328"/>
      <c r="CE375" s="328"/>
      <c r="CF375" s="328"/>
      <c r="CG375" s="328"/>
      <c r="CH375" s="328"/>
      <c r="CI375" s="328"/>
      <c r="CJ375" s="328"/>
      <c r="CK375" s="328" t="s">
        <v>8377</v>
      </c>
      <c r="CL375" s="328"/>
      <c r="CM375" s="328"/>
    </row>
    <row r="376" spans="1:91" s="338" customFormat="1">
      <c r="A376" s="154" t="s">
        <v>7690</v>
      </c>
      <c r="B376" t="s">
        <v>8289</v>
      </c>
      <c r="C376">
        <v>1</v>
      </c>
      <c r="D376">
        <v>1011</v>
      </c>
      <c r="E376" s="113">
        <v>11</v>
      </c>
      <c r="F376" s="113">
        <v>10</v>
      </c>
      <c r="G376" s="113"/>
      <c r="H376" s="113"/>
      <c r="I376">
        <v>25</v>
      </c>
      <c r="J376" s="112"/>
      <c r="K376" s="320">
        <v>9</v>
      </c>
      <c r="L376" s="320"/>
      <c r="M376">
        <v>2.82</v>
      </c>
      <c r="N376" s="320"/>
      <c r="O376"/>
      <c r="P376"/>
      <c r="Q376"/>
      <c r="R376" s="153"/>
      <c r="S376" s="320">
        <v>12.804665438501999</v>
      </c>
      <c r="T376" s="320"/>
      <c r="U376">
        <v>10.8</v>
      </c>
      <c r="V376"/>
      <c r="W376"/>
      <c r="X376"/>
      <c r="Y376" s="321">
        <v>5.1960864999999998</v>
      </c>
      <c r="Z376" s="320"/>
      <c r="AA376" s="322">
        <v>73961.748633879775</v>
      </c>
      <c r="AB376" s="320"/>
      <c r="AC376" s="321">
        <v>25.3367079</v>
      </c>
      <c r="AD376" s="320"/>
      <c r="AE376" s="320">
        <v>27.07</v>
      </c>
      <c r="AF376" s="320"/>
      <c r="AG376">
        <v>3.66</v>
      </c>
      <c r="AH376"/>
      <c r="AI376">
        <v>145</v>
      </c>
      <c r="AJ376"/>
      <c r="AK376"/>
      <c r="AL376"/>
      <c r="AM376"/>
      <c r="AN376"/>
      <c r="AO376">
        <v>81</v>
      </c>
      <c r="AP376"/>
      <c r="AQ376" s="323"/>
      <c r="AR376" s="323"/>
      <c r="AS376">
        <v>118</v>
      </c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>
        <v>6.2485999999999997</v>
      </c>
      <c r="BH376"/>
      <c r="BI376">
        <v>4.5824999999999996</v>
      </c>
      <c r="BJ376"/>
      <c r="BK376">
        <v>1.5061</v>
      </c>
      <c r="BL376"/>
      <c r="BM376">
        <v>52.298999999999999</v>
      </c>
      <c r="BN376"/>
      <c r="BO376">
        <v>18.532</v>
      </c>
      <c r="BP376"/>
      <c r="BQ376">
        <v>10.294</v>
      </c>
      <c r="BR376"/>
      <c r="BS376">
        <v>50.537999999999997</v>
      </c>
      <c r="BT376"/>
      <c r="BU376">
        <v>18.228999999999999</v>
      </c>
      <c r="BV376"/>
      <c r="BW376" s="325">
        <v>4.96</v>
      </c>
      <c r="BX376"/>
      <c r="BY376">
        <v>6.1159999999999997</v>
      </c>
      <c r="BZ376"/>
      <c r="CA376"/>
      <c r="CB376" s="136"/>
      <c r="CC376">
        <v>5.66</v>
      </c>
      <c r="CD376"/>
      <c r="CE376"/>
      <c r="CF376"/>
      <c r="CG376"/>
      <c r="CH376"/>
      <c r="CI376"/>
      <c r="CJ376"/>
      <c r="CK376"/>
      <c r="CL376"/>
      <c r="CM376"/>
    </row>
    <row r="377" spans="1:91" s="338" customFormat="1">
      <c r="A377" s="154" t="s">
        <v>7690</v>
      </c>
      <c r="B377" t="s">
        <v>8287</v>
      </c>
      <c r="C377">
        <v>2</v>
      </c>
      <c r="D377">
        <v>1374</v>
      </c>
      <c r="E377" s="113">
        <v>74</v>
      </c>
      <c r="F377" s="113">
        <v>13</v>
      </c>
      <c r="G377" s="113"/>
      <c r="H377" s="113"/>
      <c r="I377">
        <v>28.999999999999996</v>
      </c>
      <c r="J377" s="112"/>
      <c r="K377" s="320">
        <v>9</v>
      </c>
      <c r="L377" s="320"/>
      <c r="M377">
        <v>2.48</v>
      </c>
      <c r="N377" s="320"/>
      <c r="O377"/>
      <c r="P377"/>
      <c r="Q377"/>
      <c r="R377" s="153"/>
      <c r="S377" s="320">
        <v>11.183158576638</v>
      </c>
      <c r="T377" s="320"/>
      <c r="U377">
        <v>10.8</v>
      </c>
      <c r="V377"/>
      <c r="W377"/>
      <c r="X377"/>
      <c r="Y377" s="321">
        <v>4.2912210000000002</v>
      </c>
      <c r="Z377" s="320"/>
      <c r="AA377" s="322">
        <v>69360.465116279069</v>
      </c>
      <c r="AB377" s="320"/>
      <c r="AC377" s="321">
        <v>22.347991799999999</v>
      </c>
      <c r="AD377" s="320"/>
      <c r="AE377" s="320">
        <v>23.86</v>
      </c>
      <c r="AF377" s="320"/>
      <c r="AG377">
        <v>3.44</v>
      </c>
      <c r="AH377"/>
      <c r="AI377">
        <v>130</v>
      </c>
      <c r="AJ377"/>
      <c r="AK377"/>
      <c r="AL377"/>
      <c r="AM377"/>
      <c r="AN377"/>
      <c r="AO377">
        <v>82</v>
      </c>
      <c r="AP377"/>
      <c r="AQ377" s="323"/>
      <c r="AR377" s="323"/>
      <c r="AS377">
        <v>114</v>
      </c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>
        <v>3.7639999999999998</v>
      </c>
      <c r="BH377"/>
      <c r="BI377">
        <v>5.1837</v>
      </c>
      <c r="BJ377"/>
      <c r="BK377">
        <v>1.4446000000000001</v>
      </c>
      <c r="BL377"/>
      <c r="BM377">
        <v>56.695</v>
      </c>
      <c r="BN377"/>
      <c r="BO377">
        <v>22.295999999999999</v>
      </c>
      <c r="BP377"/>
      <c r="BQ377">
        <v>9.1567000000000007</v>
      </c>
      <c r="BR377"/>
      <c r="BS377">
        <v>50.040999999999997</v>
      </c>
      <c r="BT377"/>
      <c r="BU377">
        <v>16.007000000000001</v>
      </c>
      <c r="BV377"/>
      <c r="BW377" s="325">
        <v>7.32</v>
      </c>
      <c r="BX377"/>
      <c r="BY377">
        <v>6.2609999999999957</v>
      </c>
      <c r="BZ377"/>
      <c r="CA377"/>
      <c r="CB377" s="136"/>
      <c r="CC377">
        <v>5.43</v>
      </c>
      <c r="CD377"/>
      <c r="CE377"/>
      <c r="CF377"/>
      <c r="CG377"/>
      <c r="CH377"/>
      <c r="CI377"/>
      <c r="CJ377"/>
      <c r="CK377"/>
      <c r="CL377"/>
      <c r="CM377"/>
    </row>
    <row r="378" spans="1:91" s="338" customFormat="1">
      <c r="A378" s="327" t="s">
        <v>7691</v>
      </c>
      <c r="B378" s="328" t="s">
        <v>8289</v>
      </c>
      <c r="C378" s="328">
        <v>2</v>
      </c>
      <c r="D378" s="328">
        <v>342</v>
      </c>
      <c r="E378" s="113">
        <v>42</v>
      </c>
      <c r="F378" s="113">
        <v>3</v>
      </c>
      <c r="G378" s="329"/>
      <c r="H378" s="329"/>
      <c r="I378" s="328">
        <v>22.5</v>
      </c>
      <c r="J378" s="330"/>
      <c r="K378" s="331">
        <v>7</v>
      </c>
      <c r="L378" s="331"/>
      <c r="M378" s="328">
        <v>3.35</v>
      </c>
      <c r="N378" s="331"/>
      <c r="O378" s="328"/>
      <c r="P378" s="328"/>
      <c r="Q378" s="328"/>
      <c r="R378" s="332"/>
      <c r="S378" s="331">
        <v>14.662104747449998</v>
      </c>
      <c r="T378" s="331"/>
      <c r="U378" s="328">
        <v>10.8</v>
      </c>
      <c r="V378" s="328"/>
      <c r="W378" s="328"/>
      <c r="X378" s="328"/>
      <c r="Y378" s="333">
        <v>6.1560569999999997</v>
      </c>
      <c r="Z378" s="331"/>
      <c r="AA378" s="334">
        <v>70524.017467248908</v>
      </c>
      <c r="AB378" s="331"/>
      <c r="AC378" s="333">
        <v>30.266714999999998</v>
      </c>
      <c r="AD378" s="331"/>
      <c r="AE378" s="331">
        <v>32.299999999999997</v>
      </c>
      <c r="AF378" s="331"/>
      <c r="AG378" s="328">
        <v>4.58</v>
      </c>
      <c r="AH378" s="328"/>
      <c r="AI378" s="328">
        <v>115</v>
      </c>
      <c r="AJ378" s="328"/>
      <c r="AK378" s="328"/>
      <c r="AL378" s="328"/>
      <c r="AM378" s="328"/>
      <c r="AN378" s="328"/>
      <c r="AO378" s="328">
        <v>81</v>
      </c>
      <c r="AP378" s="328"/>
      <c r="AQ378" s="335"/>
      <c r="AR378" s="335"/>
      <c r="AS378" s="328">
        <v>115</v>
      </c>
      <c r="AT378" s="328"/>
      <c r="AU378" s="328"/>
      <c r="AV378" s="328"/>
      <c r="AW378" s="328"/>
      <c r="AX378" s="328"/>
      <c r="AY378" s="328"/>
      <c r="AZ378" s="328"/>
      <c r="BA378" s="328"/>
      <c r="BB378" s="328"/>
      <c r="BC378" s="328"/>
      <c r="BD378" s="328"/>
      <c r="BE378" s="328"/>
      <c r="BF378" s="328"/>
      <c r="BG378" s="328">
        <v>-1.4842</v>
      </c>
      <c r="BH378" s="328"/>
      <c r="BI378" s="328">
        <v>4.8127000000000004</v>
      </c>
      <c r="BJ378" s="328"/>
      <c r="BK378" s="328">
        <v>1.4697</v>
      </c>
      <c r="BL378" s="328"/>
      <c r="BM378" s="328">
        <v>59.887</v>
      </c>
      <c r="BN378" s="328"/>
      <c r="BO378" s="328">
        <v>21.85</v>
      </c>
      <c r="BP378" s="328"/>
      <c r="BQ378" s="328">
        <v>10.163</v>
      </c>
      <c r="BR378" s="328"/>
      <c r="BS378" s="328">
        <v>48.442999999999998</v>
      </c>
      <c r="BT378" s="328"/>
      <c r="BU378" s="328">
        <v>19.202000000000002</v>
      </c>
      <c r="BV378" s="328"/>
      <c r="BW378" s="336">
        <v>7.61</v>
      </c>
      <c r="BX378" s="328"/>
      <c r="BY378" s="328">
        <v>6.4099999999999966</v>
      </c>
      <c r="BZ378" s="328"/>
      <c r="CA378" s="328"/>
      <c r="CB378" s="337"/>
      <c r="CC378" s="328">
        <v>5.25</v>
      </c>
      <c r="CD378" s="328"/>
      <c r="CE378" s="328"/>
      <c r="CF378" s="328"/>
      <c r="CG378" s="328"/>
      <c r="CH378" s="328"/>
      <c r="CI378" s="328"/>
      <c r="CJ378" s="328"/>
      <c r="CK378" s="328" t="s">
        <v>8377</v>
      </c>
      <c r="CL378" s="328"/>
      <c r="CM378" s="328"/>
    </row>
    <row r="379" spans="1:91" s="338" customFormat="1">
      <c r="A379" s="327" t="s">
        <v>7691</v>
      </c>
      <c r="B379" s="328" t="s">
        <v>8287</v>
      </c>
      <c r="C379" s="328">
        <v>1</v>
      </c>
      <c r="D379" s="328">
        <v>920</v>
      </c>
      <c r="E379" s="113">
        <v>20</v>
      </c>
      <c r="F379" s="113">
        <v>9</v>
      </c>
      <c r="G379" s="329"/>
      <c r="H379" s="329"/>
      <c r="I379" s="328">
        <v>21</v>
      </c>
      <c r="J379" s="330"/>
      <c r="K379" s="331">
        <v>7</v>
      </c>
      <c r="L379" s="331"/>
      <c r="M379" s="328">
        <v>1.57</v>
      </c>
      <c r="N379" s="331"/>
      <c r="O379" s="328"/>
      <c r="P379" s="328"/>
      <c r="Q379" s="328"/>
      <c r="R379" s="332"/>
      <c r="S379" s="331">
        <v>7.158437146439999</v>
      </c>
      <c r="T379" s="331"/>
      <c r="U379" s="328">
        <v>10.8</v>
      </c>
      <c r="V379" s="328"/>
      <c r="W379" s="328"/>
      <c r="X379" s="328"/>
      <c r="Y379" s="333">
        <v>2.8441277999999999</v>
      </c>
      <c r="Z379" s="331"/>
      <c r="AA379" s="334">
        <v>36000</v>
      </c>
      <c r="AB379" s="331"/>
      <c r="AC379" s="333">
        <v>14.041657799999999</v>
      </c>
      <c r="AD379" s="331"/>
      <c r="AE379" s="331">
        <v>14.94</v>
      </c>
      <c r="AF379" s="331"/>
      <c r="AG379" s="328">
        <v>4.1500000000000004</v>
      </c>
      <c r="AH379" s="328"/>
      <c r="AI379" s="328"/>
      <c r="AJ379" s="328"/>
      <c r="AK379" s="328"/>
      <c r="AL379" s="328"/>
      <c r="AM379" s="328"/>
      <c r="AN379" s="328"/>
      <c r="AO379" s="328">
        <v>90</v>
      </c>
      <c r="AP379" s="328"/>
      <c r="AQ379" s="335"/>
      <c r="AR379" s="335"/>
      <c r="AS379" s="328">
        <v>116</v>
      </c>
      <c r="AT379" s="328"/>
      <c r="AU379" s="328"/>
      <c r="AV379" s="328"/>
      <c r="AW379" s="328"/>
      <c r="AX379" s="328"/>
      <c r="AY379" s="328"/>
      <c r="AZ379" s="328"/>
      <c r="BA379" s="328"/>
      <c r="BB379" s="328"/>
      <c r="BC379" s="328"/>
      <c r="BD379" s="328"/>
      <c r="BE379" s="328"/>
      <c r="BF379" s="328"/>
      <c r="BG379" s="328">
        <v>2.4796</v>
      </c>
      <c r="BH379" s="328"/>
      <c r="BI379" s="328">
        <v>4.9710000000000001</v>
      </c>
      <c r="BJ379" s="328"/>
      <c r="BK379" s="328">
        <v>1.5476000000000001</v>
      </c>
      <c r="BL379" s="328"/>
      <c r="BM379" s="328">
        <v>63.122</v>
      </c>
      <c r="BN379" s="328"/>
      <c r="BO379" s="328">
        <v>20.899000000000001</v>
      </c>
      <c r="BP379" s="328"/>
      <c r="BQ379" s="328">
        <v>8.7108000000000008</v>
      </c>
      <c r="BR379" s="328"/>
      <c r="BS379" s="328">
        <v>50.98</v>
      </c>
      <c r="BT379" s="328"/>
      <c r="BU379" s="328">
        <v>16.634</v>
      </c>
      <c r="BV379" s="328"/>
      <c r="BW379" s="336">
        <v>4.91</v>
      </c>
      <c r="BX379" s="328"/>
      <c r="BY379" s="328">
        <v>6.0229999999999961</v>
      </c>
      <c r="BZ379" s="328"/>
      <c r="CA379" s="328"/>
      <c r="CB379" s="337"/>
      <c r="CC379" s="328">
        <v>6.47</v>
      </c>
      <c r="CD379" s="328"/>
      <c r="CE379" s="328"/>
      <c r="CF379" s="328"/>
      <c r="CG379" s="328"/>
      <c r="CH379" s="328"/>
      <c r="CI379" s="328"/>
      <c r="CJ379" s="328"/>
      <c r="CK379" s="328" t="s">
        <v>8377</v>
      </c>
      <c r="CL379" s="328"/>
      <c r="CM379" s="328"/>
    </row>
    <row r="380" spans="1:91" s="338" customFormat="1">
      <c r="A380" s="154" t="s">
        <v>7691</v>
      </c>
      <c r="B380" t="s">
        <v>8287</v>
      </c>
      <c r="C380">
        <v>2</v>
      </c>
      <c r="D380">
        <v>1559</v>
      </c>
      <c r="E380" s="113">
        <v>59</v>
      </c>
      <c r="F380" s="113">
        <v>15</v>
      </c>
      <c r="G380" s="113"/>
      <c r="H380" s="113"/>
      <c r="I380">
        <v>32.5</v>
      </c>
      <c r="J380" s="112"/>
      <c r="K380" s="320">
        <v>8</v>
      </c>
      <c r="L380" s="320"/>
      <c r="M380">
        <v>3.56</v>
      </c>
      <c r="N380" s="320"/>
      <c r="O380"/>
      <c r="P380"/>
      <c r="Q380"/>
      <c r="R380" s="153"/>
      <c r="S380" s="320">
        <v>15.390436662899999</v>
      </c>
      <c r="T380" s="320"/>
      <c r="U380">
        <v>10.8</v>
      </c>
      <c r="V380"/>
      <c r="W380"/>
      <c r="X380"/>
      <c r="Y380" s="321">
        <v>5.7916364999999992</v>
      </c>
      <c r="Z380" s="320"/>
      <c r="AA380" s="322">
        <v>76382.488479262669</v>
      </c>
      <c r="AB380" s="320"/>
      <c r="AC380" s="321">
        <v>31.046632499999998</v>
      </c>
      <c r="AD380" s="320"/>
      <c r="AE380" s="320">
        <v>33.15</v>
      </c>
      <c r="AF380" s="320"/>
      <c r="AG380">
        <v>4.34</v>
      </c>
      <c r="AH380"/>
      <c r="AI380">
        <v>115</v>
      </c>
      <c r="AJ380"/>
      <c r="AK380"/>
      <c r="AL380"/>
      <c r="AM380"/>
      <c r="AN380"/>
      <c r="AO380">
        <v>81</v>
      </c>
      <c r="AP380"/>
      <c r="AQ380" s="323"/>
      <c r="AR380" s="323"/>
      <c r="AS380">
        <v>112</v>
      </c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>
        <v>-5.0807000000000002</v>
      </c>
      <c r="BH380"/>
      <c r="BI380">
        <v>4.8968999999999996</v>
      </c>
      <c r="BJ380"/>
      <c r="BK380">
        <v>1.4582999999999999</v>
      </c>
      <c r="BL380"/>
      <c r="BM380">
        <v>65.680999999999997</v>
      </c>
      <c r="BN380"/>
      <c r="BO380">
        <v>22.291</v>
      </c>
      <c r="BP380"/>
      <c r="BQ380">
        <v>9.8444000000000003</v>
      </c>
      <c r="BR380"/>
      <c r="BS380">
        <v>49.572000000000003</v>
      </c>
      <c r="BT380"/>
      <c r="BU380">
        <v>17.579999999999998</v>
      </c>
      <c r="BV380"/>
      <c r="BW380" s="325">
        <v>12.38</v>
      </c>
      <c r="BX380"/>
      <c r="BY380">
        <v>6.3990000000000009</v>
      </c>
      <c r="BZ380"/>
      <c r="CA380"/>
      <c r="CB380" s="136"/>
      <c r="CC380">
        <v>8.49</v>
      </c>
      <c r="CD380"/>
      <c r="CE380"/>
      <c r="CF380"/>
      <c r="CG380"/>
      <c r="CH380"/>
      <c r="CI380"/>
      <c r="CJ380"/>
      <c r="CK380"/>
      <c r="CL380"/>
      <c r="CM380"/>
    </row>
    <row r="381" spans="1:91" s="338" customFormat="1">
      <c r="A381" s="154" t="s">
        <v>7691</v>
      </c>
      <c r="B381" t="s">
        <v>8289</v>
      </c>
      <c r="C381">
        <v>1</v>
      </c>
      <c r="D381">
        <v>1531</v>
      </c>
      <c r="E381" s="113">
        <v>31</v>
      </c>
      <c r="F381" s="113">
        <v>15</v>
      </c>
      <c r="G381" s="113"/>
      <c r="H381" s="113"/>
      <c r="I381">
        <v>28.5</v>
      </c>
      <c r="J381" s="112"/>
      <c r="K381" s="320">
        <v>8</v>
      </c>
      <c r="L381" s="320"/>
      <c r="M381">
        <v>2.93</v>
      </c>
      <c r="N381" s="320"/>
      <c r="O381"/>
      <c r="P381"/>
      <c r="Q381"/>
      <c r="R381" s="153"/>
      <c r="S381" s="320">
        <v>10.63973088665</v>
      </c>
      <c r="T381" s="320"/>
      <c r="U381">
        <v>10.8</v>
      </c>
      <c r="V381"/>
      <c r="W381"/>
      <c r="X381"/>
      <c r="Y381" s="321">
        <v>5.3625144999999996</v>
      </c>
      <c r="Z381" s="320"/>
      <c r="AA381" s="322">
        <v>66870.415647921764</v>
      </c>
      <c r="AB381" s="320"/>
      <c r="AC381" s="321">
        <v>25.569514999999999</v>
      </c>
      <c r="AD381" s="320"/>
      <c r="AE381" s="320">
        <v>27.35</v>
      </c>
      <c r="AF381" s="320"/>
      <c r="AG381">
        <v>4.09</v>
      </c>
      <c r="AH381"/>
      <c r="AI381">
        <v>113</v>
      </c>
      <c r="AJ381"/>
      <c r="AK381"/>
      <c r="AL381"/>
      <c r="AM381"/>
      <c r="AN381"/>
      <c r="AO381">
        <v>81</v>
      </c>
      <c r="AP381"/>
      <c r="AQ381" s="323"/>
      <c r="AR381" s="323"/>
      <c r="AS381">
        <v>112</v>
      </c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>
        <v>-0.49117</v>
      </c>
      <c r="BH381"/>
      <c r="BI381">
        <v>5.3971</v>
      </c>
      <c r="BJ381"/>
      <c r="BK381">
        <v>1.508</v>
      </c>
      <c r="BL381"/>
      <c r="BM381">
        <v>57.898000000000003</v>
      </c>
      <c r="BN381"/>
      <c r="BO381">
        <v>22.443999999999999</v>
      </c>
      <c r="BP381"/>
      <c r="BQ381">
        <v>9.0951000000000004</v>
      </c>
      <c r="BR381"/>
      <c r="BS381">
        <v>41.610999999999997</v>
      </c>
      <c r="BT381"/>
      <c r="BU381">
        <v>20.978000000000002</v>
      </c>
      <c r="BV381"/>
      <c r="BW381" s="325">
        <v>6.57</v>
      </c>
      <c r="BX381"/>
      <c r="BY381">
        <v>7.1370000000000005</v>
      </c>
      <c r="BZ381"/>
      <c r="CA381"/>
      <c r="CB381" s="136"/>
      <c r="CC381">
        <v>8.25</v>
      </c>
      <c r="CD381"/>
      <c r="CE381"/>
      <c r="CF381"/>
      <c r="CG381"/>
      <c r="CH381"/>
      <c r="CI381"/>
      <c r="CJ381"/>
      <c r="CK381"/>
      <c r="CL381"/>
      <c r="CM381"/>
    </row>
    <row r="382" spans="1:91" s="338" customFormat="1">
      <c r="A382" s="154" t="s">
        <v>7692</v>
      </c>
      <c r="B382" t="s">
        <v>8289</v>
      </c>
      <c r="C382">
        <v>2</v>
      </c>
      <c r="D382">
        <v>569</v>
      </c>
      <c r="E382" s="113">
        <v>69</v>
      </c>
      <c r="F382" s="113">
        <v>5</v>
      </c>
      <c r="G382" s="113"/>
      <c r="H382" s="113"/>
      <c r="I382">
        <v>36</v>
      </c>
      <c r="J382" s="112"/>
      <c r="K382" s="320">
        <v>9</v>
      </c>
      <c r="L382" s="320"/>
      <c r="M382">
        <v>3.06</v>
      </c>
      <c r="N382" s="320"/>
      <c r="O382"/>
      <c r="P382"/>
      <c r="Q382"/>
      <c r="R382" s="153"/>
      <c r="S382" s="320">
        <v>12.336326613799999</v>
      </c>
      <c r="T382" s="320"/>
      <c r="U382">
        <v>10.8</v>
      </c>
      <c r="V382"/>
      <c r="W382"/>
      <c r="X382"/>
      <c r="Y382" s="321">
        <v>5.8482924000000001</v>
      </c>
      <c r="Z382" s="320"/>
      <c r="AA382" s="322">
        <v>65855.855855855843</v>
      </c>
      <c r="AB382" s="320"/>
      <c r="AC382" s="321">
        <v>27.238522</v>
      </c>
      <c r="AD382" s="320"/>
      <c r="AE382" s="320">
        <v>29.24</v>
      </c>
      <c r="AF382" s="320"/>
      <c r="AG382">
        <v>4.4400000000000004</v>
      </c>
      <c r="AH382"/>
      <c r="AI382">
        <v>103</v>
      </c>
      <c r="AJ382"/>
      <c r="AK382"/>
      <c r="AL382"/>
      <c r="AM382"/>
      <c r="AN382"/>
      <c r="AO382">
        <v>77</v>
      </c>
      <c r="AP382"/>
      <c r="AQ382" s="323"/>
      <c r="AR382" s="323"/>
      <c r="AS382">
        <v>112</v>
      </c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>
        <v>1.5106999999999999</v>
      </c>
      <c r="BH382"/>
      <c r="BI382">
        <v>4.4970999999999997</v>
      </c>
      <c r="BJ382"/>
      <c r="BK382">
        <v>1.573</v>
      </c>
      <c r="BL382"/>
      <c r="BM382">
        <v>61.137999999999998</v>
      </c>
      <c r="BN382"/>
      <c r="BO382">
        <v>20.25</v>
      </c>
      <c r="BP382"/>
      <c r="BQ382">
        <v>9.3267000000000007</v>
      </c>
      <c r="BR382"/>
      <c r="BS382">
        <v>45.29</v>
      </c>
      <c r="BT382"/>
      <c r="BU382">
        <v>21.123999999999999</v>
      </c>
      <c r="BV382"/>
      <c r="BW382" s="325">
        <v>10.15</v>
      </c>
      <c r="BX382"/>
      <c r="BY382">
        <v>6.980000000000004</v>
      </c>
      <c r="BZ382"/>
      <c r="CA382"/>
      <c r="CB382" s="136"/>
      <c r="CC382">
        <v>6.08</v>
      </c>
      <c r="CD382"/>
      <c r="CE382"/>
      <c r="CF382"/>
      <c r="CG382"/>
      <c r="CH382"/>
      <c r="CI382"/>
      <c r="CJ382"/>
      <c r="CK382"/>
      <c r="CL382"/>
      <c r="CM382"/>
    </row>
    <row r="383" spans="1:91" s="338" customFormat="1">
      <c r="A383" s="154" t="s">
        <v>7692</v>
      </c>
      <c r="B383" t="s">
        <v>8287</v>
      </c>
      <c r="C383">
        <v>1</v>
      </c>
      <c r="D383">
        <v>631</v>
      </c>
      <c r="E383" s="113">
        <v>31</v>
      </c>
      <c r="F383" s="113">
        <v>6</v>
      </c>
      <c r="G383" s="113"/>
      <c r="H383" s="113"/>
      <c r="I383">
        <v>31.499999999999996</v>
      </c>
      <c r="J383" s="112"/>
      <c r="K383" s="320">
        <v>9</v>
      </c>
      <c r="L383" s="320"/>
      <c r="M383">
        <v>3.42</v>
      </c>
      <c r="N383" s="320"/>
      <c r="O383"/>
      <c r="P383"/>
      <c r="Q383"/>
      <c r="R383" s="153"/>
      <c r="S383" s="320">
        <v>14.423776303104001</v>
      </c>
      <c r="T383" s="320"/>
      <c r="U383">
        <v>10.8</v>
      </c>
      <c r="V383"/>
      <c r="W383"/>
      <c r="X383"/>
      <c r="Y383" s="321">
        <v>6.1758816000000003</v>
      </c>
      <c r="Z383" s="320"/>
      <c r="AA383" s="322">
        <v>72380.952380952382</v>
      </c>
      <c r="AB383" s="320"/>
      <c r="AC383" s="321">
        <v>29.785190400000001</v>
      </c>
      <c r="AD383" s="320"/>
      <c r="AE383" s="320">
        <v>31.92</v>
      </c>
      <c r="AF383" s="320"/>
      <c r="AG383">
        <v>4.41</v>
      </c>
      <c r="AH383"/>
      <c r="AI383">
        <v>118</v>
      </c>
      <c r="AJ383"/>
      <c r="AK383"/>
      <c r="AL383"/>
      <c r="AM383"/>
      <c r="AN383"/>
      <c r="AO383">
        <v>77</v>
      </c>
      <c r="AP383"/>
      <c r="AQ383" s="323"/>
      <c r="AR383" s="323"/>
      <c r="AS383">
        <v>112</v>
      </c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>
        <v>1.0964</v>
      </c>
      <c r="BH383"/>
      <c r="BI383">
        <v>4.194</v>
      </c>
      <c r="BJ383"/>
      <c r="BK383">
        <v>1.4329000000000001</v>
      </c>
      <c r="BL383"/>
      <c r="BM383">
        <v>62.84</v>
      </c>
      <c r="BN383"/>
      <c r="BO383">
        <v>20.655999999999999</v>
      </c>
      <c r="BP383"/>
      <c r="BQ383">
        <v>9.7812000000000001</v>
      </c>
      <c r="BR383"/>
      <c r="BS383">
        <v>48.426000000000002</v>
      </c>
      <c r="BT383"/>
      <c r="BU383">
        <v>19.866</v>
      </c>
      <c r="BV383"/>
      <c r="BW383" s="325">
        <v>14.47</v>
      </c>
      <c r="BX383"/>
      <c r="BY383">
        <v>6.784000000000006</v>
      </c>
      <c r="BZ383"/>
      <c r="CA383"/>
      <c r="CB383" s="136"/>
      <c r="CC383">
        <v>8.2799999999999994</v>
      </c>
      <c r="CD383"/>
      <c r="CE383"/>
      <c r="CF383"/>
      <c r="CG383"/>
      <c r="CH383"/>
      <c r="CI383"/>
      <c r="CJ383"/>
      <c r="CK383"/>
      <c r="CL383"/>
      <c r="CM383"/>
    </row>
    <row r="384" spans="1:91" s="338" customFormat="1">
      <c r="A384" s="154" t="s">
        <v>7692</v>
      </c>
      <c r="B384" t="s">
        <v>8287</v>
      </c>
      <c r="C384">
        <v>2</v>
      </c>
      <c r="D384">
        <v>1045</v>
      </c>
      <c r="E384" s="113">
        <v>45</v>
      </c>
      <c r="F384" s="113">
        <v>10</v>
      </c>
      <c r="G384" s="113"/>
      <c r="H384" s="113"/>
      <c r="I384">
        <v>32.5</v>
      </c>
      <c r="J384" s="112"/>
      <c r="K384" s="320">
        <v>9</v>
      </c>
      <c r="L384" s="320"/>
      <c r="M384">
        <v>2.21</v>
      </c>
      <c r="N384" s="320"/>
      <c r="O384"/>
      <c r="P384"/>
      <c r="Q384"/>
      <c r="R384" s="153"/>
      <c r="S384" s="320">
        <v>9.0842529587679994</v>
      </c>
      <c r="T384" s="320"/>
      <c r="U384">
        <v>10.8</v>
      </c>
      <c r="V384"/>
      <c r="W384"/>
      <c r="X384"/>
      <c r="Y384" s="321">
        <v>4.2886375000000001</v>
      </c>
      <c r="Z384" s="320"/>
      <c r="AA384" s="322">
        <v>60712.250712250716</v>
      </c>
      <c r="AB384" s="320"/>
      <c r="AC384" s="321">
        <v>19.998795699999999</v>
      </c>
      <c r="AD384" s="320"/>
      <c r="AE384" s="320">
        <v>21.31</v>
      </c>
      <c r="AF384" s="320"/>
      <c r="AG384">
        <v>3.51</v>
      </c>
      <c r="AH384"/>
      <c r="AI384">
        <v>110</v>
      </c>
      <c r="AJ384"/>
      <c r="AK384"/>
      <c r="AL384"/>
      <c r="AM384"/>
      <c r="AN384"/>
      <c r="AO384">
        <v>77</v>
      </c>
      <c r="AP384"/>
      <c r="AQ384" s="323"/>
      <c r="AR384" s="323"/>
      <c r="AS384">
        <v>112</v>
      </c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>
        <v>-0.85138000000000003</v>
      </c>
      <c r="BH384"/>
      <c r="BI384">
        <v>4.7088000000000001</v>
      </c>
      <c r="BJ384"/>
      <c r="BK384">
        <v>1.4724999999999999</v>
      </c>
      <c r="BL384"/>
      <c r="BM384">
        <v>60.448</v>
      </c>
      <c r="BN384"/>
      <c r="BO384">
        <v>21.056999999999999</v>
      </c>
      <c r="BP384"/>
      <c r="BQ384">
        <v>9.6007999999999996</v>
      </c>
      <c r="BR384"/>
      <c r="BS384">
        <v>45.423999999999999</v>
      </c>
      <c r="BT384"/>
      <c r="BU384">
        <v>20.962</v>
      </c>
      <c r="BV384"/>
      <c r="BW384" s="325">
        <v>10.41</v>
      </c>
      <c r="BX384"/>
      <c r="BY384">
        <v>6.8160000000000025</v>
      </c>
      <c r="BZ384"/>
      <c r="CA384"/>
      <c r="CB384" s="136"/>
      <c r="CC384">
        <v>5.24</v>
      </c>
      <c r="CD384"/>
      <c r="CE384"/>
      <c r="CF384"/>
      <c r="CG384"/>
      <c r="CH384"/>
      <c r="CI384"/>
      <c r="CJ384"/>
      <c r="CK384"/>
      <c r="CL384"/>
      <c r="CM384"/>
    </row>
    <row r="385" spans="1:91" s="338" customFormat="1">
      <c r="A385" s="154" t="s">
        <v>7692</v>
      </c>
      <c r="B385" t="s">
        <v>8289</v>
      </c>
      <c r="C385">
        <v>1</v>
      </c>
      <c r="D385">
        <v>1605</v>
      </c>
      <c r="E385" s="113">
        <v>5</v>
      </c>
      <c r="F385" s="113">
        <v>16</v>
      </c>
      <c r="G385" s="113"/>
      <c r="H385" s="113"/>
      <c r="I385">
        <v>30.499999999999996</v>
      </c>
      <c r="J385" s="112"/>
      <c r="K385" s="320">
        <v>8</v>
      </c>
      <c r="L385" s="320"/>
      <c r="M385">
        <v>2.92</v>
      </c>
      <c r="N385" s="320"/>
      <c r="O385"/>
      <c r="P385"/>
      <c r="Q385"/>
      <c r="R385" s="153"/>
      <c r="S385" s="320">
        <v>12.790408650990001</v>
      </c>
      <c r="T385" s="320"/>
      <c r="U385">
        <v>10.8</v>
      </c>
      <c r="V385"/>
      <c r="W385"/>
      <c r="X385"/>
      <c r="Y385" s="321">
        <v>5.1451928000000011</v>
      </c>
      <c r="Z385" s="320"/>
      <c r="AA385" s="322">
        <v>67916.666666666672</v>
      </c>
      <c r="AB385" s="320"/>
      <c r="AC385" s="321">
        <v>25.802720700000002</v>
      </c>
      <c r="AD385" s="320"/>
      <c r="AE385" s="320">
        <v>27.71</v>
      </c>
      <c r="AF385" s="320"/>
      <c r="AG385">
        <v>4.08</v>
      </c>
      <c r="AH385"/>
      <c r="AI385">
        <v>105</v>
      </c>
      <c r="AJ385"/>
      <c r="AK385"/>
      <c r="AL385"/>
      <c r="AM385"/>
      <c r="AN385"/>
      <c r="AO385">
        <v>79</v>
      </c>
      <c r="AP385"/>
      <c r="AQ385" s="323"/>
      <c r="AR385" s="323"/>
      <c r="AS385">
        <v>112</v>
      </c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>
        <v>-1.5039</v>
      </c>
      <c r="BH385"/>
      <c r="BI385">
        <v>4.4798</v>
      </c>
      <c r="BJ385"/>
      <c r="BK385">
        <v>1.5192000000000001</v>
      </c>
      <c r="BL385"/>
      <c r="BM385">
        <v>61.82</v>
      </c>
      <c r="BN385"/>
      <c r="BO385">
        <v>19.696999999999999</v>
      </c>
      <c r="BP385"/>
      <c r="BQ385">
        <v>9.7156000000000002</v>
      </c>
      <c r="BR385"/>
      <c r="BS385">
        <v>49.57</v>
      </c>
      <c r="BT385"/>
      <c r="BU385">
        <v>19.471</v>
      </c>
      <c r="BV385"/>
      <c r="BW385" s="325">
        <v>10.83</v>
      </c>
      <c r="BX385"/>
      <c r="BY385">
        <v>6.453000000000003</v>
      </c>
      <c r="BZ385"/>
      <c r="CA385"/>
      <c r="CB385" s="136"/>
      <c r="CC385">
        <v>6.75</v>
      </c>
      <c r="CD385"/>
      <c r="CE385"/>
      <c r="CF385"/>
      <c r="CG385"/>
      <c r="CH385"/>
      <c r="CI385"/>
      <c r="CJ385"/>
      <c r="CK385"/>
      <c r="CL385"/>
      <c r="CM385"/>
    </row>
    <row r="386" spans="1:91" s="338" customFormat="1">
      <c r="A386" s="154" t="s">
        <v>7693</v>
      </c>
      <c r="B386" t="s">
        <v>8287</v>
      </c>
      <c r="C386">
        <v>1</v>
      </c>
      <c r="D386">
        <v>236</v>
      </c>
      <c r="E386" s="113">
        <v>36</v>
      </c>
      <c r="F386" s="113">
        <v>2</v>
      </c>
      <c r="G386" s="113"/>
      <c r="H386" s="113"/>
      <c r="I386">
        <v>27.499999999999996</v>
      </c>
      <c r="J386" s="112"/>
      <c r="K386" s="320">
        <v>9</v>
      </c>
      <c r="L386" s="320"/>
      <c r="M386">
        <v>3.78</v>
      </c>
      <c r="N386" s="320"/>
      <c r="O386"/>
      <c r="P386"/>
      <c r="Q386"/>
      <c r="R386" s="153"/>
      <c r="S386" s="320">
        <v>17.070860262869996</v>
      </c>
      <c r="T386" s="320"/>
      <c r="U386">
        <v>10.8</v>
      </c>
      <c r="V386"/>
      <c r="W386"/>
      <c r="X386"/>
      <c r="Y386" s="321">
        <v>5.9024928999999995</v>
      </c>
      <c r="Z386" s="320"/>
      <c r="AA386" s="322">
        <v>91974.025974025964</v>
      </c>
      <c r="AB386" s="320"/>
      <c r="AC386" s="321">
        <v>33.154382999999996</v>
      </c>
      <c r="AD386" s="320"/>
      <c r="AE386" s="320">
        <v>35.409999999999997</v>
      </c>
      <c r="AF386" s="320"/>
      <c r="AG386">
        <v>3.85</v>
      </c>
      <c r="AH386"/>
      <c r="AI386">
        <v>155</v>
      </c>
      <c r="AJ386"/>
      <c r="AK386"/>
      <c r="AL386"/>
      <c r="AM386"/>
      <c r="AN386"/>
      <c r="AO386">
        <v>83</v>
      </c>
      <c r="AP386"/>
      <c r="AQ386" s="323"/>
      <c r="AR386" s="323"/>
      <c r="AS386">
        <v>116</v>
      </c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>
        <v>35.155999999999999</v>
      </c>
      <c r="BH386"/>
      <c r="BI386">
        <v>4.0500999999999996</v>
      </c>
      <c r="BJ386"/>
      <c r="BK386">
        <v>1.2073</v>
      </c>
      <c r="BL386"/>
      <c r="BM386">
        <v>26.779</v>
      </c>
      <c r="BN386"/>
      <c r="BO386">
        <v>16.876999999999999</v>
      </c>
      <c r="BP386"/>
      <c r="BQ386">
        <v>7.9481000000000002</v>
      </c>
      <c r="BR386"/>
      <c r="BS386">
        <v>51.488999999999997</v>
      </c>
      <c r="BT386"/>
      <c r="BU386">
        <v>18.056999999999999</v>
      </c>
      <c r="BV386"/>
      <c r="BW386" s="325">
        <v>12.33</v>
      </c>
      <c r="BX386"/>
      <c r="BY386">
        <v>5.7720000000000056</v>
      </c>
      <c r="BZ386"/>
      <c r="CA386"/>
      <c r="CB386" s="136"/>
      <c r="CC386">
        <v>7.93</v>
      </c>
      <c r="CD386"/>
      <c r="CE386"/>
      <c r="CF386"/>
      <c r="CG386"/>
      <c r="CH386"/>
      <c r="CI386"/>
      <c r="CJ386"/>
      <c r="CK386"/>
      <c r="CL386"/>
      <c r="CM386"/>
    </row>
    <row r="387" spans="1:91" s="338" customFormat="1">
      <c r="A387" s="327" t="s">
        <v>7693</v>
      </c>
      <c r="B387" s="328" t="s">
        <v>8289</v>
      </c>
      <c r="C387" s="328">
        <v>2</v>
      </c>
      <c r="D387" s="328">
        <v>376</v>
      </c>
      <c r="E387" s="113">
        <v>76</v>
      </c>
      <c r="F387" s="113">
        <v>3</v>
      </c>
      <c r="G387" s="329"/>
      <c r="H387" s="329"/>
      <c r="I387" s="328">
        <v>26</v>
      </c>
      <c r="J387" s="330"/>
      <c r="K387" s="331">
        <v>6</v>
      </c>
      <c r="L387" s="331"/>
      <c r="M387" s="328">
        <v>0.62</v>
      </c>
      <c r="N387" s="331"/>
      <c r="O387" s="328"/>
      <c r="P387" s="328"/>
      <c r="Q387" s="328"/>
      <c r="R387" s="332"/>
      <c r="S387" s="331">
        <v>0</v>
      </c>
      <c r="T387" s="331"/>
      <c r="U387" s="328">
        <v>10.8</v>
      </c>
      <c r="V387" s="328"/>
      <c r="W387" s="328"/>
      <c r="X387" s="328"/>
      <c r="Y387" s="333">
        <v>1.2041458</v>
      </c>
      <c r="Z387" s="331"/>
      <c r="AA387" s="334">
        <v>16472.222222222223</v>
      </c>
      <c r="AB387" s="331"/>
      <c r="AC387" s="333">
        <v>5.5348248</v>
      </c>
      <c r="AD387" s="331"/>
      <c r="AE387" s="331">
        <v>5.93</v>
      </c>
      <c r="AF387" s="331"/>
      <c r="AG387" s="328">
        <v>3.6</v>
      </c>
      <c r="AH387" s="328"/>
      <c r="AI387" s="328">
        <v>105</v>
      </c>
      <c r="AJ387" s="328"/>
      <c r="AK387" s="328"/>
      <c r="AL387" s="328"/>
      <c r="AM387" s="328"/>
      <c r="AN387" s="328"/>
      <c r="AO387" s="328">
        <v>81</v>
      </c>
      <c r="AP387" s="328"/>
      <c r="AQ387" s="335"/>
      <c r="AR387" s="335"/>
      <c r="AS387" s="328">
        <v>116</v>
      </c>
      <c r="AT387" s="328"/>
      <c r="AU387" s="328"/>
      <c r="AV387" s="328"/>
      <c r="AW387" s="328"/>
      <c r="AX387" s="328"/>
      <c r="AY387" s="328"/>
      <c r="AZ387" s="328"/>
      <c r="BA387" s="328"/>
      <c r="BB387" s="328"/>
      <c r="BC387" s="328"/>
      <c r="BD387" s="328"/>
      <c r="BE387" s="328"/>
      <c r="BF387" s="328"/>
      <c r="BG387" s="328"/>
      <c r="BH387" s="328"/>
      <c r="BI387" s="328"/>
      <c r="BJ387" s="328"/>
      <c r="BK387" s="328"/>
      <c r="BL387" s="328"/>
      <c r="BM387" s="328"/>
      <c r="BN387" s="328"/>
      <c r="BO387" s="328"/>
      <c r="BP387" s="328"/>
      <c r="BQ387" s="328"/>
      <c r="BR387" s="328"/>
      <c r="BS387" s="328"/>
      <c r="BT387" s="328"/>
      <c r="BU387" s="328"/>
      <c r="BV387" s="328"/>
      <c r="BW387" s="328" t="s">
        <v>8361</v>
      </c>
      <c r="BX387" s="339"/>
      <c r="BY387" s="328" t="s">
        <v>8237</v>
      </c>
      <c r="BZ387" s="328"/>
      <c r="CA387" s="328"/>
      <c r="CB387" s="337"/>
      <c r="CC387" s="328">
        <v>6.01</v>
      </c>
      <c r="CD387" s="328"/>
      <c r="CE387" s="328"/>
      <c r="CF387" s="328"/>
      <c r="CG387" s="328"/>
      <c r="CH387" s="328"/>
      <c r="CI387" s="328"/>
      <c r="CJ387" s="328"/>
      <c r="CK387" s="328" t="s">
        <v>8377</v>
      </c>
      <c r="CL387" s="328"/>
      <c r="CM387" s="328"/>
    </row>
    <row r="388" spans="1:91" s="338" customFormat="1">
      <c r="A388" s="154" t="s">
        <v>7693</v>
      </c>
      <c r="B388" t="s">
        <v>8289</v>
      </c>
      <c r="C388">
        <v>1</v>
      </c>
      <c r="D388">
        <v>1106</v>
      </c>
      <c r="E388" s="113">
        <v>6</v>
      </c>
      <c r="F388" s="113">
        <v>11</v>
      </c>
      <c r="G388" s="113"/>
      <c r="H388" s="113"/>
      <c r="I388">
        <v>21</v>
      </c>
      <c r="J388" s="112"/>
      <c r="K388" s="320">
        <v>9</v>
      </c>
      <c r="L388" s="320"/>
      <c r="M388">
        <v>2.72</v>
      </c>
      <c r="N388" s="320"/>
      <c r="O388"/>
      <c r="P388"/>
      <c r="Q388"/>
      <c r="R388" s="153"/>
      <c r="S388" s="320">
        <v>12.316324506465001</v>
      </c>
      <c r="T388" s="320"/>
      <c r="U388">
        <v>10.8</v>
      </c>
      <c r="V388"/>
      <c r="W388"/>
      <c r="X388"/>
      <c r="Y388" s="321">
        <v>5.0290154999999999</v>
      </c>
      <c r="Z388" s="320"/>
      <c r="AA388" s="322">
        <v>68537.234042553187</v>
      </c>
      <c r="AB388" s="320"/>
      <c r="AC388" s="321">
        <v>24.1189161</v>
      </c>
      <c r="AD388" s="320"/>
      <c r="AE388" s="320">
        <v>25.77</v>
      </c>
      <c r="AF388" s="320"/>
      <c r="AG388">
        <v>3.76</v>
      </c>
      <c r="AH388"/>
      <c r="AI388">
        <v>130</v>
      </c>
      <c r="AJ388"/>
      <c r="AK388"/>
      <c r="AL388"/>
      <c r="AM388"/>
      <c r="AN388"/>
      <c r="AO388">
        <v>79</v>
      </c>
      <c r="AP388"/>
      <c r="AQ388" s="323"/>
      <c r="AR388" s="323"/>
      <c r="AS388">
        <v>112</v>
      </c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>
        <v>37.04</v>
      </c>
      <c r="BH388"/>
      <c r="BI388">
        <v>4.5033000000000003</v>
      </c>
      <c r="BJ388"/>
      <c r="BK388">
        <v>1.1496</v>
      </c>
      <c r="BL388"/>
      <c r="BM388">
        <v>20.363</v>
      </c>
      <c r="BN388"/>
      <c r="BO388">
        <v>15.875</v>
      </c>
      <c r="BP388"/>
      <c r="BQ388">
        <v>8.5236000000000001</v>
      </c>
      <c r="BR388"/>
      <c r="BS388">
        <v>51.064999999999998</v>
      </c>
      <c r="BT388"/>
      <c r="BU388">
        <v>19.059999999999999</v>
      </c>
      <c r="BV388"/>
      <c r="BW388" s="325">
        <v>6.15</v>
      </c>
      <c r="BX388"/>
      <c r="BY388">
        <v>6.1059999999999945</v>
      </c>
      <c r="BZ388"/>
      <c r="CA388"/>
      <c r="CB388" s="136"/>
      <c r="CC388">
        <v>6.89</v>
      </c>
      <c r="CD388"/>
      <c r="CE388"/>
      <c r="CF388"/>
      <c r="CG388"/>
      <c r="CH388"/>
      <c r="CI388"/>
      <c r="CJ388"/>
      <c r="CK388"/>
      <c r="CL388"/>
      <c r="CM388"/>
    </row>
    <row r="389" spans="1:91" s="338" customFormat="1">
      <c r="A389" s="154" t="s">
        <v>7693</v>
      </c>
      <c r="B389" t="s">
        <v>8287</v>
      </c>
      <c r="C389">
        <v>2</v>
      </c>
      <c r="D389">
        <v>1642</v>
      </c>
      <c r="E389" s="113">
        <v>42</v>
      </c>
      <c r="F389" s="113">
        <v>16</v>
      </c>
      <c r="G389" s="113"/>
      <c r="H389" s="113"/>
      <c r="I389">
        <v>30.499999999999996</v>
      </c>
      <c r="J389" s="112"/>
      <c r="K389" s="320">
        <v>8</v>
      </c>
      <c r="L389" s="320"/>
      <c r="M389">
        <v>3.31</v>
      </c>
      <c r="N389" s="320"/>
      <c r="O389"/>
      <c r="P389"/>
      <c r="Q389"/>
      <c r="R389" s="153"/>
      <c r="S389" s="320">
        <v>15.876143452848</v>
      </c>
      <c r="T389" s="320"/>
      <c r="U389">
        <v>10.8</v>
      </c>
      <c r="V389"/>
      <c r="W389"/>
      <c r="X389"/>
      <c r="Y389" s="321">
        <v>6.2643672000000006</v>
      </c>
      <c r="Z389" s="320"/>
      <c r="AA389" s="322">
        <v>81301.020408163269</v>
      </c>
      <c r="AB389" s="320"/>
      <c r="AC389" s="321">
        <v>30.0189904</v>
      </c>
      <c r="AD389" s="320"/>
      <c r="AE389" s="320">
        <v>31.87</v>
      </c>
      <c r="AF389" s="320"/>
      <c r="AG389">
        <v>3.92</v>
      </c>
      <c r="AH389"/>
      <c r="AI389">
        <v>130</v>
      </c>
      <c r="AJ389"/>
      <c r="AK389"/>
      <c r="AL389"/>
      <c r="AM389"/>
      <c r="AN389"/>
      <c r="AO389">
        <v>83</v>
      </c>
      <c r="AP389"/>
      <c r="AQ389" s="323"/>
      <c r="AR389" s="323"/>
      <c r="AS389">
        <v>112</v>
      </c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>
        <v>34.130000000000003</v>
      </c>
      <c r="BH389"/>
      <c r="BI389">
        <v>4.3414999999999999</v>
      </c>
      <c r="BJ389"/>
      <c r="BK389">
        <v>1.1568000000000001</v>
      </c>
      <c r="BL389"/>
      <c r="BM389">
        <v>27.169</v>
      </c>
      <c r="BN389"/>
      <c r="BO389">
        <v>17.864999999999998</v>
      </c>
      <c r="BP389"/>
      <c r="BQ389">
        <v>8.3817000000000004</v>
      </c>
      <c r="BR389"/>
      <c r="BS389">
        <v>52.887</v>
      </c>
      <c r="BT389"/>
      <c r="BU389">
        <v>16.925000000000001</v>
      </c>
      <c r="BV389"/>
      <c r="BW389" s="325">
        <v>5.79</v>
      </c>
      <c r="BX389"/>
      <c r="BY389">
        <v>5.8160000000000025</v>
      </c>
      <c r="BZ389"/>
      <c r="CA389"/>
      <c r="CB389" s="136"/>
      <c r="CC389">
        <v>5.37</v>
      </c>
      <c r="CD389"/>
      <c r="CE389"/>
      <c r="CF389"/>
      <c r="CG389"/>
      <c r="CH389"/>
      <c r="CI389"/>
      <c r="CJ389"/>
      <c r="CK389"/>
      <c r="CL389"/>
      <c r="CM389"/>
    </row>
    <row r="390" spans="1:91" s="338" customFormat="1">
      <c r="A390" s="154" t="s">
        <v>7694</v>
      </c>
      <c r="B390" t="s">
        <v>8289</v>
      </c>
      <c r="C390">
        <v>2</v>
      </c>
      <c r="D390">
        <v>257</v>
      </c>
      <c r="E390" s="113">
        <v>57</v>
      </c>
      <c r="F390" s="113">
        <v>2</v>
      </c>
      <c r="G390" s="113"/>
      <c r="H390" s="113"/>
      <c r="I390">
        <v>38.999999999999993</v>
      </c>
      <c r="J390" s="112"/>
      <c r="K390" s="320">
        <v>8</v>
      </c>
      <c r="L390" s="320"/>
      <c r="M390">
        <v>2.95</v>
      </c>
      <c r="N390" s="320"/>
      <c r="O390"/>
      <c r="P390"/>
      <c r="Q390"/>
      <c r="R390" s="153"/>
      <c r="S390" s="320">
        <v>11.927569083317998</v>
      </c>
      <c r="T390" s="320"/>
      <c r="U390">
        <v>10.8</v>
      </c>
      <c r="V390"/>
      <c r="W390"/>
      <c r="X390"/>
      <c r="Y390" s="321">
        <v>5.2501975999999999</v>
      </c>
      <c r="Z390" s="320"/>
      <c r="AA390" s="322">
        <v>54043.824701195219</v>
      </c>
      <c r="AB390" s="320"/>
      <c r="AC390" s="321">
        <v>25.320700299999999</v>
      </c>
      <c r="AD390" s="320"/>
      <c r="AE390" s="320">
        <v>27.13</v>
      </c>
      <c r="AF390" s="320"/>
      <c r="AG390">
        <v>5.0199999999999996</v>
      </c>
      <c r="AH390"/>
      <c r="AI390">
        <v>118</v>
      </c>
      <c r="AJ390"/>
      <c r="AK390"/>
      <c r="AL390"/>
      <c r="AM390"/>
      <c r="AN390"/>
      <c r="AO390">
        <v>77</v>
      </c>
      <c r="AP390"/>
      <c r="AQ390" s="323"/>
      <c r="AR390" s="323"/>
      <c r="AS390">
        <v>118</v>
      </c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>
        <v>-4.6170999999999998</v>
      </c>
      <c r="BH390"/>
      <c r="BI390">
        <v>4.6661000000000001</v>
      </c>
      <c r="BJ390"/>
      <c r="BK390">
        <v>1.6600999999999999</v>
      </c>
      <c r="BL390"/>
      <c r="BM390">
        <v>68.268000000000001</v>
      </c>
      <c r="BN390"/>
      <c r="BO390">
        <v>20.074000000000002</v>
      </c>
      <c r="BP390"/>
      <c r="BQ390">
        <v>8.9863999999999997</v>
      </c>
      <c r="BR390"/>
      <c r="BS390">
        <v>47.106000000000002</v>
      </c>
      <c r="BT390"/>
      <c r="BU390">
        <v>19.965</v>
      </c>
      <c r="BV390"/>
      <c r="BW390" s="325">
        <v>9.2799999999999994</v>
      </c>
      <c r="BX390"/>
      <c r="BY390">
        <v>6.2560000000000002</v>
      </c>
      <c r="BZ390"/>
      <c r="CA390"/>
      <c r="CB390" s="136"/>
      <c r="CC390">
        <v>9.6</v>
      </c>
      <c r="CD390"/>
      <c r="CE390"/>
      <c r="CF390"/>
      <c r="CG390"/>
      <c r="CH390"/>
      <c r="CI390"/>
      <c r="CJ390"/>
      <c r="CK390"/>
      <c r="CL390"/>
      <c r="CM390"/>
    </row>
    <row r="391" spans="1:91" s="338" customFormat="1">
      <c r="A391" s="154" t="s">
        <v>7694</v>
      </c>
      <c r="B391" t="s">
        <v>8287</v>
      </c>
      <c r="C391">
        <v>1</v>
      </c>
      <c r="D391">
        <v>618</v>
      </c>
      <c r="E391" s="113">
        <v>18</v>
      </c>
      <c r="F391" s="113">
        <v>6</v>
      </c>
      <c r="G391" s="113"/>
      <c r="H391" s="113"/>
      <c r="I391">
        <v>32</v>
      </c>
      <c r="J391" s="112"/>
      <c r="K391" s="320">
        <v>8</v>
      </c>
      <c r="L391" s="320"/>
      <c r="M391">
        <v>3.38</v>
      </c>
      <c r="N391" s="320"/>
      <c r="O391"/>
      <c r="P391"/>
      <c r="Q391"/>
      <c r="R391" s="153"/>
      <c r="S391" s="320">
        <v>14.682331861449997</v>
      </c>
      <c r="T391" s="320"/>
      <c r="U391">
        <v>10.8</v>
      </c>
      <c r="V391"/>
      <c r="W391"/>
      <c r="X391"/>
      <c r="Y391" s="321">
        <v>5.4523491000000002</v>
      </c>
      <c r="Z391" s="320"/>
      <c r="AA391" s="322">
        <v>58706.739526411649</v>
      </c>
      <c r="AB391" s="320"/>
      <c r="AC391" s="321">
        <v>30.204344499999998</v>
      </c>
      <c r="AD391" s="320"/>
      <c r="AE391" s="320">
        <v>32.229999999999997</v>
      </c>
      <c r="AF391" s="320"/>
      <c r="AG391">
        <v>5.49</v>
      </c>
      <c r="AH391"/>
      <c r="AI391">
        <v>130</v>
      </c>
      <c r="AJ391"/>
      <c r="AK391"/>
      <c r="AL391"/>
      <c r="AM391"/>
      <c r="AN391"/>
      <c r="AO391">
        <v>78</v>
      </c>
      <c r="AP391"/>
      <c r="AQ391" s="323"/>
      <c r="AR391" s="323"/>
      <c r="AS391">
        <v>112</v>
      </c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>
        <v>0.93025000000000002</v>
      </c>
      <c r="BH391"/>
      <c r="BI391">
        <v>4.4104999999999999</v>
      </c>
      <c r="BJ391"/>
      <c r="BK391">
        <v>1.5474000000000001</v>
      </c>
      <c r="BL391"/>
      <c r="BM391">
        <v>63.627000000000002</v>
      </c>
      <c r="BN391"/>
      <c r="BO391">
        <v>20.295999999999999</v>
      </c>
      <c r="BP391"/>
      <c r="BQ391">
        <v>9.2828999999999997</v>
      </c>
      <c r="BR391"/>
      <c r="BS391">
        <v>48.61</v>
      </c>
      <c r="BT391"/>
      <c r="BU391">
        <v>19.625</v>
      </c>
      <c r="BV391"/>
      <c r="BW391" s="325">
        <v>10.69</v>
      </c>
      <c r="BX391"/>
      <c r="BY391">
        <v>6.5739999999999981</v>
      </c>
      <c r="BZ391"/>
      <c r="CA391"/>
      <c r="CB391" s="136"/>
      <c r="CC391">
        <v>6.29</v>
      </c>
      <c r="CD391"/>
      <c r="CE391"/>
      <c r="CF391"/>
      <c r="CG391"/>
      <c r="CH391"/>
      <c r="CI391"/>
      <c r="CJ391"/>
      <c r="CK391"/>
      <c r="CL391"/>
      <c r="CM391"/>
    </row>
    <row r="392" spans="1:91" s="338" customFormat="1">
      <c r="A392" s="154" t="s">
        <v>7694</v>
      </c>
      <c r="B392" t="s">
        <v>8287</v>
      </c>
      <c r="C392">
        <v>2</v>
      </c>
      <c r="D392">
        <v>1069</v>
      </c>
      <c r="E392" s="113">
        <v>69</v>
      </c>
      <c r="F392" s="113">
        <v>10</v>
      </c>
      <c r="G392" s="113"/>
      <c r="H392" s="113"/>
      <c r="I392">
        <v>32.999999999999993</v>
      </c>
      <c r="J392" s="112"/>
      <c r="K392" s="320">
        <v>9</v>
      </c>
      <c r="L392" s="320"/>
      <c r="M392">
        <v>2.9</v>
      </c>
      <c r="N392" s="320"/>
      <c r="O392"/>
      <c r="P392"/>
      <c r="Q392"/>
      <c r="R392" s="153"/>
      <c r="S392" s="320">
        <v>12.538165647656001</v>
      </c>
      <c r="T392" s="320"/>
      <c r="U392">
        <v>10.8</v>
      </c>
      <c r="V392"/>
      <c r="W392"/>
      <c r="X392"/>
      <c r="Y392" s="321">
        <v>4.7366511999999998</v>
      </c>
      <c r="Z392" s="320"/>
      <c r="AA392" s="322">
        <v>58577.49469214437</v>
      </c>
      <c r="AB392" s="320"/>
      <c r="AC392" s="321">
        <v>25.823136400000003</v>
      </c>
      <c r="AD392" s="320"/>
      <c r="AE392" s="320">
        <v>27.59</v>
      </c>
      <c r="AF392" s="320"/>
      <c r="AG392">
        <v>4.71</v>
      </c>
      <c r="AH392"/>
      <c r="AI392">
        <v>118</v>
      </c>
      <c r="AJ392"/>
      <c r="AK392"/>
      <c r="AL392"/>
      <c r="AM392"/>
      <c r="AN392"/>
      <c r="AO392">
        <v>79</v>
      </c>
      <c r="AP392"/>
      <c r="AQ392" s="323"/>
      <c r="AR392" s="323"/>
      <c r="AS392">
        <v>112</v>
      </c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>
        <v>-5.0986000000000002</v>
      </c>
      <c r="BH392"/>
      <c r="BI392">
        <v>4.8943000000000003</v>
      </c>
      <c r="BJ392"/>
      <c r="BK392">
        <v>1.6537999999999999</v>
      </c>
      <c r="BL392"/>
      <c r="BM392">
        <v>65.215000000000003</v>
      </c>
      <c r="BN392"/>
      <c r="BO392">
        <v>20.885999999999999</v>
      </c>
      <c r="BP392"/>
      <c r="BQ392">
        <v>8.5951000000000004</v>
      </c>
      <c r="BR392"/>
      <c r="BS392">
        <v>48.554000000000002</v>
      </c>
      <c r="BT392"/>
      <c r="BU392">
        <v>18.286000000000001</v>
      </c>
      <c r="BV392"/>
      <c r="BW392" s="325">
        <v>2.23</v>
      </c>
      <c r="BX392"/>
      <c r="BY392">
        <v>6.6470000000000056</v>
      </c>
      <c r="BZ392"/>
      <c r="CA392"/>
      <c r="CB392" s="136"/>
      <c r="CC392">
        <v>6.49</v>
      </c>
      <c r="CD392"/>
      <c r="CE392"/>
      <c r="CF392"/>
      <c r="CG392"/>
      <c r="CH392"/>
      <c r="CI392"/>
      <c r="CJ392"/>
      <c r="CK392"/>
      <c r="CL392"/>
      <c r="CM392"/>
    </row>
    <row r="393" spans="1:91" s="338" customFormat="1">
      <c r="A393" s="154" t="s">
        <v>7694</v>
      </c>
      <c r="B393" t="s">
        <v>8289</v>
      </c>
      <c r="C393">
        <v>1</v>
      </c>
      <c r="D393">
        <v>1302</v>
      </c>
      <c r="E393" s="113">
        <v>2</v>
      </c>
      <c r="F393" s="113">
        <v>13</v>
      </c>
      <c r="G393" s="113"/>
      <c r="H393" s="113"/>
      <c r="I393">
        <v>34</v>
      </c>
      <c r="J393" s="112"/>
      <c r="K393" s="320">
        <v>9</v>
      </c>
      <c r="L393" s="320"/>
      <c r="M393">
        <v>3.56</v>
      </c>
      <c r="N393" s="320"/>
      <c r="O393"/>
      <c r="P393"/>
      <c r="Q393"/>
      <c r="R393" s="153"/>
      <c r="S393" s="320" t="s">
        <v>8361</v>
      </c>
      <c r="T393" s="320"/>
      <c r="U393">
        <v>10.8</v>
      </c>
      <c r="V393"/>
      <c r="W393"/>
      <c r="X393"/>
      <c r="Y393" s="321">
        <v>0</v>
      </c>
      <c r="Z393" s="320"/>
      <c r="AA393" s="322">
        <v>69338.842975206629</v>
      </c>
      <c r="AB393" s="320"/>
      <c r="AC393" s="321" t="s">
        <v>8361</v>
      </c>
      <c r="AD393" s="320"/>
      <c r="AE393" s="320">
        <v>33.56</v>
      </c>
      <c r="AF393" s="320"/>
      <c r="AG393">
        <v>4.84</v>
      </c>
      <c r="AH393"/>
      <c r="AI393">
        <v>125</v>
      </c>
      <c r="AJ393"/>
      <c r="AK393"/>
      <c r="AL393"/>
      <c r="AM393"/>
      <c r="AN393"/>
      <c r="AO393">
        <v>79</v>
      </c>
      <c r="AP393"/>
      <c r="AQ393" s="323"/>
      <c r="AR393" s="323"/>
      <c r="AS393">
        <v>112</v>
      </c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>
        <v>3.7345999999999999</v>
      </c>
      <c r="BH393"/>
      <c r="BI393">
        <v>4.5004999999999997</v>
      </c>
      <c r="BJ393"/>
      <c r="BK393">
        <v>1.5940000000000001</v>
      </c>
      <c r="BL393"/>
      <c r="BM393">
        <v>64.58</v>
      </c>
      <c r="BN393"/>
      <c r="BO393">
        <v>20.56</v>
      </c>
      <c r="BP393"/>
      <c r="BQ393">
        <v>8.8165999999999993</v>
      </c>
      <c r="BR393"/>
      <c r="BS393">
        <v>48.670999999999999</v>
      </c>
      <c r="BT393"/>
      <c r="BU393">
        <v>18.791</v>
      </c>
      <c r="BV393"/>
      <c r="BW393" s="325">
        <v>8.07</v>
      </c>
      <c r="BX393"/>
      <c r="BY393">
        <v>6.625</v>
      </c>
      <c r="BZ393"/>
      <c r="CA393"/>
      <c r="CB393" s="136"/>
      <c r="CC393">
        <v>7.36</v>
      </c>
      <c r="CD393"/>
      <c r="CE393"/>
      <c r="CF393"/>
      <c r="CG393"/>
      <c r="CH393"/>
      <c r="CI393"/>
      <c r="CJ393"/>
      <c r="CK393"/>
      <c r="CL393"/>
      <c r="CM393"/>
    </row>
    <row r="394" spans="1:91" s="338" customFormat="1">
      <c r="A394" s="327" t="s">
        <v>7695</v>
      </c>
      <c r="B394" s="328" t="s">
        <v>8287</v>
      </c>
      <c r="C394" s="328">
        <v>1</v>
      </c>
      <c r="D394" s="328">
        <v>819</v>
      </c>
      <c r="E394" s="113">
        <v>19</v>
      </c>
      <c r="F394" s="113">
        <v>8</v>
      </c>
      <c r="G394" s="329"/>
      <c r="H394" s="329"/>
      <c r="I394" s="328">
        <v>25.499999999999996</v>
      </c>
      <c r="J394" s="330"/>
      <c r="K394" s="331">
        <v>7</v>
      </c>
      <c r="L394" s="331"/>
      <c r="M394" s="328">
        <v>1.93</v>
      </c>
      <c r="N394" s="331"/>
      <c r="O394" s="328"/>
      <c r="P394" s="328"/>
      <c r="Q394" s="328"/>
      <c r="R394" s="332"/>
      <c r="S394" s="331">
        <v>8.8478333100000004</v>
      </c>
      <c r="T394" s="331"/>
      <c r="U394" s="328">
        <v>10.8</v>
      </c>
      <c r="V394" s="328"/>
      <c r="W394" s="328"/>
      <c r="X394" s="328"/>
      <c r="Y394" s="333">
        <v>3.0950500000000001</v>
      </c>
      <c r="Z394" s="331"/>
      <c r="AA394" s="334">
        <v>42626.728110599084</v>
      </c>
      <c r="AB394" s="331"/>
      <c r="AC394" s="333">
        <v>17.283625000000001</v>
      </c>
      <c r="AD394" s="331"/>
      <c r="AE394" s="331">
        <v>18.5</v>
      </c>
      <c r="AF394" s="331"/>
      <c r="AG394" s="328">
        <v>4.34</v>
      </c>
      <c r="AH394" s="328"/>
      <c r="AI394" s="328"/>
      <c r="AJ394" s="328"/>
      <c r="AK394" s="328"/>
      <c r="AL394" s="328"/>
      <c r="AM394" s="328"/>
      <c r="AN394" s="328"/>
      <c r="AO394" s="328">
        <v>77</v>
      </c>
      <c r="AP394" s="328"/>
      <c r="AQ394" s="335"/>
      <c r="AR394" s="335"/>
      <c r="AS394" s="328">
        <v>112</v>
      </c>
      <c r="AT394" s="328"/>
      <c r="AU394" s="328"/>
      <c r="AV394" s="328"/>
      <c r="AW394" s="328"/>
      <c r="AX394" s="328"/>
      <c r="AY394" s="328"/>
      <c r="AZ394" s="328"/>
      <c r="BA394" s="328"/>
      <c r="BB394" s="328"/>
      <c r="BC394" s="328"/>
      <c r="BD394" s="328"/>
      <c r="BE394" s="328"/>
      <c r="BF394" s="328"/>
      <c r="BG394" s="328">
        <v>4.7557999999999998</v>
      </c>
      <c r="BH394" s="328"/>
      <c r="BI394" s="328">
        <v>4.6098999999999997</v>
      </c>
      <c r="BJ394" s="328"/>
      <c r="BK394" s="328">
        <v>1.4039999999999999</v>
      </c>
      <c r="BL394" s="328"/>
      <c r="BM394" s="328">
        <v>59.771999999999998</v>
      </c>
      <c r="BN394" s="328"/>
      <c r="BO394" s="328">
        <v>19.138000000000002</v>
      </c>
      <c r="BP394" s="328"/>
      <c r="BQ394" s="328">
        <v>10.923999999999999</v>
      </c>
      <c r="BR394" s="328"/>
      <c r="BS394" s="328">
        <v>51.192</v>
      </c>
      <c r="BT394" s="328"/>
      <c r="BU394" s="328">
        <v>18.225999999999999</v>
      </c>
      <c r="BV394" s="328"/>
      <c r="BW394" s="336">
        <v>12.76</v>
      </c>
      <c r="BX394" s="328"/>
      <c r="BY394" s="328">
        <v>6.4479999999999933</v>
      </c>
      <c r="BZ394" s="328"/>
      <c r="CA394" s="328"/>
      <c r="CB394" s="337"/>
      <c r="CC394" s="328">
        <v>5.78</v>
      </c>
      <c r="CD394" s="328"/>
      <c r="CE394" s="328"/>
      <c r="CF394" s="328"/>
      <c r="CG394" s="328"/>
      <c r="CH394" s="328"/>
      <c r="CI394" s="328"/>
      <c r="CJ394" s="328"/>
      <c r="CK394" s="328" t="s">
        <v>8377</v>
      </c>
      <c r="CL394" s="328"/>
      <c r="CM394" s="328"/>
    </row>
    <row r="395" spans="1:91" s="338" customFormat="1">
      <c r="A395" s="327" t="s">
        <v>7695</v>
      </c>
      <c r="B395" s="328" t="s">
        <v>8289</v>
      </c>
      <c r="C395" s="328">
        <v>2</v>
      </c>
      <c r="D395" s="328">
        <v>944</v>
      </c>
      <c r="E395" s="113">
        <v>44</v>
      </c>
      <c r="F395" s="113">
        <v>9</v>
      </c>
      <c r="G395" s="329"/>
      <c r="H395" s="329"/>
      <c r="I395" s="328">
        <v>24.5</v>
      </c>
      <c r="J395" s="330"/>
      <c r="K395" s="331">
        <v>7</v>
      </c>
      <c r="L395" s="331"/>
      <c r="M395" s="328">
        <v>1.91</v>
      </c>
      <c r="N395" s="331"/>
      <c r="O395" s="328"/>
      <c r="P395" s="328"/>
      <c r="Q395" s="328"/>
      <c r="R395" s="332"/>
      <c r="S395" s="331">
        <v>7.4617024715999989</v>
      </c>
      <c r="T395" s="331"/>
      <c r="U395" s="328">
        <v>10.8</v>
      </c>
      <c r="V395" s="328"/>
      <c r="W395" s="328"/>
      <c r="X395" s="328"/>
      <c r="Y395" s="333">
        <v>3.1037580000000005</v>
      </c>
      <c r="Z395" s="331"/>
      <c r="AA395" s="334">
        <v>43404.255319148935</v>
      </c>
      <c r="AB395" s="331"/>
      <c r="AC395" s="333">
        <v>17.159255999999999</v>
      </c>
      <c r="AD395" s="331"/>
      <c r="AE395" s="331">
        <v>18.36</v>
      </c>
      <c r="AF395" s="331"/>
      <c r="AG395" s="328">
        <v>4.2300000000000004</v>
      </c>
      <c r="AH395" s="328"/>
      <c r="AI395" s="328"/>
      <c r="AJ395" s="328"/>
      <c r="AK395" s="328"/>
      <c r="AL395" s="328"/>
      <c r="AM395" s="328"/>
      <c r="AN395" s="328"/>
      <c r="AO395" s="328">
        <v>77</v>
      </c>
      <c r="AP395" s="328"/>
      <c r="AQ395" s="335"/>
      <c r="AR395" s="335"/>
      <c r="AS395" s="328">
        <v>114</v>
      </c>
      <c r="AT395" s="328"/>
      <c r="AU395" s="328"/>
      <c r="AV395" s="328"/>
      <c r="AW395" s="328"/>
      <c r="AX395" s="328"/>
      <c r="AY395" s="328"/>
      <c r="AZ395" s="328"/>
      <c r="BA395" s="328"/>
      <c r="BB395" s="328"/>
      <c r="BC395" s="328"/>
      <c r="BD395" s="328"/>
      <c r="BE395" s="328"/>
      <c r="BF395" s="328"/>
      <c r="BG395" s="328">
        <v>-2.0775000000000001</v>
      </c>
      <c r="BH395" s="328"/>
      <c r="BI395" s="328">
        <v>5.2140000000000004</v>
      </c>
      <c r="BJ395" s="328"/>
      <c r="BK395" s="328">
        <v>1.6052999999999999</v>
      </c>
      <c r="BL395" s="328"/>
      <c r="BM395" s="328">
        <v>58.823</v>
      </c>
      <c r="BN395" s="328"/>
      <c r="BO395" s="328">
        <v>19.942</v>
      </c>
      <c r="BP395" s="328"/>
      <c r="BQ395" s="328">
        <v>10.657</v>
      </c>
      <c r="BR395" s="328"/>
      <c r="BS395" s="328">
        <v>43.484999999999999</v>
      </c>
      <c r="BT395" s="328"/>
      <c r="BU395" s="328">
        <v>21</v>
      </c>
      <c r="BV395" s="328"/>
      <c r="BW395" s="336">
        <v>4.97</v>
      </c>
      <c r="BX395" s="328"/>
      <c r="BY395" s="328">
        <v>7.2390000000000043</v>
      </c>
      <c r="BZ395" s="328"/>
      <c r="CA395" s="328"/>
      <c r="CB395" s="337"/>
      <c r="CC395" s="328">
        <v>5.51</v>
      </c>
      <c r="CD395" s="328"/>
      <c r="CE395" s="328"/>
      <c r="CF395" s="328"/>
      <c r="CG395" s="328"/>
      <c r="CH395" s="328"/>
      <c r="CI395" s="328"/>
      <c r="CJ395" s="328"/>
      <c r="CK395" s="328" t="s">
        <v>8377</v>
      </c>
      <c r="CL395" s="328"/>
      <c r="CM395" s="328"/>
    </row>
    <row r="396" spans="1:91" s="338" customFormat="1">
      <c r="A396" s="154" t="s">
        <v>7695</v>
      </c>
      <c r="B396" t="s">
        <v>8287</v>
      </c>
      <c r="C396">
        <v>2</v>
      </c>
      <c r="D396">
        <v>1062</v>
      </c>
      <c r="E396" s="113">
        <v>62</v>
      </c>
      <c r="F396" s="113">
        <v>10</v>
      </c>
      <c r="G396" s="113"/>
      <c r="H396" s="113"/>
      <c r="I396">
        <v>25.499999999999996</v>
      </c>
      <c r="J396" s="112"/>
      <c r="K396" s="320">
        <v>9</v>
      </c>
      <c r="L396" s="320"/>
      <c r="M396">
        <v>3.27</v>
      </c>
      <c r="N396" s="320"/>
      <c r="O396"/>
      <c r="P396"/>
      <c r="Q396"/>
      <c r="R396" s="153"/>
      <c r="S396" s="320">
        <v>14.089211296380002</v>
      </c>
      <c r="T396" s="320"/>
      <c r="U396">
        <v>10.8</v>
      </c>
      <c r="V396"/>
      <c r="W396"/>
      <c r="X396"/>
      <c r="Y396" s="321">
        <v>5.1900981000000002</v>
      </c>
      <c r="Z396" s="320"/>
      <c r="AA396" s="322">
        <v>76890.547263681598</v>
      </c>
      <c r="AB396" s="320"/>
      <c r="AC396" s="321">
        <v>28.9484514</v>
      </c>
      <c r="AD396" s="320"/>
      <c r="AE396" s="320">
        <v>30.91</v>
      </c>
      <c r="AF396" s="320"/>
      <c r="AG396">
        <v>4.0199999999999996</v>
      </c>
      <c r="AH396"/>
      <c r="AI396">
        <v>118</v>
      </c>
      <c r="AJ396"/>
      <c r="AK396"/>
      <c r="AL396"/>
      <c r="AM396"/>
      <c r="AN396"/>
      <c r="AO396">
        <v>79</v>
      </c>
      <c r="AP396"/>
      <c r="AQ396" s="323"/>
      <c r="AR396" s="323"/>
      <c r="AS396">
        <v>112</v>
      </c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>
        <v>-0.67374999999999996</v>
      </c>
      <c r="BH396"/>
      <c r="BI396">
        <v>4.2263000000000002</v>
      </c>
      <c r="BJ396"/>
      <c r="BK396">
        <v>1.5170999999999999</v>
      </c>
      <c r="BL396"/>
      <c r="BM396">
        <v>65.244</v>
      </c>
      <c r="BN396"/>
      <c r="BO396">
        <v>19.306999999999999</v>
      </c>
      <c r="BP396"/>
      <c r="BQ396">
        <v>11.016</v>
      </c>
      <c r="BR396"/>
      <c r="BS396">
        <v>48.67</v>
      </c>
      <c r="BT396"/>
      <c r="BU396">
        <v>19.437000000000001</v>
      </c>
      <c r="BV396"/>
      <c r="BW396" s="325">
        <v>5.48</v>
      </c>
      <c r="BX396"/>
      <c r="BY396">
        <v>6.7450000000000045</v>
      </c>
      <c r="BZ396"/>
      <c r="CA396"/>
      <c r="CB396" s="136"/>
      <c r="CC396">
        <v>7.09</v>
      </c>
      <c r="CD396"/>
      <c r="CE396"/>
      <c r="CF396"/>
      <c r="CG396"/>
      <c r="CH396"/>
      <c r="CI396"/>
      <c r="CJ396"/>
      <c r="CK396"/>
      <c r="CL396"/>
      <c r="CM396"/>
    </row>
    <row r="397" spans="1:91" s="338" customFormat="1">
      <c r="A397" s="154" t="s">
        <v>7695</v>
      </c>
      <c r="B397" t="s">
        <v>8289</v>
      </c>
      <c r="C397">
        <v>1</v>
      </c>
      <c r="D397">
        <v>1022</v>
      </c>
      <c r="E397" s="113">
        <v>22</v>
      </c>
      <c r="F397" s="113">
        <v>10</v>
      </c>
      <c r="G397" s="113"/>
      <c r="H397" s="113"/>
      <c r="I397">
        <v>26.499999999999996</v>
      </c>
      <c r="J397" s="112"/>
      <c r="K397" s="320">
        <v>9</v>
      </c>
      <c r="L397" s="320"/>
      <c r="M397">
        <v>2.87</v>
      </c>
      <c r="N397" s="320"/>
      <c r="O397"/>
      <c r="P397"/>
      <c r="Q397"/>
      <c r="R397" s="153"/>
      <c r="S397" s="320">
        <v>11.985018875507999</v>
      </c>
      <c r="T397" s="320"/>
      <c r="U397">
        <v>10.8</v>
      </c>
      <c r="V397"/>
      <c r="W397"/>
      <c r="X397"/>
      <c r="Y397" s="321">
        <v>4.9443905000000008</v>
      </c>
      <c r="Z397" s="320"/>
      <c r="AA397" s="322">
        <v>65011.876484560577</v>
      </c>
      <c r="AB397" s="320"/>
      <c r="AC397" s="321">
        <v>25.616677799999998</v>
      </c>
      <c r="AD397" s="320"/>
      <c r="AE397" s="320">
        <v>27.37</v>
      </c>
      <c r="AF397" s="320"/>
      <c r="AG397">
        <v>4.21</v>
      </c>
      <c r="AH397"/>
      <c r="AI397">
        <v>108</v>
      </c>
      <c r="AJ397"/>
      <c r="AK397"/>
      <c r="AL397"/>
      <c r="AM397"/>
      <c r="AN397"/>
      <c r="AO397">
        <v>80</v>
      </c>
      <c r="AP397"/>
      <c r="AQ397" s="323"/>
      <c r="AR397" s="323"/>
      <c r="AS397">
        <v>112</v>
      </c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>
        <v>-0.20394999999999999</v>
      </c>
      <c r="BH397"/>
      <c r="BI397">
        <v>4.5069999999999997</v>
      </c>
      <c r="BJ397"/>
      <c r="BK397">
        <v>1.5498000000000001</v>
      </c>
      <c r="BL397"/>
      <c r="BM397">
        <v>60.795000000000002</v>
      </c>
      <c r="BN397"/>
      <c r="BO397">
        <v>19.989999999999998</v>
      </c>
      <c r="BP397"/>
      <c r="BQ397">
        <v>10.539</v>
      </c>
      <c r="BR397"/>
      <c r="BS397">
        <v>46.786000000000001</v>
      </c>
      <c r="BT397"/>
      <c r="BU397">
        <v>20.655999999999999</v>
      </c>
      <c r="BV397"/>
      <c r="BW397" s="325">
        <v>3.48</v>
      </c>
      <c r="BX397"/>
      <c r="BY397">
        <v>6.6970000000000027</v>
      </c>
      <c r="BZ397"/>
      <c r="CA397"/>
      <c r="CB397" s="136"/>
      <c r="CC397">
        <v>6.27</v>
      </c>
      <c r="CD397"/>
      <c r="CE397"/>
      <c r="CF397"/>
      <c r="CG397"/>
      <c r="CH397"/>
      <c r="CI397"/>
      <c r="CJ397"/>
      <c r="CK397"/>
      <c r="CL397"/>
      <c r="CM397"/>
    </row>
    <row r="398" spans="1:91" s="338" customFormat="1">
      <c r="A398" s="154" t="s">
        <v>7696</v>
      </c>
      <c r="B398" t="s">
        <v>8287</v>
      </c>
      <c r="C398">
        <v>1</v>
      </c>
      <c r="D398">
        <v>423</v>
      </c>
      <c r="E398" s="113">
        <v>23</v>
      </c>
      <c r="F398" s="113">
        <v>4</v>
      </c>
      <c r="G398" s="113"/>
      <c r="H398" s="113"/>
      <c r="I398">
        <v>29.5</v>
      </c>
      <c r="J398" s="112"/>
      <c r="K398" s="320">
        <v>8</v>
      </c>
      <c r="L398" s="320"/>
      <c r="M398">
        <v>2.99</v>
      </c>
      <c r="N398" s="320"/>
      <c r="O398"/>
      <c r="P398"/>
      <c r="Q398"/>
      <c r="R398" s="153"/>
      <c r="S398" s="320">
        <v>13.461126852888</v>
      </c>
      <c r="T398" s="320"/>
      <c r="U398">
        <v>10.8</v>
      </c>
      <c r="V398"/>
      <c r="W398"/>
      <c r="X398"/>
      <c r="Y398" s="321">
        <v>5.5014892999999994</v>
      </c>
      <c r="Z398" s="320"/>
      <c r="AA398" s="322">
        <v>59352.818371607515</v>
      </c>
      <c r="AB398" s="320"/>
      <c r="AC398" s="321">
        <v>26.588304600000001</v>
      </c>
      <c r="AD398" s="320"/>
      <c r="AE398" s="320">
        <v>28.43</v>
      </c>
      <c r="AF398" s="320"/>
      <c r="AG398">
        <v>4.79</v>
      </c>
      <c r="AH398"/>
      <c r="AI398">
        <v>133</v>
      </c>
      <c r="AJ398"/>
      <c r="AK398"/>
      <c r="AL398"/>
      <c r="AM398"/>
      <c r="AN398"/>
      <c r="AO398">
        <v>83</v>
      </c>
      <c r="AP398"/>
      <c r="AQ398" s="323"/>
      <c r="AR398" s="323"/>
      <c r="AS398">
        <v>118</v>
      </c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>
        <v>9.8899000000000008</v>
      </c>
      <c r="BH398"/>
      <c r="BI398">
        <v>4.5153999999999996</v>
      </c>
      <c r="BJ398"/>
      <c r="BK398">
        <v>1.4219999999999999</v>
      </c>
      <c r="BL398"/>
      <c r="BM398">
        <v>57.192</v>
      </c>
      <c r="BN398"/>
      <c r="BO398">
        <v>20.126999999999999</v>
      </c>
      <c r="BP398"/>
      <c r="BQ398">
        <v>9.2228999999999992</v>
      </c>
      <c r="BR398"/>
      <c r="BS398">
        <v>50.628</v>
      </c>
      <c r="BT398"/>
      <c r="BU398">
        <v>18.042999999999999</v>
      </c>
      <c r="BV398"/>
      <c r="BW398" s="325">
        <v>10.23</v>
      </c>
      <c r="BX398"/>
      <c r="BY398">
        <v>6.3970000000000056</v>
      </c>
      <c r="BZ398"/>
      <c r="CA398"/>
      <c r="CB398" s="136"/>
      <c r="CC398">
        <v>6.55</v>
      </c>
      <c r="CD398"/>
      <c r="CE398"/>
      <c r="CF398"/>
      <c r="CG398"/>
      <c r="CH398"/>
      <c r="CI398"/>
      <c r="CJ398"/>
      <c r="CK398"/>
      <c r="CL398"/>
      <c r="CM398"/>
    </row>
    <row r="399" spans="1:91" s="338" customFormat="1">
      <c r="A399" s="154" t="s">
        <v>7696</v>
      </c>
      <c r="B399" t="s">
        <v>8289</v>
      </c>
      <c r="C399">
        <v>2</v>
      </c>
      <c r="D399">
        <v>653</v>
      </c>
      <c r="E399" s="113">
        <v>53</v>
      </c>
      <c r="F399" s="113">
        <v>6</v>
      </c>
      <c r="G399" s="113"/>
      <c r="H399" s="113"/>
      <c r="I399">
        <v>27</v>
      </c>
      <c r="J399" s="112"/>
      <c r="K399" s="320">
        <v>8</v>
      </c>
      <c r="L399" s="320"/>
      <c r="M399">
        <v>3.42</v>
      </c>
      <c r="N399" s="320"/>
      <c r="O399"/>
      <c r="P399"/>
      <c r="Q399"/>
      <c r="R399" s="153"/>
      <c r="S399" s="320">
        <v>14.317794756370001</v>
      </c>
      <c r="T399" s="320"/>
      <c r="U399">
        <v>10.8</v>
      </c>
      <c r="V399"/>
      <c r="W399"/>
      <c r="X399"/>
      <c r="Y399" s="321">
        <v>6.6855550000000008</v>
      </c>
      <c r="Z399" s="320"/>
      <c r="AA399" s="322">
        <v>67798.353909465019</v>
      </c>
      <c r="AB399" s="320"/>
      <c r="AC399" s="321">
        <v>30.702480500000004</v>
      </c>
      <c r="AD399" s="320"/>
      <c r="AE399" s="320">
        <v>32.950000000000003</v>
      </c>
      <c r="AF399" s="320"/>
      <c r="AG399">
        <v>4.8600000000000003</v>
      </c>
      <c r="AH399"/>
      <c r="AI399">
        <v>125</v>
      </c>
      <c r="AJ399"/>
      <c r="AK399"/>
      <c r="AL399"/>
      <c r="AM399"/>
      <c r="AN399"/>
      <c r="AO399">
        <v>77</v>
      </c>
      <c r="AP399"/>
      <c r="AQ399" s="323"/>
      <c r="AR399" s="323"/>
      <c r="AS399">
        <v>118</v>
      </c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>
        <v>0.80376000000000003</v>
      </c>
      <c r="BH399"/>
      <c r="BI399">
        <v>4.7718999999999996</v>
      </c>
      <c r="BJ399"/>
      <c r="BK399">
        <v>1.4843999999999999</v>
      </c>
      <c r="BL399"/>
      <c r="BM399">
        <v>59.18</v>
      </c>
      <c r="BN399"/>
      <c r="BO399">
        <v>19.166</v>
      </c>
      <c r="BP399"/>
      <c r="BQ399">
        <v>9.6425999999999998</v>
      </c>
      <c r="BR399"/>
      <c r="BS399">
        <v>46.634</v>
      </c>
      <c r="BT399"/>
      <c r="BU399">
        <v>20.347000000000001</v>
      </c>
      <c r="BV399"/>
      <c r="BW399" s="325">
        <v>10.02</v>
      </c>
      <c r="BX399"/>
      <c r="BY399">
        <v>6.7690000000000055</v>
      </c>
      <c r="BZ399"/>
      <c r="CA399"/>
      <c r="CB399" s="136"/>
      <c r="CC399">
        <v>5.3</v>
      </c>
      <c r="CD399"/>
      <c r="CE399"/>
      <c r="CF399"/>
      <c r="CG399"/>
      <c r="CH399"/>
      <c r="CI399"/>
      <c r="CJ399"/>
      <c r="CK399"/>
      <c r="CL399"/>
      <c r="CM399"/>
    </row>
    <row r="400" spans="1:91" s="338" customFormat="1">
      <c r="A400" s="154" t="s">
        <v>7696</v>
      </c>
      <c r="B400" t="s">
        <v>8287</v>
      </c>
      <c r="C400">
        <v>2</v>
      </c>
      <c r="D400">
        <v>1667</v>
      </c>
      <c r="E400" s="113">
        <v>67</v>
      </c>
      <c r="F400" s="113">
        <v>16</v>
      </c>
      <c r="G400" s="113"/>
      <c r="H400" s="113"/>
      <c r="I400">
        <v>23</v>
      </c>
      <c r="J400" s="112"/>
      <c r="K400" s="320">
        <v>8</v>
      </c>
      <c r="L400" s="320"/>
      <c r="M400">
        <v>3.22</v>
      </c>
      <c r="N400" s="320"/>
      <c r="O400"/>
      <c r="P400"/>
      <c r="Q400"/>
      <c r="R400" s="153"/>
      <c r="S400" s="320">
        <v>14.209519627520001</v>
      </c>
      <c r="T400" s="320"/>
      <c r="U400">
        <v>10.8</v>
      </c>
      <c r="V400"/>
      <c r="W400"/>
      <c r="X400"/>
      <c r="Y400" s="321">
        <v>5.8602064000000009</v>
      </c>
      <c r="Z400" s="320"/>
      <c r="AA400" s="322">
        <v>66320.346320346318</v>
      </c>
      <c r="AB400" s="320"/>
      <c r="AC400" s="321">
        <v>28.675976000000002</v>
      </c>
      <c r="AD400" s="320"/>
      <c r="AE400" s="320">
        <v>30.64</v>
      </c>
      <c r="AF400" s="320"/>
      <c r="AG400">
        <v>4.62</v>
      </c>
      <c r="AH400"/>
      <c r="AI400">
        <v>115</v>
      </c>
      <c r="AJ400"/>
      <c r="AK400"/>
      <c r="AL400"/>
      <c r="AM400"/>
      <c r="AN400"/>
      <c r="AO400">
        <v>80</v>
      </c>
      <c r="AP400"/>
      <c r="AQ400" s="323"/>
      <c r="AR400" s="323"/>
      <c r="AS400">
        <v>114</v>
      </c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>
        <v>2.8252999999999999</v>
      </c>
      <c r="BH400"/>
      <c r="BI400">
        <v>4.6176000000000004</v>
      </c>
      <c r="BJ400"/>
      <c r="BK400">
        <v>1.5222</v>
      </c>
      <c r="BL400"/>
      <c r="BM400">
        <v>63.478999999999999</v>
      </c>
      <c r="BN400"/>
      <c r="BO400">
        <v>20.536999999999999</v>
      </c>
      <c r="BP400"/>
      <c r="BQ400">
        <v>8.8050999999999995</v>
      </c>
      <c r="BR400"/>
      <c r="BS400">
        <v>49.552</v>
      </c>
      <c r="BT400"/>
      <c r="BU400">
        <v>18.329999999999998</v>
      </c>
      <c r="BV400"/>
      <c r="BW400" s="325">
        <v>10.42</v>
      </c>
      <c r="BX400"/>
      <c r="BY400">
        <v>6.5630000000000024</v>
      </c>
      <c r="BZ400"/>
      <c r="CA400"/>
      <c r="CB400" s="136"/>
      <c r="CC400">
        <v>6.49</v>
      </c>
      <c r="CD400"/>
      <c r="CE400"/>
      <c r="CF400"/>
      <c r="CG400"/>
      <c r="CH400"/>
      <c r="CI400"/>
      <c r="CJ400"/>
      <c r="CK400"/>
      <c r="CL400"/>
      <c r="CM400"/>
    </row>
    <row r="401" spans="1:91" s="338" customFormat="1">
      <c r="A401" s="154" t="s">
        <v>7696</v>
      </c>
      <c r="B401" t="s">
        <v>8289</v>
      </c>
      <c r="C401">
        <v>1</v>
      </c>
      <c r="D401">
        <v>1637</v>
      </c>
      <c r="E401" s="113">
        <v>37</v>
      </c>
      <c r="F401" s="113">
        <v>16</v>
      </c>
      <c r="G401" s="113"/>
      <c r="H401" s="113"/>
      <c r="I401">
        <v>29.5</v>
      </c>
      <c r="J401" s="112"/>
      <c r="K401" s="320">
        <v>8</v>
      </c>
      <c r="L401" s="320"/>
      <c r="M401">
        <v>2.92</v>
      </c>
      <c r="N401" s="320"/>
      <c r="O401"/>
      <c r="P401"/>
      <c r="Q401"/>
      <c r="R401" s="153"/>
      <c r="S401" s="320" t="s">
        <v>8361</v>
      </c>
      <c r="T401" s="320"/>
      <c r="U401">
        <v>10.8</v>
      </c>
      <c r="V401"/>
      <c r="W401"/>
      <c r="X401"/>
      <c r="Y401" s="321">
        <v>0</v>
      </c>
      <c r="Z401" s="320"/>
      <c r="AA401" s="322">
        <v>61138.392857142855</v>
      </c>
      <c r="AB401" s="320"/>
      <c r="AC401" s="321" t="s">
        <v>8361</v>
      </c>
      <c r="AD401" s="320"/>
      <c r="AE401" s="320">
        <v>27.39</v>
      </c>
      <c r="AF401" s="320"/>
      <c r="AG401">
        <v>4.4800000000000004</v>
      </c>
      <c r="AH401"/>
      <c r="AI401">
        <v>128</v>
      </c>
      <c r="AJ401"/>
      <c r="AK401"/>
      <c r="AL401"/>
      <c r="AM401"/>
      <c r="AN401"/>
      <c r="AO401">
        <v>83</v>
      </c>
      <c r="AP401"/>
      <c r="AQ401" s="323"/>
      <c r="AR401" s="323"/>
      <c r="AS401">
        <v>112</v>
      </c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>
        <v>0.29353000000000001</v>
      </c>
      <c r="BH401"/>
      <c r="BI401">
        <v>4.9462000000000002</v>
      </c>
      <c r="BJ401"/>
      <c r="BK401">
        <v>1.4715</v>
      </c>
      <c r="BL401"/>
      <c r="BM401">
        <v>60.460999999999999</v>
      </c>
      <c r="BN401"/>
      <c r="BO401">
        <v>20.468</v>
      </c>
      <c r="BP401"/>
      <c r="BQ401">
        <v>9.3358000000000008</v>
      </c>
      <c r="BR401"/>
      <c r="BS401">
        <v>47.165999999999997</v>
      </c>
      <c r="BT401"/>
      <c r="BU401">
        <v>20.190000000000001</v>
      </c>
      <c r="BV401"/>
      <c r="BW401" s="325">
        <v>13.47</v>
      </c>
      <c r="BX401"/>
      <c r="BY401">
        <v>6.7480000000000047</v>
      </c>
      <c r="BZ401"/>
      <c r="CA401"/>
      <c r="CB401" s="136"/>
      <c r="CC401">
        <v>7.81</v>
      </c>
      <c r="CD401"/>
      <c r="CE401"/>
      <c r="CF401"/>
      <c r="CG401"/>
      <c r="CH401"/>
      <c r="CI401"/>
      <c r="CJ401"/>
      <c r="CK401"/>
      <c r="CL401"/>
      <c r="CM401"/>
    </row>
    <row r="402" spans="1:91" s="338" customFormat="1">
      <c r="A402" s="154" t="s">
        <v>7697</v>
      </c>
      <c r="B402" t="s">
        <v>8287</v>
      </c>
      <c r="C402">
        <v>1</v>
      </c>
      <c r="D402">
        <v>511</v>
      </c>
      <c r="E402" s="113">
        <v>11</v>
      </c>
      <c r="F402" s="113">
        <v>5</v>
      </c>
      <c r="G402" s="113"/>
      <c r="H402" s="113"/>
      <c r="I402">
        <v>32</v>
      </c>
      <c r="J402" s="112"/>
      <c r="K402" s="320">
        <v>9</v>
      </c>
      <c r="L402" s="320"/>
      <c r="M402">
        <v>3.38</v>
      </c>
      <c r="N402" s="320"/>
      <c r="O402"/>
      <c r="P402"/>
      <c r="Q402"/>
      <c r="R402" s="153"/>
      <c r="S402" s="320">
        <v>15.938281752925</v>
      </c>
      <c r="T402" s="320"/>
      <c r="U402">
        <v>10.8</v>
      </c>
      <c r="V402"/>
      <c r="W402"/>
      <c r="X402"/>
      <c r="Y402" s="321">
        <v>5.1808824999999992</v>
      </c>
      <c r="Z402" s="320"/>
      <c r="AA402" s="322">
        <v>71054.945054945056</v>
      </c>
      <c r="AB402" s="320"/>
      <c r="AC402" s="321">
        <v>30.378884499999998</v>
      </c>
      <c r="AD402" s="320"/>
      <c r="AE402" s="320">
        <v>32.33</v>
      </c>
      <c r="AF402" s="320"/>
      <c r="AG402">
        <v>4.55</v>
      </c>
      <c r="AH402"/>
      <c r="AI402">
        <v>130</v>
      </c>
      <c r="AJ402"/>
      <c r="AK402"/>
      <c r="AL402"/>
      <c r="AM402"/>
      <c r="AN402"/>
      <c r="AO402">
        <v>79</v>
      </c>
      <c r="AP402"/>
      <c r="AQ402" s="323"/>
      <c r="AR402" s="323"/>
      <c r="AS402">
        <v>112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>
        <v>5.4691999999999998</v>
      </c>
      <c r="BH402"/>
      <c r="BI402">
        <v>4.3357999999999999</v>
      </c>
      <c r="BJ402"/>
      <c r="BK402">
        <v>1.3317000000000001</v>
      </c>
      <c r="BL402"/>
      <c r="BM402">
        <v>54.768999999999998</v>
      </c>
      <c r="BN402"/>
      <c r="BO402">
        <v>20.433</v>
      </c>
      <c r="BP402"/>
      <c r="BQ402">
        <v>9.5231999999999992</v>
      </c>
      <c r="BR402"/>
      <c r="BS402">
        <v>52.465000000000003</v>
      </c>
      <c r="BT402"/>
      <c r="BU402">
        <v>16.916</v>
      </c>
      <c r="BV402"/>
      <c r="BW402" s="325">
        <v>4.1100000000000003</v>
      </c>
      <c r="BX402"/>
      <c r="BY402">
        <v>6.2620000000000005</v>
      </c>
      <c r="BZ402"/>
      <c r="CA402"/>
      <c r="CB402" s="136"/>
      <c r="CC402">
        <v>5.99</v>
      </c>
      <c r="CD402"/>
      <c r="CE402"/>
      <c r="CF402"/>
      <c r="CG402"/>
      <c r="CH402"/>
      <c r="CI402"/>
      <c r="CJ402"/>
      <c r="CK402"/>
      <c r="CL402"/>
      <c r="CM402"/>
    </row>
    <row r="403" spans="1:91" s="338" customFormat="1">
      <c r="A403" s="154" t="s">
        <v>7697</v>
      </c>
      <c r="B403" t="s">
        <v>8289</v>
      </c>
      <c r="C403">
        <v>2</v>
      </c>
      <c r="D403">
        <v>669</v>
      </c>
      <c r="E403" s="113">
        <v>69</v>
      </c>
      <c r="F403" s="113">
        <v>6</v>
      </c>
      <c r="G403" s="113"/>
      <c r="H403" s="113"/>
      <c r="I403">
        <v>30.499999999999996</v>
      </c>
      <c r="J403" s="112"/>
      <c r="K403" s="320">
        <v>9</v>
      </c>
      <c r="L403" s="320"/>
      <c r="M403">
        <v>3.52</v>
      </c>
      <c r="N403" s="320"/>
      <c r="O403"/>
      <c r="P403"/>
      <c r="Q403"/>
      <c r="R403" s="153"/>
      <c r="S403" s="320">
        <v>15.44828978176</v>
      </c>
      <c r="T403" s="320"/>
      <c r="U403">
        <v>10.8</v>
      </c>
      <c r="V403"/>
      <c r="W403"/>
      <c r="X403"/>
      <c r="Y403" s="321">
        <v>6.1644769999999998</v>
      </c>
      <c r="Z403" s="320"/>
      <c r="AA403" s="322">
        <v>74888.392857142841</v>
      </c>
      <c r="AB403" s="320"/>
      <c r="AC403" s="321">
        <v>31.327648</v>
      </c>
      <c r="AD403" s="320"/>
      <c r="AE403" s="320">
        <v>33.549999999999997</v>
      </c>
      <c r="AF403" s="320"/>
      <c r="AG403">
        <v>4.4800000000000004</v>
      </c>
      <c r="AH403"/>
      <c r="AI403">
        <v>133</v>
      </c>
      <c r="AJ403"/>
      <c r="AK403"/>
      <c r="AL403"/>
      <c r="AM403"/>
      <c r="AN403"/>
      <c r="AO403">
        <v>77</v>
      </c>
      <c r="AP403"/>
      <c r="AQ403" s="323"/>
      <c r="AR403" s="323"/>
      <c r="AS403">
        <v>115</v>
      </c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>
        <v>-1.806</v>
      </c>
      <c r="BH403"/>
      <c r="BI403">
        <v>4.6100000000000003</v>
      </c>
      <c r="BJ403"/>
      <c r="BK403">
        <v>1.4609000000000001</v>
      </c>
      <c r="BL403"/>
      <c r="BM403">
        <v>60.064999999999998</v>
      </c>
      <c r="BN403"/>
      <c r="BO403">
        <v>22.068999999999999</v>
      </c>
      <c r="BP403"/>
      <c r="BQ403">
        <v>9.1598000000000006</v>
      </c>
      <c r="BR403"/>
      <c r="BS403">
        <v>49.311999999999998</v>
      </c>
      <c r="BT403"/>
      <c r="BU403">
        <v>18.218</v>
      </c>
      <c r="BV403"/>
      <c r="BW403" s="325">
        <v>6.16</v>
      </c>
      <c r="BX403"/>
      <c r="BY403">
        <v>6.8190000000000026</v>
      </c>
      <c r="BZ403"/>
      <c r="CA403"/>
      <c r="CB403" s="136"/>
      <c r="CC403">
        <v>6.33</v>
      </c>
      <c r="CD403"/>
      <c r="CE403"/>
      <c r="CF403"/>
      <c r="CG403"/>
      <c r="CH403"/>
      <c r="CI403"/>
      <c r="CJ403"/>
      <c r="CK403"/>
      <c r="CL403"/>
      <c r="CM403"/>
    </row>
    <row r="404" spans="1:91" s="338" customFormat="1">
      <c r="A404" s="154" t="s">
        <v>7697</v>
      </c>
      <c r="B404" t="s">
        <v>8289</v>
      </c>
      <c r="C404">
        <v>1</v>
      </c>
      <c r="D404">
        <v>1427</v>
      </c>
      <c r="E404" s="113">
        <v>27</v>
      </c>
      <c r="F404" s="113">
        <v>14</v>
      </c>
      <c r="G404" s="113"/>
      <c r="H404" s="113"/>
      <c r="I404">
        <v>34</v>
      </c>
      <c r="J404" s="112"/>
      <c r="K404" s="320">
        <v>9</v>
      </c>
      <c r="L404" s="320"/>
      <c r="M404">
        <v>3.45</v>
      </c>
      <c r="N404" s="320"/>
      <c r="O404"/>
      <c r="P404"/>
      <c r="Q404"/>
      <c r="R404" s="153"/>
      <c r="S404" s="320">
        <v>14.194032049240001</v>
      </c>
      <c r="T404" s="320"/>
      <c r="U404">
        <v>10.8</v>
      </c>
      <c r="V404"/>
      <c r="W404"/>
      <c r="X404"/>
      <c r="Y404" s="321">
        <v>6.3481755</v>
      </c>
      <c r="Z404" s="320"/>
      <c r="AA404" s="322">
        <v>77709.359605911348</v>
      </c>
      <c r="AB404" s="320"/>
      <c r="AC404" s="321">
        <v>29.285972000000001</v>
      </c>
      <c r="AD404" s="320"/>
      <c r="AE404" s="320">
        <v>31.55</v>
      </c>
      <c r="AF404" s="320"/>
      <c r="AG404">
        <v>4.0599999999999996</v>
      </c>
      <c r="AH404"/>
      <c r="AI404">
        <v>130</v>
      </c>
      <c r="AJ404"/>
      <c r="AK404"/>
      <c r="AL404"/>
      <c r="AM404"/>
      <c r="AN404"/>
      <c r="AO404">
        <v>81</v>
      </c>
      <c r="AP404"/>
      <c r="AQ404" s="323"/>
      <c r="AR404" s="323"/>
      <c r="AS404">
        <v>114</v>
      </c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>
        <v>2.5030999999999999</v>
      </c>
      <c r="BH404"/>
      <c r="BI404">
        <v>4.7187000000000001</v>
      </c>
      <c r="BJ404"/>
      <c r="BK404">
        <v>1.3717999999999999</v>
      </c>
      <c r="BL404"/>
      <c r="BM404">
        <v>58.015000000000001</v>
      </c>
      <c r="BN404"/>
      <c r="BO404">
        <v>22.015999999999998</v>
      </c>
      <c r="BP404"/>
      <c r="BQ404">
        <v>9.8919999999999995</v>
      </c>
      <c r="BR404"/>
      <c r="BS404">
        <v>48.466999999999999</v>
      </c>
      <c r="BT404"/>
      <c r="BU404">
        <v>18.536999999999999</v>
      </c>
      <c r="BV404"/>
      <c r="BW404" s="325">
        <v>4.5999999999999996</v>
      </c>
      <c r="BX404"/>
      <c r="BY404">
        <v>6.7240000000000038</v>
      </c>
      <c r="BZ404"/>
      <c r="CA404"/>
      <c r="CB404" s="136"/>
      <c r="CC404">
        <v>10.130000000000001</v>
      </c>
      <c r="CD404"/>
      <c r="CE404"/>
      <c r="CF404"/>
      <c r="CG404"/>
      <c r="CH404"/>
      <c r="CI404"/>
      <c r="CJ404"/>
      <c r="CK404"/>
      <c r="CL404"/>
      <c r="CM404"/>
    </row>
    <row r="405" spans="1:91" s="338" customFormat="1">
      <c r="A405" s="154" t="s">
        <v>7697</v>
      </c>
      <c r="B405" t="s">
        <v>8287</v>
      </c>
      <c r="C405">
        <v>2</v>
      </c>
      <c r="D405">
        <v>1659</v>
      </c>
      <c r="E405" s="113">
        <v>59</v>
      </c>
      <c r="F405" s="113">
        <v>16</v>
      </c>
      <c r="G405" s="113"/>
      <c r="H405" s="113"/>
      <c r="I405">
        <v>33.5</v>
      </c>
      <c r="J405" s="112"/>
      <c r="K405" s="320">
        <v>8</v>
      </c>
      <c r="L405" s="320"/>
      <c r="M405">
        <v>3.3</v>
      </c>
      <c r="N405" s="320"/>
      <c r="O405"/>
      <c r="P405"/>
      <c r="Q405"/>
      <c r="R405" s="153"/>
      <c r="S405" s="320">
        <v>15.244357565424</v>
      </c>
      <c r="T405" s="320"/>
      <c r="U405">
        <v>10.8</v>
      </c>
      <c r="V405"/>
      <c r="W405"/>
      <c r="X405"/>
      <c r="Y405" s="321">
        <v>5.2715094000000002</v>
      </c>
      <c r="Z405" s="320"/>
      <c r="AA405" s="322">
        <v>68939.051918735888</v>
      </c>
      <c r="AB405" s="320"/>
      <c r="AC405" s="321">
        <v>28.7130972</v>
      </c>
      <c r="AD405" s="320"/>
      <c r="AE405" s="320">
        <v>30.54</v>
      </c>
      <c r="AF405" s="320"/>
      <c r="AG405">
        <v>4.43</v>
      </c>
      <c r="AH405"/>
      <c r="AI405">
        <v>125</v>
      </c>
      <c r="AJ405"/>
      <c r="AK405"/>
      <c r="AL405"/>
      <c r="AM405"/>
      <c r="AN405"/>
      <c r="AO405">
        <v>79</v>
      </c>
      <c r="AP405"/>
      <c r="AQ405" s="323"/>
      <c r="AR405" s="323"/>
      <c r="AS405">
        <v>112</v>
      </c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>
        <v>1.6182000000000001</v>
      </c>
      <c r="BH405"/>
      <c r="BI405">
        <v>4.7454999999999998</v>
      </c>
      <c r="BJ405"/>
      <c r="BK405">
        <v>1.3697999999999999</v>
      </c>
      <c r="BL405"/>
      <c r="BM405">
        <v>59.225999999999999</v>
      </c>
      <c r="BN405"/>
      <c r="BO405">
        <v>21.39</v>
      </c>
      <c r="BP405"/>
      <c r="BQ405">
        <v>9.5498999999999992</v>
      </c>
      <c r="BR405"/>
      <c r="BS405">
        <v>53.091999999999999</v>
      </c>
      <c r="BT405"/>
      <c r="BU405">
        <v>16.268000000000001</v>
      </c>
      <c r="BV405"/>
      <c r="BW405" s="325">
        <v>10.82</v>
      </c>
      <c r="BX405"/>
      <c r="BY405">
        <v>6.6099999999999994</v>
      </c>
      <c r="BZ405"/>
      <c r="CA405"/>
      <c r="CB405" s="136"/>
      <c r="CC405">
        <v>9.06</v>
      </c>
      <c r="CD405"/>
      <c r="CE405"/>
      <c r="CF405"/>
      <c r="CG405"/>
      <c r="CH405"/>
      <c r="CI405"/>
      <c r="CJ405"/>
      <c r="CK405"/>
      <c r="CL405"/>
      <c r="CM405"/>
    </row>
    <row r="406" spans="1:91" s="338" customFormat="1">
      <c r="A406" s="154" t="s">
        <v>7698</v>
      </c>
      <c r="B406" t="s">
        <v>8289</v>
      </c>
      <c r="C406">
        <v>2</v>
      </c>
      <c r="D406">
        <v>663</v>
      </c>
      <c r="E406" s="113">
        <v>63</v>
      </c>
      <c r="F406" s="113">
        <v>6</v>
      </c>
      <c r="G406" s="113"/>
      <c r="H406" s="113"/>
      <c r="I406">
        <v>23.5</v>
      </c>
      <c r="J406" s="112"/>
      <c r="K406" s="320">
        <v>8</v>
      </c>
      <c r="L406" s="320"/>
      <c r="M406">
        <v>2.0499999999999998</v>
      </c>
      <c r="N406" s="320"/>
      <c r="O406"/>
      <c r="P406"/>
      <c r="Q406"/>
      <c r="R406" s="153"/>
      <c r="S406" s="320">
        <v>6.9016677564600002</v>
      </c>
      <c r="T406" s="320"/>
      <c r="U406">
        <v>10.8</v>
      </c>
      <c r="V406"/>
      <c r="W406"/>
      <c r="X406"/>
      <c r="Y406" s="321">
        <v>3.8052161999999998</v>
      </c>
      <c r="Z406" s="320"/>
      <c r="AA406" s="322">
        <v>41920.52980132449</v>
      </c>
      <c r="AB406" s="320"/>
      <c r="AC406" s="321">
        <v>17.664877799999999</v>
      </c>
      <c r="AD406" s="320"/>
      <c r="AE406" s="320">
        <v>18.989999999999998</v>
      </c>
      <c r="AF406" s="320"/>
      <c r="AG406">
        <v>4.53</v>
      </c>
      <c r="AH406"/>
      <c r="AI406">
        <v>113</v>
      </c>
      <c r="AJ406"/>
      <c r="AK406"/>
      <c r="AL406"/>
      <c r="AM406"/>
      <c r="AN406"/>
      <c r="AO406">
        <v>75</v>
      </c>
      <c r="AP406"/>
      <c r="AQ406" s="323"/>
      <c r="AR406" s="323"/>
      <c r="AS406">
        <v>112</v>
      </c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>
        <v>-8.8158999999999992</v>
      </c>
      <c r="BH406"/>
      <c r="BI406">
        <v>5.3505000000000003</v>
      </c>
      <c r="BJ406"/>
      <c r="BK406">
        <v>1.7948999999999999</v>
      </c>
      <c r="BL406"/>
      <c r="BM406">
        <v>70.457999999999998</v>
      </c>
      <c r="BN406"/>
      <c r="BO406"/>
      <c r="BP406"/>
      <c r="BQ406">
        <v>7.1883999999999997</v>
      </c>
      <c r="BR406"/>
      <c r="BS406">
        <v>39.07</v>
      </c>
      <c r="BT406"/>
      <c r="BU406">
        <v>19.908000000000001</v>
      </c>
      <c r="BV406"/>
      <c r="BW406" s="325">
        <v>3.79</v>
      </c>
      <c r="BX406"/>
      <c r="BY406">
        <v>7.0130000000000052</v>
      </c>
      <c r="BZ406"/>
      <c r="CA406"/>
      <c r="CB406" s="136"/>
      <c r="CC406">
        <v>8.9499999999999993</v>
      </c>
      <c r="CD406"/>
      <c r="CE406"/>
      <c r="CF406"/>
      <c r="CG406"/>
      <c r="CH406"/>
      <c r="CI406"/>
      <c r="CJ406"/>
      <c r="CK406"/>
      <c r="CL406"/>
      <c r="CM406"/>
    </row>
    <row r="407" spans="1:91" s="338" customFormat="1">
      <c r="A407" s="327" t="s">
        <v>7698</v>
      </c>
      <c r="B407" s="328" t="s">
        <v>8287</v>
      </c>
      <c r="C407" s="328">
        <v>1</v>
      </c>
      <c r="D407" s="328">
        <v>905</v>
      </c>
      <c r="E407" s="113">
        <v>5</v>
      </c>
      <c r="F407" s="113">
        <v>9</v>
      </c>
      <c r="G407" s="329"/>
      <c r="H407" s="329"/>
      <c r="I407" s="328">
        <v>21.499999999999996</v>
      </c>
      <c r="J407" s="330"/>
      <c r="K407" s="331">
        <v>8</v>
      </c>
      <c r="L407" s="331"/>
      <c r="M407" s="328">
        <v>2.93</v>
      </c>
      <c r="N407" s="331"/>
      <c r="O407" s="328"/>
      <c r="P407" s="328"/>
      <c r="Q407" s="328"/>
      <c r="R407" s="332"/>
      <c r="S407" s="331">
        <v>12.187055747807999</v>
      </c>
      <c r="T407" s="331"/>
      <c r="U407" s="328">
        <v>10.8</v>
      </c>
      <c r="V407" s="328"/>
      <c r="W407" s="328"/>
      <c r="X407" s="328"/>
      <c r="Y407" s="333">
        <v>5.0937237</v>
      </c>
      <c r="Z407" s="331"/>
      <c r="AA407" s="334">
        <v>62314.606741573036</v>
      </c>
      <c r="AB407" s="331"/>
      <c r="AC407" s="333">
        <v>26.030705600000001</v>
      </c>
      <c r="AD407" s="331"/>
      <c r="AE407" s="331">
        <v>27.73</v>
      </c>
      <c r="AF407" s="331"/>
      <c r="AG407" s="328">
        <v>4.45</v>
      </c>
      <c r="AH407" s="328"/>
      <c r="AI407" s="328">
        <v>110</v>
      </c>
      <c r="AJ407" s="328"/>
      <c r="AK407" s="328"/>
      <c r="AL407" s="328"/>
      <c r="AM407" s="328"/>
      <c r="AN407" s="328"/>
      <c r="AO407" s="328">
        <v>77</v>
      </c>
      <c r="AP407" s="328"/>
      <c r="AQ407" s="335"/>
      <c r="AR407" s="335"/>
      <c r="AS407" s="328">
        <v>112</v>
      </c>
      <c r="AT407" s="328"/>
      <c r="AU407" s="328"/>
      <c r="AV407" s="328"/>
      <c r="AW407" s="328"/>
      <c r="AX407" s="328"/>
      <c r="AY407" s="328"/>
      <c r="AZ407" s="328"/>
      <c r="BA407" s="328"/>
      <c r="BB407" s="328"/>
      <c r="BC407" s="328"/>
      <c r="BD407" s="328"/>
      <c r="BE407" s="328"/>
      <c r="BF407" s="328"/>
      <c r="BG407" s="328">
        <v>3.1991000000000001</v>
      </c>
      <c r="BH407" s="328"/>
      <c r="BI407" s="328">
        <v>4.5183</v>
      </c>
      <c r="BJ407" s="328"/>
      <c r="BK407" s="328">
        <v>1.4540999999999999</v>
      </c>
      <c r="BL407" s="328"/>
      <c r="BM407" s="328">
        <v>60.558999999999997</v>
      </c>
      <c r="BN407" s="328"/>
      <c r="BO407" s="328">
        <v>20.420999999999999</v>
      </c>
      <c r="BP407" s="328"/>
      <c r="BQ407" s="328">
        <v>9.9762000000000004</v>
      </c>
      <c r="BR407" s="328"/>
      <c r="BS407" s="328">
        <v>46.817999999999998</v>
      </c>
      <c r="BT407" s="328"/>
      <c r="BU407" s="328">
        <v>18.706</v>
      </c>
      <c r="BV407" s="328"/>
      <c r="BW407" s="336">
        <v>11.96</v>
      </c>
      <c r="BX407" s="328"/>
      <c r="BY407" s="328">
        <v>7.0319999999999965</v>
      </c>
      <c r="BZ407" s="328"/>
      <c r="CA407" s="328"/>
      <c r="CB407" s="337"/>
      <c r="CC407" s="328">
        <v>6.98</v>
      </c>
      <c r="CD407" s="328"/>
      <c r="CE407" s="328"/>
      <c r="CF407" s="328"/>
      <c r="CG407" s="328"/>
      <c r="CH407" s="328"/>
      <c r="CI407" s="328"/>
      <c r="CJ407" s="328"/>
      <c r="CK407" s="328" t="s">
        <v>8377</v>
      </c>
      <c r="CL407" s="328"/>
      <c r="CM407" s="328"/>
    </row>
    <row r="408" spans="1:91" s="338" customFormat="1">
      <c r="A408" s="154" t="s">
        <v>7698</v>
      </c>
      <c r="B408" t="s">
        <v>8289</v>
      </c>
      <c r="C408">
        <v>1</v>
      </c>
      <c r="D408">
        <v>1128</v>
      </c>
      <c r="E408" s="113">
        <v>28</v>
      </c>
      <c r="F408" s="113">
        <v>11</v>
      </c>
      <c r="G408" s="113"/>
      <c r="H408" s="113"/>
      <c r="I408">
        <v>23.5</v>
      </c>
      <c r="J408" s="112"/>
      <c r="K408" s="320">
        <v>9</v>
      </c>
      <c r="L408" s="320"/>
      <c r="M408">
        <v>3.53</v>
      </c>
      <c r="N408" s="320"/>
      <c r="O408"/>
      <c r="P408"/>
      <c r="Q408"/>
      <c r="R408" s="153"/>
      <c r="S408" s="320">
        <v>13.967913854839001</v>
      </c>
      <c r="T408" s="320"/>
      <c r="U408">
        <v>10.8</v>
      </c>
      <c r="V408"/>
      <c r="W408"/>
      <c r="X408"/>
      <c r="Y408" s="321">
        <v>7.1693777999999995</v>
      </c>
      <c r="Z408" s="320"/>
      <c r="AA408" s="322">
        <v>69300.847457627126</v>
      </c>
      <c r="AB408" s="320"/>
      <c r="AC408" s="321">
        <v>30.542308300000002</v>
      </c>
      <c r="AD408" s="320"/>
      <c r="AE408" s="320">
        <v>32.71</v>
      </c>
      <c r="AF408" s="320"/>
      <c r="AG408">
        <v>4.72</v>
      </c>
      <c r="AH408"/>
      <c r="AI408">
        <v>115</v>
      </c>
      <c r="AJ408"/>
      <c r="AK408"/>
      <c r="AL408"/>
      <c r="AM408"/>
      <c r="AN408"/>
      <c r="AO408">
        <v>77</v>
      </c>
      <c r="AP408"/>
      <c r="AQ408" s="323"/>
      <c r="AR408" s="323"/>
      <c r="AS408">
        <v>112</v>
      </c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>
        <v>2.145</v>
      </c>
      <c r="BH408"/>
      <c r="BI408">
        <v>4.8158000000000003</v>
      </c>
      <c r="BJ408"/>
      <c r="BK408">
        <v>1.5488999999999999</v>
      </c>
      <c r="BL408"/>
      <c r="BM408">
        <v>62.521999999999998</v>
      </c>
      <c r="BN408"/>
      <c r="BO408">
        <v>20.911000000000001</v>
      </c>
      <c r="BP408"/>
      <c r="BQ408">
        <v>9.2655999999999992</v>
      </c>
      <c r="BR408"/>
      <c r="BS408">
        <v>45.732999999999997</v>
      </c>
      <c r="BT408"/>
      <c r="BU408">
        <v>18.43</v>
      </c>
      <c r="BV408"/>
      <c r="BW408" s="325">
        <v>1.47</v>
      </c>
      <c r="BX408"/>
      <c r="BY408">
        <v>7.4869999999999948</v>
      </c>
      <c r="BZ408"/>
      <c r="CA408"/>
      <c r="CB408" s="136"/>
      <c r="CC408">
        <v>8.94</v>
      </c>
      <c r="CD408"/>
      <c r="CE408"/>
      <c r="CF408"/>
      <c r="CG408"/>
      <c r="CH408"/>
      <c r="CI408"/>
      <c r="CJ408"/>
      <c r="CK408"/>
      <c r="CL408"/>
      <c r="CM408"/>
    </row>
    <row r="409" spans="1:91" s="338" customFormat="1">
      <c r="A409" s="154" t="s">
        <v>7698</v>
      </c>
      <c r="B409" t="s">
        <v>8287</v>
      </c>
      <c r="C409">
        <v>2</v>
      </c>
      <c r="D409">
        <v>1550</v>
      </c>
      <c r="E409" s="113">
        <v>50</v>
      </c>
      <c r="F409" s="113">
        <v>15</v>
      </c>
      <c r="G409" s="113"/>
      <c r="H409" s="113"/>
      <c r="I409">
        <v>27.999999999999996</v>
      </c>
      <c r="J409" s="112"/>
      <c r="K409" s="320">
        <v>8</v>
      </c>
      <c r="L409" s="320"/>
      <c r="M409">
        <v>2.94</v>
      </c>
      <c r="N409" s="320"/>
      <c r="O409"/>
      <c r="P409"/>
      <c r="Q409"/>
      <c r="R409" s="153"/>
      <c r="S409" s="320">
        <v>12.77392380012</v>
      </c>
      <c r="T409" s="320"/>
      <c r="U409">
        <v>10.8</v>
      </c>
      <c r="V409"/>
      <c r="W409"/>
      <c r="X409"/>
      <c r="Y409" s="321">
        <v>4.8925412999999995</v>
      </c>
      <c r="Z409" s="320"/>
      <c r="AA409" s="322">
        <v>71468.354430379739</v>
      </c>
      <c r="AB409" s="320"/>
      <c r="AC409" s="321">
        <v>26.4580029</v>
      </c>
      <c r="AD409" s="320"/>
      <c r="AE409" s="320">
        <v>28.23</v>
      </c>
      <c r="AF409" s="320"/>
      <c r="AG409">
        <v>3.95</v>
      </c>
      <c r="AH409"/>
      <c r="AI409">
        <v>115</v>
      </c>
      <c r="AJ409"/>
      <c r="AK409"/>
      <c r="AL409"/>
      <c r="AM409"/>
      <c r="AN409"/>
      <c r="AO409">
        <v>77</v>
      </c>
      <c r="AP409"/>
      <c r="AQ409" s="323"/>
      <c r="AR409" s="323"/>
      <c r="AS409">
        <v>112</v>
      </c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>
        <v>4.2347999999999999</v>
      </c>
      <c r="BH409"/>
      <c r="BI409">
        <v>4.7268999999999997</v>
      </c>
      <c r="BJ409"/>
      <c r="BK409">
        <v>1.4530000000000001</v>
      </c>
      <c r="BL409"/>
      <c r="BM409">
        <v>63.984000000000002</v>
      </c>
      <c r="BN409"/>
      <c r="BO409">
        <v>20.567</v>
      </c>
      <c r="BP409"/>
      <c r="BQ409">
        <v>8.8861000000000008</v>
      </c>
      <c r="BR409"/>
      <c r="BS409">
        <v>48.28</v>
      </c>
      <c r="BT409"/>
      <c r="BU409">
        <v>16.605</v>
      </c>
      <c r="BV409"/>
      <c r="BW409" s="325">
        <v>7.14</v>
      </c>
      <c r="BX409"/>
      <c r="BY409">
        <v>7.0619999999999976</v>
      </c>
      <c r="BZ409"/>
      <c r="CA409"/>
      <c r="CB409" s="136"/>
      <c r="CC409">
        <v>5.64</v>
      </c>
      <c r="CD409"/>
      <c r="CE409"/>
      <c r="CF409"/>
      <c r="CG409"/>
      <c r="CH409"/>
      <c r="CI409"/>
      <c r="CJ409"/>
      <c r="CK409"/>
      <c r="CL409"/>
      <c r="CM409"/>
    </row>
    <row r="410" spans="1:91" s="338" customFormat="1">
      <c r="A410" s="154" t="s">
        <v>7699</v>
      </c>
      <c r="B410" t="s">
        <v>8289</v>
      </c>
      <c r="C410">
        <v>2</v>
      </c>
      <c r="D410">
        <v>773</v>
      </c>
      <c r="E410" s="113">
        <v>73</v>
      </c>
      <c r="F410" s="113">
        <v>7</v>
      </c>
      <c r="G410" s="113"/>
      <c r="H410" s="113"/>
      <c r="I410">
        <v>29.999999999999996</v>
      </c>
      <c r="J410" s="112"/>
      <c r="K410" s="320">
        <v>9</v>
      </c>
      <c r="L410" s="320"/>
      <c r="M410">
        <v>1.55</v>
      </c>
      <c r="N410" s="320"/>
      <c r="O410"/>
      <c r="P410"/>
      <c r="Q410"/>
      <c r="R410" s="153"/>
      <c r="S410" s="320">
        <v>5.8840333878239992</v>
      </c>
      <c r="T410" s="320"/>
      <c r="U410">
        <v>10.8</v>
      </c>
      <c r="V410"/>
      <c r="W410"/>
      <c r="X410"/>
      <c r="Y410" s="321">
        <v>3.0444732000000001</v>
      </c>
      <c r="Z410" s="320"/>
      <c r="AA410" s="322">
        <v>36174.334140435836</v>
      </c>
      <c r="AB410" s="320"/>
      <c r="AC410" s="321">
        <v>13.9013712</v>
      </c>
      <c r="AD410" s="320"/>
      <c r="AE410" s="320">
        <v>14.94</v>
      </c>
      <c r="AF410" s="320"/>
      <c r="AG410">
        <v>4.13</v>
      </c>
      <c r="AH410"/>
      <c r="AI410">
        <v>123</v>
      </c>
      <c r="AJ410"/>
      <c r="AK410"/>
      <c r="AL410"/>
      <c r="AM410"/>
      <c r="AN410"/>
      <c r="AO410">
        <v>77</v>
      </c>
      <c r="AP410"/>
      <c r="AQ410" s="323"/>
      <c r="AR410" s="323"/>
      <c r="AS410">
        <v>112</v>
      </c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>
        <v>0.58431999999999995</v>
      </c>
      <c r="BH410"/>
      <c r="BI410">
        <v>4.8617999999999997</v>
      </c>
      <c r="BJ410"/>
      <c r="BK410">
        <v>1.5834999999999999</v>
      </c>
      <c r="BL410"/>
      <c r="BM410">
        <v>58.256999999999998</v>
      </c>
      <c r="BN410"/>
      <c r="BO410">
        <v>19.599</v>
      </c>
      <c r="BP410"/>
      <c r="BQ410">
        <v>9.2423000000000002</v>
      </c>
      <c r="BR410"/>
      <c r="BS410">
        <v>42.326999999999998</v>
      </c>
      <c r="BT410"/>
      <c r="BU410">
        <v>20.986999999999998</v>
      </c>
      <c r="BV410"/>
      <c r="BW410" t="s">
        <v>8361</v>
      </c>
      <c r="BX410" s="324"/>
      <c r="BY410">
        <v>7.3299999999999983</v>
      </c>
      <c r="BZ410"/>
      <c r="CA410"/>
      <c r="CB410" s="136"/>
      <c r="CC410">
        <v>5.26</v>
      </c>
      <c r="CD410"/>
      <c r="CE410"/>
      <c r="CF410"/>
      <c r="CG410"/>
      <c r="CH410"/>
      <c r="CI410"/>
      <c r="CJ410"/>
      <c r="CK410"/>
      <c r="CL410"/>
      <c r="CM410"/>
    </row>
    <row r="411" spans="1:91" s="338" customFormat="1">
      <c r="A411" s="327" t="s">
        <v>7699</v>
      </c>
      <c r="B411" s="328" t="s">
        <v>8287</v>
      </c>
      <c r="C411" s="328">
        <v>1</v>
      </c>
      <c r="D411" s="328">
        <v>902</v>
      </c>
      <c r="E411" s="113">
        <v>2</v>
      </c>
      <c r="F411" s="113">
        <v>9</v>
      </c>
      <c r="G411" s="329"/>
      <c r="H411" s="329"/>
      <c r="I411" s="328">
        <v>23.999999999999996</v>
      </c>
      <c r="J411" s="330"/>
      <c r="K411" s="331">
        <v>8</v>
      </c>
      <c r="L411" s="331"/>
      <c r="M411" s="328">
        <v>1.94</v>
      </c>
      <c r="N411" s="331"/>
      <c r="O411" s="328"/>
      <c r="P411" s="328"/>
      <c r="Q411" s="328"/>
      <c r="R411" s="332"/>
      <c r="S411" s="331" t="s">
        <v>8361</v>
      </c>
      <c r="T411" s="331"/>
      <c r="U411" s="328">
        <v>10.8</v>
      </c>
      <c r="V411" s="328"/>
      <c r="W411" s="328"/>
      <c r="X411" s="328"/>
      <c r="Y411" s="333">
        <v>0</v>
      </c>
      <c r="Z411" s="331"/>
      <c r="AA411" s="334">
        <v>41425.389755011136</v>
      </c>
      <c r="AB411" s="331"/>
      <c r="AC411" s="333" t="s">
        <v>8361</v>
      </c>
      <c r="AD411" s="331"/>
      <c r="AE411" s="331">
        <v>18.600000000000001</v>
      </c>
      <c r="AF411" s="331"/>
      <c r="AG411" s="328">
        <v>4.49</v>
      </c>
      <c r="AH411" s="328"/>
      <c r="AI411" s="328">
        <v>113</v>
      </c>
      <c r="AJ411" s="328"/>
      <c r="AK411" s="328"/>
      <c r="AL411" s="328"/>
      <c r="AM411" s="328"/>
      <c r="AN411" s="328"/>
      <c r="AO411" s="328">
        <v>81</v>
      </c>
      <c r="AP411" s="328"/>
      <c r="AQ411" s="335"/>
      <c r="AR411" s="335"/>
      <c r="AS411" s="328">
        <v>112</v>
      </c>
      <c r="AT411" s="328"/>
      <c r="AU411" s="328"/>
      <c r="AV411" s="328"/>
      <c r="AW411" s="328"/>
      <c r="AX411" s="328"/>
      <c r="AY411" s="328"/>
      <c r="AZ411" s="328"/>
      <c r="BA411" s="328"/>
      <c r="BB411" s="328"/>
      <c r="BC411" s="328"/>
      <c r="BD411" s="328"/>
      <c r="BE411" s="328"/>
      <c r="BF411" s="328"/>
      <c r="BG411" s="328">
        <v>-2.5219999999999998</v>
      </c>
      <c r="BH411" s="328"/>
      <c r="BI411" s="328">
        <v>4.7176999999999998</v>
      </c>
      <c r="BJ411" s="328"/>
      <c r="BK411" s="328">
        <v>1.5251999999999999</v>
      </c>
      <c r="BL411" s="328"/>
      <c r="BM411" s="328">
        <v>62.149000000000001</v>
      </c>
      <c r="BN411" s="328"/>
      <c r="BO411" s="328">
        <v>21.234999999999999</v>
      </c>
      <c r="BP411" s="328"/>
      <c r="BQ411" s="328">
        <v>8.7771000000000008</v>
      </c>
      <c r="BR411" s="328"/>
      <c r="BS411" s="328">
        <v>49.496000000000002</v>
      </c>
      <c r="BT411" s="328"/>
      <c r="BU411" s="328">
        <v>18.094000000000001</v>
      </c>
      <c r="BV411" s="328"/>
      <c r="BW411" s="336">
        <v>7.76</v>
      </c>
      <c r="BX411" s="328"/>
      <c r="BY411" s="328">
        <v>6.6620000000000061</v>
      </c>
      <c r="BZ411" s="328"/>
      <c r="CA411" s="328"/>
      <c r="CB411" s="337"/>
      <c r="CC411" s="328">
        <v>5.77</v>
      </c>
      <c r="CD411" s="328"/>
      <c r="CE411" s="328"/>
      <c r="CF411" s="328"/>
      <c r="CG411" s="328"/>
      <c r="CH411" s="328"/>
      <c r="CI411" s="328"/>
      <c r="CJ411" s="328"/>
      <c r="CK411" s="328" t="s">
        <v>8377</v>
      </c>
      <c r="CL411" s="328"/>
      <c r="CM411" s="328"/>
    </row>
    <row r="412" spans="1:91" s="338" customFormat="1">
      <c r="A412" s="154" t="s">
        <v>7699</v>
      </c>
      <c r="B412" t="s">
        <v>8287</v>
      </c>
      <c r="C412">
        <v>2</v>
      </c>
      <c r="D412">
        <v>1349</v>
      </c>
      <c r="E412" s="113">
        <v>49</v>
      </c>
      <c r="F412" s="113">
        <v>13</v>
      </c>
      <c r="G412" s="113"/>
      <c r="H412" s="113"/>
      <c r="I412">
        <v>23</v>
      </c>
      <c r="J412" s="112"/>
      <c r="K412" s="320">
        <v>9</v>
      </c>
      <c r="L412" s="320"/>
      <c r="M412">
        <v>2.39</v>
      </c>
      <c r="N412" s="320"/>
      <c r="O412"/>
      <c r="P412"/>
      <c r="Q412"/>
      <c r="R412" s="153"/>
      <c r="S412" s="320">
        <v>11.053365598296001</v>
      </c>
      <c r="T412" s="320"/>
      <c r="U412">
        <v>10.8</v>
      </c>
      <c r="V412"/>
      <c r="W412"/>
      <c r="X412"/>
      <c r="Y412" s="321">
        <v>4.6539110999999993</v>
      </c>
      <c r="Z412" s="320"/>
      <c r="AA412" s="322">
        <v>61031.746031746035</v>
      </c>
      <c r="AB412" s="320"/>
      <c r="AC412" s="321">
        <v>21.610130399999999</v>
      </c>
      <c r="AD412" s="320"/>
      <c r="AE412" s="320">
        <v>23.07</v>
      </c>
      <c r="AF412" s="320"/>
      <c r="AG412">
        <v>3.78</v>
      </c>
      <c r="AH412"/>
      <c r="AI412">
        <v>130</v>
      </c>
      <c r="AJ412"/>
      <c r="AK412"/>
      <c r="AL412"/>
      <c r="AM412"/>
      <c r="AN412"/>
      <c r="AO412">
        <v>81</v>
      </c>
      <c r="AP412"/>
      <c r="AQ412" s="323"/>
      <c r="AR412" s="323"/>
      <c r="AS412">
        <v>112</v>
      </c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>
        <v>1.6526000000000001</v>
      </c>
      <c r="BH412"/>
      <c r="BI412">
        <v>4.8334000000000001</v>
      </c>
      <c r="BJ412"/>
      <c r="BK412">
        <v>1.4037999999999999</v>
      </c>
      <c r="BL412"/>
      <c r="BM412">
        <v>60.972999999999999</v>
      </c>
      <c r="BN412"/>
      <c r="BO412">
        <v>20.766999999999999</v>
      </c>
      <c r="BP412"/>
      <c r="BQ412">
        <v>8.77</v>
      </c>
      <c r="BR412"/>
      <c r="BS412">
        <v>51.149000000000001</v>
      </c>
      <c r="BT412"/>
      <c r="BU412">
        <v>16.849</v>
      </c>
      <c r="BV412"/>
      <c r="BW412" s="325">
        <v>13.84</v>
      </c>
      <c r="BX412"/>
      <c r="BY412">
        <v>6.3250000000000028</v>
      </c>
      <c r="BZ412"/>
      <c r="CA412"/>
      <c r="CB412" s="136"/>
      <c r="CC412">
        <v>5.15</v>
      </c>
      <c r="CD412"/>
      <c r="CE412"/>
      <c r="CF412"/>
      <c r="CG412"/>
      <c r="CH412"/>
      <c r="CI412"/>
      <c r="CJ412"/>
      <c r="CK412"/>
      <c r="CL412"/>
      <c r="CM412"/>
    </row>
    <row r="413" spans="1:91" s="338" customFormat="1">
      <c r="A413" s="154" t="s">
        <v>7699</v>
      </c>
      <c r="B413" t="s">
        <v>8289</v>
      </c>
      <c r="C413">
        <v>1</v>
      </c>
      <c r="D413">
        <v>1421</v>
      </c>
      <c r="E413" s="113">
        <v>21</v>
      </c>
      <c r="F413" s="113">
        <v>14</v>
      </c>
      <c r="G413" s="113"/>
      <c r="H413" s="113"/>
      <c r="I413">
        <v>32.5</v>
      </c>
      <c r="J413" s="112"/>
      <c r="K413" s="320">
        <v>9</v>
      </c>
      <c r="L413" s="320"/>
      <c r="M413">
        <v>2.8</v>
      </c>
      <c r="N413" s="320"/>
      <c r="O413"/>
      <c r="P413"/>
      <c r="Q413"/>
      <c r="R413" s="153"/>
      <c r="S413" s="320">
        <v>12.067702933121998</v>
      </c>
      <c r="T413" s="320"/>
      <c r="U413">
        <v>10.8</v>
      </c>
      <c r="V413"/>
      <c r="W413"/>
      <c r="X413"/>
      <c r="Y413" s="321">
        <v>5.0520889999999987</v>
      </c>
      <c r="Z413" s="320"/>
      <c r="AA413" s="322">
        <v>76005.665722379592</v>
      </c>
      <c r="AB413" s="320"/>
      <c r="AC413" s="321">
        <v>25.152051799999995</v>
      </c>
      <c r="AD413" s="320"/>
      <c r="AE413" s="320">
        <v>26.83</v>
      </c>
      <c r="AF413" s="320"/>
      <c r="AG413">
        <v>3.53</v>
      </c>
      <c r="AH413"/>
      <c r="AI413">
        <v>128</v>
      </c>
      <c r="AJ413"/>
      <c r="AK413"/>
      <c r="AL413"/>
      <c r="AM413"/>
      <c r="AN413"/>
      <c r="AO413">
        <v>79</v>
      </c>
      <c r="AP413"/>
      <c r="AQ413" s="323"/>
      <c r="AR413" s="323"/>
      <c r="AS413">
        <v>112</v>
      </c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>
        <v>4.4915000000000003</v>
      </c>
      <c r="BH413"/>
      <c r="BI413">
        <v>4.4343000000000004</v>
      </c>
      <c r="BJ413"/>
      <c r="BK413">
        <v>1.4368000000000001</v>
      </c>
      <c r="BL413"/>
      <c r="BM413">
        <v>57.668999999999997</v>
      </c>
      <c r="BN413"/>
      <c r="BO413">
        <v>20.823</v>
      </c>
      <c r="BP413"/>
      <c r="BQ413">
        <v>9.1492000000000004</v>
      </c>
      <c r="BR413"/>
      <c r="BS413">
        <v>47.978999999999999</v>
      </c>
      <c r="BT413"/>
      <c r="BU413">
        <v>19.523</v>
      </c>
      <c r="BV413"/>
      <c r="BW413" s="325">
        <v>14.87</v>
      </c>
      <c r="BX413"/>
      <c r="BY413">
        <v>6.2999999999999972</v>
      </c>
      <c r="BZ413"/>
      <c r="CA413"/>
      <c r="CB413" s="136"/>
      <c r="CC413">
        <v>5.82</v>
      </c>
      <c r="CD413"/>
      <c r="CE413"/>
      <c r="CF413"/>
      <c r="CG413"/>
      <c r="CH413"/>
      <c r="CI413"/>
      <c r="CJ413"/>
      <c r="CK413"/>
      <c r="CL413"/>
      <c r="CM413"/>
    </row>
    <row r="414" spans="1:91" s="338" customFormat="1">
      <c r="A414" s="154" t="s">
        <v>7700</v>
      </c>
      <c r="B414" t="s">
        <v>8287</v>
      </c>
      <c r="C414">
        <v>1</v>
      </c>
      <c r="D414">
        <v>228</v>
      </c>
      <c r="E414" s="113">
        <v>28</v>
      </c>
      <c r="F414" s="113">
        <v>2</v>
      </c>
      <c r="G414" s="113"/>
      <c r="H414" s="113"/>
      <c r="I414">
        <v>32.999999999999993</v>
      </c>
      <c r="J414" s="112"/>
      <c r="K414" s="320">
        <v>9</v>
      </c>
      <c r="L414" s="320"/>
      <c r="M414">
        <v>3.35</v>
      </c>
      <c r="N414" s="320"/>
      <c r="O414"/>
      <c r="P414"/>
      <c r="Q414"/>
      <c r="R414" s="153"/>
      <c r="S414" s="320">
        <v>14.156898760067</v>
      </c>
      <c r="T414" s="320"/>
      <c r="U414">
        <v>10.8</v>
      </c>
      <c r="V414"/>
      <c r="W414"/>
      <c r="X414"/>
      <c r="Y414" s="321">
        <v>5.989035799999999</v>
      </c>
      <c r="Z414" s="320"/>
      <c r="AA414" s="322">
        <v>82876.344086021505</v>
      </c>
      <c r="AB414" s="320"/>
      <c r="AC414" s="321">
        <v>28.838073699999999</v>
      </c>
      <c r="AD414" s="320"/>
      <c r="AE414" s="320">
        <v>30.83</v>
      </c>
      <c r="AF414" s="320"/>
      <c r="AG414">
        <v>3.72</v>
      </c>
      <c r="AH414"/>
      <c r="AI414">
        <v>143</v>
      </c>
      <c r="AJ414"/>
      <c r="AK414"/>
      <c r="AL414"/>
      <c r="AM414"/>
      <c r="AN414"/>
      <c r="AO414">
        <v>81</v>
      </c>
      <c r="AP414"/>
      <c r="AQ414" s="323"/>
      <c r="AR414" s="323"/>
      <c r="AS414">
        <v>112</v>
      </c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>
        <v>0.95121999999999995</v>
      </c>
      <c r="BH414"/>
      <c r="BI414">
        <v>4.7938999999999998</v>
      </c>
      <c r="BJ414"/>
      <c r="BK414">
        <v>1.3673</v>
      </c>
      <c r="BL414"/>
      <c r="BM414">
        <v>57.536999999999999</v>
      </c>
      <c r="BN414"/>
      <c r="BO414">
        <v>21.652000000000001</v>
      </c>
      <c r="BP414"/>
      <c r="BQ414">
        <v>10.398999999999999</v>
      </c>
      <c r="BR414"/>
      <c r="BS414">
        <v>49.091000000000001</v>
      </c>
      <c r="BT414"/>
      <c r="BU414">
        <v>19.260000000000002</v>
      </c>
      <c r="BV414"/>
      <c r="BW414" s="325">
        <v>14.17</v>
      </c>
      <c r="BX414"/>
      <c r="BY414">
        <v>6.6760000000000019</v>
      </c>
      <c r="BZ414"/>
      <c r="CA414"/>
      <c r="CB414" s="136"/>
      <c r="CC414">
        <v>9.5399999999999991</v>
      </c>
      <c r="CD414"/>
      <c r="CE414"/>
      <c r="CF414"/>
      <c r="CG414"/>
      <c r="CH414"/>
      <c r="CI414"/>
      <c r="CJ414"/>
      <c r="CK414"/>
      <c r="CL414"/>
      <c r="CM414"/>
    </row>
    <row r="415" spans="1:91" s="338" customFormat="1">
      <c r="A415" s="154" t="s">
        <v>7700</v>
      </c>
      <c r="B415" t="s">
        <v>8289</v>
      </c>
      <c r="C415">
        <v>2</v>
      </c>
      <c r="D415">
        <v>568</v>
      </c>
      <c r="E415" s="113">
        <v>68</v>
      </c>
      <c r="F415" s="113">
        <v>5</v>
      </c>
      <c r="G415" s="113"/>
      <c r="H415" s="113"/>
      <c r="I415">
        <v>31</v>
      </c>
      <c r="J415" s="112"/>
      <c r="K415" s="320">
        <v>9</v>
      </c>
      <c r="L415" s="320"/>
      <c r="M415">
        <v>3.33</v>
      </c>
      <c r="N415" s="320"/>
      <c r="O415"/>
      <c r="P415"/>
      <c r="Q415"/>
      <c r="R415" s="153"/>
      <c r="S415" s="320">
        <v>13.832730714653998</v>
      </c>
      <c r="T415" s="320"/>
      <c r="U415">
        <v>10.8</v>
      </c>
      <c r="V415"/>
      <c r="W415"/>
      <c r="X415"/>
      <c r="Y415" s="321">
        <v>6.2421096</v>
      </c>
      <c r="Z415" s="320"/>
      <c r="AA415" s="322">
        <v>80668.380462724919</v>
      </c>
      <c r="AB415" s="320"/>
      <c r="AC415" s="321">
        <v>29.250239399999998</v>
      </c>
      <c r="AD415" s="320"/>
      <c r="AE415" s="320">
        <v>31.38</v>
      </c>
      <c r="AF415" s="320"/>
      <c r="AG415">
        <v>3.89</v>
      </c>
      <c r="AH415"/>
      <c r="AI415">
        <v>135</v>
      </c>
      <c r="AJ415"/>
      <c r="AK415"/>
      <c r="AL415"/>
      <c r="AM415"/>
      <c r="AN415"/>
      <c r="AO415">
        <v>83</v>
      </c>
      <c r="AP415"/>
      <c r="AQ415" s="323"/>
      <c r="AR415" s="323"/>
      <c r="AS415">
        <v>120</v>
      </c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>
        <v>2.2452999999999999</v>
      </c>
      <c r="BH415"/>
      <c r="BI415">
        <v>4.7709000000000001</v>
      </c>
      <c r="BJ415"/>
      <c r="BK415">
        <v>1.4394</v>
      </c>
      <c r="BL415"/>
      <c r="BM415">
        <v>55.759</v>
      </c>
      <c r="BN415"/>
      <c r="BO415">
        <v>20.681999999999999</v>
      </c>
      <c r="BP415"/>
      <c r="BQ415">
        <v>9.3498999999999999</v>
      </c>
      <c r="BR415"/>
      <c r="BS415">
        <v>47.290999999999997</v>
      </c>
      <c r="BT415"/>
      <c r="BU415">
        <v>20.001000000000001</v>
      </c>
      <c r="BV415"/>
      <c r="BW415" s="325">
        <v>8.3800000000000008</v>
      </c>
      <c r="BX415"/>
      <c r="BY415">
        <v>6.8449999999999989</v>
      </c>
      <c r="BZ415"/>
      <c r="CA415"/>
      <c r="CB415" s="136"/>
      <c r="CC415">
        <v>7.4</v>
      </c>
      <c r="CD415"/>
      <c r="CE415"/>
      <c r="CF415"/>
      <c r="CG415"/>
      <c r="CH415"/>
      <c r="CI415"/>
      <c r="CJ415"/>
      <c r="CK415"/>
      <c r="CL415"/>
      <c r="CM415"/>
    </row>
    <row r="416" spans="1:91" s="338" customFormat="1">
      <c r="A416" s="154" t="s">
        <v>7700</v>
      </c>
      <c r="B416" t="s">
        <v>8287</v>
      </c>
      <c r="C416">
        <v>2</v>
      </c>
      <c r="D416">
        <v>1657</v>
      </c>
      <c r="E416" s="113">
        <v>57</v>
      </c>
      <c r="F416" s="113">
        <v>16</v>
      </c>
      <c r="G416" s="113"/>
      <c r="H416" s="113"/>
      <c r="I416">
        <v>32</v>
      </c>
      <c r="J416" s="112"/>
      <c r="K416" s="320">
        <v>8</v>
      </c>
      <c r="L416" s="320"/>
      <c r="M416">
        <v>2.75</v>
      </c>
      <c r="N416" s="320"/>
      <c r="O416"/>
      <c r="P416"/>
      <c r="Q416"/>
      <c r="R416" s="153"/>
      <c r="S416" s="320">
        <v>12.186650522315</v>
      </c>
      <c r="T416" s="320"/>
      <c r="U416">
        <v>10.8</v>
      </c>
      <c r="V416"/>
      <c r="W416"/>
      <c r="X416"/>
      <c r="Y416" s="321">
        <v>4.4932682999999995</v>
      </c>
      <c r="Z416" s="320"/>
      <c r="AA416" s="322">
        <v>68807.588075880762</v>
      </c>
      <c r="AB416" s="320"/>
      <c r="AC416" s="321">
        <v>23.766309500000002</v>
      </c>
      <c r="AD416" s="320"/>
      <c r="AE416" s="320">
        <v>25.39</v>
      </c>
      <c r="AF416" s="320"/>
      <c r="AG416">
        <v>3.69</v>
      </c>
      <c r="AH416"/>
      <c r="AI416">
        <v>138</v>
      </c>
      <c r="AJ416"/>
      <c r="AK416"/>
      <c r="AL416"/>
      <c r="AM416"/>
      <c r="AN416"/>
      <c r="AO416">
        <v>90</v>
      </c>
      <c r="AP416"/>
      <c r="AQ416" s="323"/>
      <c r="AR416" s="323"/>
      <c r="AS416">
        <v>118</v>
      </c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>
        <v>3.3172999999999999</v>
      </c>
      <c r="BH416"/>
      <c r="BI416">
        <v>4.6684000000000001</v>
      </c>
      <c r="BJ416"/>
      <c r="BK416">
        <v>1.2929999999999999</v>
      </c>
      <c r="BL416"/>
      <c r="BM416">
        <v>55.863999999999997</v>
      </c>
      <c r="BN416"/>
      <c r="BO416">
        <v>21.291</v>
      </c>
      <c r="BP416"/>
      <c r="BQ416">
        <v>9.7385000000000002</v>
      </c>
      <c r="BR416"/>
      <c r="BS416">
        <v>51.277000000000001</v>
      </c>
      <c r="BT416"/>
      <c r="BU416">
        <v>17.663</v>
      </c>
      <c r="BV416"/>
      <c r="BW416" s="325">
        <v>16.38</v>
      </c>
      <c r="BX416"/>
      <c r="BY416">
        <v>6.5</v>
      </c>
      <c r="BZ416"/>
      <c r="CA416"/>
      <c r="CB416" s="136"/>
      <c r="CC416">
        <v>9.25</v>
      </c>
      <c r="CD416"/>
      <c r="CE416"/>
      <c r="CF416"/>
      <c r="CG416"/>
      <c r="CH416"/>
      <c r="CI416"/>
      <c r="CJ416"/>
      <c r="CK416"/>
      <c r="CL416"/>
      <c r="CM416"/>
    </row>
    <row r="417" spans="1:91" s="338" customFormat="1">
      <c r="A417" s="154" t="s">
        <v>7700</v>
      </c>
      <c r="B417" t="s">
        <v>8289</v>
      </c>
      <c r="C417">
        <v>1</v>
      </c>
      <c r="D417">
        <v>1612</v>
      </c>
      <c r="E417" s="113">
        <v>12</v>
      </c>
      <c r="F417" s="113">
        <v>16</v>
      </c>
      <c r="G417" s="113"/>
      <c r="H417" s="113"/>
      <c r="I417">
        <v>31</v>
      </c>
      <c r="J417" s="112"/>
      <c r="K417" s="320">
        <v>8</v>
      </c>
      <c r="L417" s="320"/>
      <c r="M417">
        <v>2.93</v>
      </c>
      <c r="N417" s="320"/>
      <c r="O417"/>
      <c r="P417"/>
      <c r="Q417"/>
      <c r="R417" s="153"/>
      <c r="S417" s="320">
        <v>12.584864939375997</v>
      </c>
      <c r="T417" s="320"/>
      <c r="U417">
        <v>10.8</v>
      </c>
      <c r="V417"/>
      <c r="W417"/>
      <c r="X417"/>
      <c r="Y417" s="321">
        <v>5.1287807999999995</v>
      </c>
      <c r="Z417" s="320"/>
      <c r="AA417" s="322">
        <v>79602.272727272721</v>
      </c>
      <c r="AB417" s="320"/>
      <c r="AC417" s="321">
        <v>26.224478399999999</v>
      </c>
      <c r="AD417" s="320"/>
      <c r="AE417" s="320">
        <v>28.02</v>
      </c>
      <c r="AF417" s="320"/>
      <c r="AG417">
        <v>3.52</v>
      </c>
      <c r="AH417"/>
      <c r="AI417">
        <v>135</v>
      </c>
      <c r="AJ417"/>
      <c r="AK417"/>
      <c r="AL417"/>
      <c r="AM417"/>
      <c r="AN417"/>
      <c r="AO417">
        <v>79</v>
      </c>
      <c r="AP417"/>
      <c r="AQ417" s="323"/>
      <c r="AR417" s="323"/>
      <c r="AS417">
        <v>118</v>
      </c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>
        <v>2.8502999999999998</v>
      </c>
      <c r="BH417"/>
      <c r="BI417">
        <v>4.4286000000000003</v>
      </c>
      <c r="BJ417"/>
      <c r="BK417">
        <v>1.4069</v>
      </c>
      <c r="BL417"/>
      <c r="BM417">
        <v>53.558999999999997</v>
      </c>
      <c r="BN417"/>
      <c r="BO417">
        <v>21.015999999999998</v>
      </c>
      <c r="BP417"/>
      <c r="BQ417">
        <v>10.385999999999999</v>
      </c>
      <c r="BR417"/>
      <c r="BS417">
        <v>47.988999999999997</v>
      </c>
      <c r="BT417"/>
      <c r="BU417">
        <v>20.164000000000001</v>
      </c>
      <c r="BV417"/>
      <c r="BW417" s="325">
        <v>8.98</v>
      </c>
      <c r="BX417"/>
      <c r="BY417">
        <v>6.563999999999993</v>
      </c>
      <c r="BZ417"/>
      <c r="CA417"/>
      <c r="CB417" s="136"/>
      <c r="CC417">
        <v>6</v>
      </c>
      <c r="CD417"/>
      <c r="CE417"/>
      <c r="CF417"/>
      <c r="CG417"/>
      <c r="CH417"/>
      <c r="CI417"/>
      <c r="CJ417"/>
      <c r="CK417"/>
      <c r="CL417"/>
      <c r="CM417"/>
    </row>
    <row r="418" spans="1:91" s="338" customFormat="1">
      <c r="A418" s="154" t="s">
        <v>7701</v>
      </c>
      <c r="B418" t="s">
        <v>8287</v>
      </c>
      <c r="C418">
        <v>1</v>
      </c>
      <c r="D418">
        <v>203</v>
      </c>
      <c r="E418" s="113">
        <v>3</v>
      </c>
      <c r="F418" s="113">
        <v>2</v>
      </c>
      <c r="G418" s="113"/>
      <c r="H418" s="113"/>
      <c r="I418">
        <v>35</v>
      </c>
      <c r="J418" s="112"/>
      <c r="K418" s="320">
        <v>9</v>
      </c>
      <c r="L418" s="320"/>
      <c r="M418">
        <v>3.47</v>
      </c>
      <c r="N418" s="320"/>
      <c r="O418"/>
      <c r="P418"/>
      <c r="Q418"/>
      <c r="R418" s="153"/>
      <c r="S418" s="320">
        <v>15.683552364383999</v>
      </c>
      <c r="T418" s="320"/>
      <c r="U418">
        <v>10.8</v>
      </c>
      <c r="V418"/>
      <c r="W418"/>
      <c r="X418"/>
      <c r="Y418" s="321">
        <v>5.9598666000000007</v>
      </c>
      <c r="Z418" s="320"/>
      <c r="AA418" s="322">
        <v>95982.65895953757</v>
      </c>
      <c r="AB418" s="320"/>
      <c r="AC418" s="321">
        <v>31.0633056</v>
      </c>
      <c r="AD418" s="320"/>
      <c r="AE418" s="320">
        <v>33.21</v>
      </c>
      <c r="AF418" s="320"/>
      <c r="AG418">
        <v>3.46</v>
      </c>
      <c r="AH418"/>
      <c r="AI418">
        <v>140</v>
      </c>
      <c r="AJ418"/>
      <c r="AK418"/>
      <c r="AL418"/>
      <c r="AM418"/>
      <c r="AN418"/>
      <c r="AO418">
        <v>79</v>
      </c>
      <c r="AP418"/>
      <c r="AQ418" s="323"/>
      <c r="AR418" s="323"/>
      <c r="AS418">
        <v>115</v>
      </c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>
        <v>-1.9395</v>
      </c>
      <c r="BH418"/>
      <c r="BI418">
        <v>4.4774000000000003</v>
      </c>
      <c r="BJ418"/>
      <c r="BK418">
        <v>1.5470999999999999</v>
      </c>
      <c r="BL418"/>
      <c r="BM418">
        <v>64.022000000000006</v>
      </c>
      <c r="BN418"/>
      <c r="BO418">
        <v>19.463000000000001</v>
      </c>
      <c r="BP418"/>
      <c r="BQ418">
        <v>9.9285999999999994</v>
      </c>
      <c r="BR418"/>
      <c r="BS418">
        <v>50.488999999999997</v>
      </c>
      <c r="BT418"/>
      <c r="BU418">
        <v>18.312000000000001</v>
      </c>
      <c r="BV418"/>
      <c r="BW418" s="325">
        <v>14.75</v>
      </c>
      <c r="BX418"/>
      <c r="BY418">
        <v>6.25</v>
      </c>
      <c r="BZ418"/>
      <c r="CA418"/>
      <c r="CB418" s="136"/>
      <c r="CC418">
        <v>5.95</v>
      </c>
      <c r="CD418"/>
      <c r="CE418"/>
      <c r="CF418"/>
      <c r="CG418"/>
      <c r="CH418"/>
      <c r="CI418"/>
      <c r="CJ418"/>
      <c r="CK418"/>
      <c r="CL418"/>
      <c r="CM418"/>
    </row>
    <row r="419" spans="1:91" s="338" customFormat="1">
      <c r="A419" s="327" t="s">
        <v>7701</v>
      </c>
      <c r="B419" s="328" t="s">
        <v>8289</v>
      </c>
      <c r="C419" s="328">
        <v>2</v>
      </c>
      <c r="D419" s="328">
        <v>874</v>
      </c>
      <c r="E419" s="113">
        <v>74</v>
      </c>
      <c r="F419" s="113">
        <v>8</v>
      </c>
      <c r="G419" s="329"/>
      <c r="H419" s="329"/>
      <c r="I419" s="328">
        <v>28.999999999999996</v>
      </c>
      <c r="J419" s="330"/>
      <c r="K419" s="331">
        <v>8</v>
      </c>
      <c r="L419" s="331"/>
      <c r="M419" s="328">
        <v>2.5</v>
      </c>
      <c r="N419" s="331"/>
      <c r="O419" s="328"/>
      <c r="P419" s="328"/>
      <c r="Q419" s="328"/>
      <c r="R419" s="332"/>
      <c r="S419" s="331">
        <v>9.9701610485399996</v>
      </c>
      <c r="T419" s="331"/>
      <c r="U419" s="328">
        <v>10.8</v>
      </c>
      <c r="V419" s="328"/>
      <c r="W419" s="328"/>
      <c r="X419" s="328"/>
      <c r="Y419" s="333">
        <v>4.7094914999999995</v>
      </c>
      <c r="Z419" s="331"/>
      <c r="AA419" s="334">
        <v>61764.705882352937</v>
      </c>
      <c r="AB419" s="331"/>
      <c r="AC419" s="333">
        <v>22.429554</v>
      </c>
      <c r="AD419" s="331"/>
      <c r="AE419" s="331">
        <v>24.15</v>
      </c>
      <c r="AF419" s="331"/>
      <c r="AG419" s="328">
        <v>3.91</v>
      </c>
      <c r="AH419" s="328"/>
      <c r="AI419" s="328">
        <v>110</v>
      </c>
      <c r="AJ419" s="328"/>
      <c r="AK419" s="328"/>
      <c r="AL419" s="328"/>
      <c r="AM419" s="328"/>
      <c r="AN419" s="328"/>
      <c r="AO419" s="328">
        <v>77</v>
      </c>
      <c r="AP419" s="328"/>
      <c r="AQ419" s="335"/>
      <c r="AR419" s="335"/>
      <c r="AS419" s="328">
        <v>112</v>
      </c>
      <c r="AT419" s="328"/>
      <c r="AU419" s="328"/>
      <c r="AV419" s="328"/>
      <c r="AW419" s="328"/>
      <c r="AX419" s="328"/>
      <c r="AY419" s="328"/>
      <c r="AZ419" s="328"/>
      <c r="BA419" s="328"/>
      <c r="BB419" s="328"/>
      <c r="BC419" s="328"/>
      <c r="BD419" s="328"/>
      <c r="BE419" s="328"/>
      <c r="BF419" s="328"/>
      <c r="BG419" s="328">
        <v>-4.0709999999999997</v>
      </c>
      <c r="BH419" s="328"/>
      <c r="BI419" s="328">
        <v>4.9981</v>
      </c>
      <c r="BJ419" s="328"/>
      <c r="BK419" s="328">
        <v>1.6369</v>
      </c>
      <c r="BL419" s="328"/>
      <c r="BM419" s="328">
        <v>62.463999999999999</v>
      </c>
      <c r="BN419" s="328"/>
      <c r="BO419" s="328">
        <v>19.239999999999998</v>
      </c>
      <c r="BP419" s="328"/>
      <c r="BQ419" s="328">
        <v>9.3573000000000004</v>
      </c>
      <c r="BR419" s="328"/>
      <c r="BS419" s="328">
        <v>44.451000000000001</v>
      </c>
      <c r="BT419" s="328"/>
      <c r="BU419" s="328">
        <v>21.273</v>
      </c>
      <c r="BV419" s="328"/>
      <c r="BW419" s="336">
        <v>4.41</v>
      </c>
      <c r="BX419" s="328"/>
      <c r="BY419" s="328">
        <v>7.1129999999999995</v>
      </c>
      <c r="BZ419" s="328"/>
      <c r="CA419" s="328"/>
      <c r="CB419" s="337"/>
      <c r="CC419" s="328">
        <v>5.0599999999999996</v>
      </c>
      <c r="CD419" s="328"/>
      <c r="CE419" s="328"/>
      <c r="CF419" s="328"/>
      <c r="CG419" s="328"/>
      <c r="CH419" s="328"/>
      <c r="CI419" s="328"/>
      <c r="CJ419" s="328"/>
      <c r="CK419" s="328" t="s">
        <v>8377</v>
      </c>
      <c r="CL419" s="328"/>
      <c r="CM419" s="328"/>
    </row>
    <row r="420" spans="1:91" s="338" customFormat="1">
      <c r="A420" s="154" t="s">
        <v>7701</v>
      </c>
      <c r="B420" t="s">
        <v>8289</v>
      </c>
      <c r="C420">
        <v>1</v>
      </c>
      <c r="D420">
        <v>1125</v>
      </c>
      <c r="E420" s="113">
        <v>25</v>
      </c>
      <c r="F420" s="113">
        <v>11</v>
      </c>
      <c r="G420" s="113"/>
      <c r="H420" s="113"/>
      <c r="I420">
        <v>28.999999999999996</v>
      </c>
      <c r="J420" s="112"/>
      <c r="K420" s="320">
        <v>9</v>
      </c>
      <c r="L420" s="320"/>
      <c r="M420">
        <v>2.91</v>
      </c>
      <c r="N420" s="320"/>
      <c r="O420"/>
      <c r="P420"/>
      <c r="Q420"/>
      <c r="R420" s="153"/>
      <c r="S420" s="320">
        <v>11.746272802572001</v>
      </c>
      <c r="T420" s="320"/>
      <c r="U420">
        <v>10.8</v>
      </c>
      <c r="V420"/>
      <c r="W420"/>
      <c r="X420"/>
      <c r="Y420" s="321">
        <v>5.1321599999999998</v>
      </c>
      <c r="Z420" s="320"/>
      <c r="AA420" s="322">
        <v>84588.607594936708</v>
      </c>
      <c r="AB420" s="320"/>
      <c r="AC420" s="321">
        <v>24.822012600000001</v>
      </c>
      <c r="AD420" s="320"/>
      <c r="AE420" s="320">
        <v>26.73</v>
      </c>
      <c r="AF420" s="320"/>
      <c r="AG420">
        <v>3.16</v>
      </c>
      <c r="AH420"/>
      <c r="AI420">
        <v>118</v>
      </c>
      <c r="AJ420"/>
      <c r="AK420"/>
      <c r="AL420"/>
      <c r="AM420"/>
      <c r="AN420"/>
      <c r="AO420">
        <v>79</v>
      </c>
      <c r="AP420"/>
      <c r="AQ420" s="323"/>
      <c r="AR420" s="323"/>
      <c r="AS420">
        <v>112</v>
      </c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>
        <v>1.1861999999999999</v>
      </c>
      <c r="BH420"/>
      <c r="BI420">
        <v>4.5401999999999996</v>
      </c>
      <c r="BJ420"/>
      <c r="BK420">
        <v>1.647</v>
      </c>
      <c r="BL420"/>
      <c r="BM420">
        <v>62.372999999999998</v>
      </c>
      <c r="BN420"/>
      <c r="BO420">
        <v>19.706</v>
      </c>
      <c r="BP420"/>
      <c r="BQ420">
        <v>9.3248999999999995</v>
      </c>
      <c r="BR420"/>
      <c r="BS420">
        <v>47.322000000000003</v>
      </c>
      <c r="BT420"/>
      <c r="BU420">
        <v>19.419</v>
      </c>
      <c r="BV420"/>
      <c r="BW420" s="325">
        <v>5.47</v>
      </c>
      <c r="BX420"/>
      <c r="BY420">
        <v>6.8829999999999956</v>
      </c>
      <c r="BZ420"/>
      <c r="CA420"/>
      <c r="CB420" s="136"/>
      <c r="CC420">
        <v>9.7200000000000006</v>
      </c>
      <c r="CD420"/>
      <c r="CE420"/>
      <c r="CF420"/>
      <c r="CG420"/>
      <c r="CH420"/>
      <c r="CI420"/>
      <c r="CJ420"/>
      <c r="CK420"/>
      <c r="CL420"/>
      <c r="CM420"/>
    </row>
    <row r="421" spans="1:91" s="338" customFormat="1">
      <c r="A421" s="154" t="s">
        <v>7701</v>
      </c>
      <c r="B421" t="s">
        <v>8287</v>
      </c>
      <c r="C421">
        <v>2</v>
      </c>
      <c r="D421">
        <v>1558</v>
      </c>
      <c r="E421" s="113">
        <v>58</v>
      </c>
      <c r="F421" s="113">
        <v>15</v>
      </c>
      <c r="G421" s="113"/>
      <c r="H421" s="113"/>
      <c r="I421">
        <v>34.5</v>
      </c>
      <c r="J421" s="112"/>
      <c r="K421" s="320">
        <v>8</v>
      </c>
      <c r="L421" s="320"/>
      <c r="M421">
        <v>3.07</v>
      </c>
      <c r="N421" s="320"/>
      <c r="O421"/>
      <c r="P421"/>
      <c r="Q421"/>
      <c r="R421" s="153"/>
      <c r="S421" s="320">
        <v>13.917887102528001</v>
      </c>
      <c r="T421" s="320"/>
      <c r="U421">
        <v>10.8</v>
      </c>
      <c r="V421"/>
      <c r="W421"/>
      <c r="X421"/>
      <c r="Y421" s="321">
        <v>5.1884223999999994</v>
      </c>
      <c r="Z421" s="320"/>
      <c r="AA421" s="322">
        <v>80449.438202247184</v>
      </c>
      <c r="AB421" s="320"/>
      <c r="AC421" s="321">
        <v>26.7646528</v>
      </c>
      <c r="AD421" s="320"/>
      <c r="AE421" s="320">
        <v>28.64</v>
      </c>
      <c r="AF421" s="320"/>
      <c r="AG421">
        <v>3.56</v>
      </c>
      <c r="AH421"/>
      <c r="AI421">
        <v>113</v>
      </c>
      <c r="AJ421"/>
      <c r="AK421"/>
      <c r="AL421"/>
      <c r="AM421"/>
      <c r="AN421"/>
      <c r="AO421">
        <v>79</v>
      </c>
      <c r="AP421"/>
      <c r="AQ421" s="323"/>
      <c r="AR421" s="323"/>
      <c r="AS421">
        <v>112</v>
      </c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>
        <v>-1.8893</v>
      </c>
      <c r="BH421"/>
      <c r="BI421">
        <v>4.6927000000000003</v>
      </c>
      <c r="BJ421"/>
      <c r="BK421">
        <v>1.5412999999999999</v>
      </c>
      <c r="BL421"/>
      <c r="BM421">
        <v>68.346000000000004</v>
      </c>
      <c r="BN421"/>
      <c r="BO421">
        <v>18.837</v>
      </c>
      <c r="BP421"/>
      <c r="BQ421">
        <v>8.8915000000000006</v>
      </c>
      <c r="BR421"/>
      <c r="BS421">
        <v>52.000999999999998</v>
      </c>
      <c r="BT421"/>
      <c r="BU421">
        <v>17.471</v>
      </c>
      <c r="BV421"/>
      <c r="BW421" s="325">
        <v>10.89</v>
      </c>
      <c r="BX421"/>
      <c r="BY421">
        <v>6.3449999999999989</v>
      </c>
      <c r="BZ421"/>
      <c r="CA421"/>
      <c r="CB421" s="136"/>
      <c r="CC421">
        <v>8.32</v>
      </c>
      <c r="CD421"/>
      <c r="CE421"/>
      <c r="CF421"/>
      <c r="CG421"/>
      <c r="CH421"/>
      <c r="CI421"/>
      <c r="CJ421"/>
      <c r="CK421"/>
      <c r="CL421"/>
      <c r="CM421"/>
    </row>
    <row r="422" spans="1:91" s="338" customFormat="1">
      <c r="A422" s="154" t="s">
        <v>7702</v>
      </c>
      <c r="B422" t="s">
        <v>8289</v>
      </c>
      <c r="C422">
        <v>2</v>
      </c>
      <c r="D422">
        <v>258</v>
      </c>
      <c r="E422" s="113">
        <v>58</v>
      </c>
      <c r="F422" s="113">
        <v>2</v>
      </c>
      <c r="G422" s="113"/>
      <c r="H422" s="113"/>
      <c r="I422">
        <v>35.499999999999993</v>
      </c>
      <c r="J422" s="112"/>
      <c r="K422" s="320">
        <v>7</v>
      </c>
      <c r="L422" s="320"/>
      <c r="M422">
        <v>2.56</v>
      </c>
      <c r="N422" s="320"/>
      <c r="O422"/>
      <c r="P422"/>
      <c r="Q422"/>
      <c r="R422" s="153"/>
      <c r="S422" s="320">
        <v>10.30683819627</v>
      </c>
      <c r="T422" s="320"/>
      <c r="U422">
        <v>10.8</v>
      </c>
      <c r="V422"/>
      <c r="W422"/>
      <c r="X422"/>
      <c r="Y422" s="321">
        <v>5.0638049999999994</v>
      </c>
      <c r="Z422" s="320"/>
      <c r="AA422" s="322">
        <v>56411.483253588514</v>
      </c>
      <c r="AB422" s="320"/>
      <c r="AC422" s="321">
        <v>21.878702999999998</v>
      </c>
      <c r="AD422" s="320"/>
      <c r="AE422" s="320">
        <v>23.58</v>
      </c>
      <c r="AF422" s="320"/>
      <c r="AG422">
        <v>4.18</v>
      </c>
      <c r="AH422"/>
      <c r="AI422">
        <v>125</v>
      </c>
      <c r="AJ422"/>
      <c r="AK422"/>
      <c r="AL422"/>
      <c r="AM422"/>
      <c r="AN422"/>
      <c r="AO422">
        <v>80</v>
      </c>
      <c r="AP422"/>
      <c r="AQ422" s="323"/>
      <c r="AR422" s="323"/>
      <c r="AS422">
        <v>112</v>
      </c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>
        <v>0.68071999999999999</v>
      </c>
      <c r="BH422"/>
      <c r="BI422">
        <v>4.5282</v>
      </c>
      <c r="BJ422"/>
      <c r="BK422">
        <v>1.5871</v>
      </c>
      <c r="BL422"/>
      <c r="BM422">
        <v>65.453000000000003</v>
      </c>
      <c r="BN422"/>
      <c r="BO422">
        <v>19.065999999999999</v>
      </c>
      <c r="BP422"/>
      <c r="BQ422">
        <v>8.8607999999999993</v>
      </c>
      <c r="BR422"/>
      <c r="BS422">
        <v>47.109000000000002</v>
      </c>
      <c r="BT422"/>
      <c r="BU422">
        <v>19.352</v>
      </c>
      <c r="BV422"/>
      <c r="BW422" s="325">
        <v>2.5</v>
      </c>
      <c r="BX422"/>
      <c r="BY422">
        <v>6.6689999999999969</v>
      </c>
      <c r="BZ422"/>
      <c r="CA422"/>
      <c r="CB422" s="136"/>
      <c r="CC422">
        <v>9.4600000000000009</v>
      </c>
      <c r="CD422"/>
      <c r="CE422"/>
      <c r="CF422"/>
      <c r="CG422"/>
      <c r="CH422"/>
      <c r="CI422"/>
      <c r="CJ422"/>
      <c r="CK422"/>
      <c r="CL422"/>
      <c r="CM422"/>
    </row>
    <row r="423" spans="1:91" s="338" customFormat="1">
      <c r="A423" s="327" t="s">
        <v>7702</v>
      </c>
      <c r="B423" s="328" t="s">
        <v>8287</v>
      </c>
      <c r="C423" s="328">
        <v>1</v>
      </c>
      <c r="D423" s="328">
        <v>812</v>
      </c>
      <c r="E423" s="113">
        <v>12</v>
      </c>
      <c r="F423" s="113">
        <v>8</v>
      </c>
      <c r="G423" s="329"/>
      <c r="H423" s="329"/>
      <c r="I423" s="328">
        <v>27.999999999999996</v>
      </c>
      <c r="J423" s="330"/>
      <c r="K423" s="331">
        <v>8</v>
      </c>
      <c r="L423" s="331"/>
      <c r="M423" s="328">
        <v>2.5299999999999998</v>
      </c>
      <c r="N423" s="331"/>
      <c r="O423" s="328"/>
      <c r="P423" s="328"/>
      <c r="Q423" s="328"/>
      <c r="R423" s="332"/>
      <c r="S423" s="331">
        <v>11.5022815614</v>
      </c>
      <c r="T423" s="331"/>
      <c r="U423" s="328">
        <v>10.8</v>
      </c>
      <c r="V423" s="328"/>
      <c r="W423" s="328"/>
      <c r="X423" s="328"/>
      <c r="Y423" s="333">
        <v>3.7692306000000002</v>
      </c>
      <c r="Z423" s="331"/>
      <c r="AA423" s="334">
        <v>63023.255813953481</v>
      </c>
      <c r="AB423" s="331"/>
      <c r="AC423" s="333">
        <v>22.87782</v>
      </c>
      <c r="AD423" s="331"/>
      <c r="AE423" s="331">
        <v>24.39</v>
      </c>
      <c r="AF423" s="331"/>
      <c r="AG423" s="328">
        <v>3.87</v>
      </c>
      <c r="AH423" s="328"/>
      <c r="AI423" s="328">
        <v>120</v>
      </c>
      <c r="AJ423" s="328"/>
      <c r="AK423" s="328"/>
      <c r="AL423" s="328"/>
      <c r="AM423" s="328"/>
      <c r="AN423" s="328"/>
      <c r="AO423" s="328">
        <v>79</v>
      </c>
      <c r="AP423" s="328"/>
      <c r="AQ423" s="335"/>
      <c r="AR423" s="335"/>
      <c r="AS423" s="328">
        <v>112</v>
      </c>
      <c r="AT423" s="328"/>
      <c r="AU423" s="328"/>
      <c r="AV423" s="328"/>
      <c r="AW423" s="328"/>
      <c r="AX423" s="328"/>
      <c r="AY423" s="328"/>
      <c r="AZ423" s="328"/>
      <c r="BA423" s="328"/>
      <c r="BB423" s="328"/>
      <c r="BC423" s="328"/>
      <c r="BD423" s="328"/>
      <c r="BE423" s="328"/>
      <c r="BF423" s="328"/>
      <c r="BG423" s="328">
        <v>1.3184</v>
      </c>
      <c r="BH423" s="328"/>
      <c r="BI423" s="328">
        <v>4.2873999999999999</v>
      </c>
      <c r="BJ423" s="328"/>
      <c r="BK423" s="328">
        <v>1.4631000000000001</v>
      </c>
      <c r="BL423" s="328"/>
      <c r="BM423" s="328">
        <v>64.384</v>
      </c>
      <c r="BN423" s="328"/>
      <c r="BO423" s="328">
        <v>19.913</v>
      </c>
      <c r="BP423" s="328"/>
      <c r="BQ423" s="328">
        <v>8.7696000000000005</v>
      </c>
      <c r="BR423" s="328"/>
      <c r="BS423" s="328">
        <v>50.277000000000001</v>
      </c>
      <c r="BT423" s="328"/>
      <c r="BU423" s="328">
        <v>17.805</v>
      </c>
      <c r="BV423" s="328"/>
      <c r="BW423" s="336">
        <v>8.18</v>
      </c>
      <c r="BX423" s="328"/>
      <c r="BY423" s="328">
        <v>6.4989999999999952</v>
      </c>
      <c r="BZ423" s="328"/>
      <c r="CA423" s="328"/>
      <c r="CB423" s="337"/>
      <c r="CC423" s="328">
        <v>5.26</v>
      </c>
      <c r="CD423" s="328"/>
      <c r="CE423" s="328"/>
      <c r="CF423" s="328"/>
      <c r="CG423" s="328"/>
      <c r="CH423" s="328"/>
      <c r="CI423" s="328"/>
      <c r="CJ423" s="328"/>
      <c r="CK423" s="328" t="s">
        <v>8377</v>
      </c>
      <c r="CL423" s="328"/>
      <c r="CM423" s="328"/>
    </row>
    <row r="424" spans="1:91" s="338" customFormat="1">
      <c r="A424" s="154" t="s">
        <v>7702</v>
      </c>
      <c r="B424" t="s">
        <v>8287</v>
      </c>
      <c r="C424">
        <v>2</v>
      </c>
      <c r="D424">
        <v>1145</v>
      </c>
      <c r="E424" s="113">
        <v>45</v>
      </c>
      <c r="F424" s="113">
        <v>11</v>
      </c>
      <c r="G424" s="113"/>
      <c r="H424" s="113"/>
      <c r="I424">
        <v>28.5</v>
      </c>
      <c r="J424" s="112"/>
      <c r="K424" s="320">
        <v>9</v>
      </c>
      <c r="L424" s="320"/>
      <c r="M424">
        <v>2.73</v>
      </c>
      <c r="N424" s="320"/>
      <c r="O424"/>
      <c r="P424"/>
      <c r="Q424"/>
      <c r="R424" s="153"/>
      <c r="S424" s="320">
        <v>12.43054346814</v>
      </c>
      <c r="T424" s="320"/>
      <c r="U424">
        <v>10.8</v>
      </c>
      <c r="V424"/>
      <c r="W424"/>
      <c r="X424"/>
      <c r="Y424" s="321">
        <v>4.6568699999999996</v>
      </c>
      <c r="Z424" s="320"/>
      <c r="AA424" s="322">
        <v>74957.264957264953</v>
      </c>
      <c r="AB424" s="320"/>
      <c r="AC424" s="321">
        <v>24.561437399999999</v>
      </c>
      <c r="AD424" s="320"/>
      <c r="AE424" s="320">
        <v>26.31</v>
      </c>
      <c r="AF424" s="320"/>
      <c r="AG424">
        <v>3.51</v>
      </c>
      <c r="AH424"/>
      <c r="AI424">
        <v>128</v>
      </c>
      <c r="AJ424"/>
      <c r="AK424"/>
      <c r="AL424"/>
      <c r="AM424"/>
      <c r="AN424"/>
      <c r="AO424">
        <v>79</v>
      </c>
      <c r="AP424"/>
      <c r="AQ424" s="323"/>
      <c r="AR424" s="323"/>
      <c r="AS424">
        <v>112</v>
      </c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>
        <v>0.96484999999999999</v>
      </c>
      <c r="BH424"/>
      <c r="BI424">
        <v>4.6558999999999999</v>
      </c>
      <c r="BJ424"/>
      <c r="BK424">
        <v>1.411</v>
      </c>
      <c r="BL424"/>
      <c r="BM424">
        <v>60.011000000000003</v>
      </c>
      <c r="BN424"/>
      <c r="BO424">
        <v>19.324999999999999</v>
      </c>
      <c r="BP424"/>
      <c r="BQ424">
        <v>9.6325000000000003</v>
      </c>
      <c r="BR424"/>
      <c r="BS424">
        <v>50.61</v>
      </c>
      <c r="BT424"/>
      <c r="BU424">
        <v>17.408000000000001</v>
      </c>
      <c r="BV424"/>
      <c r="BW424" s="325">
        <v>7.71</v>
      </c>
      <c r="BX424"/>
      <c r="BY424">
        <v>6.7079999999999984</v>
      </c>
      <c r="BZ424"/>
      <c r="CA424"/>
      <c r="CB424" s="136"/>
      <c r="CC424">
        <v>5.3</v>
      </c>
      <c r="CD424"/>
      <c r="CE424"/>
      <c r="CF424"/>
      <c r="CG424"/>
      <c r="CH424"/>
      <c r="CI424"/>
      <c r="CJ424"/>
      <c r="CK424"/>
      <c r="CL424"/>
      <c r="CM424"/>
    </row>
    <row r="425" spans="1:91" s="338" customFormat="1">
      <c r="A425" s="154" t="s">
        <v>7702</v>
      </c>
      <c r="B425" t="s">
        <v>8289</v>
      </c>
      <c r="C425">
        <v>1</v>
      </c>
      <c r="D425">
        <v>1731</v>
      </c>
      <c r="E425" s="113">
        <v>31</v>
      </c>
      <c r="F425" s="113">
        <v>17</v>
      </c>
      <c r="G425" s="113"/>
      <c r="H425" s="113"/>
      <c r="I425">
        <v>32.5</v>
      </c>
      <c r="J425" s="112"/>
      <c r="K425" s="320">
        <v>8</v>
      </c>
      <c r="L425" s="320"/>
      <c r="M425">
        <v>2.78</v>
      </c>
      <c r="N425" s="320"/>
      <c r="O425"/>
      <c r="P425"/>
      <c r="Q425"/>
      <c r="R425" s="153"/>
      <c r="S425" s="320">
        <v>11.888759926272</v>
      </c>
      <c r="T425" s="320"/>
      <c r="U425">
        <v>10.8</v>
      </c>
      <c r="V425"/>
      <c r="W425"/>
      <c r="X425"/>
      <c r="Y425" s="321">
        <v>4.5735191999999998</v>
      </c>
      <c r="Z425" s="320"/>
      <c r="AA425" s="322">
        <v>66615.384615384624</v>
      </c>
      <c r="AB425" s="320"/>
      <c r="AC425" s="321">
        <v>24.408729600000001</v>
      </c>
      <c r="AD425" s="320"/>
      <c r="AE425" s="320">
        <v>25.98</v>
      </c>
      <c r="AF425" s="320"/>
      <c r="AG425">
        <v>3.9</v>
      </c>
      <c r="AH425"/>
      <c r="AI425">
        <v>123</v>
      </c>
      <c r="AJ425"/>
      <c r="AK425"/>
      <c r="AL425"/>
      <c r="AM425"/>
      <c r="AN425"/>
      <c r="AO425">
        <v>80</v>
      </c>
      <c r="AP425"/>
      <c r="AQ425" s="323"/>
      <c r="AR425" s="323"/>
      <c r="AS425">
        <v>112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>
        <v>-3.2648000000000001</v>
      </c>
      <c r="BH425"/>
      <c r="BI425">
        <v>4.5353000000000003</v>
      </c>
      <c r="BJ425"/>
      <c r="BK425">
        <v>1.3952</v>
      </c>
      <c r="BL425"/>
      <c r="BM425">
        <v>64.284999999999997</v>
      </c>
      <c r="BN425"/>
      <c r="BO425">
        <v>20.459</v>
      </c>
      <c r="BP425"/>
      <c r="BQ425">
        <v>9.3885000000000005</v>
      </c>
      <c r="BR425"/>
      <c r="BS425">
        <v>48.707000000000001</v>
      </c>
      <c r="BT425"/>
      <c r="BU425">
        <v>19.417000000000002</v>
      </c>
      <c r="BV425"/>
      <c r="BW425" s="325">
        <v>10.88</v>
      </c>
      <c r="BX425"/>
      <c r="BY425">
        <v>6.6209999999999951</v>
      </c>
      <c r="BZ425"/>
      <c r="CA425"/>
      <c r="CB425" s="136"/>
      <c r="CC425">
        <v>8.15</v>
      </c>
      <c r="CD425"/>
      <c r="CE425"/>
      <c r="CF425"/>
      <c r="CG425"/>
      <c r="CH425"/>
      <c r="CI425"/>
      <c r="CJ425"/>
      <c r="CK425"/>
      <c r="CL425"/>
      <c r="CM425"/>
    </row>
    <row r="426" spans="1:91" s="338" customFormat="1">
      <c r="A426" s="327" t="s">
        <v>7703</v>
      </c>
      <c r="B426" s="328" t="s">
        <v>8289</v>
      </c>
      <c r="C426" s="328">
        <v>2</v>
      </c>
      <c r="D426" s="328">
        <v>871</v>
      </c>
      <c r="E426" s="113">
        <v>71</v>
      </c>
      <c r="F426" s="113">
        <v>8</v>
      </c>
      <c r="G426" s="329"/>
      <c r="H426" s="329"/>
      <c r="I426" s="328">
        <v>31.499999999999996</v>
      </c>
      <c r="J426" s="330"/>
      <c r="K426" s="331">
        <v>9</v>
      </c>
      <c r="L426" s="331"/>
      <c r="M426" s="328">
        <v>1.42</v>
      </c>
      <c r="N426" s="331"/>
      <c r="O426" s="328"/>
      <c r="P426" s="328"/>
      <c r="Q426" s="328"/>
      <c r="R426" s="332"/>
      <c r="S426" s="331">
        <v>5.6023384458959988</v>
      </c>
      <c r="T426" s="331"/>
      <c r="U426" s="328">
        <v>10.8</v>
      </c>
      <c r="V426" s="328"/>
      <c r="W426" s="328"/>
      <c r="X426" s="328"/>
      <c r="Y426" s="333">
        <v>2.6336993999999998</v>
      </c>
      <c r="Z426" s="331"/>
      <c r="AA426" s="334">
        <v>28673.684210526313</v>
      </c>
      <c r="AB426" s="331"/>
      <c r="AC426" s="333">
        <v>12.729115799999999</v>
      </c>
      <c r="AD426" s="331"/>
      <c r="AE426" s="331">
        <v>13.62</v>
      </c>
      <c r="AF426" s="331"/>
      <c r="AG426" s="328">
        <v>4.75</v>
      </c>
      <c r="AH426" s="328"/>
      <c r="AI426" s="328">
        <v>115</v>
      </c>
      <c r="AJ426" s="328"/>
      <c r="AK426" s="328"/>
      <c r="AL426" s="328"/>
      <c r="AM426" s="328"/>
      <c r="AN426" s="328"/>
      <c r="AO426" s="328">
        <v>85</v>
      </c>
      <c r="AP426" s="328"/>
      <c r="AQ426" s="335"/>
      <c r="AR426" s="335"/>
      <c r="AS426" s="328">
        <v>112</v>
      </c>
      <c r="AT426" s="328"/>
      <c r="AU426" s="328"/>
      <c r="AV426" s="328"/>
      <c r="AW426" s="328"/>
      <c r="AX426" s="328"/>
      <c r="AY426" s="328"/>
      <c r="AZ426" s="328"/>
      <c r="BA426" s="328"/>
      <c r="BB426" s="328"/>
      <c r="BC426" s="328"/>
      <c r="BD426" s="328"/>
      <c r="BE426" s="328"/>
      <c r="BF426" s="328"/>
      <c r="BG426" s="328">
        <v>-0.21213000000000001</v>
      </c>
      <c r="BH426" s="328"/>
      <c r="BI426" s="328">
        <v>5.2413999999999996</v>
      </c>
      <c r="BJ426" s="328"/>
      <c r="BK426" s="328">
        <v>1.6934</v>
      </c>
      <c r="BL426" s="328"/>
      <c r="BM426" s="328">
        <v>63.939</v>
      </c>
      <c r="BN426" s="328"/>
      <c r="BO426" s="328">
        <v>21.992999999999999</v>
      </c>
      <c r="BP426" s="328"/>
      <c r="BQ426" s="328">
        <v>8.8465000000000007</v>
      </c>
      <c r="BR426" s="328"/>
      <c r="BS426" s="328">
        <v>44.012</v>
      </c>
      <c r="BT426" s="328"/>
      <c r="BU426" s="328">
        <v>20.49</v>
      </c>
      <c r="BV426" s="328"/>
      <c r="BW426" s="336">
        <v>5.95</v>
      </c>
      <c r="BX426" s="328"/>
      <c r="BY426" s="328">
        <v>6.8490000000000038</v>
      </c>
      <c r="BZ426" s="328"/>
      <c r="CA426" s="328"/>
      <c r="CB426" s="337"/>
      <c r="CC426" s="328">
        <v>5.75</v>
      </c>
      <c r="CD426" s="328"/>
      <c r="CE426" s="328"/>
      <c r="CF426" s="328"/>
      <c r="CG426" s="328"/>
      <c r="CH426" s="328"/>
      <c r="CI426" s="328"/>
      <c r="CJ426" s="328"/>
      <c r="CK426" s="328" t="s">
        <v>8377</v>
      </c>
      <c r="CL426" s="328"/>
      <c r="CM426" s="328"/>
    </row>
    <row r="427" spans="1:91" s="338" customFormat="1">
      <c r="A427" s="327" t="s">
        <v>7703</v>
      </c>
      <c r="B427" s="328" t="s">
        <v>8287</v>
      </c>
      <c r="C427" s="328">
        <v>1</v>
      </c>
      <c r="D427" s="328">
        <v>903</v>
      </c>
      <c r="E427" s="113">
        <v>3</v>
      </c>
      <c r="F427" s="113">
        <v>9</v>
      </c>
      <c r="G427" s="329"/>
      <c r="H427" s="329"/>
      <c r="I427" s="328">
        <v>23</v>
      </c>
      <c r="J427" s="330"/>
      <c r="K427" s="331">
        <v>8</v>
      </c>
      <c r="L427" s="331"/>
      <c r="M427" s="328">
        <v>1.86</v>
      </c>
      <c r="N427" s="331"/>
      <c r="O427" s="328"/>
      <c r="P427" s="328"/>
      <c r="Q427" s="328"/>
      <c r="R427" s="332"/>
      <c r="S427" s="331">
        <v>7.7382914285599984</v>
      </c>
      <c r="T427" s="331"/>
      <c r="U427" s="328">
        <v>10.8</v>
      </c>
      <c r="V427" s="328"/>
      <c r="W427" s="328"/>
      <c r="X427" s="328"/>
      <c r="Y427" s="333">
        <v>3.2315884000000001</v>
      </c>
      <c r="Z427" s="331"/>
      <c r="AA427" s="334">
        <v>45101.010101010106</v>
      </c>
      <c r="AB427" s="331"/>
      <c r="AC427" s="333">
        <v>16.670166799999997</v>
      </c>
      <c r="AD427" s="331"/>
      <c r="AE427" s="331">
        <v>17.86</v>
      </c>
      <c r="AF427" s="331"/>
      <c r="AG427" s="328">
        <v>3.96</v>
      </c>
      <c r="AH427" s="328"/>
      <c r="AI427" s="328">
        <v>120</v>
      </c>
      <c r="AJ427" s="328"/>
      <c r="AK427" s="328"/>
      <c r="AL427" s="328"/>
      <c r="AM427" s="328"/>
      <c r="AN427" s="328"/>
      <c r="AO427" s="328">
        <v>81</v>
      </c>
      <c r="AP427" s="328"/>
      <c r="AQ427" s="335"/>
      <c r="AR427" s="335"/>
      <c r="AS427" s="328">
        <v>112</v>
      </c>
      <c r="AT427" s="328"/>
      <c r="AU427" s="328"/>
      <c r="AV427" s="328"/>
      <c r="AW427" s="328"/>
      <c r="AX427" s="328"/>
      <c r="AY427" s="328"/>
      <c r="AZ427" s="328"/>
      <c r="BA427" s="328"/>
      <c r="BB427" s="328"/>
      <c r="BC427" s="328"/>
      <c r="BD427" s="328"/>
      <c r="BE427" s="328"/>
      <c r="BF427" s="328"/>
      <c r="BG427" s="328">
        <v>2.5076000000000001</v>
      </c>
      <c r="BH427" s="328"/>
      <c r="BI427" s="328">
        <v>4.9218999999999999</v>
      </c>
      <c r="BJ427" s="328"/>
      <c r="BK427" s="328">
        <v>1.5647</v>
      </c>
      <c r="BL427" s="328"/>
      <c r="BM427" s="328">
        <v>56.805</v>
      </c>
      <c r="BN427" s="328"/>
      <c r="BO427" s="328">
        <v>21.536000000000001</v>
      </c>
      <c r="BP427" s="328"/>
      <c r="BQ427" s="328">
        <v>8.9132999999999996</v>
      </c>
      <c r="BR427" s="328"/>
      <c r="BS427" s="328">
        <v>46.42</v>
      </c>
      <c r="BT427" s="328"/>
      <c r="BU427" s="328">
        <v>19.152000000000001</v>
      </c>
      <c r="BV427" s="328"/>
      <c r="BW427" s="336">
        <v>5.17</v>
      </c>
      <c r="BX427" s="328"/>
      <c r="BY427" s="328">
        <v>6.722999999999999</v>
      </c>
      <c r="BZ427" s="328"/>
      <c r="CA427" s="328"/>
      <c r="CB427" s="337"/>
      <c r="CC427" s="328">
        <v>5.64</v>
      </c>
      <c r="CD427" s="328"/>
      <c r="CE427" s="328"/>
      <c r="CF427" s="328"/>
      <c r="CG427" s="328"/>
      <c r="CH427" s="328"/>
      <c r="CI427" s="328"/>
      <c r="CJ427" s="328"/>
      <c r="CK427" s="328" t="s">
        <v>8377</v>
      </c>
      <c r="CL427" s="328"/>
      <c r="CM427" s="328"/>
    </row>
    <row r="428" spans="1:91" s="338" customFormat="1">
      <c r="A428" s="154" t="s">
        <v>7703</v>
      </c>
      <c r="B428" t="s">
        <v>8287</v>
      </c>
      <c r="C428">
        <v>2</v>
      </c>
      <c r="D428">
        <v>1250</v>
      </c>
      <c r="E428" s="113">
        <v>50</v>
      </c>
      <c r="F428" s="113">
        <v>12</v>
      </c>
      <c r="G428" s="113"/>
      <c r="H428" s="113"/>
      <c r="I428">
        <v>37.999999999999993</v>
      </c>
      <c r="J428" s="112"/>
      <c r="K428" s="320">
        <v>9</v>
      </c>
      <c r="L428" s="320"/>
      <c r="M428">
        <v>2.1800000000000002</v>
      </c>
      <c r="N428" s="320"/>
      <c r="O428"/>
      <c r="P428"/>
      <c r="Q428"/>
      <c r="R428" s="153"/>
      <c r="S428" s="320">
        <v>9.685584456042001</v>
      </c>
      <c r="T428" s="320"/>
      <c r="U428">
        <v>10.8</v>
      </c>
      <c r="V428"/>
      <c r="W428"/>
      <c r="X428"/>
      <c r="Y428" s="321">
        <v>4.1883435000000002</v>
      </c>
      <c r="Z428" s="320"/>
      <c r="AA428" s="322">
        <v>54571.428571428572</v>
      </c>
      <c r="AB428" s="320"/>
      <c r="AC428" s="321">
        <v>19.623129900000002</v>
      </c>
      <c r="AD428" s="320"/>
      <c r="AE428" s="320">
        <v>21.01</v>
      </c>
      <c r="AF428" s="320"/>
      <c r="AG428">
        <v>3.85</v>
      </c>
      <c r="AH428"/>
      <c r="AI428">
        <v>133</v>
      </c>
      <c r="AJ428"/>
      <c r="AK428"/>
      <c r="AL428"/>
      <c r="AM428"/>
      <c r="AN428"/>
      <c r="AO428">
        <v>81</v>
      </c>
      <c r="AP428"/>
      <c r="AQ428" s="323"/>
      <c r="AR428" s="323"/>
      <c r="AS428">
        <v>112</v>
      </c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>
        <v>-0.73829</v>
      </c>
      <c r="BH428"/>
      <c r="BI428">
        <v>4.9459</v>
      </c>
      <c r="BJ428"/>
      <c r="BK428">
        <v>1.5701000000000001</v>
      </c>
      <c r="BL428"/>
      <c r="BM428">
        <v>65.286000000000001</v>
      </c>
      <c r="BN428"/>
      <c r="BO428">
        <v>21.593</v>
      </c>
      <c r="BP428"/>
      <c r="BQ428">
        <v>8.0251999999999999</v>
      </c>
      <c r="BR428"/>
      <c r="BS428">
        <v>49.357999999999997</v>
      </c>
      <c r="BT428"/>
      <c r="BU428">
        <v>17.071999999999999</v>
      </c>
      <c r="BV428"/>
      <c r="BW428" s="325">
        <v>10.92</v>
      </c>
      <c r="BX428"/>
      <c r="BY428">
        <v>6.2860000000000014</v>
      </c>
      <c r="BZ428"/>
      <c r="CA428"/>
      <c r="CB428" s="136"/>
      <c r="CC428">
        <v>5.3</v>
      </c>
      <c r="CD428"/>
      <c r="CE428"/>
      <c r="CF428"/>
      <c r="CG428"/>
      <c r="CH428"/>
      <c r="CI428"/>
      <c r="CJ428"/>
      <c r="CK428"/>
      <c r="CL428"/>
      <c r="CM428"/>
    </row>
    <row r="429" spans="1:91" s="338" customFormat="1">
      <c r="A429" s="154" t="s">
        <v>7703</v>
      </c>
      <c r="B429" t="s">
        <v>8289</v>
      </c>
      <c r="C429">
        <v>1</v>
      </c>
      <c r="D429">
        <v>1331</v>
      </c>
      <c r="E429" s="113">
        <v>31</v>
      </c>
      <c r="F429" s="113">
        <v>13</v>
      </c>
      <c r="G429" s="113"/>
      <c r="H429" s="113"/>
      <c r="I429">
        <v>28.5</v>
      </c>
      <c r="J429" s="112"/>
      <c r="K429" s="320">
        <v>9</v>
      </c>
      <c r="L429" s="320"/>
      <c r="M429">
        <v>2.1</v>
      </c>
      <c r="N429" s="320"/>
      <c r="O429"/>
      <c r="P429"/>
      <c r="Q429"/>
      <c r="R429" s="153"/>
      <c r="S429" s="320">
        <v>8.086109994480001</v>
      </c>
      <c r="T429" s="320"/>
      <c r="U429">
        <v>10.8</v>
      </c>
      <c r="V429"/>
      <c r="W429"/>
      <c r="X429"/>
      <c r="Y429" s="321">
        <v>3.6344784000000003</v>
      </c>
      <c r="Z429" s="320"/>
      <c r="AA429" s="322">
        <v>50575.916230366493</v>
      </c>
      <c r="AB429" s="320"/>
      <c r="AC429" s="321">
        <v>17.9312784</v>
      </c>
      <c r="AD429" s="320"/>
      <c r="AE429" s="320">
        <v>19.32</v>
      </c>
      <c r="AF429" s="320"/>
      <c r="AG429">
        <v>3.82</v>
      </c>
      <c r="AH429"/>
      <c r="AI429">
        <v>123</v>
      </c>
      <c r="AJ429"/>
      <c r="AK429"/>
      <c r="AL429"/>
      <c r="AM429"/>
      <c r="AN429"/>
      <c r="AO429">
        <v>81</v>
      </c>
      <c r="AP429"/>
      <c r="AQ429" s="323"/>
      <c r="AR429" s="323"/>
      <c r="AS429">
        <v>112</v>
      </c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>
        <v>-1.0717000000000001</v>
      </c>
      <c r="BH429"/>
      <c r="BI429">
        <v>4.8876999999999997</v>
      </c>
      <c r="BJ429"/>
      <c r="BK429">
        <v>1.6079000000000001</v>
      </c>
      <c r="BL429"/>
      <c r="BM429">
        <v>63.78</v>
      </c>
      <c r="BN429"/>
      <c r="BO429">
        <v>22.318999999999999</v>
      </c>
      <c r="BP429"/>
      <c r="BQ429">
        <v>8.5484000000000009</v>
      </c>
      <c r="BR429"/>
      <c r="BS429">
        <v>45.094999999999999</v>
      </c>
      <c r="BT429"/>
      <c r="BU429">
        <v>19.538</v>
      </c>
      <c r="BV429"/>
      <c r="BW429" s="325">
        <v>8.5</v>
      </c>
      <c r="BX429"/>
      <c r="BY429">
        <v>6.5960000000000036</v>
      </c>
      <c r="BZ429"/>
      <c r="CA429"/>
      <c r="CB429" s="136"/>
      <c r="CC429">
        <v>9.56</v>
      </c>
      <c r="CD429"/>
      <c r="CE429"/>
      <c r="CF429"/>
      <c r="CG429"/>
      <c r="CH429"/>
      <c r="CI429"/>
      <c r="CJ429"/>
      <c r="CK429"/>
      <c r="CL429"/>
      <c r="CM429"/>
    </row>
    <row r="430" spans="1:91" s="338" customFormat="1">
      <c r="A430" s="154" t="s">
        <v>7704</v>
      </c>
      <c r="B430" t="s">
        <v>8287</v>
      </c>
      <c r="C430">
        <v>1</v>
      </c>
      <c r="D430">
        <v>734</v>
      </c>
      <c r="E430" s="113">
        <v>34</v>
      </c>
      <c r="F430" s="113">
        <v>7</v>
      </c>
      <c r="G430" s="113"/>
      <c r="H430" s="113"/>
      <c r="I430">
        <v>35.499999999999993</v>
      </c>
      <c r="J430" s="112"/>
      <c r="K430" s="320">
        <v>8</v>
      </c>
      <c r="L430" s="320"/>
      <c r="M430">
        <v>2.72</v>
      </c>
      <c r="N430" s="320"/>
      <c r="O430"/>
      <c r="P430"/>
      <c r="Q430"/>
      <c r="R430" s="153"/>
      <c r="S430" s="320">
        <v>11.880449708984997</v>
      </c>
      <c r="T430" s="320"/>
      <c r="U430">
        <v>10.8</v>
      </c>
      <c r="V430"/>
      <c r="W430"/>
      <c r="X430"/>
      <c r="Y430" s="321">
        <v>4.9168592000000002</v>
      </c>
      <c r="Z430" s="320"/>
      <c r="AA430" s="322">
        <v>66056.701030927827</v>
      </c>
      <c r="AB430" s="320"/>
      <c r="AC430" s="321">
        <v>24.081179099999996</v>
      </c>
      <c r="AD430" s="320"/>
      <c r="AE430" s="320">
        <v>25.63</v>
      </c>
      <c r="AF430" s="320"/>
      <c r="AG430">
        <v>3.88</v>
      </c>
      <c r="AH430"/>
      <c r="AI430">
        <v>118</v>
      </c>
      <c r="AJ430"/>
      <c r="AK430"/>
      <c r="AL430"/>
      <c r="AM430"/>
      <c r="AN430"/>
      <c r="AO430">
        <v>81</v>
      </c>
      <c r="AP430"/>
      <c r="AQ430" s="323"/>
      <c r="AR430" s="323"/>
      <c r="AS430">
        <v>112</v>
      </c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>
        <v>7.6288</v>
      </c>
      <c r="BH430"/>
      <c r="BI430">
        <v>4.6626000000000003</v>
      </c>
      <c r="BJ430"/>
      <c r="BK430">
        <v>1.4749000000000001</v>
      </c>
      <c r="BL430"/>
      <c r="BM430">
        <v>55.350999999999999</v>
      </c>
      <c r="BN430"/>
      <c r="BO430">
        <v>19.588000000000001</v>
      </c>
      <c r="BP430"/>
      <c r="BQ430">
        <v>9.3024000000000004</v>
      </c>
      <c r="BR430"/>
      <c r="BS430">
        <v>49.335000000000001</v>
      </c>
      <c r="BT430"/>
      <c r="BU430">
        <v>17.138000000000002</v>
      </c>
      <c r="BV430"/>
      <c r="BW430" s="325">
        <v>11.07</v>
      </c>
      <c r="BX430"/>
      <c r="BY430">
        <v>6.2980000000000018</v>
      </c>
      <c r="BZ430"/>
      <c r="CA430"/>
      <c r="CB430" s="136"/>
      <c r="CC430">
        <v>7.39</v>
      </c>
      <c r="CD430"/>
      <c r="CE430"/>
      <c r="CF430"/>
      <c r="CG430"/>
      <c r="CH430"/>
      <c r="CI430"/>
      <c r="CJ430"/>
      <c r="CK430"/>
      <c r="CL430"/>
      <c r="CM430"/>
    </row>
    <row r="431" spans="1:91" s="338" customFormat="1">
      <c r="A431" s="327" t="s">
        <v>7704</v>
      </c>
      <c r="B431" s="328" t="s">
        <v>8289</v>
      </c>
      <c r="C431" s="328">
        <v>2</v>
      </c>
      <c r="D431" s="328">
        <v>852</v>
      </c>
      <c r="E431" s="113">
        <v>52</v>
      </c>
      <c r="F431" s="113">
        <v>8</v>
      </c>
      <c r="G431" s="329"/>
      <c r="H431" s="329"/>
      <c r="I431" s="328">
        <v>36</v>
      </c>
      <c r="J431" s="330"/>
      <c r="K431" s="331">
        <v>8</v>
      </c>
      <c r="L431" s="331"/>
      <c r="M431" s="328">
        <v>1.72</v>
      </c>
      <c r="N431" s="331"/>
      <c r="O431" s="328"/>
      <c r="P431" s="328"/>
      <c r="Q431" s="328"/>
      <c r="R431" s="332"/>
      <c r="S431" s="331">
        <v>6.6451133483999989</v>
      </c>
      <c r="T431" s="331"/>
      <c r="U431" s="328">
        <v>10.8</v>
      </c>
      <c r="V431" s="328"/>
      <c r="W431" s="328"/>
      <c r="X431" s="328"/>
      <c r="Y431" s="333">
        <v>3.3974316</v>
      </c>
      <c r="Z431" s="331"/>
      <c r="AA431" s="334">
        <v>36197.802197802201</v>
      </c>
      <c r="AB431" s="331"/>
      <c r="AC431" s="333">
        <v>15.417896399999998</v>
      </c>
      <c r="AD431" s="331"/>
      <c r="AE431" s="331">
        <v>16.47</v>
      </c>
      <c r="AF431" s="331"/>
      <c r="AG431" s="328">
        <v>4.55</v>
      </c>
      <c r="AH431" s="328"/>
      <c r="AI431" s="328">
        <v>118</v>
      </c>
      <c r="AJ431" s="328"/>
      <c r="AK431" s="328"/>
      <c r="AL431" s="328"/>
      <c r="AM431" s="328"/>
      <c r="AN431" s="328"/>
      <c r="AO431" s="328">
        <v>80</v>
      </c>
      <c r="AP431" s="328"/>
      <c r="AQ431" s="335"/>
      <c r="AR431" s="335"/>
      <c r="AS431" s="328">
        <v>114</v>
      </c>
      <c r="AT431" s="328"/>
      <c r="AU431" s="328"/>
      <c r="AV431" s="328"/>
      <c r="AW431" s="328"/>
      <c r="AX431" s="328"/>
      <c r="AY431" s="328"/>
      <c r="AZ431" s="328"/>
      <c r="BA431" s="328"/>
      <c r="BB431" s="328"/>
      <c r="BC431" s="328"/>
      <c r="BD431" s="328"/>
      <c r="BE431" s="328"/>
      <c r="BF431" s="328"/>
      <c r="BG431" s="328">
        <v>-5.7325999999999997</v>
      </c>
      <c r="BH431" s="328"/>
      <c r="BI431" s="328">
        <v>5.5172999999999996</v>
      </c>
      <c r="BJ431" s="328"/>
      <c r="BK431" s="328">
        <v>1.9576</v>
      </c>
      <c r="BL431" s="328"/>
      <c r="BM431" s="328">
        <v>75.433000000000007</v>
      </c>
      <c r="BN431" s="328"/>
      <c r="BO431" s="328"/>
      <c r="BP431" s="328"/>
      <c r="BQ431" s="328">
        <v>6.4298000000000002</v>
      </c>
      <c r="BR431" s="328"/>
      <c r="BS431" s="328">
        <v>43.1</v>
      </c>
      <c r="BT431" s="328"/>
      <c r="BU431" s="328">
        <v>19.222999999999999</v>
      </c>
      <c r="BV431" s="328"/>
      <c r="BW431" s="336">
        <v>4.33</v>
      </c>
      <c r="BX431" s="328"/>
      <c r="BY431" s="328">
        <v>5.5400000000000063</v>
      </c>
      <c r="BZ431" s="328"/>
      <c r="CA431" s="328"/>
      <c r="CB431" s="337"/>
      <c r="CC431" s="328">
        <v>5.87</v>
      </c>
      <c r="CD431" s="328"/>
      <c r="CE431" s="328"/>
      <c r="CF431" s="328"/>
      <c r="CG431" s="328"/>
      <c r="CH431" s="328"/>
      <c r="CI431" s="328"/>
      <c r="CJ431" s="328"/>
      <c r="CK431" s="328" t="s">
        <v>8377</v>
      </c>
      <c r="CL431" s="328"/>
      <c r="CM431" s="328"/>
    </row>
    <row r="432" spans="1:91" s="338" customFormat="1">
      <c r="A432" s="154" t="s">
        <v>7704</v>
      </c>
      <c r="B432" t="s">
        <v>8287</v>
      </c>
      <c r="C432">
        <v>2</v>
      </c>
      <c r="D432">
        <v>1676</v>
      </c>
      <c r="E432" s="113">
        <v>76</v>
      </c>
      <c r="F432" s="113">
        <v>16</v>
      </c>
      <c r="G432" s="113"/>
      <c r="H432" s="113"/>
      <c r="I432">
        <v>37.999999999999993</v>
      </c>
      <c r="J432" s="112"/>
      <c r="K432" s="320">
        <v>8</v>
      </c>
      <c r="L432" s="320"/>
      <c r="M432">
        <v>2.29</v>
      </c>
      <c r="N432" s="320"/>
      <c r="O432"/>
      <c r="P432"/>
      <c r="Q432"/>
      <c r="R432" s="153"/>
      <c r="S432" s="320" t="s">
        <v>8361</v>
      </c>
      <c r="T432" s="320"/>
      <c r="U432">
        <v>10.8</v>
      </c>
      <c r="V432"/>
      <c r="W432"/>
      <c r="X432"/>
      <c r="Y432" s="321">
        <v>0</v>
      </c>
      <c r="Z432" s="320"/>
      <c r="AA432" s="322">
        <v>61555.555555555547</v>
      </c>
      <c r="AB432" s="320"/>
      <c r="AC432" s="321" t="s">
        <v>8361</v>
      </c>
      <c r="AD432" s="320"/>
      <c r="AE432" s="320">
        <v>22.16</v>
      </c>
      <c r="AF432" s="320"/>
      <c r="AG432">
        <v>3.6</v>
      </c>
      <c r="AH432"/>
      <c r="AI432">
        <v>113</v>
      </c>
      <c r="AJ432"/>
      <c r="AK432"/>
      <c r="AL432"/>
      <c r="AM432"/>
      <c r="AN432"/>
      <c r="AO432">
        <v>81</v>
      </c>
      <c r="AP432"/>
      <c r="AQ432" s="323"/>
      <c r="AR432" s="323"/>
      <c r="AS432">
        <v>112</v>
      </c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>
        <v>1.9572000000000001</v>
      </c>
      <c r="BH432"/>
      <c r="BI432">
        <v>4.8182999999999998</v>
      </c>
      <c r="BJ432"/>
      <c r="BK432">
        <v>1.5919000000000001</v>
      </c>
      <c r="BL432"/>
      <c r="BM432">
        <v>63.543999999999997</v>
      </c>
      <c r="BN432"/>
      <c r="BO432">
        <v>20.690999999999999</v>
      </c>
      <c r="BP432"/>
      <c r="BQ432">
        <v>9.0452999999999992</v>
      </c>
      <c r="BR432"/>
      <c r="BS432">
        <v>50.048999999999999</v>
      </c>
      <c r="BT432"/>
      <c r="BU432">
        <v>15.583</v>
      </c>
      <c r="BV432"/>
      <c r="BW432" s="325">
        <v>5.41</v>
      </c>
      <c r="BX432"/>
      <c r="BY432">
        <v>6.3029999999999973</v>
      </c>
      <c r="BZ432"/>
      <c r="CA432"/>
      <c r="CB432" s="136"/>
      <c r="CC432">
        <v>4.8899999999999997</v>
      </c>
      <c r="CD432"/>
      <c r="CE432"/>
      <c r="CF432"/>
      <c r="CG432"/>
      <c r="CH432"/>
      <c r="CI432"/>
      <c r="CJ432"/>
      <c r="CK432"/>
      <c r="CL432"/>
      <c r="CM432"/>
    </row>
    <row r="433" spans="1:91" s="338" customFormat="1">
      <c r="A433" s="154" t="s">
        <v>7704</v>
      </c>
      <c r="B433" t="s">
        <v>8289</v>
      </c>
      <c r="C433">
        <v>1</v>
      </c>
      <c r="D433">
        <v>1726</v>
      </c>
      <c r="E433" s="113">
        <v>26</v>
      </c>
      <c r="F433" s="113">
        <v>17</v>
      </c>
      <c r="G433" s="113"/>
      <c r="H433" s="113"/>
      <c r="I433">
        <v>32</v>
      </c>
      <c r="J433" s="112"/>
      <c r="K433" s="320">
        <v>8</v>
      </c>
      <c r="L433" s="320"/>
      <c r="M433">
        <v>2.5099999999999998</v>
      </c>
      <c r="N433" s="320"/>
      <c r="O433"/>
      <c r="P433"/>
      <c r="Q433"/>
      <c r="R433" s="153"/>
      <c r="S433" s="320">
        <v>9.742349204412001</v>
      </c>
      <c r="T433" s="320"/>
      <c r="U433">
        <v>10.8</v>
      </c>
      <c r="V433"/>
      <c r="W433"/>
      <c r="X433"/>
      <c r="Y433" s="321">
        <v>4.2811091999999995</v>
      </c>
      <c r="Z433" s="320"/>
      <c r="AA433" s="322">
        <v>59028.132992327359</v>
      </c>
      <c r="AB433" s="320"/>
      <c r="AC433" s="321">
        <v>21.577261199999999</v>
      </c>
      <c r="AD433" s="320"/>
      <c r="AE433" s="320">
        <v>23.08</v>
      </c>
      <c r="AF433" s="320"/>
      <c r="AG433">
        <v>3.91</v>
      </c>
      <c r="AH433"/>
      <c r="AI433">
        <v>115</v>
      </c>
      <c r="AJ433"/>
      <c r="AK433"/>
      <c r="AL433"/>
      <c r="AM433"/>
      <c r="AN433"/>
      <c r="AO433">
        <v>82</v>
      </c>
      <c r="AP433"/>
      <c r="AQ433" s="323"/>
      <c r="AR433" s="323"/>
      <c r="AS433">
        <v>116</v>
      </c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>
        <v>-4.62</v>
      </c>
      <c r="BH433"/>
      <c r="BI433">
        <v>5.0983000000000001</v>
      </c>
      <c r="BJ433"/>
      <c r="BK433">
        <v>1.6282000000000001</v>
      </c>
      <c r="BL433"/>
      <c r="BM433">
        <v>65.840999999999994</v>
      </c>
      <c r="BN433"/>
      <c r="BO433">
        <v>20.875</v>
      </c>
      <c r="BP433"/>
      <c r="BQ433">
        <v>9.1188000000000002</v>
      </c>
      <c r="BR433"/>
      <c r="BS433">
        <v>45.151000000000003</v>
      </c>
      <c r="BT433"/>
      <c r="BU433">
        <v>19.404</v>
      </c>
      <c r="BV433"/>
      <c r="BW433" s="325">
        <v>2.1800000000000002</v>
      </c>
      <c r="BX433"/>
      <c r="BY433">
        <v>6.8269999999999982</v>
      </c>
      <c r="BZ433"/>
      <c r="CA433"/>
      <c r="CB433" s="136"/>
      <c r="CC433">
        <v>9.6300000000000008</v>
      </c>
      <c r="CD433"/>
      <c r="CE433"/>
      <c r="CF433"/>
      <c r="CG433"/>
      <c r="CH433"/>
      <c r="CI433"/>
      <c r="CJ433"/>
      <c r="CK433"/>
      <c r="CL433"/>
      <c r="CM433"/>
    </row>
    <row r="434" spans="1:91" s="338" customFormat="1">
      <c r="A434" s="154" t="s">
        <v>7705</v>
      </c>
      <c r="B434" t="s">
        <v>8287</v>
      </c>
      <c r="C434">
        <v>1</v>
      </c>
      <c r="D434">
        <v>329</v>
      </c>
      <c r="E434" s="113">
        <v>29</v>
      </c>
      <c r="F434" s="113">
        <v>3</v>
      </c>
      <c r="G434" s="113"/>
      <c r="H434" s="113"/>
      <c r="I434">
        <v>35</v>
      </c>
      <c r="J434" s="112"/>
      <c r="K434" s="320">
        <v>7</v>
      </c>
      <c r="L434" s="320"/>
      <c r="M434">
        <v>3.18</v>
      </c>
      <c r="N434" s="320"/>
      <c r="O434"/>
      <c r="P434"/>
      <c r="Q434"/>
      <c r="R434" s="153"/>
      <c r="S434" s="320">
        <v>13.955120750360003</v>
      </c>
      <c r="T434" s="320"/>
      <c r="U434">
        <v>10.8</v>
      </c>
      <c r="V434"/>
      <c r="W434"/>
      <c r="X434"/>
      <c r="Y434" s="321">
        <v>5.6425845000000008</v>
      </c>
      <c r="Z434" s="320"/>
      <c r="AA434" s="322">
        <v>62373.94957983194</v>
      </c>
      <c r="AB434" s="320"/>
      <c r="AC434" s="321">
        <v>27.739367000000001</v>
      </c>
      <c r="AD434" s="320"/>
      <c r="AE434" s="320">
        <v>29.69</v>
      </c>
      <c r="AF434" s="320"/>
      <c r="AG434">
        <v>4.76</v>
      </c>
      <c r="AH434"/>
      <c r="AI434">
        <v>125</v>
      </c>
      <c r="AJ434"/>
      <c r="AK434"/>
      <c r="AL434"/>
      <c r="AM434"/>
      <c r="AN434"/>
      <c r="AO434">
        <v>79</v>
      </c>
      <c r="AP434"/>
      <c r="AQ434" s="323"/>
      <c r="AR434" s="323"/>
      <c r="AS434">
        <v>112</v>
      </c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>
        <v>-3.2435999999999998</v>
      </c>
      <c r="BH434"/>
      <c r="BI434">
        <v>4.4965000000000002</v>
      </c>
      <c r="BJ434"/>
      <c r="BK434">
        <v>1.4873000000000001</v>
      </c>
      <c r="BL434"/>
      <c r="BM434">
        <v>65.575999999999993</v>
      </c>
      <c r="BN434"/>
      <c r="BO434">
        <v>20.521999999999998</v>
      </c>
      <c r="BP434"/>
      <c r="BQ434">
        <v>9.2535000000000007</v>
      </c>
      <c r="BR434"/>
      <c r="BS434">
        <v>50.308</v>
      </c>
      <c r="BT434"/>
      <c r="BU434">
        <v>18.922000000000001</v>
      </c>
      <c r="BV434"/>
      <c r="BW434" s="325">
        <v>8.09</v>
      </c>
      <c r="BX434"/>
      <c r="BY434">
        <v>6.2090000000000032</v>
      </c>
      <c r="BZ434"/>
      <c r="CA434"/>
      <c r="CB434" s="136"/>
      <c r="CC434">
        <v>8.23</v>
      </c>
      <c r="CD434"/>
      <c r="CE434"/>
      <c r="CF434"/>
      <c r="CG434"/>
      <c r="CH434"/>
      <c r="CI434"/>
      <c r="CJ434"/>
      <c r="CK434" t="str">
        <f>IF(F434=ET380*(B434="N+"),"submertion","")</f>
        <v/>
      </c>
      <c r="CL434"/>
      <c r="CM434"/>
    </row>
    <row r="435" spans="1:91" s="338" customFormat="1">
      <c r="A435" s="154" t="s">
        <v>7705</v>
      </c>
      <c r="B435" t="s">
        <v>8289</v>
      </c>
      <c r="C435">
        <v>2</v>
      </c>
      <c r="D435">
        <v>757</v>
      </c>
      <c r="E435" s="113">
        <v>57</v>
      </c>
      <c r="F435" s="113">
        <v>7</v>
      </c>
      <c r="G435" s="113"/>
      <c r="H435" s="113"/>
      <c r="I435">
        <v>27.999999999999996</v>
      </c>
      <c r="J435" s="112"/>
      <c r="K435" s="320">
        <v>8</v>
      </c>
      <c r="L435" s="320"/>
      <c r="M435">
        <v>2.39</v>
      </c>
      <c r="N435" s="320"/>
      <c r="O435"/>
      <c r="P435"/>
      <c r="Q435"/>
      <c r="R435" s="153"/>
      <c r="S435" s="320">
        <v>8.9272446731999988</v>
      </c>
      <c r="T435" s="320"/>
      <c r="U435">
        <v>10.8</v>
      </c>
      <c r="V435"/>
      <c r="W435"/>
      <c r="X435"/>
      <c r="Y435" s="321">
        <v>4.5308339999999996</v>
      </c>
      <c r="Z435" s="320"/>
      <c r="AA435" s="322">
        <v>42982.456140350885</v>
      </c>
      <c r="AB435" s="320"/>
      <c r="AC435" s="321">
        <v>20.472984</v>
      </c>
      <c r="AD435" s="320"/>
      <c r="AE435" s="320">
        <v>22.05</v>
      </c>
      <c r="AF435" s="320"/>
      <c r="AG435">
        <v>5.13</v>
      </c>
      <c r="AH435"/>
      <c r="AI435">
        <v>103</v>
      </c>
      <c r="AJ435"/>
      <c r="AK435"/>
      <c r="AL435"/>
      <c r="AM435"/>
      <c r="AN435"/>
      <c r="AO435">
        <v>77</v>
      </c>
      <c r="AP435"/>
      <c r="AQ435" s="323"/>
      <c r="AR435" s="323"/>
      <c r="AS435">
        <v>112</v>
      </c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>
        <v>-2.6179999999999999</v>
      </c>
      <c r="BH435"/>
      <c r="BI435">
        <v>4.5587999999999997</v>
      </c>
      <c r="BJ435"/>
      <c r="BK435">
        <v>1.6808000000000001</v>
      </c>
      <c r="BL435"/>
      <c r="BM435">
        <v>62.826000000000001</v>
      </c>
      <c r="BN435"/>
      <c r="BO435">
        <v>19.184999999999999</v>
      </c>
      <c r="BP435"/>
      <c r="BQ435">
        <v>8.2560000000000002</v>
      </c>
      <c r="BR435"/>
      <c r="BS435">
        <v>43.604999999999997</v>
      </c>
      <c r="BT435"/>
      <c r="BU435">
        <v>22.228999999999999</v>
      </c>
      <c r="BV435"/>
      <c r="BW435" s="325">
        <v>0.98</v>
      </c>
      <c r="BX435"/>
      <c r="BY435">
        <v>6.8250000000000028</v>
      </c>
      <c r="BZ435"/>
      <c r="CA435"/>
      <c r="CB435" s="136"/>
      <c r="CC435">
        <v>9.34</v>
      </c>
      <c r="CD435"/>
      <c r="CE435"/>
      <c r="CF435"/>
      <c r="CG435"/>
      <c r="CH435"/>
      <c r="CI435"/>
      <c r="CJ435"/>
      <c r="CK435"/>
      <c r="CL435"/>
      <c r="CM435"/>
    </row>
    <row r="436" spans="1:91" s="338" customFormat="1">
      <c r="A436" s="154" t="s">
        <v>7705</v>
      </c>
      <c r="B436" t="s">
        <v>8289</v>
      </c>
      <c r="C436">
        <v>1</v>
      </c>
      <c r="D436">
        <v>1121</v>
      </c>
      <c r="E436" s="113">
        <v>21</v>
      </c>
      <c r="F436" s="113">
        <v>11</v>
      </c>
      <c r="G436" s="113"/>
      <c r="H436" s="113"/>
      <c r="I436">
        <v>27.499999999999996</v>
      </c>
      <c r="J436" s="112"/>
      <c r="K436" s="320">
        <v>9</v>
      </c>
      <c r="L436" s="320"/>
      <c r="M436">
        <v>3.28</v>
      </c>
      <c r="N436" s="320"/>
      <c r="O436"/>
      <c r="P436"/>
      <c r="Q436"/>
      <c r="R436" s="153"/>
      <c r="S436" s="320">
        <v>13.350491222207999</v>
      </c>
      <c r="T436" s="320"/>
      <c r="U436">
        <v>10.8</v>
      </c>
      <c r="V436"/>
      <c r="W436"/>
      <c r="X436"/>
      <c r="Y436" s="321">
        <v>5.9720694000000005</v>
      </c>
      <c r="Z436" s="320"/>
      <c r="AA436" s="322">
        <v>76180.04866180048</v>
      </c>
      <c r="AB436" s="320"/>
      <c r="AC436" s="321">
        <v>29.323693600000002</v>
      </c>
      <c r="AD436" s="320"/>
      <c r="AE436" s="320">
        <v>31.31</v>
      </c>
      <c r="AF436" s="320"/>
      <c r="AG436">
        <v>4.1100000000000003</v>
      </c>
      <c r="AH436"/>
      <c r="AI436">
        <v>130</v>
      </c>
      <c r="AJ436"/>
      <c r="AK436"/>
      <c r="AL436"/>
      <c r="AM436"/>
      <c r="AN436"/>
      <c r="AO436">
        <v>79</v>
      </c>
      <c r="AP436"/>
      <c r="AQ436" s="323"/>
      <c r="AR436" s="323"/>
      <c r="AS436">
        <v>112</v>
      </c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>
        <v>-7.6341000000000001</v>
      </c>
      <c r="BH436"/>
      <c r="BI436">
        <v>4.7648000000000001</v>
      </c>
      <c r="BJ436"/>
      <c r="BK436">
        <v>1.4665999999999999</v>
      </c>
      <c r="BL436"/>
      <c r="BM436">
        <v>57.718000000000004</v>
      </c>
      <c r="BN436"/>
      <c r="BO436">
        <v>20.224</v>
      </c>
      <c r="BP436"/>
      <c r="BQ436">
        <v>10.416</v>
      </c>
      <c r="BR436"/>
      <c r="BS436">
        <v>45.527999999999999</v>
      </c>
      <c r="BT436"/>
      <c r="BU436">
        <v>20.972999999999999</v>
      </c>
      <c r="BV436"/>
      <c r="BW436" s="325">
        <v>9.01</v>
      </c>
      <c r="BX436"/>
      <c r="BY436">
        <v>6.7600000000000051</v>
      </c>
      <c r="BZ436"/>
      <c r="CA436"/>
      <c r="CB436" s="136"/>
      <c r="CC436">
        <v>6.18</v>
      </c>
      <c r="CD436"/>
      <c r="CE436"/>
      <c r="CF436"/>
      <c r="CG436"/>
      <c r="CH436"/>
      <c r="CI436"/>
      <c r="CJ436"/>
      <c r="CK436"/>
      <c r="CL436"/>
      <c r="CM436"/>
    </row>
    <row r="437" spans="1:91" s="338" customFormat="1">
      <c r="A437" s="154" t="s">
        <v>7705</v>
      </c>
      <c r="B437" t="s">
        <v>8287</v>
      </c>
      <c r="C437">
        <v>2</v>
      </c>
      <c r="D437">
        <v>1759</v>
      </c>
      <c r="E437" s="113">
        <v>59</v>
      </c>
      <c r="F437" s="113">
        <v>17</v>
      </c>
      <c r="G437" s="113"/>
      <c r="H437" s="113"/>
      <c r="I437">
        <v>26</v>
      </c>
      <c r="J437" s="112"/>
      <c r="K437" s="320">
        <v>8</v>
      </c>
      <c r="L437" s="320"/>
      <c r="M437">
        <v>3.29</v>
      </c>
      <c r="N437" s="320"/>
      <c r="O437"/>
      <c r="P437"/>
      <c r="Q437"/>
      <c r="R437" s="153"/>
      <c r="S437" s="320">
        <v>14.545636237439998</v>
      </c>
      <c r="T437" s="320"/>
      <c r="U437">
        <v>10.8</v>
      </c>
      <c r="V437"/>
      <c r="W437"/>
      <c r="X437"/>
      <c r="Y437" s="321">
        <v>5.7324960000000003</v>
      </c>
      <c r="Z437" s="320"/>
      <c r="AA437" s="322">
        <v>70967.741935483878</v>
      </c>
      <c r="AB437" s="320"/>
      <c r="AC437" s="321">
        <v>28.725311999999999</v>
      </c>
      <c r="AD437" s="320"/>
      <c r="AE437" s="320">
        <v>30.8</v>
      </c>
      <c r="AF437" s="320"/>
      <c r="AG437">
        <v>4.34</v>
      </c>
      <c r="AH437"/>
      <c r="AI437">
        <v>118</v>
      </c>
      <c r="AJ437"/>
      <c r="AK437"/>
      <c r="AL437"/>
      <c r="AM437"/>
      <c r="AN437"/>
      <c r="AO437">
        <v>79</v>
      </c>
      <c r="AP437"/>
      <c r="AQ437" s="323"/>
      <c r="AR437" s="323"/>
      <c r="AS437">
        <v>112</v>
      </c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>
        <v>-0.92303999999999997</v>
      </c>
      <c r="BH437"/>
      <c r="BI437">
        <v>4.8501000000000003</v>
      </c>
      <c r="BJ437"/>
      <c r="BK437">
        <v>1.2990999999999999</v>
      </c>
      <c r="BL437"/>
      <c r="BM437">
        <v>64.733000000000004</v>
      </c>
      <c r="BN437"/>
      <c r="BO437">
        <v>22.335999999999999</v>
      </c>
      <c r="BP437"/>
      <c r="BQ437">
        <v>9.3607999999999993</v>
      </c>
      <c r="BR437"/>
      <c r="BS437">
        <v>50.637</v>
      </c>
      <c r="BT437"/>
      <c r="BU437">
        <v>18.155000000000001</v>
      </c>
      <c r="BV437"/>
      <c r="BW437" s="325">
        <v>14.95</v>
      </c>
      <c r="BX437"/>
      <c r="BY437">
        <v>6.3919999999999959</v>
      </c>
      <c r="BZ437"/>
      <c r="CA437"/>
      <c r="CB437" s="136"/>
      <c r="CC437">
        <v>7.99</v>
      </c>
      <c r="CD437"/>
      <c r="CE437"/>
      <c r="CF437"/>
      <c r="CG437"/>
      <c r="CH437"/>
      <c r="CI437"/>
      <c r="CJ437"/>
      <c r="CK437"/>
      <c r="CL437"/>
      <c r="CM437"/>
    </row>
    <row r="438" spans="1:91" s="338" customFormat="1">
      <c r="A438" s="154" t="s">
        <v>7706</v>
      </c>
      <c r="B438" t="s">
        <v>8287</v>
      </c>
      <c r="C438">
        <v>1</v>
      </c>
      <c r="D438">
        <v>331</v>
      </c>
      <c r="E438" s="113">
        <v>31</v>
      </c>
      <c r="F438" s="113">
        <v>3</v>
      </c>
      <c r="G438" s="113"/>
      <c r="H438" s="113"/>
      <c r="I438">
        <v>37.5</v>
      </c>
      <c r="J438" s="112"/>
      <c r="K438" s="320">
        <v>8</v>
      </c>
      <c r="L438" s="320"/>
      <c r="M438">
        <v>3.18</v>
      </c>
      <c r="N438" s="320"/>
      <c r="O438"/>
      <c r="P438"/>
      <c r="Q438"/>
      <c r="R438" s="153"/>
      <c r="S438" s="320">
        <v>14.31795782118</v>
      </c>
      <c r="T438" s="320"/>
      <c r="U438">
        <v>10.8</v>
      </c>
      <c r="V438"/>
      <c r="W438"/>
      <c r="X438"/>
      <c r="Y438" s="321">
        <v>5.6707477000000006</v>
      </c>
      <c r="Z438" s="320"/>
      <c r="AA438" s="322">
        <v>73177.339901477841</v>
      </c>
      <c r="AB438" s="320"/>
      <c r="AC438" s="321">
        <v>27.9538419</v>
      </c>
      <c r="AD438" s="320"/>
      <c r="AE438" s="320">
        <v>29.71</v>
      </c>
      <c r="AF438" s="320"/>
      <c r="AG438">
        <v>4.0599999999999996</v>
      </c>
      <c r="AH438"/>
      <c r="AI438">
        <v>123</v>
      </c>
      <c r="AJ438"/>
      <c r="AK438"/>
      <c r="AL438"/>
      <c r="AM438"/>
      <c r="AN438"/>
      <c r="AO438">
        <v>80</v>
      </c>
      <c r="AP438"/>
      <c r="AQ438" s="323"/>
      <c r="AR438" s="323"/>
      <c r="AS438">
        <v>116</v>
      </c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>
        <v>-0.67203999999999997</v>
      </c>
      <c r="BH438"/>
      <c r="BI438">
        <v>4.7352999999999996</v>
      </c>
      <c r="BJ438"/>
      <c r="BK438">
        <v>1.5174000000000001</v>
      </c>
      <c r="BL438"/>
      <c r="BM438">
        <v>63.231999999999999</v>
      </c>
      <c r="BN438"/>
      <c r="BO438">
        <v>20.094000000000001</v>
      </c>
      <c r="BP438"/>
      <c r="BQ438">
        <v>10.375999999999999</v>
      </c>
      <c r="BR438"/>
      <c r="BS438">
        <v>51.22</v>
      </c>
      <c r="BT438"/>
      <c r="BU438">
        <v>17.972000000000001</v>
      </c>
      <c r="BV438"/>
      <c r="BW438" s="325">
        <v>13.68</v>
      </c>
      <c r="BX438"/>
      <c r="BY438">
        <v>6.6059999999999945</v>
      </c>
      <c r="BZ438"/>
      <c r="CA438"/>
      <c r="CB438" s="136"/>
      <c r="CC438">
        <v>8.17</v>
      </c>
      <c r="CD438"/>
      <c r="CE438"/>
      <c r="CF438"/>
      <c r="CG438"/>
      <c r="CH438"/>
      <c r="CI438"/>
      <c r="CJ438"/>
      <c r="CK438" t="str">
        <f>IF(F438=ET384*(B438="N+"),"submertion","")</f>
        <v/>
      </c>
      <c r="CL438"/>
      <c r="CM438"/>
    </row>
    <row r="439" spans="1:91" s="338" customFormat="1">
      <c r="A439" s="154" t="s">
        <v>7706</v>
      </c>
      <c r="B439" t="s">
        <v>8289</v>
      </c>
      <c r="C439">
        <v>2</v>
      </c>
      <c r="D439">
        <v>556</v>
      </c>
      <c r="E439" s="113">
        <v>56</v>
      </c>
      <c r="F439" s="113">
        <v>5</v>
      </c>
      <c r="G439" s="113"/>
      <c r="H439" s="113"/>
      <c r="I439">
        <v>36</v>
      </c>
      <c r="J439" s="112"/>
      <c r="K439" s="320">
        <v>8</v>
      </c>
      <c r="L439" s="320"/>
      <c r="M439">
        <v>3.16</v>
      </c>
      <c r="N439" s="320"/>
      <c r="O439"/>
      <c r="P439"/>
      <c r="Q439"/>
      <c r="R439" s="153"/>
      <c r="S439" s="320">
        <v>13.42112220474</v>
      </c>
      <c r="T439" s="320"/>
      <c r="U439">
        <v>10.8</v>
      </c>
      <c r="V439"/>
      <c r="W439"/>
      <c r="X439"/>
      <c r="Y439" s="321">
        <v>6.5617113999999992</v>
      </c>
      <c r="Z439" s="320"/>
      <c r="AA439" s="322">
        <v>79289.473684210534</v>
      </c>
      <c r="AB439" s="320"/>
      <c r="AC439" s="321">
        <v>28.070614500000001</v>
      </c>
      <c r="AD439" s="320"/>
      <c r="AE439" s="320">
        <v>30.13</v>
      </c>
      <c r="AF439" s="320"/>
      <c r="AG439">
        <v>3.8</v>
      </c>
      <c r="AH439"/>
      <c r="AI439">
        <v>115</v>
      </c>
      <c r="AJ439"/>
      <c r="AK439"/>
      <c r="AL439"/>
      <c r="AM439"/>
      <c r="AN439"/>
      <c r="AO439">
        <v>79</v>
      </c>
      <c r="AP439"/>
      <c r="AQ439" s="323"/>
      <c r="AR439" s="323"/>
      <c r="AS439">
        <v>118</v>
      </c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>
        <v>0.89958000000000005</v>
      </c>
      <c r="BH439"/>
      <c r="BI439">
        <v>4.8369</v>
      </c>
      <c r="BJ439"/>
      <c r="BK439">
        <v>1.5609999999999999</v>
      </c>
      <c r="BL439"/>
      <c r="BM439">
        <v>56.945999999999998</v>
      </c>
      <c r="BN439"/>
      <c r="BO439">
        <v>19.972999999999999</v>
      </c>
      <c r="BP439"/>
      <c r="BQ439">
        <v>11.08</v>
      </c>
      <c r="BR439"/>
      <c r="BS439">
        <v>47.811999999999998</v>
      </c>
      <c r="BT439"/>
      <c r="BU439">
        <v>19.512</v>
      </c>
      <c r="BV439"/>
      <c r="BW439" s="325">
        <v>6.94</v>
      </c>
      <c r="BX439"/>
      <c r="BY439">
        <v>6.7720000000000056</v>
      </c>
      <c r="BZ439"/>
      <c r="CA439"/>
      <c r="CB439" s="136"/>
      <c r="CC439">
        <v>6.28</v>
      </c>
      <c r="CD439"/>
      <c r="CE439"/>
      <c r="CF439"/>
      <c r="CG439"/>
      <c r="CH439"/>
      <c r="CI439"/>
      <c r="CJ439"/>
      <c r="CK439"/>
      <c r="CL439"/>
      <c r="CM439"/>
    </row>
    <row r="440" spans="1:91" s="338" customFormat="1">
      <c r="A440" s="154" t="s">
        <v>7706</v>
      </c>
      <c r="B440" t="s">
        <v>8289</v>
      </c>
      <c r="C440">
        <v>1</v>
      </c>
      <c r="D440">
        <v>1004</v>
      </c>
      <c r="E440" s="113">
        <v>4</v>
      </c>
      <c r="F440" s="113">
        <v>10</v>
      </c>
      <c r="G440" s="113"/>
      <c r="H440" s="113"/>
      <c r="I440">
        <v>26.499999999999996</v>
      </c>
      <c r="J440" s="112"/>
      <c r="K440" s="320">
        <v>9</v>
      </c>
      <c r="L440" s="320"/>
      <c r="M440">
        <v>3.64</v>
      </c>
      <c r="N440" s="320"/>
      <c r="O440"/>
      <c r="P440"/>
      <c r="Q440"/>
      <c r="R440" s="153"/>
      <c r="S440" s="320">
        <v>15.775163615939999</v>
      </c>
      <c r="T440" s="320"/>
      <c r="U440">
        <v>10.8</v>
      </c>
      <c r="V440"/>
      <c r="W440"/>
      <c r="X440"/>
      <c r="Y440" s="321">
        <v>6.5326928999999998</v>
      </c>
      <c r="Z440" s="320"/>
      <c r="AA440" s="322">
        <v>99913.294797687864</v>
      </c>
      <c r="AB440" s="320"/>
      <c r="AC440" s="321">
        <v>32.289762799999998</v>
      </c>
      <c r="AD440" s="320"/>
      <c r="AE440" s="320">
        <v>34.57</v>
      </c>
      <c r="AF440" s="320"/>
      <c r="AG440">
        <v>3.46</v>
      </c>
      <c r="AH440"/>
      <c r="AI440">
        <v>130</v>
      </c>
      <c r="AJ440"/>
      <c r="AK440"/>
      <c r="AL440"/>
      <c r="AM440"/>
      <c r="AN440"/>
      <c r="AO440">
        <v>81</v>
      </c>
      <c r="AP440"/>
      <c r="AQ440" s="323"/>
      <c r="AR440" s="323"/>
      <c r="AS440">
        <v>116</v>
      </c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>
        <v>8.3389000000000006</v>
      </c>
      <c r="BH440"/>
      <c r="BI440">
        <v>4.6067</v>
      </c>
      <c r="BJ440"/>
      <c r="BK440">
        <v>1.3872</v>
      </c>
      <c r="BL440"/>
      <c r="BM440">
        <v>54.558</v>
      </c>
      <c r="BN440"/>
      <c r="BO440">
        <v>19.405000000000001</v>
      </c>
      <c r="BP440"/>
      <c r="BQ440">
        <v>11.689</v>
      </c>
      <c r="BR440"/>
      <c r="BS440">
        <v>48.854999999999997</v>
      </c>
      <c r="BT440"/>
      <c r="BU440">
        <v>19.689</v>
      </c>
      <c r="BV440"/>
      <c r="BW440" s="325">
        <v>18.14</v>
      </c>
      <c r="BX440"/>
      <c r="BY440">
        <v>6.7090000000000032</v>
      </c>
      <c r="BZ440"/>
      <c r="CA440"/>
      <c r="CB440" s="136"/>
      <c r="CC440">
        <v>6.66</v>
      </c>
      <c r="CD440"/>
      <c r="CE440"/>
      <c r="CF440"/>
      <c r="CG440"/>
      <c r="CH440"/>
      <c r="CI440"/>
      <c r="CJ440"/>
      <c r="CK440"/>
      <c r="CL440"/>
      <c r="CM440"/>
    </row>
    <row r="441" spans="1:91" s="338" customFormat="1">
      <c r="A441" s="154" t="s">
        <v>7706</v>
      </c>
      <c r="B441" t="s">
        <v>8287</v>
      </c>
      <c r="C441">
        <v>2</v>
      </c>
      <c r="D441">
        <v>1562</v>
      </c>
      <c r="E441" s="113">
        <v>62</v>
      </c>
      <c r="F441" s="113">
        <v>15</v>
      </c>
      <c r="G441" s="113"/>
      <c r="H441" s="113"/>
      <c r="I441">
        <v>29.999999999999996</v>
      </c>
      <c r="J441" s="112"/>
      <c r="K441" s="320">
        <v>8</v>
      </c>
      <c r="L441" s="320"/>
      <c r="M441">
        <v>3.51</v>
      </c>
      <c r="N441" s="320"/>
      <c r="O441"/>
      <c r="P441"/>
      <c r="Q441"/>
      <c r="R441" s="153"/>
      <c r="S441" s="320">
        <v>15.953506023239999</v>
      </c>
      <c r="T441" s="320"/>
      <c r="U441">
        <v>10.8</v>
      </c>
      <c r="V441"/>
      <c r="W441"/>
      <c r="X441"/>
      <c r="Y441" s="321">
        <v>5.0076169999999998</v>
      </c>
      <c r="Z441" s="320"/>
      <c r="AA441" s="322">
        <v>94314.28571428571</v>
      </c>
      <c r="AB441" s="320"/>
      <c r="AC441" s="321">
        <v>30.968661599999997</v>
      </c>
      <c r="AD441" s="320"/>
      <c r="AE441" s="320">
        <v>33.01</v>
      </c>
      <c r="AF441" s="320"/>
      <c r="AG441">
        <v>3.5</v>
      </c>
      <c r="AH441"/>
      <c r="AI441">
        <v>120</v>
      </c>
      <c r="AJ441"/>
      <c r="AK441"/>
      <c r="AL441"/>
      <c r="AM441"/>
      <c r="AN441"/>
      <c r="AO441">
        <v>80</v>
      </c>
      <c r="AP441"/>
      <c r="AQ441" s="323"/>
      <c r="AR441" s="323"/>
      <c r="AS441">
        <v>114</v>
      </c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>
        <v>-0.53466999999999998</v>
      </c>
      <c r="BH441"/>
      <c r="BI441">
        <v>4.9649000000000001</v>
      </c>
      <c r="BJ441"/>
      <c r="BK441">
        <v>1.4781</v>
      </c>
      <c r="BL441"/>
      <c r="BM441">
        <v>60.536999999999999</v>
      </c>
      <c r="BN441"/>
      <c r="BO441">
        <v>20.361999999999998</v>
      </c>
      <c r="BP441"/>
      <c r="BQ441">
        <v>10.544</v>
      </c>
      <c r="BR441"/>
      <c r="BS441">
        <v>51.515000000000001</v>
      </c>
      <c r="BT441"/>
      <c r="BU441">
        <v>16.684999999999999</v>
      </c>
      <c r="BV441"/>
      <c r="BW441" s="325">
        <v>8.52</v>
      </c>
      <c r="BX441"/>
      <c r="BY441">
        <v>6.6740000000000066</v>
      </c>
      <c r="BZ441"/>
      <c r="CA441"/>
      <c r="CB441" s="136"/>
      <c r="CC441">
        <v>7.57</v>
      </c>
      <c r="CD441"/>
      <c r="CE441"/>
      <c r="CF441"/>
      <c r="CG441"/>
      <c r="CH441"/>
      <c r="CI441"/>
      <c r="CJ441"/>
      <c r="CK441"/>
      <c r="CL441"/>
      <c r="CM441"/>
    </row>
    <row r="442" spans="1:91">
      <c r="A442" s="154" t="s">
        <v>7707</v>
      </c>
      <c r="B442" t="s">
        <v>8289</v>
      </c>
      <c r="C442">
        <v>2</v>
      </c>
      <c r="D442">
        <v>476</v>
      </c>
      <c r="E442" s="113">
        <v>76</v>
      </c>
      <c r="F442" s="113">
        <v>4</v>
      </c>
      <c r="I442">
        <v>27.999999999999996</v>
      </c>
      <c r="K442" s="320">
        <v>8</v>
      </c>
      <c r="L442" s="320"/>
      <c r="M442">
        <v>1.33</v>
      </c>
      <c r="N442" s="320"/>
      <c r="O442"/>
      <c r="P442"/>
      <c r="Q442"/>
      <c r="S442" s="320" t="s">
        <v>8361</v>
      </c>
      <c r="T442" s="320"/>
      <c r="U442">
        <v>10.8</v>
      </c>
      <c r="V442"/>
      <c r="W442"/>
      <c r="X442"/>
      <c r="Y442" s="321">
        <v>0</v>
      </c>
      <c r="Z442" s="320"/>
      <c r="AA442" s="322">
        <v>30608.272506082722</v>
      </c>
      <c r="AB442" s="320"/>
      <c r="AC442" s="321" t="s">
        <v>8361</v>
      </c>
      <c r="AD442" s="320"/>
      <c r="AE442" s="320">
        <v>12.58</v>
      </c>
      <c r="AF442" s="320"/>
      <c r="AG442">
        <v>4.1100000000000003</v>
      </c>
      <c r="AH442"/>
      <c r="AI442">
        <v>130</v>
      </c>
      <c r="AJ442"/>
      <c r="AK442"/>
      <c r="AL442"/>
      <c r="AM442"/>
      <c r="AN442"/>
      <c r="AO442">
        <v>81</v>
      </c>
      <c r="AP442"/>
      <c r="AQ442" s="323"/>
      <c r="AR442" s="323"/>
      <c r="AS442">
        <v>116</v>
      </c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>
        <v>1.7675000000000001</v>
      </c>
      <c r="BH442"/>
      <c r="BI442">
        <v>5.2915999999999999</v>
      </c>
      <c r="BJ442"/>
      <c r="BK442">
        <v>1.6460999999999999</v>
      </c>
      <c r="BL442"/>
      <c r="BM442">
        <v>56.23</v>
      </c>
      <c r="BN442"/>
      <c r="BO442">
        <v>21.975999999999999</v>
      </c>
      <c r="BP442"/>
      <c r="BQ442">
        <v>8.7918000000000003</v>
      </c>
      <c r="BR442"/>
      <c r="BS442">
        <v>40.152999999999999</v>
      </c>
      <c r="BT442"/>
      <c r="BU442">
        <v>22.201000000000001</v>
      </c>
      <c r="BV442"/>
      <c r="BW442" s="325">
        <v>3.86</v>
      </c>
      <c r="BX442"/>
      <c r="BY442">
        <v>7.3149999999999977</v>
      </c>
      <c r="BZ442"/>
      <c r="CA442"/>
      <c r="CC442">
        <v>7.01</v>
      </c>
      <c r="CD442"/>
      <c r="CE442"/>
      <c r="CF442"/>
      <c r="CG442"/>
      <c r="CH442"/>
      <c r="CI442"/>
      <c r="CJ442"/>
      <c r="CK442"/>
      <c r="CL442"/>
      <c r="CM442"/>
    </row>
    <row r="443" spans="1:91">
      <c r="A443" s="154" t="s">
        <v>7707</v>
      </c>
      <c r="B443" t="s">
        <v>8287</v>
      </c>
      <c r="C443">
        <v>1</v>
      </c>
      <c r="D443">
        <v>733</v>
      </c>
      <c r="E443" s="113">
        <v>33</v>
      </c>
      <c r="F443" s="113">
        <v>7</v>
      </c>
      <c r="I443">
        <v>26.499999999999996</v>
      </c>
      <c r="K443" s="320">
        <v>9</v>
      </c>
      <c r="L443" s="320"/>
      <c r="M443">
        <v>3.02</v>
      </c>
      <c r="N443" s="320"/>
      <c r="O443"/>
      <c r="P443"/>
      <c r="Q443"/>
      <c r="S443" s="320">
        <v>13.290480574168003</v>
      </c>
      <c r="T443" s="320"/>
      <c r="U443">
        <v>10.8</v>
      </c>
      <c r="V443"/>
      <c r="W443"/>
      <c r="X443"/>
      <c r="Y443" s="321">
        <v>4.8305474000000004</v>
      </c>
      <c r="Z443" s="320"/>
      <c r="AA443" s="322">
        <v>68153.477218225424</v>
      </c>
      <c r="AB443" s="320"/>
      <c r="AC443" s="321">
        <v>26.484029600000003</v>
      </c>
      <c r="AD443" s="320"/>
      <c r="AE443" s="320">
        <v>28.42</v>
      </c>
      <c r="AF443" s="320"/>
      <c r="AG443">
        <v>4.17</v>
      </c>
      <c r="AH443"/>
      <c r="AI443">
        <v>130</v>
      </c>
      <c r="AJ443"/>
      <c r="AK443"/>
      <c r="AL443"/>
      <c r="AM443"/>
      <c r="AN443"/>
      <c r="AO443">
        <v>81</v>
      </c>
      <c r="AP443"/>
      <c r="AQ443" s="323"/>
      <c r="AR443" s="323"/>
      <c r="AS443">
        <v>112</v>
      </c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>
        <v>0.59326999999999996</v>
      </c>
      <c r="BH443"/>
      <c r="BI443">
        <v>4.3630000000000004</v>
      </c>
      <c r="BJ443"/>
      <c r="BK443">
        <v>1.4997</v>
      </c>
      <c r="BL443"/>
      <c r="BM443">
        <v>63.201000000000001</v>
      </c>
      <c r="BN443"/>
      <c r="BO443">
        <v>20.276</v>
      </c>
      <c r="BP443"/>
      <c r="BQ443">
        <v>10.15</v>
      </c>
      <c r="BR443"/>
      <c r="BS443">
        <v>50.183</v>
      </c>
      <c r="BT443"/>
      <c r="BU443">
        <v>19.184000000000001</v>
      </c>
      <c r="BV443"/>
      <c r="BW443" s="325">
        <v>0.44</v>
      </c>
      <c r="BX443"/>
      <c r="BY443">
        <v>6.0430000000000064</v>
      </c>
      <c r="BZ443"/>
      <c r="CA443"/>
      <c r="CC443">
        <v>7.52</v>
      </c>
      <c r="CD443"/>
      <c r="CE443"/>
      <c r="CF443"/>
      <c r="CG443"/>
      <c r="CH443"/>
      <c r="CI443"/>
      <c r="CJ443"/>
      <c r="CK443"/>
      <c r="CL443"/>
      <c r="CM443"/>
    </row>
    <row r="444" spans="1:91">
      <c r="A444" s="154" t="s">
        <v>7707</v>
      </c>
      <c r="B444" t="s">
        <v>8287</v>
      </c>
      <c r="C444">
        <v>2</v>
      </c>
      <c r="D444">
        <v>1451</v>
      </c>
      <c r="E444" s="113">
        <v>51</v>
      </c>
      <c r="F444" s="113">
        <v>14</v>
      </c>
      <c r="I444">
        <v>26</v>
      </c>
      <c r="K444" s="320">
        <v>9</v>
      </c>
      <c r="L444" s="320"/>
      <c r="M444">
        <v>2.6</v>
      </c>
      <c r="N444" s="320"/>
      <c r="O444"/>
      <c r="P444"/>
      <c r="Q444"/>
      <c r="S444" s="320">
        <v>11.542428679964001</v>
      </c>
      <c r="T444" s="320"/>
      <c r="U444">
        <v>10.8</v>
      </c>
      <c r="V444"/>
      <c r="W444"/>
      <c r="X444"/>
      <c r="Y444" s="321">
        <v>4.1947970999999997</v>
      </c>
      <c r="Z444" s="320"/>
      <c r="AA444" s="322">
        <v>64005.102040816331</v>
      </c>
      <c r="AB444" s="320"/>
      <c r="AC444" s="321">
        <v>23.471193200000002</v>
      </c>
      <c r="AD444" s="320"/>
      <c r="AE444" s="320">
        <v>25.09</v>
      </c>
      <c r="AF444" s="320"/>
      <c r="AG444">
        <v>3.92</v>
      </c>
      <c r="AH444"/>
      <c r="AI444">
        <v>130</v>
      </c>
      <c r="AJ444"/>
      <c r="AK444"/>
      <c r="AL444"/>
      <c r="AM444"/>
      <c r="AN444"/>
      <c r="AO444">
        <v>79</v>
      </c>
      <c r="AP444"/>
      <c r="AQ444" s="323"/>
      <c r="AR444" s="323"/>
      <c r="AS444">
        <v>112</v>
      </c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>
        <v>-4.5182000000000002</v>
      </c>
      <c r="BH444"/>
      <c r="BI444">
        <v>4.5362</v>
      </c>
      <c r="BJ444"/>
      <c r="BK444">
        <v>1.448</v>
      </c>
      <c r="BL444"/>
      <c r="BM444">
        <v>61.500999999999998</v>
      </c>
      <c r="BN444"/>
      <c r="BO444">
        <v>21.260999999999999</v>
      </c>
      <c r="BP444"/>
      <c r="BQ444">
        <v>9.2803000000000004</v>
      </c>
      <c r="BR444"/>
      <c r="BS444">
        <v>49.177</v>
      </c>
      <c r="BT444"/>
      <c r="BU444">
        <v>19.468</v>
      </c>
      <c r="BV444"/>
      <c r="BW444" s="325">
        <v>0.75</v>
      </c>
      <c r="BX444"/>
      <c r="BY444">
        <v>6.0319999999999965</v>
      </c>
      <c r="BZ444"/>
      <c r="CA444"/>
      <c r="CC444">
        <v>5.15</v>
      </c>
      <c r="CD444"/>
      <c r="CE444"/>
      <c r="CF444"/>
      <c r="CG444"/>
      <c r="CH444"/>
      <c r="CI444"/>
      <c r="CJ444"/>
      <c r="CK444"/>
      <c r="CL444"/>
      <c r="CM444"/>
    </row>
    <row r="445" spans="1:91">
      <c r="A445" s="154" t="s">
        <v>7707</v>
      </c>
      <c r="B445" t="s">
        <v>8289</v>
      </c>
      <c r="C445">
        <v>1</v>
      </c>
      <c r="D445">
        <v>1415</v>
      </c>
      <c r="E445" s="113">
        <v>15</v>
      </c>
      <c r="F445" s="113">
        <v>14</v>
      </c>
      <c r="I445">
        <v>27.499999999999996</v>
      </c>
      <c r="K445" s="320">
        <v>9</v>
      </c>
      <c r="L445" s="320"/>
      <c r="M445">
        <v>2.78</v>
      </c>
      <c r="N445" s="320"/>
      <c r="O445"/>
      <c r="P445"/>
      <c r="Q445"/>
      <c r="S445" s="320">
        <v>12.066672916685997</v>
      </c>
      <c r="T445" s="320"/>
      <c r="U445">
        <v>10.8</v>
      </c>
      <c r="V445"/>
      <c r="W445"/>
      <c r="X445"/>
      <c r="Y445" s="321">
        <v>5.5387940999999987</v>
      </c>
      <c r="Z445" s="320"/>
      <c r="AA445" s="322">
        <v>70828.877005347589</v>
      </c>
      <c r="AB445" s="320"/>
      <c r="AC445" s="321">
        <v>24.821394899999998</v>
      </c>
      <c r="AD445" s="320"/>
      <c r="AE445" s="320">
        <v>26.49</v>
      </c>
      <c r="AF445" s="320"/>
      <c r="AG445">
        <v>3.74</v>
      </c>
      <c r="AH445"/>
      <c r="AI445">
        <v>125</v>
      </c>
      <c r="AJ445"/>
      <c r="AK445"/>
      <c r="AL445"/>
      <c r="AM445"/>
      <c r="AN445"/>
      <c r="AO445">
        <v>83</v>
      </c>
      <c r="AP445"/>
      <c r="AQ445" s="323"/>
      <c r="AR445" s="323"/>
      <c r="AS445">
        <v>114</v>
      </c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>
        <v>1.5478000000000001</v>
      </c>
      <c r="BH445"/>
      <c r="BI445">
        <v>4.6256000000000004</v>
      </c>
      <c r="BJ445"/>
      <c r="BK445">
        <v>1.4797</v>
      </c>
      <c r="BL445"/>
      <c r="BM445">
        <v>61.05</v>
      </c>
      <c r="BN445"/>
      <c r="BO445">
        <v>20.774999999999999</v>
      </c>
      <c r="BP445"/>
      <c r="BQ445">
        <v>9.8909000000000002</v>
      </c>
      <c r="BR445"/>
      <c r="BS445">
        <v>48.613999999999997</v>
      </c>
      <c r="BT445"/>
      <c r="BU445">
        <v>19.992000000000001</v>
      </c>
      <c r="BV445"/>
      <c r="BW445" s="325">
        <v>3.64</v>
      </c>
      <c r="BX445"/>
      <c r="BY445">
        <v>6.0699999999999932</v>
      </c>
      <c r="BZ445"/>
      <c r="CA445"/>
      <c r="CC445">
        <v>6.35</v>
      </c>
      <c r="CD445"/>
      <c r="CE445"/>
      <c r="CF445"/>
      <c r="CG445"/>
      <c r="CH445"/>
      <c r="CI445"/>
      <c r="CJ445"/>
      <c r="CK445"/>
      <c r="CL445"/>
      <c r="CM445"/>
    </row>
    <row r="446" spans="1:91">
      <c r="A446" s="154" t="s">
        <v>7708</v>
      </c>
      <c r="B446" t="s">
        <v>8287</v>
      </c>
      <c r="C446">
        <v>1</v>
      </c>
      <c r="D446">
        <v>334</v>
      </c>
      <c r="E446" s="113">
        <v>34</v>
      </c>
      <c r="F446" s="113">
        <v>3</v>
      </c>
      <c r="I446">
        <v>32.5</v>
      </c>
      <c r="K446" s="320">
        <v>7</v>
      </c>
      <c r="L446" s="320"/>
      <c r="M446">
        <v>3.48</v>
      </c>
      <c r="N446" s="320"/>
      <c r="O446"/>
      <c r="P446"/>
      <c r="Q446"/>
      <c r="S446" s="320">
        <v>15.762245110239</v>
      </c>
      <c r="T446" s="320"/>
      <c r="U446">
        <v>10.8</v>
      </c>
      <c r="V446"/>
      <c r="W446"/>
      <c r="X446"/>
      <c r="Y446" s="321">
        <v>6.288497500000001</v>
      </c>
      <c r="Z446" s="320"/>
      <c r="AA446" s="322">
        <v>66755.102040816331</v>
      </c>
      <c r="AB446" s="320"/>
      <c r="AC446" s="321">
        <v>30.777820300000002</v>
      </c>
      <c r="AD446" s="320"/>
      <c r="AE446" s="320">
        <v>32.71</v>
      </c>
      <c r="AF446" s="320"/>
      <c r="AG446">
        <v>4.9000000000000004</v>
      </c>
      <c r="AH446"/>
      <c r="AI446">
        <v>143</v>
      </c>
      <c r="AJ446"/>
      <c r="AK446"/>
      <c r="AL446"/>
      <c r="AM446"/>
      <c r="AN446"/>
      <c r="AO446">
        <v>80</v>
      </c>
      <c r="AP446"/>
      <c r="AQ446" s="323"/>
      <c r="AR446" s="323"/>
      <c r="AS446">
        <v>114</v>
      </c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>
        <v>3.3723999999999998</v>
      </c>
      <c r="BH446"/>
      <c r="BI446">
        <v>4.8036000000000003</v>
      </c>
      <c r="BJ446"/>
      <c r="BK446">
        <v>1.4045000000000001</v>
      </c>
      <c r="BL446"/>
      <c r="BM446">
        <v>61.875999999999998</v>
      </c>
      <c r="BN446"/>
      <c r="BO446">
        <v>21.641999999999999</v>
      </c>
      <c r="BP446"/>
      <c r="BQ446">
        <v>9.2385000000000002</v>
      </c>
      <c r="BR446"/>
      <c r="BS446">
        <v>51.213000000000001</v>
      </c>
      <c r="BT446"/>
      <c r="BU446">
        <v>17.216999999999999</v>
      </c>
      <c r="BV446"/>
      <c r="BW446" s="325">
        <v>5.34</v>
      </c>
      <c r="BX446"/>
      <c r="BY446">
        <v>6.277000000000001</v>
      </c>
      <c r="BZ446"/>
      <c r="CA446"/>
      <c r="CC446">
        <v>7.61</v>
      </c>
      <c r="CD446"/>
      <c r="CE446"/>
      <c r="CF446"/>
      <c r="CG446"/>
      <c r="CH446"/>
      <c r="CI446"/>
      <c r="CJ446"/>
      <c r="CK446"/>
      <c r="CL446"/>
      <c r="CM446"/>
    </row>
    <row r="447" spans="1:91">
      <c r="A447" s="327" t="s">
        <v>7708</v>
      </c>
      <c r="B447" s="328" t="s">
        <v>8289</v>
      </c>
      <c r="C447" s="328">
        <v>2</v>
      </c>
      <c r="D447" s="328">
        <v>958</v>
      </c>
      <c r="E447" s="113">
        <v>58</v>
      </c>
      <c r="F447" s="113">
        <v>9</v>
      </c>
      <c r="G447" s="329"/>
      <c r="H447" s="329"/>
      <c r="I447" s="328">
        <v>31</v>
      </c>
      <c r="J447" s="330"/>
      <c r="K447" s="331">
        <v>8</v>
      </c>
      <c r="L447" s="331"/>
      <c r="M447" s="328">
        <v>1.87</v>
      </c>
      <c r="N447" s="331"/>
      <c r="O447" s="328"/>
      <c r="P447" s="328"/>
      <c r="Q447" s="328"/>
      <c r="R447" s="332"/>
      <c r="S447" s="331">
        <v>7.1236175631120009</v>
      </c>
      <c r="T447" s="331"/>
      <c r="U447" s="328">
        <v>10.8</v>
      </c>
      <c r="V447" s="328"/>
      <c r="W447" s="328"/>
      <c r="X447" s="328"/>
      <c r="Y447" s="333">
        <v>3.3700995000000007</v>
      </c>
      <c r="Z447" s="331"/>
      <c r="AA447" s="334">
        <v>40352.112676056342</v>
      </c>
      <c r="AB447" s="331"/>
      <c r="AC447" s="333">
        <v>16.028299800000003</v>
      </c>
      <c r="AD447" s="331"/>
      <c r="AE447" s="331">
        <v>17.190000000000001</v>
      </c>
      <c r="AF447" s="331"/>
      <c r="AG447" s="328">
        <v>4.26</v>
      </c>
      <c r="AH447" s="328"/>
      <c r="AI447" s="328"/>
      <c r="AJ447" s="328"/>
      <c r="AK447" s="328"/>
      <c r="AL447" s="328"/>
      <c r="AM447" s="328"/>
      <c r="AN447" s="328"/>
      <c r="AO447" s="328">
        <v>80</v>
      </c>
      <c r="AP447" s="328"/>
      <c r="AQ447" s="335"/>
      <c r="AR447" s="335"/>
      <c r="AS447" s="328">
        <v>114</v>
      </c>
      <c r="AT447" s="328"/>
      <c r="AU447" s="328"/>
      <c r="AV447" s="328"/>
      <c r="AW447" s="328"/>
      <c r="AX447" s="328"/>
      <c r="AY447" s="328"/>
      <c r="AZ447" s="328"/>
      <c r="BA447" s="328"/>
      <c r="BB447" s="328"/>
      <c r="BC447" s="328"/>
      <c r="BD447" s="328"/>
      <c r="BE447" s="328"/>
      <c r="BF447" s="328"/>
      <c r="BG447" s="328">
        <v>2.4990999999999999</v>
      </c>
      <c r="BH447" s="328"/>
      <c r="BI447" s="328">
        <v>4.6691000000000003</v>
      </c>
      <c r="BJ447" s="328"/>
      <c r="BK447" s="328">
        <v>1.5370999999999999</v>
      </c>
      <c r="BL447" s="328"/>
      <c r="BM447" s="328">
        <v>56.79</v>
      </c>
      <c r="BN447" s="328"/>
      <c r="BO447" s="328">
        <v>20.353000000000002</v>
      </c>
      <c r="BP447" s="328"/>
      <c r="BQ447" s="328">
        <v>9.0167999999999999</v>
      </c>
      <c r="BR447" s="328"/>
      <c r="BS447" s="328">
        <v>44.444000000000003</v>
      </c>
      <c r="BT447" s="328"/>
      <c r="BU447" s="328">
        <v>20.611999999999998</v>
      </c>
      <c r="BV447" s="328"/>
      <c r="BW447" s="336">
        <v>10.050000000000001</v>
      </c>
      <c r="BX447" s="328"/>
      <c r="BY447" s="328">
        <v>6.8349999999999937</v>
      </c>
      <c r="BZ447" s="328"/>
      <c r="CA447" s="328"/>
      <c r="CB447" s="337"/>
      <c r="CC447" s="328">
        <v>9.66</v>
      </c>
      <c r="CD447" s="328"/>
      <c r="CE447" s="328"/>
      <c r="CF447" s="328"/>
      <c r="CG447" s="328"/>
      <c r="CH447" s="328"/>
      <c r="CI447" s="328"/>
      <c r="CJ447" s="328"/>
      <c r="CK447" s="328" t="s">
        <v>8377</v>
      </c>
      <c r="CL447" s="328"/>
      <c r="CM447" s="328"/>
    </row>
    <row r="448" spans="1:91">
      <c r="A448" s="154" t="s">
        <v>7708</v>
      </c>
      <c r="B448" t="s">
        <v>8287</v>
      </c>
      <c r="C448">
        <v>2</v>
      </c>
      <c r="D448">
        <v>1367</v>
      </c>
      <c r="E448" s="113">
        <v>67</v>
      </c>
      <c r="F448" s="113">
        <v>13</v>
      </c>
      <c r="I448">
        <v>27</v>
      </c>
      <c r="K448" s="320">
        <v>9</v>
      </c>
      <c r="L448" s="320"/>
      <c r="M448">
        <v>3.28</v>
      </c>
      <c r="N448" s="320"/>
      <c r="O448"/>
      <c r="P448"/>
      <c r="Q448"/>
      <c r="S448" s="320">
        <v>15.065822131559999</v>
      </c>
      <c r="T448" s="320"/>
      <c r="U448">
        <v>10.8</v>
      </c>
      <c r="V448"/>
      <c r="W448"/>
      <c r="X448"/>
      <c r="Y448" s="321">
        <v>5.8777268999999999</v>
      </c>
      <c r="Z448" s="320"/>
      <c r="AA448" s="322">
        <v>75472.154963680397</v>
      </c>
      <c r="AB448" s="320"/>
      <c r="AC448" s="321">
        <v>29.011789199999999</v>
      </c>
      <c r="AD448" s="320"/>
      <c r="AE448" s="320">
        <v>31.17</v>
      </c>
      <c r="AF448" s="320"/>
      <c r="AG448">
        <v>4.13</v>
      </c>
      <c r="AH448"/>
      <c r="AI448">
        <v>138</v>
      </c>
      <c r="AJ448"/>
      <c r="AK448"/>
      <c r="AL448"/>
      <c r="AM448"/>
      <c r="AN448"/>
      <c r="AO448">
        <v>79</v>
      </c>
      <c r="AP448"/>
      <c r="AQ448" s="323"/>
      <c r="AR448" s="323"/>
      <c r="AS448">
        <v>112</v>
      </c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>
        <v>-0.39116000000000001</v>
      </c>
      <c r="BH448"/>
      <c r="BI448">
        <v>4.9298000000000002</v>
      </c>
      <c r="BJ448"/>
      <c r="BK448">
        <v>1.3604000000000001</v>
      </c>
      <c r="BL448"/>
      <c r="BM448">
        <v>63.314</v>
      </c>
      <c r="BN448"/>
      <c r="BO448">
        <v>22.096</v>
      </c>
      <c r="BP448"/>
      <c r="BQ448">
        <v>9.1013999999999999</v>
      </c>
      <c r="BR448"/>
      <c r="BS448">
        <v>51.93</v>
      </c>
      <c r="BT448"/>
      <c r="BU448">
        <v>16.356000000000002</v>
      </c>
      <c r="BV448"/>
      <c r="BW448" s="325">
        <v>9.85</v>
      </c>
      <c r="BX448"/>
      <c r="BY448">
        <v>6.222999999999999</v>
      </c>
      <c r="BZ448"/>
      <c r="CA448"/>
      <c r="CC448">
        <v>6.6</v>
      </c>
      <c r="CD448"/>
      <c r="CE448"/>
      <c r="CF448"/>
      <c r="CG448"/>
      <c r="CH448"/>
      <c r="CI448"/>
      <c r="CJ448"/>
      <c r="CK448"/>
      <c r="CL448"/>
      <c r="CM448"/>
    </row>
    <row r="449" spans="1:91">
      <c r="A449" s="154" t="s">
        <v>7708</v>
      </c>
      <c r="B449" t="s">
        <v>8289</v>
      </c>
      <c r="C449">
        <v>1</v>
      </c>
      <c r="D449">
        <v>1412</v>
      </c>
      <c r="E449" s="113">
        <v>12</v>
      </c>
      <c r="F449" s="113">
        <v>14</v>
      </c>
      <c r="I449">
        <v>25</v>
      </c>
      <c r="K449" s="320">
        <v>9</v>
      </c>
      <c r="L449" s="320"/>
      <c r="M449">
        <v>3.64</v>
      </c>
      <c r="N449" s="320"/>
      <c r="O449"/>
      <c r="P449"/>
      <c r="Q449"/>
      <c r="S449" s="320">
        <v>15.494446605720004</v>
      </c>
      <c r="T449" s="320"/>
      <c r="U449">
        <v>10.8</v>
      </c>
      <c r="V449"/>
      <c r="W449"/>
      <c r="X449"/>
      <c r="Y449" s="321">
        <v>6.3740591000000002</v>
      </c>
      <c r="Z449" s="320"/>
      <c r="AA449" s="322">
        <v>86592.03980099503</v>
      </c>
      <c r="AB449" s="320"/>
      <c r="AC449" s="321">
        <v>32.524027300000007</v>
      </c>
      <c r="AD449" s="320"/>
      <c r="AE449" s="320">
        <v>34.81</v>
      </c>
      <c r="AF449" s="320"/>
      <c r="AG449">
        <v>4.0199999999999996</v>
      </c>
      <c r="AH449"/>
      <c r="AI449">
        <v>138</v>
      </c>
      <c r="AJ449"/>
      <c r="AK449"/>
      <c r="AL449"/>
      <c r="AM449"/>
      <c r="AN449"/>
      <c r="AO449">
        <v>81</v>
      </c>
      <c r="AP449"/>
      <c r="AQ449" s="323"/>
      <c r="AR449" s="323"/>
      <c r="AS449">
        <v>112</v>
      </c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>
        <v>-0.16854</v>
      </c>
      <c r="BH449"/>
      <c r="BI449">
        <v>4.4816000000000003</v>
      </c>
      <c r="BJ449"/>
      <c r="BK449">
        <v>1.4865999999999999</v>
      </c>
      <c r="BL449"/>
      <c r="BM449">
        <v>59.12</v>
      </c>
      <c r="BN449"/>
      <c r="BO449">
        <v>22.683</v>
      </c>
      <c r="BP449"/>
      <c r="BQ449">
        <v>8.8777000000000008</v>
      </c>
      <c r="BR449"/>
      <c r="BS449">
        <v>47.64</v>
      </c>
      <c r="BT449"/>
      <c r="BU449">
        <v>19.516999999999999</v>
      </c>
      <c r="BV449"/>
      <c r="BW449" s="325">
        <v>6.98</v>
      </c>
      <c r="BX449"/>
      <c r="BY449">
        <v>6.2939999999999969</v>
      </c>
      <c r="BZ449"/>
      <c r="CA449"/>
      <c r="CC449">
        <v>6.02</v>
      </c>
      <c r="CD449"/>
      <c r="CE449"/>
      <c r="CF449"/>
      <c r="CG449"/>
      <c r="CH449"/>
      <c r="CI449"/>
      <c r="CJ449"/>
      <c r="CK449"/>
      <c r="CL449"/>
      <c r="CM449"/>
    </row>
    <row r="450" spans="1:91">
      <c r="A450" s="154" t="s">
        <v>7709</v>
      </c>
      <c r="B450" t="s">
        <v>8287</v>
      </c>
      <c r="C450">
        <v>1</v>
      </c>
      <c r="D450">
        <v>606</v>
      </c>
      <c r="E450" s="113">
        <v>6</v>
      </c>
      <c r="F450" s="113">
        <v>6</v>
      </c>
      <c r="I450">
        <v>24.5</v>
      </c>
      <c r="K450" s="320">
        <v>9</v>
      </c>
      <c r="L450" s="320"/>
      <c r="M450">
        <v>3.9</v>
      </c>
      <c r="N450" s="320"/>
      <c r="O450"/>
      <c r="P450"/>
      <c r="Q450"/>
      <c r="S450" s="320">
        <v>17.506671859247998</v>
      </c>
      <c r="T450" s="320"/>
      <c r="U450">
        <v>10.8</v>
      </c>
      <c r="V450"/>
      <c r="W450"/>
      <c r="X450"/>
      <c r="Y450" s="321">
        <v>6.5056732000000004</v>
      </c>
      <c r="Z450" s="320"/>
      <c r="AA450" s="322">
        <v>91612.903225806454</v>
      </c>
      <c r="AB450" s="320"/>
      <c r="AC450" s="321">
        <v>34.585179199999999</v>
      </c>
      <c r="AD450" s="320"/>
      <c r="AE450" s="320">
        <v>36.92</v>
      </c>
      <c r="AF450" s="320"/>
      <c r="AG450">
        <v>4.03</v>
      </c>
      <c r="AH450"/>
      <c r="AI450">
        <v>130</v>
      </c>
      <c r="AJ450"/>
      <c r="AK450"/>
      <c r="AL450"/>
      <c r="AM450"/>
      <c r="AN450"/>
      <c r="AO450">
        <v>72</v>
      </c>
      <c r="AP450"/>
      <c r="AQ450" s="323"/>
      <c r="AR450" s="323"/>
      <c r="AS450">
        <v>112</v>
      </c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>
        <v>0.84241999999999995</v>
      </c>
      <c r="BH450"/>
      <c r="BI450">
        <v>4.4581</v>
      </c>
      <c r="BJ450"/>
      <c r="BK450">
        <v>1.4247000000000001</v>
      </c>
      <c r="BL450"/>
      <c r="BM450">
        <v>62.811999999999998</v>
      </c>
      <c r="BN450"/>
      <c r="BO450">
        <v>20.309999999999999</v>
      </c>
      <c r="BP450"/>
      <c r="BQ450">
        <v>10.47</v>
      </c>
      <c r="BR450"/>
      <c r="BS450">
        <v>50.619</v>
      </c>
      <c r="BT450"/>
      <c r="BU450">
        <v>19.094999999999999</v>
      </c>
      <c r="BV450"/>
      <c r="BW450" s="325">
        <v>10.93</v>
      </c>
      <c r="BX450"/>
      <c r="BY450">
        <v>6.6670000000000016</v>
      </c>
      <c r="BZ450"/>
      <c r="CA450"/>
      <c r="CC450">
        <v>6.97</v>
      </c>
      <c r="CD450"/>
      <c r="CE450"/>
      <c r="CF450"/>
      <c r="CG450"/>
      <c r="CH450"/>
      <c r="CI450"/>
      <c r="CJ450"/>
      <c r="CK450"/>
      <c r="CL450"/>
      <c r="CM450"/>
    </row>
    <row r="451" spans="1:91" s="338" customFormat="1">
      <c r="A451" s="327" t="s">
        <v>7709</v>
      </c>
      <c r="B451" s="328" t="s">
        <v>8289</v>
      </c>
      <c r="C451" s="328">
        <v>2</v>
      </c>
      <c r="D451" s="328">
        <v>950</v>
      </c>
      <c r="E451" s="113">
        <v>50</v>
      </c>
      <c r="F451" s="113">
        <v>9</v>
      </c>
      <c r="G451" s="329"/>
      <c r="H451" s="329"/>
      <c r="I451" s="328">
        <v>33.5</v>
      </c>
      <c r="J451" s="330"/>
      <c r="K451" s="331">
        <v>7</v>
      </c>
      <c r="L451" s="331"/>
      <c r="M451" s="328">
        <v>2.29</v>
      </c>
      <c r="N451" s="331"/>
      <c r="O451" s="328"/>
      <c r="P451" s="328"/>
      <c r="Q451" s="328"/>
      <c r="R451" s="332"/>
      <c r="S451" s="331">
        <v>9.3756963384480017</v>
      </c>
      <c r="T451" s="331"/>
      <c r="U451" s="328">
        <v>10.8</v>
      </c>
      <c r="V451" s="328"/>
      <c r="W451" s="328"/>
      <c r="X451" s="328"/>
      <c r="Y451" s="333">
        <v>4.2650475999999999</v>
      </c>
      <c r="Z451" s="331"/>
      <c r="AA451" s="334">
        <v>55138.539042821161</v>
      </c>
      <c r="AB451" s="331"/>
      <c r="AC451" s="333">
        <v>20.4557672</v>
      </c>
      <c r="AD451" s="331"/>
      <c r="AE451" s="331">
        <v>21.89</v>
      </c>
      <c r="AF451" s="331"/>
      <c r="AG451" s="328">
        <v>3.97</v>
      </c>
      <c r="AH451" s="328"/>
      <c r="AI451" s="328"/>
      <c r="AJ451" s="328"/>
      <c r="AK451" s="328"/>
      <c r="AL451" s="328"/>
      <c r="AM451" s="328"/>
      <c r="AN451" s="328"/>
      <c r="AO451" s="328">
        <v>77</v>
      </c>
      <c r="AP451" s="328"/>
      <c r="AQ451" s="335"/>
      <c r="AR451" s="335"/>
      <c r="AS451" s="328">
        <v>114</v>
      </c>
      <c r="AT451" s="328"/>
      <c r="AU451" s="328"/>
      <c r="AV451" s="328"/>
      <c r="AW451" s="328"/>
      <c r="AX451" s="328"/>
      <c r="AY451" s="328"/>
      <c r="AZ451" s="328"/>
      <c r="BA451" s="328"/>
      <c r="BB451" s="328"/>
      <c r="BC451" s="328"/>
      <c r="BD451" s="328"/>
      <c r="BE451" s="328"/>
      <c r="BF451" s="328"/>
      <c r="BG451" s="328">
        <v>-6.3418000000000001</v>
      </c>
      <c r="BH451" s="328"/>
      <c r="BI451" s="328">
        <v>4.6264000000000003</v>
      </c>
      <c r="BJ451" s="328"/>
      <c r="BK451" s="328">
        <v>1.6454</v>
      </c>
      <c r="BL451" s="328"/>
      <c r="BM451" s="328">
        <v>64.620999999999995</v>
      </c>
      <c r="BN451" s="328"/>
      <c r="BO451" s="328">
        <v>20.184999999999999</v>
      </c>
      <c r="BP451" s="328"/>
      <c r="BQ451" s="328">
        <v>10.446</v>
      </c>
      <c r="BR451" s="328"/>
      <c r="BS451" s="328">
        <v>45.834000000000003</v>
      </c>
      <c r="BT451" s="328"/>
      <c r="BU451" s="328">
        <v>21.015999999999998</v>
      </c>
      <c r="BV451" s="328"/>
      <c r="BW451" s="336">
        <v>1.96</v>
      </c>
      <c r="BX451" s="328"/>
      <c r="BY451" s="328">
        <v>6.9410000000000025</v>
      </c>
      <c r="BZ451" s="328"/>
      <c r="CA451" s="328"/>
      <c r="CB451" s="337"/>
      <c r="CC451" s="328">
        <v>6.05</v>
      </c>
      <c r="CD451" s="328"/>
      <c r="CE451" s="328"/>
      <c r="CF451" s="328"/>
      <c r="CG451" s="328"/>
      <c r="CH451" s="328"/>
      <c r="CI451" s="328"/>
      <c r="CJ451" s="328"/>
      <c r="CK451" s="328" t="s">
        <v>8377</v>
      </c>
      <c r="CL451" s="328"/>
      <c r="CM451" s="328"/>
    </row>
    <row r="452" spans="1:91" s="338" customFormat="1">
      <c r="A452" s="154" t="s">
        <v>7709</v>
      </c>
      <c r="B452" t="s">
        <v>8289</v>
      </c>
      <c r="C452">
        <v>1</v>
      </c>
      <c r="D452">
        <v>1315</v>
      </c>
      <c r="E452" s="113">
        <v>15</v>
      </c>
      <c r="F452" s="113">
        <v>13</v>
      </c>
      <c r="G452" s="113"/>
      <c r="H452" s="113"/>
      <c r="I452">
        <v>26.499999999999996</v>
      </c>
      <c r="J452" s="112"/>
      <c r="K452" s="320">
        <v>9</v>
      </c>
      <c r="L452" s="320"/>
      <c r="M452">
        <v>4.0999999999999996</v>
      </c>
      <c r="N452" s="320"/>
      <c r="O452"/>
      <c r="P452"/>
      <c r="Q452"/>
      <c r="R452" s="153"/>
      <c r="S452" s="320">
        <v>17.004556259568002</v>
      </c>
      <c r="T452" s="320"/>
      <c r="U452">
        <v>10.8</v>
      </c>
      <c r="V452"/>
      <c r="W452"/>
      <c r="X452"/>
      <c r="Y452" s="321">
        <v>7.1053200000000007</v>
      </c>
      <c r="Z452" s="320"/>
      <c r="AA452" s="322">
        <v>105940.0544959128</v>
      </c>
      <c r="AB452" s="320"/>
      <c r="AC452" s="321">
        <v>36.394401600000002</v>
      </c>
      <c r="AD452" s="320"/>
      <c r="AE452" s="320">
        <v>38.880000000000003</v>
      </c>
      <c r="AF452" s="320"/>
      <c r="AG452">
        <v>3.67</v>
      </c>
      <c r="AH452"/>
      <c r="AI452">
        <v>120</v>
      </c>
      <c r="AJ452"/>
      <c r="AK452"/>
      <c r="AL452"/>
      <c r="AM452"/>
      <c r="AN452"/>
      <c r="AO452">
        <v>72</v>
      </c>
      <c r="AP452"/>
      <c r="AQ452" s="323"/>
      <c r="AR452" s="323"/>
      <c r="AS452">
        <v>112</v>
      </c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>
        <v>-7.2480000000000002</v>
      </c>
      <c r="BH452"/>
      <c r="BI452">
        <v>4.2178000000000004</v>
      </c>
      <c r="BJ452"/>
      <c r="BK452">
        <v>1.5092000000000001</v>
      </c>
      <c r="BL452"/>
      <c r="BM452">
        <v>65.466999999999999</v>
      </c>
      <c r="BN452"/>
      <c r="BO452">
        <v>20.186</v>
      </c>
      <c r="BP452"/>
      <c r="BQ452">
        <v>11.073</v>
      </c>
      <c r="BR452"/>
      <c r="BS452">
        <v>46.722999999999999</v>
      </c>
      <c r="BT452"/>
      <c r="BU452">
        <v>21.885999999999999</v>
      </c>
      <c r="BV452"/>
      <c r="BW452" s="325">
        <v>10.59</v>
      </c>
      <c r="BX452"/>
      <c r="BY452">
        <v>6.6730000000000018</v>
      </c>
      <c r="BZ452"/>
      <c r="CA452"/>
      <c r="CB452" s="136"/>
      <c r="CC452">
        <v>6.81</v>
      </c>
      <c r="CD452"/>
      <c r="CE452"/>
      <c r="CF452"/>
      <c r="CG452"/>
      <c r="CH452"/>
      <c r="CI452"/>
      <c r="CJ452"/>
      <c r="CK452"/>
      <c r="CL452"/>
      <c r="CM452"/>
    </row>
    <row r="453" spans="1:91" s="338" customFormat="1">
      <c r="A453" s="154" t="s">
        <v>7709</v>
      </c>
      <c r="B453" t="s">
        <v>8287</v>
      </c>
      <c r="C453">
        <v>2</v>
      </c>
      <c r="D453">
        <v>1665</v>
      </c>
      <c r="E453" s="113">
        <v>65</v>
      </c>
      <c r="F453" s="113">
        <v>16</v>
      </c>
      <c r="G453" s="113"/>
      <c r="H453" s="113"/>
      <c r="I453">
        <v>29.5</v>
      </c>
      <c r="J453" s="112"/>
      <c r="K453" s="320">
        <v>8</v>
      </c>
      <c r="L453" s="320"/>
      <c r="M453">
        <v>3.56</v>
      </c>
      <c r="N453" s="320"/>
      <c r="O453"/>
      <c r="P453"/>
      <c r="Q453"/>
      <c r="R453" s="153"/>
      <c r="S453" s="320">
        <v>16.578904925996</v>
      </c>
      <c r="T453" s="320"/>
      <c r="U453">
        <v>10.8</v>
      </c>
      <c r="V453"/>
      <c r="W453"/>
      <c r="X453"/>
      <c r="Y453" s="321">
        <v>6.1498699999999999</v>
      </c>
      <c r="Z453" s="320"/>
      <c r="AA453" s="322">
        <v>84321.608040201012</v>
      </c>
      <c r="AB453" s="320"/>
      <c r="AC453" s="321">
        <v>31.549420400000002</v>
      </c>
      <c r="AD453" s="320"/>
      <c r="AE453" s="320">
        <v>33.56</v>
      </c>
      <c r="AF453" s="320"/>
      <c r="AG453">
        <v>3.98</v>
      </c>
      <c r="AH453"/>
      <c r="AI453">
        <v>118</v>
      </c>
      <c r="AJ453"/>
      <c r="AK453"/>
      <c r="AL453"/>
      <c r="AM453"/>
      <c r="AN453"/>
      <c r="AO453">
        <v>72</v>
      </c>
      <c r="AP453"/>
      <c r="AQ453" s="323"/>
      <c r="AR453" s="323"/>
      <c r="AS453">
        <v>112</v>
      </c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>
        <v>-2.5998999999999999</v>
      </c>
      <c r="BH453"/>
      <c r="BI453">
        <v>4.4679000000000002</v>
      </c>
      <c r="BJ453"/>
      <c r="BK453">
        <v>1.57</v>
      </c>
      <c r="BL453"/>
      <c r="BM453">
        <v>66.2</v>
      </c>
      <c r="BN453"/>
      <c r="BO453">
        <v>20.062000000000001</v>
      </c>
      <c r="BP453"/>
      <c r="BQ453">
        <v>9.4305000000000003</v>
      </c>
      <c r="BR453"/>
      <c r="BS453">
        <v>52.548999999999999</v>
      </c>
      <c r="BT453"/>
      <c r="BU453">
        <v>16.920999999999999</v>
      </c>
      <c r="BV453"/>
      <c r="BW453" s="325">
        <v>2.7</v>
      </c>
      <c r="BX453"/>
      <c r="BY453">
        <v>6.6200000000000045</v>
      </c>
      <c r="BZ453"/>
      <c r="CA453"/>
      <c r="CB453" s="136"/>
      <c r="CC453">
        <v>7.36</v>
      </c>
      <c r="CD453"/>
      <c r="CE453"/>
      <c r="CF453"/>
      <c r="CG453"/>
      <c r="CH453"/>
      <c r="CI453"/>
      <c r="CJ453"/>
      <c r="CK453"/>
      <c r="CL453"/>
      <c r="CM453"/>
    </row>
    <row r="454" spans="1:91">
      <c r="A454" s="154" t="s">
        <v>7710</v>
      </c>
      <c r="B454" t="s">
        <v>8287</v>
      </c>
      <c r="C454">
        <v>1</v>
      </c>
      <c r="D454">
        <v>515</v>
      </c>
      <c r="E454" s="113">
        <v>15</v>
      </c>
      <c r="F454" s="113">
        <v>5</v>
      </c>
      <c r="I454">
        <v>37.999999999999993</v>
      </c>
      <c r="K454" s="320">
        <v>8</v>
      </c>
      <c r="L454" s="320"/>
      <c r="M454">
        <v>3.29</v>
      </c>
      <c r="N454" s="320"/>
      <c r="O454"/>
      <c r="P454"/>
      <c r="Q454"/>
      <c r="S454" s="320">
        <v>14.432453585847002</v>
      </c>
      <c r="T454" s="320"/>
      <c r="U454">
        <v>10.8</v>
      </c>
      <c r="V454"/>
      <c r="W454"/>
      <c r="X454"/>
      <c r="Y454" s="321">
        <v>5.2621172999999999</v>
      </c>
      <c r="Z454" s="320"/>
      <c r="AA454" s="322">
        <v>73387.850467289711</v>
      </c>
      <c r="AB454" s="320"/>
      <c r="AC454" s="321">
        <v>29.437766100000001</v>
      </c>
      <c r="AD454" s="320"/>
      <c r="AE454" s="320">
        <v>31.41</v>
      </c>
      <c r="AF454" s="320"/>
      <c r="AG454">
        <v>4.28</v>
      </c>
      <c r="AH454"/>
      <c r="AI454">
        <v>133</v>
      </c>
      <c r="AJ454"/>
      <c r="AK454"/>
      <c r="AL454"/>
      <c r="AM454"/>
      <c r="AN454"/>
      <c r="AO454">
        <v>78</v>
      </c>
      <c r="AP454"/>
      <c r="AQ454" s="323"/>
      <c r="AR454" s="323"/>
      <c r="AS454">
        <v>112</v>
      </c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>
        <v>5.609</v>
      </c>
      <c r="BH454"/>
      <c r="BI454">
        <v>4.5397999999999996</v>
      </c>
      <c r="BJ454"/>
      <c r="BK454">
        <v>1.4481999999999999</v>
      </c>
      <c r="BL454"/>
      <c r="BM454">
        <v>58.866999999999997</v>
      </c>
      <c r="BN454"/>
      <c r="BO454">
        <v>20.65</v>
      </c>
      <c r="BP454"/>
      <c r="BQ454">
        <v>9.7006999999999994</v>
      </c>
      <c r="BR454"/>
      <c r="BS454">
        <v>49.027000000000001</v>
      </c>
      <c r="BT454"/>
      <c r="BU454">
        <v>17.353000000000002</v>
      </c>
      <c r="BV454"/>
      <c r="BW454" s="325">
        <v>11.79</v>
      </c>
      <c r="BX454"/>
      <c r="BY454">
        <v>6.5259999999999962</v>
      </c>
      <c r="BZ454"/>
      <c r="CA454"/>
      <c r="CC454">
        <v>6.16</v>
      </c>
      <c r="CD454"/>
      <c r="CE454"/>
      <c r="CF454"/>
      <c r="CG454"/>
      <c r="CH454"/>
      <c r="CI454"/>
      <c r="CJ454"/>
      <c r="CK454"/>
      <c r="CL454"/>
      <c r="CM454"/>
    </row>
    <row r="455" spans="1:91">
      <c r="A455" s="154" t="s">
        <v>7710</v>
      </c>
      <c r="B455" t="s">
        <v>8289</v>
      </c>
      <c r="C455">
        <v>2</v>
      </c>
      <c r="D455">
        <v>560</v>
      </c>
      <c r="E455" s="113">
        <v>60</v>
      </c>
      <c r="F455" s="113">
        <v>5</v>
      </c>
      <c r="I455">
        <v>40.499999999999993</v>
      </c>
      <c r="K455" s="320">
        <v>7</v>
      </c>
      <c r="L455" s="320"/>
      <c r="M455">
        <v>3.49</v>
      </c>
      <c r="N455" s="320"/>
      <c r="O455"/>
      <c r="P455"/>
      <c r="Q455"/>
      <c r="S455" s="320">
        <v>13.1386115718</v>
      </c>
      <c r="T455" s="320"/>
      <c r="U455">
        <v>10.8</v>
      </c>
      <c r="V455"/>
      <c r="W455"/>
      <c r="X455"/>
      <c r="Y455" s="321">
        <v>6.4295304</v>
      </c>
      <c r="Z455" s="320"/>
      <c r="AA455" s="322">
        <v>71733.333333333343</v>
      </c>
      <c r="AB455" s="320"/>
      <c r="AC455" s="321">
        <v>30.35934</v>
      </c>
      <c r="AD455" s="320"/>
      <c r="AE455" s="320">
        <v>32.28</v>
      </c>
      <c r="AF455" s="320"/>
      <c r="AG455">
        <v>4.5</v>
      </c>
      <c r="AH455"/>
      <c r="AI455">
        <v>120</v>
      </c>
      <c r="AJ455"/>
      <c r="AK455"/>
      <c r="AL455"/>
      <c r="AM455"/>
      <c r="AN455"/>
      <c r="AO455">
        <v>78</v>
      </c>
      <c r="AP455"/>
      <c r="AQ455" s="323"/>
      <c r="AR455" s="323"/>
      <c r="AS455">
        <v>112</v>
      </c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>
        <v>-5.8632999999999997</v>
      </c>
      <c r="BH455"/>
      <c r="BI455">
        <v>5.0557999999999996</v>
      </c>
      <c r="BJ455"/>
      <c r="BK455">
        <v>1.7027000000000001</v>
      </c>
      <c r="BL455"/>
      <c r="BM455">
        <v>65.212000000000003</v>
      </c>
      <c r="BN455"/>
      <c r="BO455">
        <v>20.808</v>
      </c>
      <c r="BP455"/>
      <c r="BQ455">
        <v>9.6052</v>
      </c>
      <c r="BR455"/>
      <c r="BS455">
        <v>43.277000000000001</v>
      </c>
      <c r="BT455"/>
      <c r="BU455">
        <v>19.303000000000001</v>
      </c>
      <c r="BV455"/>
      <c r="BW455" t="s">
        <v>8361</v>
      </c>
      <c r="BX455" s="324"/>
      <c r="BY455">
        <v>7.2650000000000006</v>
      </c>
      <c r="BZ455"/>
      <c r="CA455"/>
      <c r="CC455">
        <v>9.1</v>
      </c>
      <c r="CD455"/>
      <c r="CE455"/>
      <c r="CF455"/>
      <c r="CG455"/>
      <c r="CH455"/>
      <c r="CI455"/>
      <c r="CJ455"/>
      <c r="CK455"/>
      <c r="CL455"/>
      <c r="CM455"/>
    </row>
    <row r="456" spans="1:91">
      <c r="A456" s="154" t="s">
        <v>7710</v>
      </c>
      <c r="B456" t="s">
        <v>8287</v>
      </c>
      <c r="C456">
        <v>2</v>
      </c>
      <c r="D456">
        <v>1345</v>
      </c>
      <c r="E456" s="113">
        <v>45</v>
      </c>
      <c r="F456" s="113">
        <v>13</v>
      </c>
      <c r="I456">
        <v>40</v>
      </c>
      <c r="K456" s="320">
        <v>9</v>
      </c>
      <c r="L456" s="320"/>
      <c r="M456">
        <v>2.79</v>
      </c>
      <c r="N456" s="320"/>
      <c r="O456"/>
      <c r="P456"/>
      <c r="Q456"/>
      <c r="S456" s="320">
        <v>12.759804799169999</v>
      </c>
      <c r="T456" s="320"/>
      <c r="U456">
        <v>10.8</v>
      </c>
      <c r="V456"/>
      <c r="W456"/>
      <c r="X456"/>
      <c r="Y456" s="321">
        <v>4.4674176999999995</v>
      </c>
      <c r="Z456" s="320"/>
      <c r="AA456" s="322">
        <v>68005.050505050502</v>
      </c>
      <c r="AB456" s="320"/>
      <c r="AC456" s="321">
        <v>25.2239845</v>
      </c>
      <c r="AD456" s="320"/>
      <c r="AE456" s="320">
        <v>26.93</v>
      </c>
      <c r="AF456" s="320"/>
      <c r="AG456">
        <v>3.96</v>
      </c>
      <c r="AH456"/>
      <c r="AI456">
        <v>125</v>
      </c>
      <c r="AJ456"/>
      <c r="AK456"/>
      <c r="AL456"/>
      <c r="AM456"/>
      <c r="AN456"/>
      <c r="AO456">
        <v>77</v>
      </c>
      <c r="AP456"/>
      <c r="AQ456" s="323"/>
      <c r="AR456" s="323"/>
      <c r="AS456">
        <v>112</v>
      </c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>
        <v>-1.8917999999999999</v>
      </c>
      <c r="BH456"/>
      <c r="BI456">
        <v>4.8402000000000003</v>
      </c>
      <c r="BJ456"/>
      <c r="BK456">
        <v>1.5973999999999999</v>
      </c>
      <c r="BL456"/>
      <c r="BM456">
        <v>71.980999999999995</v>
      </c>
      <c r="BN456"/>
      <c r="BO456">
        <v>21.021000000000001</v>
      </c>
      <c r="BP456"/>
      <c r="BQ456">
        <v>8.7346000000000004</v>
      </c>
      <c r="BR456"/>
      <c r="BS456">
        <v>50.585999999999999</v>
      </c>
      <c r="BT456"/>
      <c r="BU456">
        <v>15.885999999999999</v>
      </c>
      <c r="BV456"/>
      <c r="BW456" s="325">
        <v>6.06</v>
      </c>
      <c r="BX456"/>
      <c r="BY456">
        <v>6.5799999999999983</v>
      </c>
      <c r="BZ456"/>
      <c r="CA456"/>
      <c r="CC456">
        <v>5.12</v>
      </c>
      <c r="CD456"/>
      <c r="CE456"/>
      <c r="CF456"/>
      <c r="CG456"/>
      <c r="CH456"/>
      <c r="CI456"/>
      <c r="CJ456"/>
      <c r="CK456"/>
      <c r="CL456"/>
      <c r="CM456"/>
    </row>
    <row r="457" spans="1:91">
      <c r="A457" s="154" t="s">
        <v>7710</v>
      </c>
      <c r="B457" t="s">
        <v>8289</v>
      </c>
      <c r="C457">
        <v>1</v>
      </c>
      <c r="D457">
        <v>1325</v>
      </c>
      <c r="E457" s="113">
        <v>25</v>
      </c>
      <c r="F457" s="113">
        <v>13</v>
      </c>
      <c r="I457">
        <v>35.499999999999993</v>
      </c>
      <c r="K457" s="320">
        <v>9</v>
      </c>
      <c r="L457" s="320"/>
      <c r="M457">
        <v>4.1100000000000003</v>
      </c>
      <c r="N457" s="320"/>
      <c r="O457"/>
      <c r="P457"/>
      <c r="Q457"/>
      <c r="S457" s="320">
        <v>16.104663055572001</v>
      </c>
      <c r="T457" s="320"/>
      <c r="U457">
        <v>10.8</v>
      </c>
      <c r="V457"/>
      <c r="W457"/>
      <c r="X457"/>
      <c r="Y457" s="321">
        <v>7.2466002000000005</v>
      </c>
      <c r="Z457" s="320"/>
      <c r="AA457" s="322">
        <v>86413.79310344829</v>
      </c>
      <c r="AB457" s="320"/>
      <c r="AC457" s="321">
        <v>35.133869400000002</v>
      </c>
      <c r="AD457" s="320"/>
      <c r="AE457" s="320">
        <v>37.590000000000003</v>
      </c>
      <c r="AF457" s="320"/>
      <c r="AG457">
        <v>4.3499999999999996</v>
      </c>
      <c r="AH457"/>
      <c r="AI457">
        <v>118</v>
      </c>
      <c r="AJ457"/>
      <c r="AK457"/>
      <c r="AL457"/>
      <c r="AM457"/>
      <c r="AN457"/>
      <c r="AO457">
        <v>77</v>
      </c>
      <c r="AP457"/>
      <c r="AQ457" s="323"/>
      <c r="AR457" s="323"/>
      <c r="AS457">
        <v>112</v>
      </c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>
        <v>-2.7745000000000002</v>
      </c>
      <c r="BH457"/>
      <c r="BI457">
        <v>4.7138999999999998</v>
      </c>
      <c r="BJ457"/>
      <c r="BK457">
        <v>1.5676000000000001</v>
      </c>
      <c r="BL457"/>
      <c r="BM457">
        <v>64.936999999999998</v>
      </c>
      <c r="BN457"/>
      <c r="BO457">
        <v>22.106000000000002</v>
      </c>
      <c r="BP457"/>
      <c r="BQ457">
        <v>9.9700000000000006</v>
      </c>
      <c r="BR457"/>
      <c r="BS457">
        <v>45.838000000000001</v>
      </c>
      <c r="BT457"/>
      <c r="BU457">
        <v>19.466000000000001</v>
      </c>
      <c r="BV457"/>
      <c r="BW457" s="325">
        <v>7.86</v>
      </c>
      <c r="BX457"/>
      <c r="BY457">
        <v>6.9369999999999976</v>
      </c>
      <c r="BZ457"/>
      <c r="CA457"/>
      <c r="CC457">
        <v>10.119999999999999</v>
      </c>
      <c r="CD457"/>
      <c r="CE457"/>
      <c r="CF457"/>
      <c r="CG457"/>
      <c r="CH457"/>
      <c r="CI457"/>
      <c r="CJ457"/>
      <c r="CK457"/>
      <c r="CL457"/>
      <c r="CM457"/>
    </row>
    <row r="458" spans="1:91">
      <c r="A458" s="327" t="s">
        <v>7711</v>
      </c>
      <c r="B458" s="328" t="s">
        <v>8289</v>
      </c>
      <c r="C458" s="328">
        <v>2</v>
      </c>
      <c r="D458" s="328">
        <v>456</v>
      </c>
      <c r="E458" s="113">
        <v>56</v>
      </c>
      <c r="F458" s="113">
        <v>4</v>
      </c>
      <c r="G458" s="329"/>
      <c r="H458" s="329"/>
      <c r="I458" s="328">
        <v>12.5</v>
      </c>
      <c r="J458" s="330"/>
      <c r="K458" s="331">
        <v>7</v>
      </c>
      <c r="L458" s="331"/>
      <c r="M458" s="328">
        <v>2.2400000000000002</v>
      </c>
      <c r="N458" s="331"/>
      <c r="O458" s="328"/>
      <c r="P458" s="328"/>
      <c r="Q458" s="328"/>
      <c r="R458" s="332"/>
      <c r="S458" s="331">
        <v>8.4592555282759978</v>
      </c>
      <c r="T458" s="331"/>
      <c r="U458" s="328">
        <v>10.8</v>
      </c>
      <c r="V458" s="328"/>
      <c r="W458" s="328"/>
      <c r="X458" s="328"/>
      <c r="Y458" s="333">
        <v>4.5354644999999998</v>
      </c>
      <c r="Z458" s="331"/>
      <c r="AA458" s="334">
        <v>47861.915367483292</v>
      </c>
      <c r="AB458" s="331"/>
      <c r="AC458" s="333">
        <v>19.900384699999996</v>
      </c>
      <c r="AD458" s="331"/>
      <c r="AE458" s="331">
        <v>21.49</v>
      </c>
      <c r="AF458" s="331"/>
      <c r="AG458" s="328">
        <v>4.49</v>
      </c>
      <c r="AH458" s="328"/>
      <c r="AI458" s="328">
        <v>113</v>
      </c>
      <c r="AJ458" s="328"/>
      <c r="AK458" s="328"/>
      <c r="AL458" s="328"/>
      <c r="AM458" s="328"/>
      <c r="AN458" s="328"/>
      <c r="AO458" s="328">
        <v>80</v>
      </c>
      <c r="AP458" s="328"/>
      <c r="AQ458" s="335"/>
      <c r="AR458" s="335"/>
      <c r="AS458" s="328">
        <v>118</v>
      </c>
      <c r="AT458" s="328"/>
      <c r="AU458" s="328"/>
      <c r="AV458" s="328"/>
      <c r="AW458" s="328"/>
      <c r="AX458" s="328"/>
      <c r="AY458" s="328"/>
      <c r="AZ458" s="328"/>
      <c r="BA458" s="328"/>
      <c r="BB458" s="328"/>
      <c r="BC458" s="328"/>
      <c r="BD458" s="328"/>
      <c r="BE458" s="328"/>
      <c r="BF458" s="328"/>
      <c r="BG458" s="328">
        <v>0.76805000000000001</v>
      </c>
      <c r="BH458" s="328"/>
      <c r="BI458" s="328">
        <v>5.4389000000000003</v>
      </c>
      <c r="BJ458" s="328"/>
      <c r="BK458" s="328">
        <v>1.6246</v>
      </c>
      <c r="BL458" s="328"/>
      <c r="BM458" s="328">
        <v>56.259</v>
      </c>
      <c r="BN458" s="328"/>
      <c r="BO458" s="328">
        <v>21.966999999999999</v>
      </c>
      <c r="BP458" s="328"/>
      <c r="BQ458" s="328">
        <v>11.055999999999999</v>
      </c>
      <c r="BR458" s="328"/>
      <c r="BS458" s="328">
        <v>42.508000000000003</v>
      </c>
      <c r="BT458" s="328"/>
      <c r="BU458" s="328">
        <v>20.718</v>
      </c>
      <c r="BV458" s="328"/>
      <c r="BW458" s="336">
        <v>6.77</v>
      </c>
      <c r="BX458" s="328"/>
      <c r="BY458" s="328">
        <v>7.2560000000000002</v>
      </c>
      <c r="BZ458" s="328"/>
      <c r="CA458" s="328"/>
      <c r="CB458" s="337"/>
      <c r="CC458" s="328">
        <v>5.72</v>
      </c>
      <c r="CD458" s="328"/>
      <c r="CE458" s="328"/>
      <c r="CF458" s="328"/>
      <c r="CG458" s="328"/>
      <c r="CH458" s="328"/>
      <c r="CI458" s="328"/>
      <c r="CJ458" s="328"/>
      <c r="CK458" s="328"/>
      <c r="CL458" s="328"/>
      <c r="CM458" s="328"/>
    </row>
    <row r="459" spans="1:91">
      <c r="A459" s="327" t="s">
        <v>7711</v>
      </c>
      <c r="B459" s="328" t="s">
        <v>8287</v>
      </c>
      <c r="C459" s="328">
        <v>1</v>
      </c>
      <c r="D459" s="328">
        <v>807</v>
      </c>
      <c r="E459" s="113">
        <v>7</v>
      </c>
      <c r="F459" s="113">
        <v>8</v>
      </c>
      <c r="G459" s="329"/>
      <c r="H459" s="329"/>
      <c r="I459" s="328">
        <v>11.999999999999998</v>
      </c>
      <c r="J459" s="330"/>
      <c r="K459" s="331">
        <v>8</v>
      </c>
      <c r="L459" s="331"/>
      <c r="M459" s="328">
        <v>1.79</v>
      </c>
      <c r="N459" s="331"/>
      <c r="O459" s="328"/>
      <c r="P459" s="328"/>
      <c r="Q459" s="328"/>
      <c r="R459" s="332"/>
      <c r="S459" s="331">
        <v>7.7905762713600009</v>
      </c>
      <c r="T459" s="331"/>
      <c r="U459" s="328">
        <v>10.8</v>
      </c>
      <c r="V459" s="328"/>
      <c r="W459" s="328"/>
      <c r="X459" s="328"/>
      <c r="Y459" s="333">
        <v>2.4169695999999998</v>
      </c>
      <c r="Z459" s="331"/>
      <c r="AA459" s="334">
        <v>43598.971722365044</v>
      </c>
      <c r="AB459" s="331"/>
      <c r="AC459" s="333">
        <v>15.849968000000001</v>
      </c>
      <c r="AD459" s="331"/>
      <c r="AE459" s="331">
        <v>16.96</v>
      </c>
      <c r="AF459" s="331"/>
      <c r="AG459" s="328">
        <v>3.89</v>
      </c>
      <c r="AH459" s="328"/>
      <c r="AI459" s="328">
        <v>115</v>
      </c>
      <c r="AJ459" s="328"/>
      <c r="AK459" s="328"/>
      <c r="AL459" s="328"/>
      <c r="AM459" s="328"/>
      <c r="AN459" s="328"/>
      <c r="AO459" s="328">
        <v>79</v>
      </c>
      <c r="AP459" s="328"/>
      <c r="AQ459" s="335"/>
      <c r="AR459" s="335"/>
      <c r="AS459" s="328">
        <v>112</v>
      </c>
      <c r="AT459" s="328"/>
      <c r="AU459" s="328"/>
      <c r="AV459" s="328"/>
      <c r="AW459" s="328"/>
      <c r="AX459" s="328"/>
      <c r="AY459" s="328"/>
      <c r="AZ459" s="328"/>
      <c r="BA459" s="328"/>
      <c r="BB459" s="328"/>
      <c r="BC459" s="328"/>
      <c r="BD459" s="328"/>
      <c r="BE459" s="328"/>
      <c r="BF459" s="328"/>
      <c r="BG459" s="328">
        <v>-0.39355000000000001</v>
      </c>
      <c r="BH459" s="328"/>
      <c r="BI459" s="328">
        <v>4.9985999999999997</v>
      </c>
      <c r="BJ459" s="328"/>
      <c r="BK459" s="328">
        <v>1.4632000000000001</v>
      </c>
      <c r="BL459" s="328"/>
      <c r="BM459" s="328">
        <v>60.551000000000002</v>
      </c>
      <c r="BN459" s="328"/>
      <c r="BO459" s="328">
        <v>21.437000000000001</v>
      </c>
      <c r="BP459" s="328"/>
      <c r="BQ459" s="328">
        <v>10.188000000000001</v>
      </c>
      <c r="BR459" s="328"/>
      <c r="BS459" s="328">
        <v>49.152000000000001</v>
      </c>
      <c r="BT459" s="328"/>
      <c r="BU459" s="328">
        <v>17.492000000000001</v>
      </c>
      <c r="BV459" s="328"/>
      <c r="BW459" s="336">
        <v>12.4</v>
      </c>
      <c r="BX459" s="328"/>
      <c r="BY459" s="328">
        <v>6.5240000000000009</v>
      </c>
      <c r="BZ459" s="328"/>
      <c r="CA459" s="328"/>
      <c r="CB459" s="337"/>
      <c r="CC459" s="328">
        <v>6.88</v>
      </c>
      <c r="CD459" s="328"/>
      <c r="CE459" s="328"/>
      <c r="CF459" s="328"/>
      <c r="CG459" s="328"/>
      <c r="CH459" s="328"/>
      <c r="CI459" s="328"/>
      <c r="CJ459" s="328"/>
      <c r="CK459" s="328" t="s">
        <v>8377</v>
      </c>
      <c r="CL459" s="328"/>
      <c r="CM459" s="328"/>
    </row>
    <row r="460" spans="1:91">
      <c r="A460" s="327" t="s">
        <v>7711</v>
      </c>
      <c r="B460" s="328" t="s">
        <v>8289</v>
      </c>
      <c r="C460" s="328">
        <v>1</v>
      </c>
      <c r="D460" s="328">
        <v>1516</v>
      </c>
      <c r="E460" s="113">
        <v>16</v>
      </c>
      <c r="F460" s="113">
        <v>15</v>
      </c>
      <c r="G460" s="329"/>
      <c r="H460" s="329"/>
      <c r="I460" s="328">
        <v>14.499999999999998</v>
      </c>
      <c r="J460" s="330"/>
      <c r="K460" s="331">
        <v>8</v>
      </c>
      <c r="L460" s="331"/>
      <c r="M460" s="328">
        <v>3.08</v>
      </c>
      <c r="N460" s="331"/>
      <c r="O460" s="328"/>
      <c r="P460" s="328"/>
      <c r="Q460" s="328"/>
      <c r="R460" s="332"/>
      <c r="S460" s="331">
        <v>12.819055994499999</v>
      </c>
      <c r="T460" s="331"/>
      <c r="U460" s="328">
        <v>10.8</v>
      </c>
      <c r="V460" s="328"/>
      <c r="W460" s="328"/>
      <c r="X460" s="328"/>
      <c r="Y460" s="333">
        <v>5.5047000000000006</v>
      </c>
      <c r="Z460" s="331"/>
      <c r="AA460" s="334">
        <v>84285.71428571429</v>
      </c>
      <c r="AB460" s="331"/>
      <c r="AC460" s="333">
        <v>27.72587</v>
      </c>
      <c r="AD460" s="331"/>
      <c r="AE460" s="331">
        <v>29.5</v>
      </c>
      <c r="AF460" s="331"/>
      <c r="AG460" s="328">
        <v>3.5</v>
      </c>
      <c r="AH460" s="328"/>
      <c r="AI460" s="328">
        <v>125</v>
      </c>
      <c r="AJ460" s="328"/>
      <c r="AK460" s="328"/>
      <c r="AL460" s="328"/>
      <c r="AM460" s="328"/>
      <c r="AN460" s="328"/>
      <c r="AO460" s="328">
        <v>79</v>
      </c>
      <c r="AP460" s="328"/>
      <c r="AQ460" s="335"/>
      <c r="AR460" s="335"/>
      <c r="AS460" s="328">
        <v>114</v>
      </c>
      <c r="AT460" s="328"/>
      <c r="AU460" s="328"/>
      <c r="AV460" s="328"/>
      <c r="AW460" s="328"/>
      <c r="AX460" s="328"/>
      <c r="AY460" s="328"/>
      <c r="AZ460" s="328"/>
      <c r="BA460" s="328"/>
      <c r="BB460" s="328"/>
      <c r="BC460" s="328"/>
      <c r="BD460" s="328"/>
      <c r="BE460" s="328"/>
      <c r="BF460" s="328"/>
      <c r="BG460" s="328">
        <v>10.462</v>
      </c>
      <c r="BH460" s="328"/>
      <c r="BI460" s="328">
        <v>5.0694999999999997</v>
      </c>
      <c r="BJ460" s="328"/>
      <c r="BK460" s="328">
        <v>1.3066</v>
      </c>
      <c r="BL460" s="328"/>
      <c r="BM460" s="328">
        <v>50.47</v>
      </c>
      <c r="BN460" s="328"/>
      <c r="BO460" s="328">
        <v>21.702000000000002</v>
      </c>
      <c r="BP460" s="328"/>
      <c r="BQ460" s="328">
        <v>10.221</v>
      </c>
      <c r="BR460" s="328"/>
      <c r="BS460" s="328">
        <v>46.234999999999999</v>
      </c>
      <c r="BT460" s="328"/>
      <c r="BU460" s="328">
        <v>19.327000000000002</v>
      </c>
      <c r="BV460" s="328"/>
      <c r="BW460" s="336">
        <v>20.95</v>
      </c>
      <c r="BX460" s="328"/>
      <c r="BY460" s="328">
        <v>6.3829999999999956</v>
      </c>
      <c r="BZ460" s="328"/>
      <c r="CA460" s="328"/>
      <c r="CB460" s="337"/>
      <c r="CC460" s="328">
        <v>5.87</v>
      </c>
      <c r="CD460" s="328"/>
      <c r="CE460" s="328"/>
      <c r="CF460" s="328"/>
      <c r="CG460" s="328"/>
      <c r="CH460" s="328"/>
      <c r="CI460" s="328"/>
      <c r="CJ460" s="328"/>
      <c r="CK460" s="328"/>
      <c r="CL460" s="328"/>
      <c r="CM460" s="328"/>
    </row>
    <row r="461" spans="1:91">
      <c r="A461" s="327" t="s">
        <v>7711</v>
      </c>
      <c r="B461" s="328" t="s">
        <v>8287</v>
      </c>
      <c r="C461" s="328">
        <v>2</v>
      </c>
      <c r="D461" s="328">
        <v>1648</v>
      </c>
      <c r="E461" s="113">
        <v>48</v>
      </c>
      <c r="F461" s="113">
        <v>16</v>
      </c>
      <c r="G461" s="329"/>
      <c r="H461" s="329"/>
      <c r="I461" s="328">
        <v>17</v>
      </c>
      <c r="J461" s="330"/>
      <c r="K461" s="331">
        <v>8</v>
      </c>
      <c r="L461" s="331"/>
      <c r="M461" s="328">
        <v>1.86</v>
      </c>
      <c r="N461" s="331"/>
      <c r="O461" s="328"/>
      <c r="P461" s="328"/>
      <c r="Q461" s="328"/>
      <c r="R461" s="332"/>
      <c r="S461" s="331">
        <v>7.9208371621800007</v>
      </c>
      <c r="T461" s="331"/>
      <c r="U461" s="328">
        <v>10.8</v>
      </c>
      <c r="V461" s="328"/>
      <c r="W461" s="328"/>
      <c r="X461" s="328"/>
      <c r="Y461" s="333">
        <v>2.700828</v>
      </c>
      <c r="Z461" s="331"/>
      <c r="AA461" s="334">
        <v>50880.681818181816</v>
      </c>
      <c r="AB461" s="331"/>
      <c r="AC461" s="333">
        <v>16.774326900000002</v>
      </c>
      <c r="AD461" s="331"/>
      <c r="AE461" s="331">
        <v>17.91</v>
      </c>
      <c r="AF461" s="331"/>
      <c r="AG461" s="328">
        <v>3.52</v>
      </c>
      <c r="AH461" s="328"/>
      <c r="AI461" s="328">
        <v>135</v>
      </c>
      <c r="AJ461" s="328"/>
      <c r="AK461" s="328"/>
      <c r="AL461" s="328"/>
      <c r="AM461" s="328"/>
      <c r="AN461" s="328"/>
      <c r="AO461" s="328">
        <v>79</v>
      </c>
      <c r="AP461" s="328"/>
      <c r="AQ461" s="335"/>
      <c r="AR461" s="335"/>
      <c r="AS461" s="328">
        <v>112</v>
      </c>
      <c r="AT461" s="328"/>
      <c r="AU461" s="328"/>
      <c r="AV461" s="328"/>
      <c r="AW461" s="328"/>
      <c r="AX461" s="328"/>
      <c r="AY461" s="328"/>
      <c r="AZ461" s="328"/>
      <c r="BA461" s="328"/>
      <c r="BB461" s="328"/>
      <c r="BC461" s="328"/>
      <c r="BD461" s="328"/>
      <c r="BE461" s="328"/>
      <c r="BF461" s="328"/>
      <c r="BG461" s="328">
        <v>-1.1275999999999999</v>
      </c>
      <c r="BH461" s="328"/>
      <c r="BI461" s="328">
        <v>4.9562999999999997</v>
      </c>
      <c r="BJ461" s="328"/>
      <c r="BK461" s="328">
        <v>1.5319</v>
      </c>
      <c r="BL461" s="328"/>
      <c r="BM461" s="328">
        <v>61.375999999999998</v>
      </c>
      <c r="BN461" s="328"/>
      <c r="BO461" s="328">
        <v>21.449000000000002</v>
      </c>
      <c r="BP461" s="328"/>
      <c r="BQ461" s="328">
        <v>10.252000000000001</v>
      </c>
      <c r="BR461" s="328"/>
      <c r="BS461" s="328">
        <v>47.22</v>
      </c>
      <c r="BT461" s="328"/>
      <c r="BU461" s="328">
        <v>17.437000000000001</v>
      </c>
      <c r="BV461" s="328"/>
      <c r="BW461" s="336">
        <v>12.16</v>
      </c>
      <c r="BX461" s="328"/>
      <c r="BY461" s="328">
        <v>6.3490000000000038</v>
      </c>
      <c r="BZ461" s="328"/>
      <c r="CA461" s="328"/>
      <c r="CB461" s="337"/>
      <c r="CC461" s="328">
        <v>5.36</v>
      </c>
      <c r="CD461" s="328"/>
      <c r="CE461" s="328"/>
      <c r="CF461" s="328"/>
      <c r="CG461" s="328"/>
      <c r="CH461" s="328"/>
      <c r="CI461" s="328"/>
      <c r="CJ461" s="328"/>
      <c r="CK461" s="328"/>
      <c r="CL461" s="328"/>
      <c r="CM461" s="328"/>
    </row>
    <row r="462" spans="1:91">
      <c r="A462" s="154" t="s">
        <v>7712</v>
      </c>
      <c r="B462" t="s">
        <v>8289</v>
      </c>
      <c r="C462">
        <v>2</v>
      </c>
      <c r="D462">
        <v>650</v>
      </c>
      <c r="E462" s="113">
        <v>50</v>
      </c>
      <c r="F462" s="113">
        <v>6</v>
      </c>
      <c r="I462">
        <v>32.999999999999993</v>
      </c>
      <c r="K462" s="320">
        <v>9</v>
      </c>
      <c r="L462" s="320"/>
      <c r="M462">
        <v>2.98</v>
      </c>
      <c r="N462" s="320"/>
      <c r="O462"/>
      <c r="P462"/>
      <c r="Q462"/>
      <c r="S462" s="320">
        <v>13.111312509594002</v>
      </c>
      <c r="T462" s="320"/>
      <c r="U462">
        <v>10.8</v>
      </c>
      <c r="V462"/>
      <c r="W462"/>
      <c r="X462"/>
      <c r="Y462" s="321">
        <v>5.3774118000000009</v>
      </c>
      <c r="Z462" s="320"/>
      <c r="AA462" s="322">
        <v>72455.696202531646</v>
      </c>
      <c r="AB462" s="320"/>
      <c r="AC462" s="321">
        <v>26.660388600000005</v>
      </c>
      <c r="AD462" s="320"/>
      <c r="AE462" s="320">
        <v>28.62</v>
      </c>
      <c r="AF462" s="320"/>
      <c r="AG462">
        <v>3.95</v>
      </c>
      <c r="AH462"/>
      <c r="AI462">
        <v>108</v>
      </c>
      <c r="AJ462"/>
      <c r="AK462"/>
      <c r="AL462"/>
      <c r="AM462"/>
      <c r="AN462"/>
      <c r="AO462">
        <v>77</v>
      </c>
      <c r="AP462"/>
      <c r="AQ462" s="323"/>
      <c r="AR462" s="323"/>
      <c r="AS462">
        <v>112</v>
      </c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>
        <v>-2.3193999999999999</v>
      </c>
      <c r="BH462"/>
      <c r="BI462">
        <v>4.5759999999999996</v>
      </c>
      <c r="BJ462"/>
      <c r="BK462">
        <v>1.6488</v>
      </c>
      <c r="BL462"/>
      <c r="BM462">
        <v>66.396000000000001</v>
      </c>
      <c r="BN462"/>
      <c r="BO462">
        <v>18.263999999999999</v>
      </c>
      <c r="BP462"/>
      <c r="BQ462">
        <v>8.9434000000000005</v>
      </c>
      <c r="BR462"/>
      <c r="BS462">
        <v>49.179000000000002</v>
      </c>
      <c r="BT462"/>
      <c r="BU462">
        <v>18.864000000000001</v>
      </c>
      <c r="BV462"/>
      <c r="BW462" s="325">
        <v>4.38</v>
      </c>
      <c r="BX462"/>
      <c r="BY462">
        <v>6.6350000000000051</v>
      </c>
      <c r="BZ462"/>
      <c r="CA462"/>
      <c r="CC462">
        <v>5.6</v>
      </c>
      <c r="CD462"/>
      <c r="CE462"/>
      <c r="CF462"/>
      <c r="CG462"/>
      <c r="CH462"/>
      <c r="CI462"/>
      <c r="CJ462"/>
      <c r="CK462"/>
      <c r="CL462"/>
      <c r="CM462"/>
    </row>
    <row r="463" spans="1:91">
      <c r="A463" s="154" t="s">
        <v>7712</v>
      </c>
      <c r="B463" t="s">
        <v>8287</v>
      </c>
      <c r="C463">
        <v>1</v>
      </c>
      <c r="D463">
        <v>736</v>
      </c>
      <c r="E463" s="113">
        <v>36</v>
      </c>
      <c r="F463" s="113">
        <v>7</v>
      </c>
      <c r="I463">
        <v>26.499999999999996</v>
      </c>
      <c r="K463" s="320">
        <v>9</v>
      </c>
      <c r="L463" s="320"/>
      <c r="M463">
        <v>3.42</v>
      </c>
      <c r="N463" s="320"/>
      <c r="O463"/>
      <c r="P463"/>
      <c r="Q463"/>
      <c r="S463" s="320">
        <v>15.715889972124</v>
      </c>
      <c r="T463" s="320"/>
      <c r="U463">
        <v>10.8</v>
      </c>
      <c r="V463"/>
      <c r="W463"/>
      <c r="X463"/>
      <c r="Y463" s="321">
        <v>5.9550143999999996</v>
      </c>
      <c r="Z463" s="320"/>
      <c r="AA463" s="322">
        <v>78540.145985401454</v>
      </c>
      <c r="AB463" s="320"/>
      <c r="AC463" s="321">
        <v>30.111106800000002</v>
      </c>
      <c r="AD463" s="320"/>
      <c r="AE463" s="320">
        <v>32.28</v>
      </c>
      <c r="AF463" s="320"/>
      <c r="AG463">
        <v>4.1100000000000003</v>
      </c>
      <c r="AH463"/>
      <c r="AI463">
        <v>115</v>
      </c>
      <c r="AJ463"/>
      <c r="AK463"/>
      <c r="AL463"/>
      <c r="AM463"/>
      <c r="AN463"/>
      <c r="AO463">
        <v>77</v>
      </c>
      <c r="AP463"/>
      <c r="AQ463" s="323"/>
      <c r="AR463" s="323"/>
      <c r="AS463">
        <v>112</v>
      </c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>
        <v>-0.23186999999999999</v>
      </c>
      <c r="BH463"/>
      <c r="BI463">
        <v>4.5206999999999997</v>
      </c>
      <c r="BJ463"/>
      <c r="BK463">
        <v>1.6077999999999999</v>
      </c>
      <c r="BL463"/>
      <c r="BM463">
        <v>67.736000000000004</v>
      </c>
      <c r="BN463"/>
      <c r="BO463">
        <v>18.742999999999999</v>
      </c>
      <c r="BP463"/>
      <c r="BQ463">
        <v>8.6478000000000002</v>
      </c>
      <c r="BR463"/>
      <c r="BS463">
        <v>52.192999999999998</v>
      </c>
      <c r="BT463"/>
      <c r="BU463">
        <v>17.408000000000001</v>
      </c>
      <c r="BV463"/>
      <c r="BW463" s="325">
        <v>9.75</v>
      </c>
      <c r="BX463"/>
      <c r="BY463">
        <v>6.1069999999999993</v>
      </c>
      <c r="BZ463"/>
      <c r="CA463"/>
      <c r="CC463">
        <v>7.23</v>
      </c>
      <c r="CD463"/>
      <c r="CE463"/>
      <c r="CF463"/>
      <c r="CG463"/>
      <c r="CH463"/>
      <c r="CI463"/>
      <c r="CJ463"/>
      <c r="CK463"/>
      <c r="CL463"/>
      <c r="CM463"/>
    </row>
    <row r="464" spans="1:91">
      <c r="A464" s="154" t="s">
        <v>7712</v>
      </c>
      <c r="B464" t="s">
        <v>8287</v>
      </c>
      <c r="C464">
        <v>2</v>
      </c>
      <c r="D464">
        <v>1041</v>
      </c>
      <c r="E464" s="113">
        <v>41</v>
      </c>
      <c r="F464" s="113">
        <v>10</v>
      </c>
      <c r="I464">
        <v>31.499999999999996</v>
      </c>
      <c r="K464" s="320">
        <v>9</v>
      </c>
      <c r="L464" s="320"/>
      <c r="M464">
        <v>2.66</v>
      </c>
      <c r="N464" s="320"/>
      <c r="O464"/>
      <c r="P464"/>
      <c r="Q464"/>
      <c r="S464" s="320">
        <v>11.841734252325999</v>
      </c>
      <c r="T464" s="320"/>
      <c r="U464">
        <v>10.8</v>
      </c>
      <c r="V464"/>
      <c r="W464"/>
      <c r="X464"/>
      <c r="Y464" s="321">
        <v>4.9510970000000007</v>
      </c>
      <c r="Z464" s="320"/>
      <c r="AA464" s="322">
        <v>70301.369863013708</v>
      </c>
      <c r="AB464" s="320"/>
      <c r="AC464" s="321">
        <v>23.994922599999999</v>
      </c>
      <c r="AD464" s="320"/>
      <c r="AE464" s="320">
        <v>25.66</v>
      </c>
      <c r="AF464" s="320"/>
      <c r="AG464">
        <v>3.65</v>
      </c>
      <c r="AH464"/>
      <c r="AI464">
        <v>113</v>
      </c>
      <c r="AJ464"/>
      <c r="AK464"/>
      <c r="AL464"/>
      <c r="AM464"/>
      <c r="AN464"/>
      <c r="AO464">
        <v>77</v>
      </c>
      <c r="AP464"/>
      <c r="AQ464" s="323"/>
      <c r="AR464" s="323"/>
      <c r="AS464">
        <v>112</v>
      </c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>
        <v>-2.3328000000000002</v>
      </c>
      <c r="BH464"/>
      <c r="BI464">
        <v>4.4321999999999999</v>
      </c>
      <c r="BJ464"/>
      <c r="BK464">
        <v>1.6485000000000001</v>
      </c>
      <c r="BL464"/>
      <c r="BM464">
        <v>67.033000000000001</v>
      </c>
      <c r="BN464"/>
      <c r="BO464">
        <v>19.268999999999998</v>
      </c>
      <c r="BP464"/>
      <c r="BQ464">
        <v>8.6991999999999994</v>
      </c>
      <c r="BR464"/>
      <c r="BS464">
        <v>49.350999999999999</v>
      </c>
      <c r="BT464"/>
      <c r="BU464">
        <v>18.850000000000001</v>
      </c>
      <c r="BV464"/>
      <c r="BW464" s="325">
        <v>4.7</v>
      </c>
      <c r="BX464"/>
      <c r="BY464">
        <v>6.3719999999999999</v>
      </c>
      <c r="BZ464"/>
      <c r="CA464"/>
      <c r="CC464">
        <v>5.2</v>
      </c>
      <c r="CD464"/>
      <c r="CE464"/>
      <c r="CF464"/>
      <c r="CG464"/>
      <c r="CH464"/>
      <c r="CI464"/>
      <c r="CJ464"/>
      <c r="CK464"/>
      <c r="CL464"/>
      <c r="CM464"/>
    </row>
    <row r="465" spans="1:91">
      <c r="A465" s="154" t="s">
        <v>7712</v>
      </c>
      <c r="B465" t="s">
        <v>8289</v>
      </c>
      <c r="C465">
        <v>1</v>
      </c>
      <c r="D465">
        <v>1423</v>
      </c>
      <c r="E465" s="113">
        <v>23</v>
      </c>
      <c r="F465" s="113">
        <v>14</v>
      </c>
      <c r="I465">
        <v>28.5</v>
      </c>
      <c r="K465" s="320">
        <v>9</v>
      </c>
      <c r="L465" s="320"/>
      <c r="M465">
        <v>2.58</v>
      </c>
      <c r="N465" s="320"/>
      <c r="O465"/>
      <c r="P465"/>
      <c r="Q465"/>
      <c r="S465" s="320">
        <v>11.38914116826</v>
      </c>
      <c r="T465" s="320"/>
      <c r="U465">
        <v>10.8</v>
      </c>
      <c r="V465"/>
      <c r="W465"/>
      <c r="X465"/>
      <c r="Y465" s="321">
        <v>4.6814930000000006</v>
      </c>
      <c r="Z465" s="320"/>
      <c r="AA465" s="322">
        <v>64619.422572178475</v>
      </c>
      <c r="AB465" s="320"/>
      <c r="AC465" s="321">
        <v>22.967998000000001</v>
      </c>
      <c r="AD465" s="320"/>
      <c r="AE465" s="320">
        <v>24.62</v>
      </c>
      <c r="AF465" s="320"/>
      <c r="AG465">
        <v>3.81</v>
      </c>
      <c r="AH465"/>
      <c r="AI465">
        <v>110</v>
      </c>
      <c r="AJ465"/>
      <c r="AK465"/>
      <c r="AL465"/>
      <c r="AM465"/>
      <c r="AN465"/>
      <c r="AO465">
        <v>77</v>
      </c>
      <c r="AP465"/>
      <c r="AQ465" s="323"/>
      <c r="AR465" s="323"/>
      <c r="AS465">
        <v>112</v>
      </c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>
        <v>0.45881</v>
      </c>
      <c r="BH465"/>
      <c r="BI465">
        <v>4.3055000000000003</v>
      </c>
      <c r="BJ465"/>
      <c r="BK465">
        <v>1.6445000000000001</v>
      </c>
      <c r="BL465"/>
      <c r="BM465">
        <v>62.719000000000001</v>
      </c>
      <c r="BN465"/>
      <c r="BO465">
        <v>20.928000000000001</v>
      </c>
      <c r="BP465"/>
      <c r="BQ465">
        <v>8.7824000000000009</v>
      </c>
      <c r="BR465"/>
      <c r="BS465">
        <v>49.587000000000003</v>
      </c>
      <c r="BT465"/>
      <c r="BU465">
        <v>18.965</v>
      </c>
      <c r="BV465"/>
      <c r="BW465" s="325">
        <v>1.69</v>
      </c>
      <c r="BX465"/>
      <c r="BY465">
        <v>6.2109999999999985</v>
      </c>
      <c r="BZ465"/>
      <c r="CA465"/>
      <c r="CC465">
        <v>6.22</v>
      </c>
      <c r="CD465"/>
      <c r="CE465"/>
      <c r="CF465"/>
      <c r="CG465"/>
      <c r="CH465"/>
      <c r="CI465"/>
      <c r="CJ465"/>
      <c r="CK465"/>
      <c r="CL465"/>
      <c r="CM465"/>
    </row>
    <row r="466" spans="1:91">
      <c r="A466" s="327" t="s">
        <v>7713</v>
      </c>
      <c r="B466" s="328" t="s">
        <v>8289</v>
      </c>
      <c r="C466" s="328">
        <v>2</v>
      </c>
      <c r="D466" s="328">
        <v>263</v>
      </c>
      <c r="E466" s="113">
        <v>63</v>
      </c>
      <c r="F466" s="113">
        <v>2</v>
      </c>
      <c r="G466" s="329"/>
      <c r="H466" s="329"/>
      <c r="I466" s="328">
        <v>27.999999999999996</v>
      </c>
      <c r="J466" s="330"/>
      <c r="K466" s="331">
        <v>6</v>
      </c>
      <c r="L466" s="331"/>
      <c r="M466" s="328">
        <v>1.77</v>
      </c>
      <c r="N466" s="331"/>
      <c r="O466" s="328"/>
      <c r="P466" s="328"/>
      <c r="Q466" s="328"/>
      <c r="R466" s="332"/>
      <c r="S466" s="331">
        <v>7.3393955279520018</v>
      </c>
      <c r="T466" s="331"/>
      <c r="U466" s="328">
        <v>10.8</v>
      </c>
      <c r="V466" s="328"/>
      <c r="W466" s="328"/>
      <c r="X466" s="328"/>
      <c r="Y466" s="333">
        <v>3.0737459</v>
      </c>
      <c r="Z466" s="331"/>
      <c r="AA466" s="334">
        <v>38023.809523809519</v>
      </c>
      <c r="AB466" s="331"/>
      <c r="AC466" s="333">
        <v>14.936900700000002</v>
      </c>
      <c r="AD466" s="331"/>
      <c r="AE466" s="331">
        <v>15.97</v>
      </c>
      <c r="AF466" s="331"/>
      <c r="AG466" s="328">
        <v>4.2</v>
      </c>
      <c r="AH466" s="328"/>
      <c r="AI466" s="328">
        <v>135</v>
      </c>
      <c r="AJ466" s="328"/>
      <c r="AK466" s="328"/>
      <c r="AL466" s="328"/>
      <c r="AM466" s="328"/>
      <c r="AN466" s="328"/>
      <c r="AO466" s="328">
        <v>90</v>
      </c>
      <c r="AP466" s="328"/>
      <c r="AQ466" s="335"/>
      <c r="AR466" s="335"/>
      <c r="AS466" s="328">
        <v>122</v>
      </c>
      <c r="AT466" s="328"/>
      <c r="AU466" s="328"/>
      <c r="AV466" s="328"/>
      <c r="AW466" s="328"/>
      <c r="AX466" s="328"/>
      <c r="AY466" s="328"/>
      <c r="AZ466" s="328"/>
      <c r="BA466" s="328"/>
      <c r="BB466" s="328"/>
      <c r="BC466" s="328"/>
      <c r="BD466" s="328"/>
      <c r="BE466" s="328"/>
      <c r="BF466" s="328"/>
      <c r="BG466" s="328">
        <v>2.5097</v>
      </c>
      <c r="BH466" s="328"/>
      <c r="BI466" s="328">
        <v>4.8720999999999997</v>
      </c>
      <c r="BJ466" s="328"/>
      <c r="BK466" s="328">
        <v>1.6237999999999999</v>
      </c>
      <c r="BL466" s="328"/>
      <c r="BM466" s="328">
        <v>66.436999999999998</v>
      </c>
      <c r="BN466" s="328"/>
      <c r="BO466" s="328">
        <v>20.177</v>
      </c>
      <c r="BP466" s="328"/>
      <c r="BQ466" s="328">
        <v>7.2534999999999998</v>
      </c>
      <c r="BR466" s="328"/>
      <c r="BS466" s="328">
        <v>49.136000000000003</v>
      </c>
      <c r="BT466" s="328"/>
      <c r="BU466" s="328">
        <v>18.427</v>
      </c>
      <c r="BV466" s="328"/>
      <c r="BW466" s="336">
        <v>3.15</v>
      </c>
      <c r="BX466" s="328"/>
      <c r="BY466" s="328">
        <v>6.1919999999999931</v>
      </c>
      <c r="BZ466" s="328"/>
      <c r="CA466" s="328"/>
      <c r="CB466" s="337"/>
      <c r="CC466" s="328">
        <v>11.34</v>
      </c>
      <c r="CD466" s="328"/>
      <c r="CE466" s="328"/>
      <c r="CF466" s="328"/>
      <c r="CG466" s="328"/>
      <c r="CH466" s="328"/>
      <c r="CI466" s="328"/>
      <c r="CJ466" s="328"/>
      <c r="CK466" s="328"/>
      <c r="CL466" s="328"/>
      <c r="CM466" s="328"/>
    </row>
    <row r="467" spans="1:91">
      <c r="A467" s="327" t="s">
        <v>7713</v>
      </c>
      <c r="B467" s="328" t="s">
        <v>8287</v>
      </c>
      <c r="C467" s="328">
        <v>1</v>
      </c>
      <c r="D467" s="328">
        <v>502</v>
      </c>
      <c r="E467" s="113">
        <v>2</v>
      </c>
      <c r="F467" s="113">
        <v>5</v>
      </c>
      <c r="G467" s="329"/>
      <c r="H467" s="329"/>
      <c r="I467" s="328">
        <v>26</v>
      </c>
      <c r="J467" s="330"/>
      <c r="K467" s="331">
        <v>9</v>
      </c>
      <c r="L467" s="331"/>
      <c r="M467" s="328">
        <v>2.04</v>
      </c>
      <c r="N467" s="331"/>
      <c r="O467" s="328"/>
      <c r="P467" s="328"/>
      <c r="Q467" s="328"/>
      <c r="R467" s="332"/>
      <c r="S467" s="331" t="s">
        <v>8361</v>
      </c>
      <c r="T467" s="331"/>
      <c r="U467" s="328">
        <v>10.8</v>
      </c>
      <c r="V467" s="328"/>
      <c r="W467" s="328"/>
      <c r="X467" s="328"/>
      <c r="Y467" s="333">
        <v>0</v>
      </c>
      <c r="Z467" s="331"/>
      <c r="AA467" s="334">
        <v>47372.262773722621</v>
      </c>
      <c r="AB467" s="331"/>
      <c r="AC467" s="333" t="s">
        <v>8361</v>
      </c>
      <c r="AD467" s="331"/>
      <c r="AE467" s="331">
        <v>19.47</v>
      </c>
      <c r="AF467" s="331"/>
      <c r="AG467" s="328">
        <v>4.1100000000000003</v>
      </c>
      <c r="AH467" s="328"/>
      <c r="AI467" s="328">
        <v>138</v>
      </c>
      <c r="AJ467" s="328"/>
      <c r="AK467" s="328"/>
      <c r="AL467" s="328"/>
      <c r="AM467" s="328"/>
      <c r="AN467" s="328"/>
      <c r="AO467" s="328">
        <v>85</v>
      </c>
      <c r="AP467" s="328"/>
      <c r="AQ467" s="335"/>
      <c r="AR467" s="335"/>
      <c r="AS467" s="328">
        <v>112</v>
      </c>
      <c r="AT467" s="328"/>
      <c r="AU467" s="328"/>
      <c r="AV467" s="328"/>
      <c r="AW467" s="328"/>
      <c r="AX467" s="328"/>
      <c r="AY467" s="328"/>
      <c r="AZ467" s="328"/>
      <c r="BA467" s="328"/>
      <c r="BB467" s="328"/>
      <c r="BC467" s="328"/>
      <c r="BD467" s="328"/>
      <c r="BE467" s="328"/>
      <c r="BF467" s="328"/>
      <c r="BG467" s="328">
        <v>6.7645999999999997</v>
      </c>
      <c r="BH467" s="328"/>
      <c r="BI467" s="328">
        <v>4.49</v>
      </c>
      <c r="BJ467" s="328"/>
      <c r="BK467" s="328">
        <v>1.5192000000000001</v>
      </c>
      <c r="BL467" s="328"/>
      <c r="BM467" s="328">
        <v>63.738</v>
      </c>
      <c r="BN467" s="328"/>
      <c r="BO467" s="328">
        <v>19.140999999999998</v>
      </c>
      <c r="BP467" s="328"/>
      <c r="BQ467" s="328">
        <v>9.4184000000000001</v>
      </c>
      <c r="BR467" s="328"/>
      <c r="BS467" s="328">
        <v>51.648000000000003</v>
      </c>
      <c r="BT467" s="328"/>
      <c r="BU467" s="328">
        <v>16.783000000000001</v>
      </c>
      <c r="BV467" s="328"/>
      <c r="BW467" s="336">
        <v>6.69</v>
      </c>
      <c r="BX467" s="328"/>
      <c r="BY467" s="328">
        <v>6.3919999999999959</v>
      </c>
      <c r="BZ467" s="328"/>
      <c r="CA467" s="328"/>
      <c r="CB467" s="337"/>
      <c r="CC467" s="328">
        <v>6.2</v>
      </c>
      <c r="CD467" s="328"/>
      <c r="CE467" s="328"/>
      <c r="CF467" s="328"/>
      <c r="CG467" s="328"/>
      <c r="CH467" s="328"/>
      <c r="CI467" s="328"/>
      <c r="CJ467" s="328"/>
      <c r="CK467" s="328"/>
      <c r="CL467" s="328"/>
      <c r="CM467" s="328"/>
    </row>
    <row r="468" spans="1:91">
      <c r="A468" s="327" t="s">
        <v>7713</v>
      </c>
      <c r="B468" s="328" t="s">
        <v>8287</v>
      </c>
      <c r="C468" s="328">
        <v>2</v>
      </c>
      <c r="D468" s="328">
        <v>1075</v>
      </c>
      <c r="E468" s="113">
        <v>75</v>
      </c>
      <c r="F468" s="113">
        <v>10</v>
      </c>
      <c r="G468" s="329"/>
      <c r="H468" s="329"/>
      <c r="I468" s="328">
        <v>16</v>
      </c>
      <c r="J468" s="330"/>
      <c r="K468" s="331">
        <v>9</v>
      </c>
      <c r="L468" s="331"/>
      <c r="M468" s="328">
        <v>1.42</v>
      </c>
      <c r="N468" s="331"/>
      <c r="O468" s="328"/>
      <c r="P468" s="328"/>
      <c r="Q468" s="328"/>
      <c r="R468" s="332"/>
      <c r="S468" s="331">
        <v>5.6559676871879994</v>
      </c>
      <c r="T468" s="331"/>
      <c r="U468" s="328">
        <v>10.8</v>
      </c>
      <c r="V468" s="328"/>
      <c r="W468" s="328"/>
      <c r="X468" s="328"/>
      <c r="Y468" s="333">
        <v>2.6821556999999996</v>
      </c>
      <c r="Z468" s="331"/>
      <c r="AA468" s="334">
        <v>32931.034482758623</v>
      </c>
      <c r="AB468" s="331"/>
      <c r="AC468" s="333">
        <v>12.427147599999998</v>
      </c>
      <c r="AD468" s="331"/>
      <c r="AE468" s="331">
        <v>13.37</v>
      </c>
      <c r="AF468" s="331"/>
      <c r="AG468" s="328">
        <v>4.0599999999999996</v>
      </c>
      <c r="AH468" s="328"/>
      <c r="AI468" s="328">
        <v>125</v>
      </c>
      <c r="AJ468" s="328"/>
      <c r="AK468" s="328"/>
      <c r="AL468" s="328"/>
      <c r="AM468" s="328"/>
      <c r="AN468" s="328"/>
      <c r="AO468" s="328">
        <v>81</v>
      </c>
      <c r="AP468" s="328"/>
      <c r="AQ468" s="335"/>
      <c r="AR468" s="335"/>
      <c r="AS468" s="328">
        <v>118</v>
      </c>
      <c r="AT468" s="328"/>
      <c r="AU468" s="328"/>
      <c r="AV468" s="328"/>
      <c r="AW468" s="328"/>
      <c r="AX468" s="328"/>
      <c r="AY468" s="328"/>
      <c r="AZ468" s="328"/>
      <c r="BA468" s="328"/>
      <c r="BB468" s="328"/>
      <c r="BC468" s="328"/>
      <c r="BD468" s="328"/>
      <c r="BE468" s="328"/>
      <c r="BF468" s="328"/>
      <c r="BG468" s="328">
        <v>-4.1910999999999996</v>
      </c>
      <c r="BH468" s="328"/>
      <c r="BI468" s="328">
        <v>5.1474000000000002</v>
      </c>
      <c r="BJ468" s="328"/>
      <c r="BK468" s="328">
        <v>1.6880999999999999</v>
      </c>
      <c r="BL468" s="328"/>
      <c r="BM468" s="328">
        <v>65.436000000000007</v>
      </c>
      <c r="BN468" s="328"/>
      <c r="BO468" s="328">
        <v>20.501999999999999</v>
      </c>
      <c r="BP468" s="328"/>
      <c r="BQ468" s="328">
        <v>8.0183999999999997</v>
      </c>
      <c r="BR468" s="328"/>
      <c r="BS468" s="328">
        <v>45.512999999999998</v>
      </c>
      <c r="BT468" s="328"/>
      <c r="BU468" s="328">
        <v>19.193000000000001</v>
      </c>
      <c r="BV468" s="328"/>
      <c r="BW468" s="336">
        <v>1.19</v>
      </c>
      <c r="BX468" s="328"/>
      <c r="BY468" s="328">
        <v>6.9369999999999976</v>
      </c>
      <c r="BZ468" s="328"/>
      <c r="CA468" s="328"/>
      <c r="CB468" s="337"/>
      <c r="CC468" s="328">
        <v>7.44</v>
      </c>
      <c r="CD468" s="328"/>
      <c r="CE468" s="328"/>
      <c r="CF468" s="328"/>
      <c r="CG468" s="328"/>
      <c r="CH468" s="328"/>
      <c r="CI468" s="328"/>
      <c r="CJ468" s="328"/>
      <c r="CK468" s="328"/>
      <c r="CL468" s="328"/>
      <c r="CM468" s="328"/>
    </row>
    <row r="469" spans="1:91">
      <c r="A469" s="327" t="s">
        <v>7713</v>
      </c>
      <c r="B469" s="328" t="s">
        <v>8289</v>
      </c>
      <c r="C469" s="328">
        <v>1</v>
      </c>
      <c r="D469" s="328">
        <v>1030</v>
      </c>
      <c r="E469" s="113">
        <v>30</v>
      </c>
      <c r="F469" s="113">
        <v>10</v>
      </c>
      <c r="G469" s="329"/>
      <c r="H469" s="329"/>
      <c r="I469" s="328">
        <v>21.499999999999996</v>
      </c>
      <c r="J469" s="330"/>
      <c r="K469" s="331">
        <v>8</v>
      </c>
      <c r="L469" s="331"/>
      <c r="M469" s="328">
        <v>1.8</v>
      </c>
      <c r="N469" s="331"/>
      <c r="O469" s="328"/>
      <c r="P469" s="328"/>
      <c r="Q469" s="328"/>
      <c r="R469" s="332"/>
      <c r="S469" s="331">
        <v>7.1941585166079998</v>
      </c>
      <c r="T469" s="331"/>
      <c r="U469" s="328">
        <v>10.8</v>
      </c>
      <c r="V469" s="328"/>
      <c r="W469" s="328"/>
      <c r="X469" s="328"/>
      <c r="Y469" s="333">
        <v>3.4190830000000001</v>
      </c>
      <c r="Z469" s="331"/>
      <c r="AA469" s="334">
        <v>45261.707988980714</v>
      </c>
      <c r="AB469" s="331"/>
      <c r="AC469" s="333">
        <v>15.415283199999999</v>
      </c>
      <c r="AD469" s="331"/>
      <c r="AE469" s="331">
        <v>16.43</v>
      </c>
      <c r="AF469" s="331"/>
      <c r="AG469" s="328">
        <v>3.63</v>
      </c>
      <c r="AH469" s="328"/>
      <c r="AI469" s="328">
        <v>130</v>
      </c>
      <c r="AJ469" s="328"/>
      <c r="AK469" s="328"/>
      <c r="AL469" s="328"/>
      <c r="AM469" s="328"/>
      <c r="AN469" s="328"/>
      <c r="AO469" s="328">
        <v>83</v>
      </c>
      <c r="AP469" s="328"/>
      <c r="AQ469" s="335"/>
      <c r="AR469" s="335"/>
      <c r="AS469" s="328">
        <v>118</v>
      </c>
      <c r="AT469" s="328"/>
      <c r="AU469" s="328"/>
      <c r="AV469" s="328"/>
      <c r="AW469" s="328"/>
      <c r="AX469" s="328"/>
      <c r="AY469" s="328"/>
      <c r="AZ469" s="328"/>
      <c r="BA469" s="328"/>
      <c r="BB469" s="328"/>
      <c r="BC469" s="328"/>
      <c r="BD469" s="328"/>
      <c r="BE469" s="328"/>
      <c r="BF469" s="328"/>
      <c r="BG469" s="328">
        <v>2.1833</v>
      </c>
      <c r="BH469" s="328"/>
      <c r="BI469" s="328">
        <v>4.7373000000000003</v>
      </c>
      <c r="BJ469" s="328"/>
      <c r="BK469" s="328">
        <v>1.5737000000000001</v>
      </c>
      <c r="BL469" s="328"/>
      <c r="BM469" s="328">
        <v>58.204999999999998</v>
      </c>
      <c r="BN469" s="328"/>
      <c r="BO469" s="328">
        <v>20.803999999999998</v>
      </c>
      <c r="BP469" s="328"/>
      <c r="BQ469" s="328">
        <v>8.4106000000000005</v>
      </c>
      <c r="BR469" s="328"/>
      <c r="BS469" s="328">
        <v>46.668999999999997</v>
      </c>
      <c r="BT469" s="328"/>
      <c r="BU469" s="328">
        <v>19.352</v>
      </c>
      <c r="BV469" s="328"/>
      <c r="BW469" s="336">
        <v>3.25</v>
      </c>
      <c r="BX469" s="328"/>
      <c r="BY469" s="328">
        <v>6.5060000000000002</v>
      </c>
      <c r="BZ469" s="328"/>
      <c r="CA469" s="328"/>
      <c r="CB469" s="337"/>
      <c r="CC469" s="328">
        <v>10.31</v>
      </c>
      <c r="CD469" s="328"/>
      <c r="CE469" s="328"/>
      <c r="CF469" s="328"/>
      <c r="CG469" s="328"/>
      <c r="CH469" s="328"/>
      <c r="CI469" s="328"/>
      <c r="CJ469" s="328"/>
      <c r="CK469" s="328"/>
      <c r="CL469" s="328"/>
      <c r="CM469" s="328"/>
    </row>
    <row r="470" spans="1:91">
      <c r="A470" s="154" t="s">
        <v>7714</v>
      </c>
      <c r="B470" t="s">
        <v>8289</v>
      </c>
      <c r="C470">
        <v>2</v>
      </c>
      <c r="D470">
        <v>273</v>
      </c>
      <c r="E470" s="113">
        <v>73</v>
      </c>
      <c r="F470" s="113">
        <v>2</v>
      </c>
      <c r="I470">
        <v>19.499999999999996</v>
      </c>
      <c r="K470" s="320">
        <v>9</v>
      </c>
      <c r="L470" s="320"/>
      <c r="M470">
        <v>2.2200000000000002</v>
      </c>
      <c r="N470" s="320"/>
      <c r="O470"/>
      <c r="P470"/>
      <c r="Q470"/>
      <c r="S470" s="320">
        <v>9.2812116907439979</v>
      </c>
      <c r="T470" s="320"/>
      <c r="U470">
        <v>10.8</v>
      </c>
      <c r="V470"/>
      <c r="W470"/>
      <c r="X470"/>
      <c r="Y470" s="321">
        <v>3.9802818000000002</v>
      </c>
      <c r="Z470" s="320"/>
      <c r="AA470" s="322">
        <v>51103.117505995207</v>
      </c>
      <c r="AB470" s="320"/>
      <c r="AC470" s="321">
        <v>20.021597399999997</v>
      </c>
      <c r="AD470" s="320"/>
      <c r="AE470" s="320">
        <v>21.31</v>
      </c>
      <c r="AF470" s="320"/>
      <c r="AG470">
        <v>4.17</v>
      </c>
      <c r="AH470"/>
      <c r="AI470">
        <v>110</v>
      </c>
      <c r="AJ470"/>
      <c r="AK470"/>
      <c r="AL470"/>
      <c r="AM470"/>
      <c r="AN470"/>
      <c r="AO470">
        <v>77</v>
      </c>
      <c r="AP470"/>
      <c r="AQ470" s="323"/>
      <c r="AR470" s="323"/>
      <c r="AS470">
        <v>112</v>
      </c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>
        <v>5.6604999999999999</v>
      </c>
      <c r="BH470"/>
      <c r="BI470">
        <v>5.0910000000000002</v>
      </c>
      <c r="BJ470"/>
      <c r="BK470">
        <v>1.4824999999999999</v>
      </c>
      <c r="BL470"/>
      <c r="BM470">
        <v>55.125999999999998</v>
      </c>
      <c r="BN470"/>
      <c r="BO470">
        <v>22.137</v>
      </c>
      <c r="BP470"/>
      <c r="BQ470">
        <v>10.297000000000001</v>
      </c>
      <c r="BR470"/>
      <c r="BS470">
        <v>46.356000000000002</v>
      </c>
      <c r="BT470"/>
      <c r="BU470">
        <v>19.459</v>
      </c>
      <c r="BV470"/>
      <c r="BW470" s="325">
        <v>6.85</v>
      </c>
      <c r="BX470"/>
      <c r="BY470">
        <v>6.1670000000000016</v>
      </c>
      <c r="BZ470"/>
      <c r="CA470"/>
      <c r="CC470">
        <v>5.66</v>
      </c>
      <c r="CD470"/>
      <c r="CE470"/>
      <c r="CF470"/>
      <c r="CG470"/>
      <c r="CH470"/>
      <c r="CI470"/>
      <c r="CJ470"/>
      <c r="CK470"/>
      <c r="CL470"/>
      <c r="CM470"/>
    </row>
    <row r="471" spans="1:91">
      <c r="A471" s="154" t="s">
        <v>7714</v>
      </c>
      <c r="B471" t="s">
        <v>8287</v>
      </c>
      <c r="C471">
        <v>1</v>
      </c>
      <c r="D471">
        <v>626</v>
      </c>
      <c r="E471" s="113">
        <v>26</v>
      </c>
      <c r="F471" s="113">
        <v>6</v>
      </c>
      <c r="I471">
        <v>18.5</v>
      </c>
      <c r="K471" s="320">
        <v>9</v>
      </c>
      <c r="L471" s="320"/>
      <c r="M471">
        <v>3.14</v>
      </c>
      <c r="N471" s="320"/>
      <c r="O471"/>
      <c r="P471"/>
      <c r="Q471"/>
      <c r="S471" s="320">
        <v>13.782048920640001</v>
      </c>
      <c r="T471" s="320"/>
      <c r="U471">
        <v>10.8</v>
      </c>
      <c r="V471"/>
      <c r="W471"/>
      <c r="X471"/>
      <c r="Y471" s="321">
        <v>4.9462568999999998</v>
      </c>
      <c r="Z471" s="320"/>
      <c r="AA471" s="322">
        <v>70463.414634146349</v>
      </c>
      <c r="AB471" s="320"/>
      <c r="AC471" s="321">
        <v>26.948592000000001</v>
      </c>
      <c r="AD471" s="320"/>
      <c r="AE471" s="320">
        <v>28.89</v>
      </c>
      <c r="AF471" s="320"/>
      <c r="AG471">
        <v>4.0999999999999996</v>
      </c>
      <c r="AH471"/>
      <c r="AI471">
        <v>123</v>
      </c>
      <c r="AJ471"/>
      <c r="AK471"/>
      <c r="AL471"/>
      <c r="AM471"/>
      <c r="AN471"/>
      <c r="AO471">
        <v>73</v>
      </c>
      <c r="AP471"/>
      <c r="AQ471" s="323"/>
      <c r="AR471" s="323"/>
      <c r="AS471">
        <v>112</v>
      </c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>
        <v>4.5861000000000001</v>
      </c>
      <c r="BH471"/>
      <c r="BI471">
        <v>4.9855999999999998</v>
      </c>
      <c r="BJ471"/>
      <c r="BK471">
        <v>1.3673999999999999</v>
      </c>
      <c r="BL471"/>
      <c r="BM471">
        <v>55.460999999999999</v>
      </c>
      <c r="BN471"/>
      <c r="BO471">
        <v>21.658999999999999</v>
      </c>
      <c r="BP471"/>
      <c r="BQ471">
        <v>11.028</v>
      </c>
      <c r="BR471"/>
      <c r="BS471">
        <v>51.142000000000003</v>
      </c>
      <c r="BT471"/>
      <c r="BU471">
        <v>17.225999999999999</v>
      </c>
      <c r="BV471"/>
      <c r="BW471" s="325">
        <v>9.1199999999999992</v>
      </c>
      <c r="BX471"/>
      <c r="BY471">
        <v>6.3709999999999951</v>
      </c>
      <c r="BZ471"/>
      <c r="CA471"/>
      <c r="CC471">
        <v>9.58</v>
      </c>
      <c r="CD471"/>
      <c r="CE471"/>
      <c r="CF471"/>
      <c r="CG471"/>
      <c r="CH471"/>
      <c r="CI471"/>
      <c r="CJ471"/>
      <c r="CK471"/>
      <c r="CL471"/>
      <c r="CM471"/>
    </row>
    <row r="472" spans="1:91">
      <c r="A472" s="154" t="s">
        <v>7714</v>
      </c>
      <c r="B472" t="s">
        <v>8289</v>
      </c>
      <c r="C472">
        <v>1</v>
      </c>
      <c r="D472">
        <v>1614</v>
      </c>
      <c r="E472" s="113">
        <v>14</v>
      </c>
      <c r="F472" s="113">
        <v>16</v>
      </c>
      <c r="I472">
        <v>23</v>
      </c>
      <c r="K472" s="320">
        <v>8</v>
      </c>
      <c r="L472" s="320"/>
      <c r="M472">
        <v>2.95</v>
      </c>
      <c r="N472" s="320"/>
      <c r="O472"/>
      <c r="P472"/>
      <c r="Q472"/>
      <c r="S472" s="320">
        <v>13.2509594952</v>
      </c>
      <c r="T472" s="320"/>
      <c r="U472">
        <v>10.8</v>
      </c>
      <c r="V472"/>
      <c r="W472"/>
      <c r="X472"/>
      <c r="Y472" s="321">
        <v>5.3440213999999999</v>
      </c>
      <c r="Z472" s="320"/>
      <c r="AA472" s="322">
        <v>73489.583333333328</v>
      </c>
      <c r="AB472" s="320"/>
      <c r="AC472" s="321">
        <v>26.357479999999999</v>
      </c>
      <c r="AD472" s="320"/>
      <c r="AE472" s="320">
        <v>28.22</v>
      </c>
      <c r="AF472" s="320"/>
      <c r="AG472">
        <v>3.84</v>
      </c>
      <c r="AH472"/>
      <c r="AI472">
        <v>115</v>
      </c>
      <c r="AJ472"/>
      <c r="AK472"/>
      <c r="AL472"/>
      <c r="AM472"/>
      <c r="AN472"/>
      <c r="AO472">
        <v>79</v>
      </c>
      <c r="AP472"/>
      <c r="AQ472" s="323"/>
      <c r="AR472" s="323"/>
      <c r="AS472">
        <v>112</v>
      </c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>
        <v>11.455</v>
      </c>
      <c r="BH472"/>
      <c r="BI472">
        <v>4.3021000000000003</v>
      </c>
      <c r="BJ472"/>
      <c r="BK472">
        <v>1.3531</v>
      </c>
      <c r="BL472"/>
      <c r="BM472">
        <v>49.095999999999997</v>
      </c>
      <c r="BN472"/>
      <c r="BO472">
        <v>19.045000000000002</v>
      </c>
      <c r="BP472"/>
      <c r="BQ472">
        <v>11.379</v>
      </c>
      <c r="BR472"/>
      <c r="BS472">
        <v>50.274000000000001</v>
      </c>
      <c r="BT472"/>
      <c r="BU472">
        <v>18.271999999999998</v>
      </c>
      <c r="BV472"/>
      <c r="BW472" s="325">
        <v>4.58</v>
      </c>
      <c r="BX472"/>
      <c r="BY472">
        <v>6.0430000000000064</v>
      </c>
      <c r="BZ472"/>
      <c r="CA472"/>
      <c r="CC472">
        <v>5.98</v>
      </c>
      <c r="CD472"/>
      <c r="CE472"/>
      <c r="CF472"/>
      <c r="CG472"/>
      <c r="CH472"/>
      <c r="CI472"/>
      <c r="CJ472"/>
      <c r="CK472"/>
      <c r="CL472"/>
      <c r="CM472"/>
    </row>
    <row r="473" spans="1:91">
      <c r="A473" s="154" t="s">
        <v>7714</v>
      </c>
      <c r="B473" t="s">
        <v>8287</v>
      </c>
      <c r="C473">
        <v>2</v>
      </c>
      <c r="D473">
        <v>1753</v>
      </c>
      <c r="E473" s="113">
        <v>53</v>
      </c>
      <c r="F473" s="113">
        <v>17</v>
      </c>
      <c r="I473">
        <v>27.999999999999996</v>
      </c>
      <c r="K473" s="320">
        <v>8</v>
      </c>
      <c r="L473" s="320"/>
      <c r="M473">
        <v>2.4900000000000002</v>
      </c>
      <c r="N473" s="320"/>
      <c r="O473"/>
      <c r="P473"/>
      <c r="Q473"/>
      <c r="S473" s="320">
        <v>11.755208383019998</v>
      </c>
      <c r="T473" s="320"/>
      <c r="U473">
        <v>10.8</v>
      </c>
      <c r="V473"/>
      <c r="W473"/>
      <c r="X473"/>
      <c r="Y473" s="321">
        <v>4.1671845000000003</v>
      </c>
      <c r="Z473" s="320"/>
      <c r="AA473" s="322">
        <v>66583.333333333328</v>
      </c>
      <c r="AB473" s="320"/>
      <c r="AC473" s="321">
        <v>22.500159599999996</v>
      </c>
      <c r="AD473" s="320"/>
      <c r="AE473" s="320">
        <v>23.97</v>
      </c>
      <c r="AF473" s="320"/>
      <c r="AG473">
        <v>3.6</v>
      </c>
      <c r="AH473"/>
      <c r="AI473">
        <v>118</v>
      </c>
      <c r="AJ473"/>
      <c r="AK473"/>
      <c r="AL473"/>
      <c r="AM473"/>
      <c r="AN473"/>
      <c r="AO473">
        <v>72</v>
      </c>
      <c r="AP473"/>
      <c r="AQ473" s="323"/>
      <c r="AR473" s="323"/>
      <c r="AS473">
        <v>112</v>
      </c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>
        <v>2.7917999999999998</v>
      </c>
      <c r="BH473"/>
      <c r="BI473">
        <v>5.1284999999999998</v>
      </c>
      <c r="BJ473"/>
      <c r="BK473">
        <v>1.3642000000000001</v>
      </c>
      <c r="BL473"/>
      <c r="BM473">
        <v>54.234000000000002</v>
      </c>
      <c r="BN473"/>
      <c r="BO473">
        <v>21.795999999999999</v>
      </c>
      <c r="BP473"/>
      <c r="BQ473">
        <v>10.94</v>
      </c>
      <c r="BR473"/>
      <c r="BS473">
        <v>52.244999999999997</v>
      </c>
      <c r="BT473"/>
      <c r="BU473">
        <v>15.544</v>
      </c>
      <c r="BV473"/>
      <c r="BW473" s="325">
        <v>16.89</v>
      </c>
      <c r="BX473"/>
      <c r="BY473">
        <v>6.1129999999999995</v>
      </c>
      <c r="BZ473"/>
      <c r="CA473"/>
      <c r="CC473">
        <v>5.41</v>
      </c>
      <c r="CD473"/>
      <c r="CE473"/>
      <c r="CF473"/>
      <c r="CG473"/>
      <c r="CH473"/>
      <c r="CI473"/>
      <c r="CJ473"/>
      <c r="CK473"/>
      <c r="CL473"/>
      <c r="CM473"/>
    </row>
    <row r="474" spans="1:91">
      <c r="A474" s="154" t="s">
        <v>7715</v>
      </c>
      <c r="B474" t="s">
        <v>8289</v>
      </c>
      <c r="C474">
        <v>2</v>
      </c>
      <c r="D474">
        <v>245</v>
      </c>
      <c r="E474" s="113">
        <v>45</v>
      </c>
      <c r="F474" s="113">
        <v>2</v>
      </c>
      <c r="I474">
        <v>32</v>
      </c>
      <c r="K474" s="320">
        <v>9</v>
      </c>
      <c r="L474" s="320"/>
      <c r="M474">
        <v>2.62</v>
      </c>
      <c r="N474" s="320"/>
      <c r="O474"/>
      <c r="P474"/>
      <c r="Q474"/>
      <c r="S474" s="320">
        <v>11.651527210752</v>
      </c>
      <c r="T474" s="320"/>
      <c r="U474">
        <v>10.8</v>
      </c>
      <c r="V474"/>
      <c r="W474"/>
      <c r="X474"/>
      <c r="Y474" s="321">
        <v>5.6067902000000007</v>
      </c>
      <c r="Z474" s="320"/>
      <c r="AA474" s="322">
        <v>68825.136612021859</v>
      </c>
      <c r="AB474" s="320"/>
      <c r="AC474" s="321">
        <v>23.813618400000003</v>
      </c>
      <c r="AD474" s="320"/>
      <c r="AE474" s="320">
        <v>25.19</v>
      </c>
      <c r="AF474" s="320"/>
      <c r="AG474">
        <v>3.66</v>
      </c>
      <c r="AH474"/>
      <c r="AI474">
        <v>135</v>
      </c>
      <c r="AJ474"/>
      <c r="AK474"/>
      <c r="AL474"/>
      <c r="AM474"/>
      <c r="AN474"/>
      <c r="AO474">
        <v>81</v>
      </c>
      <c r="AP474"/>
      <c r="AQ474" s="323"/>
      <c r="AR474" s="323"/>
      <c r="AS474">
        <v>112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>
        <v>2.8020999999999998</v>
      </c>
      <c r="BH474"/>
      <c r="BI474">
        <v>4.7682000000000002</v>
      </c>
      <c r="BJ474"/>
      <c r="BK474">
        <v>1.42</v>
      </c>
      <c r="BL474"/>
      <c r="BM474">
        <v>58.908999999999999</v>
      </c>
      <c r="BN474"/>
      <c r="BO474">
        <v>23.22</v>
      </c>
      <c r="BP474"/>
      <c r="BQ474">
        <v>9.0401000000000007</v>
      </c>
      <c r="BR474"/>
      <c r="BS474">
        <v>48.927999999999997</v>
      </c>
      <c r="BT474"/>
      <c r="BU474">
        <v>18.239999999999998</v>
      </c>
      <c r="BV474"/>
      <c r="BW474" s="325">
        <v>8.5399999999999991</v>
      </c>
      <c r="BX474"/>
      <c r="BY474">
        <v>5.8810000000000002</v>
      </c>
      <c r="BZ474"/>
      <c r="CA474"/>
      <c r="CC474">
        <v>5.52</v>
      </c>
      <c r="CD474"/>
      <c r="CE474"/>
      <c r="CF474"/>
      <c r="CG474"/>
      <c r="CH474"/>
      <c r="CI474"/>
      <c r="CJ474"/>
      <c r="CK474"/>
      <c r="CL474"/>
      <c r="CM474"/>
    </row>
    <row r="475" spans="1:91">
      <c r="A475" s="154" t="s">
        <v>7715</v>
      </c>
      <c r="B475" t="s">
        <v>8287</v>
      </c>
      <c r="C475">
        <v>1</v>
      </c>
      <c r="D475">
        <v>603</v>
      </c>
      <c r="E475" s="113">
        <v>3</v>
      </c>
      <c r="F475" s="113">
        <v>6</v>
      </c>
      <c r="I475">
        <v>31</v>
      </c>
      <c r="K475" s="320">
        <v>9</v>
      </c>
      <c r="L475" s="320"/>
      <c r="M475">
        <v>2.4700000000000002</v>
      </c>
      <c r="N475" s="320"/>
      <c r="O475"/>
      <c r="P475"/>
      <c r="Q475"/>
      <c r="S475" s="320">
        <v>11.085591146240001</v>
      </c>
      <c r="T475" s="320"/>
      <c r="U475">
        <v>10.8</v>
      </c>
      <c r="V475"/>
      <c r="W475"/>
      <c r="X475"/>
      <c r="Y475" s="321">
        <v>4.0694079999999992</v>
      </c>
      <c r="Z475" s="320"/>
      <c r="AA475" s="322">
        <v>64876.71232876712</v>
      </c>
      <c r="AB475" s="320"/>
      <c r="AC475" s="321">
        <v>22.074496</v>
      </c>
      <c r="AD475" s="320"/>
      <c r="AE475" s="320">
        <v>23.68</v>
      </c>
      <c r="AF475" s="320"/>
      <c r="AG475">
        <v>3.65</v>
      </c>
      <c r="AH475"/>
      <c r="AI475">
        <v>133</v>
      </c>
      <c r="AJ475"/>
      <c r="AK475"/>
      <c r="AL475"/>
      <c r="AM475"/>
      <c r="AN475"/>
      <c r="AO475">
        <v>80</v>
      </c>
      <c r="AP475"/>
      <c r="AQ475" s="323"/>
      <c r="AR475" s="323"/>
      <c r="AS475">
        <v>112</v>
      </c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>
        <v>1.1620999999999999</v>
      </c>
      <c r="BH475"/>
      <c r="BI475">
        <v>4.8380000000000001</v>
      </c>
      <c r="BJ475"/>
      <c r="BK475">
        <v>1.4228000000000001</v>
      </c>
      <c r="BL475"/>
      <c r="BM475">
        <v>61.901000000000003</v>
      </c>
      <c r="BN475"/>
      <c r="BO475">
        <v>22.704000000000001</v>
      </c>
      <c r="BP475"/>
      <c r="BQ475">
        <v>8.4</v>
      </c>
      <c r="BR475"/>
      <c r="BS475">
        <v>50.219000000000001</v>
      </c>
      <c r="BT475"/>
      <c r="BU475">
        <v>17.21</v>
      </c>
      <c r="BV475"/>
      <c r="BW475" s="325">
        <v>12.65</v>
      </c>
      <c r="BX475"/>
      <c r="BY475">
        <v>6.4210000000000065</v>
      </c>
      <c r="BZ475"/>
      <c r="CA475"/>
      <c r="CC475">
        <v>5.79</v>
      </c>
      <c r="CD475"/>
      <c r="CE475"/>
      <c r="CF475"/>
      <c r="CG475"/>
      <c r="CH475"/>
      <c r="CI475"/>
      <c r="CJ475"/>
      <c r="CK475"/>
      <c r="CL475"/>
      <c r="CM475"/>
    </row>
    <row r="476" spans="1:91">
      <c r="A476" s="154" t="s">
        <v>7715</v>
      </c>
      <c r="B476" t="s">
        <v>8287</v>
      </c>
      <c r="C476">
        <v>2</v>
      </c>
      <c r="D476">
        <v>1353</v>
      </c>
      <c r="E476" s="113">
        <v>53</v>
      </c>
      <c r="F476" s="113">
        <v>13</v>
      </c>
      <c r="I476">
        <v>32.999999999999993</v>
      </c>
      <c r="K476" s="320">
        <v>9</v>
      </c>
      <c r="L476" s="320"/>
      <c r="M476">
        <v>1.5</v>
      </c>
      <c r="N476" s="320"/>
      <c r="O476"/>
      <c r="P476"/>
      <c r="Q476"/>
      <c r="S476" s="320">
        <v>6.9295041527040011</v>
      </c>
      <c r="T476" s="320"/>
      <c r="U476">
        <v>10.8</v>
      </c>
      <c r="V476"/>
      <c r="W476"/>
      <c r="X476"/>
      <c r="Y476" s="321">
        <v>2.3055038999999997</v>
      </c>
      <c r="Z476" s="320"/>
      <c r="AA476" s="322">
        <v>41757.925072046113</v>
      </c>
      <c r="AB476" s="320"/>
      <c r="AC476" s="321">
        <v>13.590460800000001</v>
      </c>
      <c r="AD476" s="320"/>
      <c r="AE476" s="320">
        <v>14.49</v>
      </c>
      <c r="AF476" s="320"/>
      <c r="AG476">
        <v>3.47</v>
      </c>
      <c r="AH476"/>
      <c r="AI476">
        <v>135</v>
      </c>
      <c r="AJ476"/>
      <c r="AK476"/>
      <c r="AL476"/>
      <c r="AM476"/>
      <c r="AN476"/>
      <c r="AO476">
        <v>77</v>
      </c>
      <c r="AP476"/>
      <c r="AQ476" s="323"/>
      <c r="AR476" s="323"/>
      <c r="AS476">
        <v>112</v>
      </c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>
        <v>7.1734000000000006E-2</v>
      </c>
      <c r="BH476"/>
      <c r="BI476">
        <v>4.8156999999999996</v>
      </c>
      <c r="BJ476"/>
      <c r="BK476">
        <v>1.3919999999999999</v>
      </c>
      <c r="BL476"/>
      <c r="BM476">
        <v>62.543999999999997</v>
      </c>
      <c r="BN476"/>
      <c r="BO476">
        <v>21.213000000000001</v>
      </c>
      <c r="BP476"/>
      <c r="BQ476">
        <v>8.6789000000000005</v>
      </c>
      <c r="BR476"/>
      <c r="BS476">
        <v>50.988</v>
      </c>
      <c r="BT476"/>
      <c r="BU476">
        <v>16.591000000000001</v>
      </c>
      <c r="BV476"/>
      <c r="BW476" s="325">
        <v>13.83</v>
      </c>
      <c r="BX476"/>
      <c r="BY476">
        <v>6.1400000000000006</v>
      </c>
      <c r="BZ476"/>
      <c r="CA476"/>
      <c r="CC476">
        <v>5.05</v>
      </c>
      <c r="CD476"/>
      <c r="CE476"/>
      <c r="CF476"/>
      <c r="CG476"/>
      <c r="CH476"/>
      <c r="CI476"/>
      <c r="CJ476"/>
      <c r="CK476"/>
      <c r="CL476"/>
      <c r="CM476"/>
    </row>
    <row r="477" spans="1:91">
      <c r="A477" s="154" t="s">
        <v>7715</v>
      </c>
      <c r="B477" t="s">
        <v>8289</v>
      </c>
      <c r="C477">
        <v>1</v>
      </c>
      <c r="D477">
        <v>1528</v>
      </c>
      <c r="E477" s="113">
        <v>28</v>
      </c>
      <c r="F477" s="113">
        <v>15</v>
      </c>
      <c r="I477">
        <v>27.999999999999996</v>
      </c>
      <c r="K477" s="320">
        <v>8</v>
      </c>
      <c r="L477" s="320"/>
      <c r="M477">
        <v>2.39</v>
      </c>
      <c r="N477" s="320"/>
      <c r="O477"/>
      <c r="P477"/>
      <c r="Q477"/>
      <c r="S477" s="320">
        <v>10.041492134817</v>
      </c>
      <c r="T477" s="320"/>
      <c r="U477">
        <v>10.8</v>
      </c>
      <c r="V477"/>
      <c r="W477"/>
      <c r="X477"/>
      <c r="Y477" s="321">
        <v>5.0366511000000003</v>
      </c>
      <c r="Z477" s="320"/>
      <c r="AA477" s="322">
        <v>61408.839779005524</v>
      </c>
      <c r="AB477" s="320"/>
      <c r="AC477" s="321">
        <v>20.638998900000001</v>
      </c>
      <c r="AD477" s="320"/>
      <c r="AE477" s="320">
        <v>22.23</v>
      </c>
      <c r="AF477" s="320"/>
      <c r="AG477">
        <v>3.62</v>
      </c>
      <c r="AH477"/>
      <c r="AI477">
        <v>120</v>
      </c>
      <c r="AJ477"/>
      <c r="AK477"/>
      <c r="AL477"/>
      <c r="AM477"/>
      <c r="AN477"/>
      <c r="AO477">
        <v>79</v>
      </c>
      <c r="AP477"/>
      <c r="AQ477" s="323"/>
      <c r="AR477" s="323"/>
      <c r="AS477">
        <v>112</v>
      </c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>
        <v>2.2848000000000002</v>
      </c>
      <c r="BH477"/>
      <c r="BI477">
        <v>4.8221999999999996</v>
      </c>
      <c r="BJ477"/>
      <c r="BK477">
        <v>1.3975</v>
      </c>
      <c r="BL477"/>
      <c r="BM477">
        <v>57.686</v>
      </c>
      <c r="BN477"/>
      <c r="BO477">
        <v>21.881</v>
      </c>
      <c r="BP477"/>
      <c r="BQ477">
        <v>9.1180000000000003</v>
      </c>
      <c r="BR477"/>
      <c r="BS477">
        <v>48.652999999999999</v>
      </c>
      <c r="BT477"/>
      <c r="BU477">
        <v>17.920000000000002</v>
      </c>
      <c r="BV477"/>
      <c r="BW477" s="325">
        <v>9.92</v>
      </c>
      <c r="BX477"/>
      <c r="BY477">
        <v>6.4539999999999935</v>
      </c>
      <c r="BZ477"/>
      <c r="CA477"/>
      <c r="CC477">
        <v>8.57</v>
      </c>
      <c r="CD477"/>
      <c r="CE477"/>
      <c r="CF477"/>
      <c r="CG477"/>
      <c r="CH477"/>
      <c r="CI477"/>
      <c r="CJ477"/>
      <c r="CK477"/>
      <c r="CL477"/>
      <c r="CM477"/>
    </row>
    <row r="478" spans="1:91">
      <c r="A478" s="154" t="s">
        <v>7716</v>
      </c>
      <c r="B478" t="s">
        <v>8289</v>
      </c>
      <c r="C478">
        <v>2</v>
      </c>
      <c r="D478">
        <v>446</v>
      </c>
      <c r="E478" s="113">
        <v>46</v>
      </c>
      <c r="F478" s="113">
        <v>4</v>
      </c>
      <c r="I478">
        <v>27</v>
      </c>
      <c r="K478" s="320">
        <v>8</v>
      </c>
      <c r="L478" s="320"/>
      <c r="M478">
        <v>4.3499999999999996</v>
      </c>
      <c r="N478" s="320"/>
      <c r="O478"/>
      <c r="P478"/>
      <c r="Q478"/>
      <c r="S478" s="320">
        <v>19.381568994684002</v>
      </c>
      <c r="T478" s="320"/>
      <c r="U478">
        <v>10.8</v>
      </c>
      <c r="V478"/>
      <c r="W478"/>
      <c r="X478"/>
      <c r="Y478" s="321">
        <v>7.5080988</v>
      </c>
      <c r="Z478" s="320"/>
      <c r="AA478" s="322">
        <v>93407.572383073493</v>
      </c>
      <c r="AB478" s="320"/>
      <c r="AC478" s="321">
        <v>39.202995600000001</v>
      </c>
      <c r="AD478" s="320"/>
      <c r="AE478" s="320">
        <v>41.94</v>
      </c>
      <c r="AF478" s="320"/>
      <c r="AG478">
        <v>4.49</v>
      </c>
      <c r="AH478"/>
      <c r="AI478">
        <v>128</v>
      </c>
      <c r="AJ478"/>
      <c r="AK478"/>
      <c r="AL478"/>
      <c r="AM478"/>
      <c r="AN478"/>
      <c r="AO478">
        <v>72</v>
      </c>
      <c r="AP478"/>
      <c r="AQ478" s="323"/>
      <c r="AR478" s="323"/>
      <c r="AS478">
        <v>114</v>
      </c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>
        <v>-1.222</v>
      </c>
      <c r="BH478"/>
      <c r="BI478">
        <v>4.4179000000000004</v>
      </c>
      <c r="BJ478"/>
      <c r="BK478">
        <v>1.5724</v>
      </c>
      <c r="BL478"/>
      <c r="BM478">
        <v>65.28</v>
      </c>
      <c r="BN478"/>
      <c r="BO478">
        <v>19.059000000000001</v>
      </c>
      <c r="BP478"/>
      <c r="BQ478">
        <v>9.0093999999999994</v>
      </c>
      <c r="BR478"/>
      <c r="BS478">
        <v>49.439</v>
      </c>
      <c r="BT478"/>
      <c r="BU478">
        <v>18.353999999999999</v>
      </c>
      <c r="BV478"/>
      <c r="BW478" s="325">
        <v>11.42</v>
      </c>
      <c r="BX478"/>
      <c r="BY478">
        <v>6.4399999999999977</v>
      </c>
      <c r="BZ478"/>
      <c r="CA478"/>
      <c r="CC478">
        <v>5.25</v>
      </c>
      <c r="CD478"/>
      <c r="CE478"/>
      <c r="CF478"/>
      <c r="CG478"/>
      <c r="CH478"/>
      <c r="CI478"/>
      <c r="CJ478"/>
      <c r="CK478"/>
      <c r="CL478"/>
      <c r="CM478"/>
    </row>
    <row r="479" spans="1:91">
      <c r="A479" s="154" t="s">
        <v>7716</v>
      </c>
      <c r="B479" t="s">
        <v>8287</v>
      </c>
      <c r="C479">
        <v>1</v>
      </c>
      <c r="D479">
        <v>525</v>
      </c>
      <c r="E479" s="113">
        <v>25</v>
      </c>
      <c r="F479" s="113">
        <v>5</v>
      </c>
      <c r="I479">
        <v>27.999999999999996</v>
      </c>
      <c r="K479" s="320">
        <v>9</v>
      </c>
      <c r="L479" s="320"/>
      <c r="M479">
        <v>3.87</v>
      </c>
      <c r="N479" s="320"/>
      <c r="O479"/>
      <c r="P479"/>
      <c r="Q479"/>
      <c r="S479" s="320">
        <v>17.137705146659997</v>
      </c>
      <c r="T479" s="320"/>
      <c r="U479">
        <v>10.8</v>
      </c>
      <c r="V479"/>
      <c r="W479"/>
      <c r="X479"/>
      <c r="Y479" s="321">
        <v>6.4313504999999997</v>
      </c>
      <c r="Z479" s="320"/>
      <c r="AA479" s="322">
        <v>86496.350364963495</v>
      </c>
      <c r="AB479" s="320"/>
      <c r="AC479" s="321">
        <v>33.250625999999997</v>
      </c>
      <c r="AD479" s="320"/>
      <c r="AE479" s="320">
        <v>35.549999999999997</v>
      </c>
      <c r="AF479" s="320"/>
      <c r="AG479">
        <v>4.1100000000000003</v>
      </c>
      <c r="AH479"/>
      <c r="AI479">
        <v>130</v>
      </c>
      <c r="AJ479"/>
      <c r="AK479"/>
      <c r="AL479"/>
      <c r="AM479"/>
      <c r="AN479"/>
      <c r="AO479">
        <v>77</v>
      </c>
      <c r="AP479"/>
      <c r="AQ479" s="323"/>
      <c r="AR479" s="323"/>
      <c r="AS479">
        <v>114</v>
      </c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>
        <v>-1.4677</v>
      </c>
      <c r="BH479"/>
      <c r="BI479">
        <v>4.5589000000000004</v>
      </c>
      <c r="BJ479"/>
      <c r="BK479">
        <v>1.522</v>
      </c>
      <c r="BL479"/>
      <c r="BM479">
        <v>68.415000000000006</v>
      </c>
      <c r="BN479"/>
      <c r="BO479">
        <v>19.254999999999999</v>
      </c>
      <c r="BP479"/>
      <c r="BQ479">
        <v>8.3940000000000001</v>
      </c>
      <c r="BR479"/>
      <c r="BS479">
        <v>51.540999999999997</v>
      </c>
      <c r="BT479"/>
      <c r="BU479">
        <v>17.027999999999999</v>
      </c>
      <c r="BV479"/>
      <c r="BW479" s="325">
        <v>14.51</v>
      </c>
      <c r="BX479"/>
      <c r="BY479">
        <v>6.5210000000000008</v>
      </c>
      <c r="BZ479"/>
      <c r="CA479"/>
      <c r="CC479">
        <v>9.73</v>
      </c>
      <c r="CD479"/>
      <c r="CE479"/>
      <c r="CF479"/>
      <c r="CG479"/>
      <c r="CH479"/>
      <c r="CI479"/>
      <c r="CJ479"/>
      <c r="CK479"/>
      <c r="CL479"/>
      <c r="CM479"/>
    </row>
    <row r="480" spans="1:91">
      <c r="A480" s="154" t="s">
        <v>7716</v>
      </c>
      <c r="B480" t="s">
        <v>8287</v>
      </c>
      <c r="C480">
        <v>2</v>
      </c>
      <c r="D480">
        <v>1275</v>
      </c>
      <c r="E480" s="113">
        <v>75</v>
      </c>
      <c r="F480" s="113">
        <v>12</v>
      </c>
      <c r="I480">
        <v>38.999999999999993</v>
      </c>
      <c r="K480" s="320">
        <v>9</v>
      </c>
      <c r="L480" s="320"/>
      <c r="M480">
        <v>3.6</v>
      </c>
      <c r="N480" s="320"/>
      <c r="O480"/>
      <c r="P480"/>
      <c r="Q480"/>
      <c r="S480" s="320">
        <v>16.869537698400002</v>
      </c>
      <c r="T480" s="320"/>
      <c r="U480">
        <v>10.8</v>
      </c>
      <c r="V480"/>
      <c r="W480"/>
      <c r="X480"/>
      <c r="Y480" s="321">
        <v>5.4796349999999991</v>
      </c>
      <c r="Z480" s="320"/>
      <c r="AA480" s="322">
        <v>85185.185185185197</v>
      </c>
      <c r="AB480" s="320"/>
      <c r="AC480" s="321">
        <v>32.371695000000003</v>
      </c>
      <c r="AD480" s="320"/>
      <c r="AE480" s="320">
        <v>34.5</v>
      </c>
      <c r="AF480" s="320"/>
      <c r="AG480">
        <v>4.05</v>
      </c>
      <c r="AH480"/>
      <c r="AI480">
        <v>125</v>
      </c>
      <c r="AJ480"/>
      <c r="AK480"/>
      <c r="AL480"/>
      <c r="AM480"/>
      <c r="AN480"/>
      <c r="AO480">
        <v>77</v>
      </c>
      <c r="AP480"/>
      <c r="AQ480" s="323"/>
      <c r="AR480" s="323"/>
      <c r="AS480">
        <v>112</v>
      </c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>
        <v>-4.2046999999999999</v>
      </c>
      <c r="BH480"/>
      <c r="BI480">
        <v>4.7344999999999997</v>
      </c>
      <c r="BJ480"/>
      <c r="BK480">
        <v>1.5405</v>
      </c>
      <c r="BL480"/>
      <c r="BM480">
        <v>69.843000000000004</v>
      </c>
      <c r="BN480"/>
      <c r="BO480">
        <v>19.521999999999998</v>
      </c>
      <c r="BP480"/>
      <c r="BQ480">
        <v>7.7275999999999998</v>
      </c>
      <c r="BR480"/>
      <c r="BS480">
        <v>52.112000000000002</v>
      </c>
      <c r="BT480"/>
      <c r="BU480">
        <v>15.73</v>
      </c>
      <c r="BV480"/>
      <c r="BW480" s="325">
        <v>18.43</v>
      </c>
      <c r="BX480"/>
      <c r="BY480">
        <v>6.8760000000000048</v>
      </c>
      <c r="BZ480"/>
      <c r="CA480"/>
      <c r="CC480">
        <v>5.81</v>
      </c>
      <c r="CD480"/>
      <c r="CE480"/>
      <c r="CF480"/>
      <c r="CG480"/>
      <c r="CH480"/>
      <c r="CI480"/>
      <c r="CJ480"/>
      <c r="CK480"/>
      <c r="CL480"/>
      <c r="CM480"/>
    </row>
    <row r="481" spans="1:91">
      <c r="A481" s="154" t="s">
        <v>7716</v>
      </c>
      <c r="B481" t="s">
        <v>8289</v>
      </c>
      <c r="C481">
        <v>1</v>
      </c>
      <c r="D481">
        <v>1734</v>
      </c>
      <c r="E481" s="113">
        <v>34</v>
      </c>
      <c r="F481" s="113">
        <v>17</v>
      </c>
      <c r="I481">
        <v>29.5</v>
      </c>
      <c r="K481" s="320">
        <v>8</v>
      </c>
      <c r="L481" s="320"/>
      <c r="M481">
        <v>3.29</v>
      </c>
      <c r="N481" s="320"/>
      <c r="O481"/>
      <c r="P481"/>
      <c r="Q481"/>
      <c r="S481" s="320">
        <v>13.85675964288</v>
      </c>
      <c r="T481" s="320"/>
      <c r="U481">
        <v>10.8</v>
      </c>
      <c r="V481"/>
      <c r="W481"/>
      <c r="X481"/>
      <c r="Y481" s="321">
        <v>6.1008640000000005</v>
      </c>
      <c r="Z481" s="320"/>
      <c r="AA481" s="322">
        <v>76237.623762376228</v>
      </c>
      <c r="AB481" s="320"/>
      <c r="AC481" s="321">
        <v>28.810628000000001</v>
      </c>
      <c r="AD481" s="320"/>
      <c r="AE481" s="320">
        <v>30.8</v>
      </c>
      <c r="AF481" s="320"/>
      <c r="AG481">
        <v>4.04</v>
      </c>
      <c r="AH481"/>
      <c r="AI481">
        <v>128</v>
      </c>
      <c r="AJ481"/>
      <c r="AK481"/>
      <c r="AL481"/>
      <c r="AM481"/>
      <c r="AN481"/>
      <c r="AO481">
        <v>79</v>
      </c>
      <c r="AP481"/>
      <c r="AQ481" s="323"/>
      <c r="AR481" s="323"/>
      <c r="AS481">
        <v>112</v>
      </c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>
        <v>-7.4051</v>
      </c>
      <c r="BH481"/>
      <c r="BI481">
        <v>4.8007999999999997</v>
      </c>
      <c r="BJ481"/>
      <c r="BK481">
        <v>1.5580000000000001</v>
      </c>
      <c r="BL481"/>
      <c r="BM481">
        <v>68.879000000000005</v>
      </c>
      <c r="BN481"/>
      <c r="BO481">
        <v>20.372</v>
      </c>
      <c r="BP481"/>
      <c r="BQ481">
        <v>8.4882000000000009</v>
      </c>
      <c r="BR481"/>
      <c r="BS481">
        <v>48.095999999999997</v>
      </c>
      <c r="BT481"/>
      <c r="BU481">
        <v>17.991</v>
      </c>
      <c r="BV481"/>
      <c r="BW481" s="325">
        <v>7.85</v>
      </c>
      <c r="BX481"/>
      <c r="BY481">
        <v>7.1310000000000002</v>
      </c>
      <c r="BZ481"/>
      <c r="CA481"/>
      <c r="CC481">
        <v>8</v>
      </c>
      <c r="CD481"/>
      <c r="CE481"/>
      <c r="CF481"/>
      <c r="CG481"/>
      <c r="CH481"/>
      <c r="CI481"/>
      <c r="CJ481"/>
      <c r="CK481"/>
      <c r="CL481"/>
      <c r="CM481"/>
    </row>
    <row r="482" spans="1:91">
      <c r="A482" s="154" t="s">
        <v>7717</v>
      </c>
      <c r="B482" t="s">
        <v>8289</v>
      </c>
      <c r="C482">
        <v>2</v>
      </c>
      <c r="D482">
        <v>545</v>
      </c>
      <c r="E482" s="113">
        <v>45</v>
      </c>
      <c r="F482" s="113">
        <v>5</v>
      </c>
      <c r="I482">
        <v>21.999999999999996</v>
      </c>
      <c r="K482" s="320">
        <v>9</v>
      </c>
      <c r="L482" s="320"/>
      <c r="M482">
        <v>3.88</v>
      </c>
      <c r="N482" s="320"/>
      <c r="O482"/>
      <c r="P482"/>
      <c r="Q482"/>
      <c r="S482" s="320">
        <v>16.19290450866</v>
      </c>
      <c r="T482" s="320"/>
      <c r="U482">
        <v>10.8</v>
      </c>
      <c r="V482"/>
      <c r="W482"/>
      <c r="X482"/>
      <c r="Y482" s="321">
        <v>6.9201018000000003</v>
      </c>
      <c r="Z482" s="320"/>
      <c r="AA482" s="322">
        <v>80107.066381156299</v>
      </c>
      <c r="AB482" s="320"/>
      <c r="AC482" s="321">
        <v>35.133227399999996</v>
      </c>
      <c r="AD482" s="320"/>
      <c r="AE482" s="320">
        <v>37.409999999999997</v>
      </c>
      <c r="AF482" s="320"/>
      <c r="AG482">
        <v>4.67</v>
      </c>
      <c r="AH482"/>
      <c r="AI482">
        <v>138</v>
      </c>
      <c r="AJ482"/>
      <c r="AK482"/>
      <c r="AL482"/>
      <c r="AM482"/>
      <c r="AN482"/>
      <c r="AO482">
        <v>77</v>
      </c>
      <c r="AP482"/>
      <c r="AQ482" s="323"/>
      <c r="AR482" s="323"/>
      <c r="AS482">
        <v>116</v>
      </c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>
        <v>1.1532</v>
      </c>
      <c r="BH482"/>
      <c r="BI482">
        <v>4.7656000000000001</v>
      </c>
      <c r="BJ482"/>
      <c r="BK482">
        <v>1.4634</v>
      </c>
      <c r="BL482"/>
      <c r="BM482">
        <v>61.078000000000003</v>
      </c>
      <c r="BN482"/>
      <c r="BO482">
        <v>22.154</v>
      </c>
      <c r="BP482"/>
      <c r="BQ482">
        <v>11.103999999999999</v>
      </c>
      <c r="BR482"/>
      <c r="BS482">
        <v>46.09</v>
      </c>
      <c r="BT482"/>
      <c r="BU482">
        <v>19.251000000000001</v>
      </c>
      <c r="BV482"/>
      <c r="BW482" s="325">
        <v>2.82</v>
      </c>
      <c r="BX482"/>
      <c r="BY482">
        <v>6.4339999999999975</v>
      </c>
      <c r="BZ482"/>
      <c r="CA482"/>
      <c r="CC482">
        <v>5.24</v>
      </c>
      <c r="CD482"/>
      <c r="CE482"/>
      <c r="CF482"/>
      <c r="CG482"/>
      <c r="CH482"/>
      <c r="CI482"/>
      <c r="CJ482"/>
      <c r="CK482"/>
      <c r="CL482"/>
      <c r="CM482"/>
    </row>
    <row r="483" spans="1:91">
      <c r="A483" s="327" t="s">
        <v>7717</v>
      </c>
      <c r="B483" s="328" t="s">
        <v>8287</v>
      </c>
      <c r="C483" s="328">
        <v>1</v>
      </c>
      <c r="D483" s="328">
        <v>911</v>
      </c>
      <c r="E483" s="113">
        <v>11</v>
      </c>
      <c r="F483" s="113">
        <v>9</v>
      </c>
      <c r="G483" s="329"/>
      <c r="H483" s="329"/>
      <c r="I483" s="328">
        <v>18</v>
      </c>
      <c r="J483" s="330"/>
      <c r="K483" s="331">
        <v>8</v>
      </c>
      <c r="L483" s="331"/>
      <c r="M483" s="328">
        <v>2.19</v>
      </c>
      <c r="N483" s="331"/>
      <c r="O483" s="328"/>
      <c r="P483" s="328"/>
      <c r="Q483" s="328"/>
      <c r="R483" s="332"/>
      <c r="S483" s="331">
        <v>8.7472031687039991</v>
      </c>
      <c r="T483" s="331"/>
      <c r="U483" s="328">
        <v>10.8</v>
      </c>
      <c r="V483" s="328"/>
      <c r="W483" s="328"/>
      <c r="X483" s="328"/>
      <c r="Y483" s="333">
        <v>3.6861915999999995</v>
      </c>
      <c r="Z483" s="331"/>
      <c r="AA483" s="334">
        <v>45798.687089715531</v>
      </c>
      <c r="AB483" s="331"/>
      <c r="AC483" s="333">
        <v>19.587968399999998</v>
      </c>
      <c r="AD483" s="331"/>
      <c r="AE483" s="331">
        <v>20.93</v>
      </c>
      <c r="AF483" s="331"/>
      <c r="AG483" s="328">
        <v>4.57</v>
      </c>
      <c r="AH483" s="328"/>
      <c r="AI483" s="328">
        <v>105</v>
      </c>
      <c r="AJ483" s="328"/>
      <c r="AK483" s="328"/>
      <c r="AL483" s="328"/>
      <c r="AM483" s="328"/>
      <c r="AN483" s="328"/>
      <c r="AO483" s="328">
        <v>77</v>
      </c>
      <c r="AP483" s="328"/>
      <c r="AQ483" s="335"/>
      <c r="AR483" s="335"/>
      <c r="AS483" s="328">
        <v>112</v>
      </c>
      <c r="AT483" s="328"/>
      <c r="AU483" s="328"/>
      <c r="AV483" s="328"/>
      <c r="AW483" s="328"/>
      <c r="AX483" s="328"/>
      <c r="AY483" s="328"/>
      <c r="AZ483" s="328"/>
      <c r="BA483" s="328"/>
      <c r="BB483" s="328"/>
      <c r="BC483" s="328"/>
      <c r="BD483" s="328"/>
      <c r="BE483" s="328"/>
      <c r="BF483" s="328"/>
      <c r="BG483" s="328">
        <v>0.35755999999999999</v>
      </c>
      <c r="BH483" s="328"/>
      <c r="BI483" s="328">
        <v>5.2721999999999998</v>
      </c>
      <c r="BJ483" s="328"/>
      <c r="BK483" s="328">
        <v>1.5933999999999999</v>
      </c>
      <c r="BL483" s="328"/>
      <c r="BM483" s="328">
        <v>61.246000000000002</v>
      </c>
      <c r="BN483" s="328"/>
      <c r="BO483" s="328">
        <v>20.454000000000001</v>
      </c>
      <c r="BP483" s="328"/>
      <c r="BQ483" s="328">
        <v>11.087</v>
      </c>
      <c r="BR483" s="328"/>
      <c r="BS483" s="328">
        <v>44.655999999999999</v>
      </c>
      <c r="BT483" s="328"/>
      <c r="BU483" s="328">
        <v>20.445</v>
      </c>
      <c r="BV483" s="328"/>
      <c r="BW483" s="336">
        <v>0.15</v>
      </c>
      <c r="BX483" s="328"/>
      <c r="BY483" s="328">
        <v>6.7309999999999945</v>
      </c>
      <c r="BZ483" s="328"/>
      <c r="CA483" s="328"/>
      <c r="CB483" s="337"/>
      <c r="CC483" s="328">
        <v>6.06</v>
      </c>
      <c r="CD483" s="328"/>
      <c r="CE483" s="328"/>
      <c r="CF483" s="328"/>
      <c r="CG483" s="328"/>
      <c r="CH483" s="328"/>
      <c r="CI483" s="328"/>
      <c r="CJ483" s="328"/>
      <c r="CK483" s="328" t="s">
        <v>8377</v>
      </c>
      <c r="CL483" s="328"/>
      <c r="CM483" s="328"/>
    </row>
    <row r="484" spans="1:91">
      <c r="A484" s="154" t="s">
        <v>7717</v>
      </c>
      <c r="B484" t="s">
        <v>8287</v>
      </c>
      <c r="C484">
        <v>2</v>
      </c>
      <c r="D484">
        <v>1472</v>
      </c>
      <c r="E484" s="113">
        <v>72</v>
      </c>
      <c r="F484" s="113">
        <v>14</v>
      </c>
      <c r="I484">
        <v>18</v>
      </c>
      <c r="K484" s="320">
        <v>9</v>
      </c>
      <c r="L484" s="320"/>
      <c r="M484">
        <v>3.51</v>
      </c>
      <c r="N484" s="320"/>
      <c r="O484"/>
      <c r="P484"/>
      <c r="Q484"/>
      <c r="S484" s="320">
        <v>15.335183303978999</v>
      </c>
      <c r="T484" s="320"/>
      <c r="U484">
        <v>10.8</v>
      </c>
      <c r="V484"/>
      <c r="W484"/>
      <c r="X484"/>
      <c r="Y484" s="321">
        <v>6.2693883000000001</v>
      </c>
      <c r="Z484" s="320"/>
      <c r="AA484" s="322">
        <v>73500.000000000015</v>
      </c>
      <c r="AB484" s="320"/>
      <c r="AC484" s="321">
        <v>31.6052499</v>
      </c>
      <c r="AD484" s="320"/>
      <c r="AE484" s="320">
        <v>33.81</v>
      </c>
      <c r="AF484" s="320"/>
      <c r="AG484">
        <v>4.5999999999999996</v>
      </c>
      <c r="AH484"/>
      <c r="AI484">
        <v>130</v>
      </c>
      <c r="AJ484"/>
      <c r="AK484"/>
      <c r="AL484"/>
      <c r="AM484"/>
      <c r="AN484"/>
      <c r="AO484">
        <v>77</v>
      </c>
      <c r="AP484"/>
      <c r="AQ484" s="323"/>
      <c r="AR484" s="323"/>
      <c r="AS484">
        <v>112</v>
      </c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>
        <v>-0.98221000000000003</v>
      </c>
      <c r="BH484"/>
      <c r="BI484">
        <v>5.1558000000000002</v>
      </c>
      <c r="BJ484"/>
      <c r="BK484">
        <v>1.4393</v>
      </c>
      <c r="BL484"/>
      <c r="BM484">
        <v>58.253999999999998</v>
      </c>
      <c r="BN484"/>
      <c r="BO484">
        <v>22.954000000000001</v>
      </c>
      <c r="BP484"/>
      <c r="BQ484">
        <v>11.022</v>
      </c>
      <c r="BR484"/>
      <c r="BS484">
        <v>48.521000000000001</v>
      </c>
      <c r="BT484"/>
      <c r="BU484">
        <v>17.87</v>
      </c>
      <c r="BV484"/>
      <c r="BW484" s="325">
        <v>3.57</v>
      </c>
      <c r="BX484"/>
      <c r="BY484">
        <v>6.1949999999999932</v>
      </c>
      <c r="BZ484"/>
      <c r="CA484"/>
      <c r="CC484">
        <v>5.34</v>
      </c>
      <c r="CD484"/>
      <c r="CE484"/>
      <c r="CF484"/>
      <c r="CG484"/>
      <c r="CH484"/>
      <c r="CI484"/>
      <c r="CJ484"/>
      <c r="CK484"/>
      <c r="CL484"/>
      <c r="CM484"/>
    </row>
    <row r="485" spans="1:91">
      <c r="A485" s="154" t="s">
        <v>7717</v>
      </c>
      <c r="B485" t="s">
        <v>8289</v>
      </c>
      <c r="C485">
        <v>1</v>
      </c>
      <c r="D485">
        <v>1536</v>
      </c>
      <c r="E485" s="113">
        <v>36</v>
      </c>
      <c r="F485" s="113">
        <v>15</v>
      </c>
      <c r="I485">
        <v>26.499999999999996</v>
      </c>
      <c r="K485" s="320">
        <v>8</v>
      </c>
      <c r="L485" s="320"/>
      <c r="M485">
        <v>3.17</v>
      </c>
      <c r="N485" s="320"/>
      <c r="O485"/>
      <c r="P485"/>
      <c r="Q485"/>
      <c r="S485" s="320">
        <v>13.305474461716003</v>
      </c>
      <c r="T485" s="320"/>
      <c r="U485">
        <v>10.8</v>
      </c>
      <c r="V485"/>
      <c r="W485"/>
      <c r="X485"/>
      <c r="Y485" s="321">
        <v>5.9458748000000003</v>
      </c>
      <c r="Z485" s="320"/>
      <c r="AA485" s="322">
        <v>66921.348314606745</v>
      </c>
      <c r="AB485" s="320"/>
      <c r="AC485" s="321">
        <v>27.778188400000005</v>
      </c>
      <c r="AD485" s="320"/>
      <c r="AE485" s="320">
        <v>29.78</v>
      </c>
      <c r="AF485" s="320"/>
      <c r="AG485">
        <v>4.45</v>
      </c>
      <c r="AH485"/>
      <c r="AI485">
        <v>128</v>
      </c>
      <c r="AJ485"/>
      <c r="AK485"/>
      <c r="AL485"/>
      <c r="AM485"/>
      <c r="AN485"/>
      <c r="AO485">
        <v>77</v>
      </c>
      <c r="AP485"/>
      <c r="AQ485" s="323"/>
      <c r="AR485" s="323"/>
      <c r="AS485">
        <v>112</v>
      </c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>
        <v>-3.7978000000000001</v>
      </c>
      <c r="BH485"/>
      <c r="BI485">
        <v>4.9515000000000002</v>
      </c>
      <c r="BJ485"/>
      <c r="BK485">
        <v>1.5278</v>
      </c>
      <c r="BL485"/>
      <c r="BM485">
        <v>66.67</v>
      </c>
      <c r="BN485"/>
      <c r="BO485">
        <v>22.396000000000001</v>
      </c>
      <c r="BP485"/>
      <c r="BQ485">
        <v>9.5404999999999998</v>
      </c>
      <c r="BR485"/>
      <c r="BS485">
        <v>47.899000000000001</v>
      </c>
      <c r="BT485"/>
      <c r="BU485">
        <v>18.260999999999999</v>
      </c>
      <c r="BV485"/>
      <c r="BW485" s="325">
        <v>7.77</v>
      </c>
      <c r="BX485"/>
      <c r="BY485">
        <v>6.2810000000000059</v>
      </c>
      <c r="BZ485"/>
      <c r="CA485"/>
      <c r="CC485">
        <v>7.67</v>
      </c>
      <c r="CD485"/>
      <c r="CE485"/>
      <c r="CF485"/>
      <c r="CG485"/>
      <c r="CH485"/>
      <c r="CI485"/>
      <c r="CJ485"/>
      <c r="CK485"/>
      <c r="CL485"/>
      <c r="CM485"/>
    </row>
    <row r="486" spans="1:91">
      <c r="A486" s="154" t="s">
        <v>7718</v>
      </c>
      <c r="B486" t="s">
        <v>8289</v>
      </c>
      <c r="C486">
        <v>2</v>
      </c>
      <c r="D486">
        <v>451</v>
      </c>
      <c r="E486" s="113">
        <v>51</v>
      </c>
      <c r="F486" s="113">
        <v>4</v>
      </c>
      <c r="I486">
        <v>27.999999999999996</v>
      </c>
      <c r="K486" s="320">
        <v>8</v>
      </c>
      <c r="L486" s="320"/>
      <c r="M486">
        <v>2.6</v>
      </c>
      <c r="N486" s="320"/>
      <c r="O486"/>
      <c r="P486"/>
      <c r="Q486"/>
      <c r="S486" s="320">
        <v>10.8189415732</v>
      </c>
      <c r="T486" s="320"/>
      <c r="U486">
        <v>10.8</v>
      </c>
      <c r="V486"/>
      <c r="W486"/>
      <c r="X486"/>
      <c r="Y486" s="321">
        <v>4.9757794000000004</v>
      </c>
      <c r="Z486" s="320"/>
      <c r="AA486" s="322">
        <v>67223.719676549867</v>
      </c>
      <c r="AB486" s="320"/>
      <c r="AC486" s="321">
        <v>23.312664999999999</v>
      </c>
      <c r="AD486" s="320"/>
      <c r="AE486" s="320">
        <v>24.94</v>
      </c>
      <c r="AF486" s="320"/>
      <c r="AG486">
        <v>3.71</v>
      </c>
      <c r="AH486"/>
      <c r="AI486">
        <v>108</v>
      </c>
      <c r="AJ486"/>
      <c r="AK486"/>
      <c r="AL486"/>
      <c r="AM486"/>
      <c r="AN486"/>
      <c r="AO486">
        <v>72</v>
      </c>
      <c r="AP486"/>
      <c r="AQ486" s="323"/>
      <c r="AR486" s="323"/>
      <c r="AS486">
        <v>116</v>
      </c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>
        <v>-0.38239000000000001</v>
      </c>
      <c r="BH486"/>
      <c r="BI486">
        <v>4.8954000000000004</v>
      </c>
      <c r="BJ486"/>
      <c r="BK486">
        <v>1.6970000000000001</v>
      </c>
      <c r="BL486"/>
      <c r="BM486">
        <v>62.396000000000001</v>
      </c>
      <c r="BN486"/>
      <c r="BO486">
        <v>20.048999999999999</v>
      </c>
      <c r="BP486"/>
      <c r="BQ486">
        <v>9.4367000000000001</v>
      </c>
      <c r="BR486"/>
      <c r="BS486">
        <v>46.408000000000001</v>
      </c>
      <c r="BT486"/>
      <c r="BU486">
        <v>19.344999999999999</v>
      </c>
      <c r="BV486"/>
      <c r="BW486" s="325">
        <v>7.17</v>
      </c>
      <c r="BX486"/>
      <c r="BY486">
        <v>6.6550000000000011</v>
      </c>
      <c r="BZ486"/>
      <c r="CA486"/>
      <c r="CC486">
        <v>5.72</v>
      </c>
      <c r="CD486"/>
      <c r="CE486"/>
      <c r="CF486"/>
      <c r="CG486"/>
      <c r="CH486"/>
      <c r="CI486"/>
      <c r="CJ486"/>
      <c r="CK486"/>
      <c r="CL486"/>
      <c r="CM486"/>
    </row>
    <row r="487" spans="1:91">
      <c r="A487" s="327" t="s">
        <v>7718</v>
      </c>
      <c r="B487" s="328" t="s">
        <v>8287</v>
      </c>
      <c r="C487" s="328">
        <v>1</v>
      </c>
      <c r="D487" s="328">
        <v>803</v>
      </c>
      <c r="E487" s="113">
        <v>3</v>
      </c>
      <c r="F487" s="113">
        <v>8</v>
      </c>
      <c r="G487" s="329"/>
      <c r="H487" s="329"/>
      <c r="I487" s="328">
        <v>20</v>
      </c>
      <c r="J487" s="330"/>
      <c r="K487" s="331">
        <v>8</v>
      </c>
      <c r="L487" s="331"/>
      <c r="M487" s="328">
        <v>2.59</v>
      </c>
      <c r="N487" s="331"/>
      <c r="O487" s="328"/>
      <c r="P487" s="328"/>
      <c r="Q487" s="328"/>
      <c r="R487" s="332"/>
      <c r="S487" s="331">
        <v>11.894982142679998</v>
      </c>
      <c r="T487" s="331"/>
      <c r="U487" s="328">
        <v>10.8</v>
      </c>
      <c r="V487" s="328"/>
      <c r="W487" s="328"/>
      <c r="X487" s="328"/>
      <c r="Y487" s="333">
        <v>4.4363669999999997</v>
      </c>
      <c r="Z487" s="331"/>
      <c r="AA487" s="334">
        <v>69971.671388101982</v>
      </c>
      <c r="AB487" s="331"/>
      <c r="AC487" s="333">
        <v>23.176257</v>
      </c>
      <c r="AD487" s="331"/>
      <c r="AE487" s="331">
        <v>24.7</v>
      </c>
      <c r="AF487" s="331"/>
      <c r="AG487" s="328">
        <v>3.53</v>
      </c>
      <c r="AH487" s="328"/>
      <c r="AI487" s="328">
        <v>123</v>
      </c>
      <c r="AJ487" s="328"/>
      <c r="AK487" s="328"/>
      <c r="AL487" s="328"/>
      <c r="AM487" s="328"/>
      <c r="AN487" s="328"/>
      <c r="AO487" s="328">
        <v>77</v>
      </c>
      <c r="AP487" s="328"/>
      <c r="AQ487" s="335"/>
      <c r="AR487" s="335"/>
      <c r="AS487" s="328">
        <v>112</v>
      </c>
      <c r="AT487" s="328"/>
      <c r="AU487" s="328"/>
      <c r="AV487" s="328"/>
      <c r="AW487" s="328"/>
      <c r="AX487" s="328"/>
      <c r="AY487" s="328"/>
      <c r="AZ487" s="328"/>
      <c r="BA487" s="328"/>
      <c r="BB487" s="328"/>
      <c r="BC487" s="328"/>
      <c r="BD487" s="328"/>
      <c r="BE487" s="328"/>
      <c r="BF487" s="328"/>
      <c r="BG487" s="328">
        <v>-0.23815</v>
      </c>
      <c r="BH487" s="328"/>
      <c r="BI487" s="328">
        <v>5.1079999999999997</v>
      </c>
      <c r="BJ487" s="328"/>
      <c r="BK487" s="328">
        <v>1.5984</v>
      </c>
      <c r="BL487" s="328"/>
      <c r="BM487" s="328">
        <v>63.542999999999999</v>
      </c>
      <c r="BN487" s="328"/>
      <c r="BO487" s="328">
        <v>20.606999999999999</v>
      </c>
      <c r="BP487" s="328"/>
      <c r="BQ487" s="328">
        <v>9.0042000000000009</v>
      </c>
      <c r="BR487" s="328"/>
      <c r="BS487" s="328">
        <v>51.323999999999998</v>
      </c>
      <c r="BT487" s="328"/>
      <c r="BU487" s="328">
        <v>17.004999999999999</v>
      </c>
      <c r="BV487" s="328"/>
      <c r="BW487" s="336">
        <v>3.15</v>
      </c>
      <c r="BX487" s="328"/>
      <c r="BY487" s="328">
        <v>6.2459999999999951</v>
      </c>
      <c r="BZ487" s="328"/>
      <c r="CA487" s="328"/>
      <c r="CB487" s="337"/>
      <c r="CC487" s="328">
        <v>6.26</v>
      </c>
      <c r="CD487" s="328"/>
      <c r="CE487" s="328"/>
      <c r="CF487" s="328"/>
      <c r="CG487" s="328"/>
      <c r="CH487" s="328"/>
      <c r="CI487" s="328"/>
      <c r="CJ487" s="328"/>
      <c r="CK487" s="328" t="s">
        <v>8377</v>
      </c>
      <c r="CL487" s="328"/>
      <c r="CM487" s="328"/>
    </row>
    <row r="488" spans="1:91">
      <c r="A488" s="154" t="s">
        <v>7718</v>
      </c>
      <c r="B488" t="s">
        <v>8289</v>
      </c>
      <c r="C488">
        <v>1</v>
      </c>
      <c r="D488">
        <v>1414</v>
      </c>
      <c r="E488" s="113">
        <v>14</v>
      </c>
      <c r="F488" s="113">
        <v>14</v>
      </c>
      <c r="I488">
        <v>18.5</v>
      </c>
      <c r="K488" s="320">
        <v>9</v>
      </c>
      <c r="L488" s="320"/>
      <c r="M488">
        <v>2.87</v>
      </c>
      <c r="N488" s="320"/>
      <c r="O488"/>
      <c r="P488"/>
      <c r="Q488"/>
      <c r="S488" s="320">
        <v>12.3337285038</v>
      </c>
      <c r="T488" s="320"/>
      <c r="U488">
        <v>10.8</v>
      </c>
      <c r="V488"/>
      <c r="W488"/>
      <c r="X488"/>
      <c r="Y488" s="321">
        <v>5.4758087999999994</v>
      </c>
      <c r="Z488" s="320"/>
      <c r="AA488" s="322">
        <v>84537.037037037036</v>
      </c>
      <c r="AB488" s="320"/>
      <c r="AC488" s="321">
        <v>25.727427000000002</v>
      </c>
      <c r="AD488" s="320"/>
      <c r="AE488" s="320">
        <v>27.39</v>
      </c>
      <c r="AF488" s="320"/>
      <c r="AG488">
        <v>3.24</v>
      </c>
      <c r="AH488"/>
      <c r="AI488">
        <v>118</v>
      </c>
      <c r="AJ488"/>
      <c r="AK488"/>
      <c r="AL488"/>
      <c r="AM488"/>
      <c r="AN488"/>
      <c r="AO488">
        <v>79</v>
      </c>
      <c r="AP488"/>
      <c r="AQ488" s="323"/>
      <c r="AR488" s="323"/>
      <c r="AS488">
        <v>114</v>
      </c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>
        <v>-3.5525000000000002</v>
      </c>
      <c r="BH488"/>
      <c r="BI488">
        <v>4.7516999999999996</v>
      </c>
      <c r="BJ488"/>
      <c r="BK488">
        <v>1.6500999999999999</v>
      </c>
      <c r="BL488"/>
      <c r="BM488">
        <v>61.195</v>
      </c>
      <c r="BN488"/>
      <c r="BO488">
        <v>20.648</v>
      </c>
      <c r="BP488"/>
      <c r="BQ488">
        <v>9.6483000000000008</v>
      </c>
      <c r="BR488"/>
      <c r="BS488">
        <v>47.94</v>
      </c>
      <c r="BT488"/>
      <c r="BU488">
        <v>19.244</v>
      </c>
      <c r="BV488"/>
      <c r="BW488" s="325">
        <v>4.8899999999999997</v>
      </c>
      <c r="BX488"/>
      <c r="BY488">
        <v>6.1430000000000007</v>
      </c>
      <c r="BZ488"/>
      <c r="CA488"/>
      <c r="CC488">
        <v>6.21</v>
      </c>
      <c r="CD488"/>
      <c r="CE488"/>
      <c r="CF488"/>
      <c r="CG488"/>
      <c r="CH488"/>
      <c r="CI488"/>
      <c r="CJ488"/>
      <c r="CK488"/>
      <c r="CL488"/>
      <c r="CM488"/>
    </row>
    <row r="489" spans="1:91">
      <c r="A489" s="154" t="s">
        <v>7718</v>
      </c>
      <c r="B489" t="s">
        <v>8287</v>
      </c>
      <c r="C489">
        <v>2</v>
      </c>
      <c r="D489">
        <v>1564</v>
      </c>
      <c r="E489" s="113">
        <v>64</v>
      </c>
      <c r="F489" s="113">
        <v>15</v>
      </c>
      <c r="I489">
        <v>31</v>
      </c>
      <c r="K489" s="320">
        <v>8</v>
      </c>
      <c r="L489" s="320"/>
      <c r="M489"/>
      <c r="N489" s="320"/>
      <c r="O489"/>
      <c r="P489"/>
      <c r="Q489"/>
      <c r="S489" s="320" t="s">
        <v>8361</v>
      </c>
      <c r="T489" s="320"/>
      <c r="U489">
        <v>10.8</v>
      </c>
      <c r="V489"/>
      <c r="W489"/>
      <c r="X489"/>
      <c r="Y489" s="321" t="s">
        <v>8237</v>
      </c>
      <c r="Z489" s="320"/>
      <c r="AA489" s="322" t="s">
        <v>8237</v>
      </c>
      <c r="AB489" s="320"/>
      <c r="AC489" s="321" t="s">
        <v>8237</v>
      </c>
      <c r="AD489" s="320"/>
      <c r="AE489" s="320"/>
      <c r="AF489" s="320"/>
      <c r="AG489"/>
      <c r="AH489"/>
      <c r="AI489">
        <v>113</v>
      </c>
      <c r="AJ489"/>
      <c r="AK489"/>
      <c r="AL489"/>
      <c r="AM489"/>
      <c r="AN489"/>
      <c r="AO489">
        <v>72</v>
      </c>
      <c r="AP489"/>
      <c r="AQ489" s="323"/>
      <c r="AR489" s="323"/>
      <c r="AS489">
        <v>112</v>
      </c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 t="s">
        <v>8361</v>
      </c>
      <c r="BX489" s="324"/>
      <c r="BY489" t="s">
        <v>8237</v>
      </c>
      <c r="BZ489"/>
      <c r="CA489"/>
      <c r="CC489"/>
      <c r="CD489"/>
      <c r="CE489"/>
      <c r="CF489"/>
      <c r="CG489"/>
      <c r="CH489"/>
      <c r="CI489"/>
      <c r="CJ489"/>
      <c r="CK489"/>
      <c r="CL489"/>
      <c r="CM489"/>
    </row>
    <row r="490" spans="1:91">
      <c r="A490" s="327" t="s">
        <v>7719</v>
      </c>
      <c r="B490" s="328" t="s">
        <v>8289</v>
      </c>
      <c r="C490" s="328">
        <v>2</v>
      </c>
      <c r="D490" s="328">
        <v>355</v>
      </c>
      <c r="E490" s="113">
        <v>55</v>
      </c>
      <c r="F490" s="113">
        <v>3</v>
      </c>
      <c r="G490" s="329"/>
      <c r="H490" s="329"/>
      <c r="I490" s="328">
        <v>36.5</v>
      </c>
      <c r="J490" s="330"/>
      <c r="K490" s="331">
        <v>6</v>
      </c>
      <c r="L490" s="331"/>
      <c r="M490" s="328">
        <v>1.69</v>
      </c>
      <c r="N490" s="331"/>
      <c r="O490" s="328"/>
      <c r="P490" s="328"/>
      <c r="Q490" s="328"/>
      <c r="R490" s="332"/>
      <c r="S490" s="331">
        <v>7.1949686090520002</v>
      </c>
      <c r="T490" s="331"/>
      <c r="U490" s="328">
        <v>10.8</v>
      </c>
      <c r="V490" s="328"/>
      <c r="W490" s="328"/>
      <c r="X490" s="328"/>
      <c r="Y490" s="333">
        <v>3.3820910000000004</v>
      </c>
      <c r="Z490" s="331"/>
      <c r="AA490" s="334">
        <v>31932.938856015779</v>
      </c>
      <c r="AB490" s="331"/>
      <c r="AC490" s="333">
        <v>15.165820600000002</v>
      </c>
      <c r="AD490" s="331"/>
      <c r="AE490" s="331">
        <v>16.190000000000001</v>
      </c>
      <c r="AF490" s="331"/>
      <c r="AG490" s="328">
        <v>5.07</v>
      </c>
      <c r="AH490" s="328"/>
      <c r="AI490" s="328">
        <v>103</v>
      </c>
      <c r="AJ490" s="328"/>
      <c r="AK490" s="328"/>
      <c r="AL490" s="328"/>
      <c r="AM490" s="328"/>
      <c r="AN490" s="328"/>
      <c r="AO490" s="328">
        <v>80</v>
      </c>
      <c r="AP490" s="328"/>
      <c r="AQ490" s="335"/>
      <c r="AR490" s="335"/>
      <c r="AS490" s="328">
        <v>118</v>
      </c>
      <c r="AT490" s="328"/>
      <c r="AU490" s="328"/>
      <c r="AV490" s="328"/>
      <c r="AW490" s="328"/>
      <c r="AX490" s="328"/>
      <c r="AY490" s="328"/>
      <c r="AZ490" s="328"/>
      <c r="BA490" s="328"/>
      <c r="BB490" s="328"/>
      <c r="BC490" s="328"/>
      <c r="BD490" s="328"/>
      <c r="BE490" s="328"/>
      <c r="BF490" s="328"/>
      <c r="BG490" s="328">
        <v>1.8676999999999999</v>
      </c>
      <c r="BH490" s="328"/>
      <c r="BI490" s="328">
        <v>4.5481999999999996</v>
      </c>
      <c r="BJ490" s="328"/>
      <c r="BK490" s="328">
        <v>1.5732999999999999</v>
      </c>
      <c r="BL490" s="328"/>
      <c r="BM490" s="328">
        <v>64.646000000000001</v>
      </c>
      <c r="BN490" s="328"/>
      <c r="BO490" s="328">
        <v>19.405000000000001</v>
      </c>
      <c r="BP490" s="328"/>
      <c r="BQ490" s="328">
        <v>8.6424000000000003</v>
      </c>
      <c r="BR490" s="328"/>
      <c r="BS490" s="328">
        <v>47.442</v>
      </c>
      <c r="BT490" s="328"/>
      <c r="BU490" s="328">
        <v>20.146000000000001</v>
      </c>
      <c r="BV490" s="328"/>
      <c r="BW490" s="336">
        <v>9.24</v>
      </c>
      <c r="BX490" s="328"/>
      <c r="BY490" s="328">
        <v>6.5600000000000023</v>
      </c>
      <c r="BZ490" s="328"/>
      <c r="CA490" s="328"/>
      <c r="CB490" s="337"/>
      <c r="CC490" s="328">
        <v>5.84</v>
      </c>
      <c r="CD490" s="328"/>
      <c r="CE490" s="328"/>
      <c r="CF490" s="328"/>
      <c r="CG490" s="328"/>
      <c r="CH490" s="328"/>
      <c r="CI490" s="328"/>
      <c r="CJ490" s="328"/>
      <c r="CK490" s="328" t="s">
        <v>8377</v>
      </c>
      <c r="CL490" s="328"/>
      <c r="CM490" s="328"/>
    </row>
    <row r="491" spans="1:91">
      <c r="A491" s="327" t="s">
        <v>7719</v>
      </c>
      <c r="B491" s="328" t="s">
        <v>8287</v>
      </c>
      <c r="C491" s="328">
        <v>1</v>
      </c>
      <c r="D491" s="328">
        <v>816</v>
      </c>
      <c r="E491" s="113">
        <v>16</v>
      </c>
      <c r="F491" s="113">
        <v>8</v>
      </c>
      <c r="G491" s="329"/>
      <c r="H491" s="329"/>
      <c r="I491" s="328">
        <v>32</v>
      </c>
      <c r="J491" s="330"/>
      <c r="K491" s="331">
        <v>7</v>
      </c>
      <c r="L491" s="331"/>
      <c r="M491" s="328">
        <v>2.5499999999999998</v>
      </c>
      <c r="N491" s="331"/>
      <c r="O491" s="328"/>
      <c r="P491" s="328"/>
      <c r="Q491" s="328"/>
      <c r="R491" s="332"/>
      <c r="S491" s="331">
        <v>11.564385914549998</v>
      </c>
      <c r="T491" s="331"/>
      <c r="U491" s="328">
        <v>10.8</v>
      </c>
      <c r="V491" s="328"/>
      <c r="W491" s="328"/>
      <c r="X491" s="328"/>
      <c r="Y491" s="333">
        <v>4.1799719999999994</v>
      </c>
      <c r="Z491" s="331"/>
      <c r="AA491" s="334">
        <v>52922.077922077922</v>
      </c>
      <c r="AB491" s="331"/>
      <c r="AC491" s="333">
        <v>22.771262999999998</v>
      </c>
      <c r="AD491" s="331"/>
      <c r="AE491" s="331">
        <v>24.45</v>
      </c>
      <c r="AF491" s="331"/>
      <c r="AG491" s="328">
        <v>4.62</v>
      </c>
      <c r="AH491" s="328"/>
      <c r="AI491" s="328">
        <v>100</v>
      </c>
      <c r="AJ491" s="328"/>
      <c r="AK491" s="328"/>
      <c r="AL491" s="328"/>
      <c r="AM491" s="328"/>
      <c r="AN491" s="328"/>
      <c r="AO491" s="328">
        <v>81</v>
      </c>
      <c r="AP491" s="328"/>
      <c r="AQ491" s="335"/>
      <c r="AR491" s="335"/>
      <c r="AS491" s="328">
        <v>114</v>
      </c>
      <c r="AT491" s="328"/>
      <c r="AU491" s="328"/>
      <c r="AV491" s="328"/>
      <c r="AW491" s="328"/>
      <c r="AX491" s="328"/>
      <c r="AY491" s="328"/>
      <c r="AZ491" s="328"/>
      <c r="BA491" s="328"/>
      <c r="BB491" s="328"/>
      <c r="BC491" s="328"/>
      <c r="BD491" s="328"/>
      <c r="BE491" s="328"/>
      <c r="BF491" s="328"/>
      <c r="BG491" s="328">
        <v>8.4956999999999994</v>
      </c>
      <c r="BH491" s="328"/>
      <c r="BI491" s="328">
        <v>4.4825999999999997</v>
      </c>
      <c r="BJ491" s="328"/>
      <c r="BK491" s="328">
        <v>1.4316</v>
      </c>
      <c r="BL491" s="328"/>
      <c r="BM491" s="328">
        <v>61.813000000000002</v>
      </c>
      <c r="BN491" s="328"/>
      <c r="BO491" s="328">
        <v>18.986999999999998</v>
      </c>
      <c r="BP491" s="328"/>
      <c r="BQ491" s="328">
        <v>8.9657</v>
      </c>
      <c r="BR491" s="328"/>
      <c r="BS491" s="328">
        <v>50.784999999999997</v>
      </c>
      <c r="BT491" s="328"/>
      <c r="BU491" s="328">
        <v>17.577999999999999</v>
      </c>
      <c r="BV491" s="328"/>
      <c r="BW491" s="336">
        <v>15.07</v>
      </c>
      <c r="BX491" s="328"/>
      <c r="BY491" s="328">
        <v>6.6710000000000065</v>
      </c>
      <c r="BZ491" s="328"/>
      <c r="CA491" s="328"/>
      <c r="CB491" s="337"/>
      <c r="CC491" s="328">
        <v>5.76</v>
      </c>
      <c r="CD491" s="328"/>
      <c r="CE491" s="328"/>
      <c r="CF491" s="328"/>
      <c r="CG491" s="328"/>
      <c r="CH491" s="328"/>
      <c r="CI491" s="328"/>
      <c r="CJ491" s="328"/>
      <c r="CK491" s="328" t="s">
        <v>8377</v>
      </c>
      <c r="CL491" s="328"/>
      <c r="CM491" s="328"/>
    </row>
    <row r="492" spans="1:91">
      <c r="A492" s="154" t="s">
        <v>7719</v>
      </c>
      <c r="B492" t="s">
        <v>8289</v>
      </c>
      <c r="C492">
        <v>1</v>
      </c>
      <c r="D492">
        <v>1208</v>
      </c>
      <c r="E492" s="113">
        <v>8</v>
      </c>
      <c r="F492" s="113">
        <v>12</v>
      </c>
      <c r="I492">
        <v>27.499999999999996</v>
      </c>
      <c r="K492" s="320">
        <v>9</v>
      </c>
      <c r="L492" s="320"/>
      <c r="M492">
        <v>3.19</v>
      </c>
      <c r="N492" s="320"/>
      <c r="O492"/>
      <c r="P492"/>
      <c r="Q492"/>
      <c r="S492" s="320">
        <v>13.088179219499999</v>
      </c>
      <c r="T492" s="320"/>
      <c r="U492">
        <v>10.8</v>
      </c>
      <c r="V492"/>
      <c r="W492"/>
      <c r="X492"/>
      <c r="Y492" s="321">
        <v>6.6305880000000004</v>
      </c>
      <c r="Z492" s="320"/>
      <c r="AA492" s="322">
        <v>71445.497630331753</v>
      </c>
      <c r="AB492" s="320"/>
      <c r="AC492" s="321">
        <v>28.074172499999996</v>
      </c>
      <c r="AD492" s="320"/>
      <c r="AE492" s="320">
        <v>30.15</v>
      </c>
      <c r="AF492" s="320"/>
      <c r="AG492">
        <v>4.22</v>
      </c>
      <c r="AH492"/>
      <c r="AI492">
        <v>120</v>
      </c>
      <c r="AJ492"/>
      <c r="AK492"/>
      <c r="AL492"/>
      <c r="AM492"/>
      <c r="AN492"/>
      <c r="AO492">
        <v>79</v>
      </c>
      <c r="AP492"/>
      <c r="AQ492" s="323"/>
      <c r="AR492" s="323"/>
      <c r="AS492">
        <v>112</v>
      </c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>
        <v>-2.2818000000000001</v>
      </c>
      <c r="BH492"/>
      <c r="BI492">
        <v>4.8182999999999998</v>
      </c>
      <c r="BJ492"/>
      <c r="BK492">
        <v>1.5214000000000001</v>
      </c>
      <c r="BL492"/>
      <c r="BM492">
        <v>66.298000000000002</v>
      </c>
      <c r="BN492"/>
      <c r="BO492">
        <v>20.738</v>
      </c>
      <c r="BP492"/>
      <c r="BQ492">
        <v>9.1999999999999993</v>
      </c>
      <c r="BR492"/>
      <c r="BS492">
        <v>46.62</v>
      </c>
      <c r="BT492"/>
      <c r="BU492">
        <v>20.085999999999999</v>
      </c>
      <c r="BV492"/>
      <c r="BW492" s="325">
        <v>5.59</v>
      </c>
      <c r="BX492"/>
      <c r="BY492">
        <v>6.9989999999999952</v>
      </c>
      <c r="BZ492"/>
      <c r="CA492"/>
      <c r="CC492">
        <v>7.11</v>
      </c>
      <c r="CD492"/>
      <c r="CE492"/>
      <c r="CF492"/>
      <c r="CG492"/>
      <c r="CH492"/>
      <c r="CI492"/>
      <c r="CJ492"/>
      <c r="CK492"/>
      <c r="CL492"/>
      <c r="CM492"/>
    </row>
    <row r="493" spans="1:91">
      <c r="A493" s="154" t="s">
        <v>7719</v>
      </c>
      <c r="B493" t="s">
        <v>8287</v>
      </c>
      <c r="C493">
        <v>2</v>
      </c>
      <c r="D493">
        <v>1762</v>
      </c>
      <c r="E493" s="113">
        <v>62</v>
      </c>
      <c r="F493" s="113">
        <v>17</v>
      </c>
      <c r="I493">
        <v>29.999999999999996</v>
      </c>
      <c r="K493" s="320">
        <v>8</v>
      </c>
      <c r="L493" s="320"/>
      <c r="M493">
        <v>3.33</v>
      </c>
      <c r="N493" s="320"/>
      <c r="O493"/>
      <c r="P493"/>
      <c r="Q493"/>
      <c r="S493" s="320">
        <v>14.620478702368002</v>
      </c>
      <c r="T493" s="320"/>
      <c r="U493">
        <v>10.8</v>
      </c>
      <c r="V493"/>
      <c r="W493"/>
      <c r="X493"/>
      <c r="Y493" s="321">
        <v>5.0067082000000003</v>
      </c>
      <c r="Z493" s="320"/>
      <c r="AA493" s="322">
        <v>75024.038461538454</v>
      </c>
      <c r="AB493" s="320"/>
      <c r="AC493" s="321">
        <v>29.236279600000003</v>
      </c>
      <c r="AD493" s="320"/>
      <c r="AE493" s="320">
        <v>31.21</v>
      </c>
      <c r="AF493" s="320"/>
      <c r="AG493">
        <v>4.16</v>
      </c>
      <c r="AH493"/>
      <c r="AI493">
        <v>115</v>
      </c>
      <c r="AJ493"/>
      <c r="AK493"/>
      <c r="AL493"/>
      <c r="AM493"/>
      <c r="AN493"/>
      <c r="AO493">
        <v>80</v>
      </c>
      <c r="AP493"/>
      <c r="AQ493" s="323"/>
      <c r="AR493" s="323"/>
      <c r="AS493">
        <v>112</v>
      </c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>
        <v>2.6539000000000001</v>
      </c>
      <c r="BH493"/>
      <c r="BI493">
        <v>4.3583999999999996</v>
      </c>
      <c r="BJ493"/>
      <c r="BK493">
        <v>1.512</v>
      </c>
      <c r="BL493"/>
      <c r="BM493">
        <v>66.403000000000006</v>
      </c>
      <c r="BN493"/>
      <c r="BO493">
        <v>19.192</v>
      </c>
      <c r="BP493"/>
      <c r="BQ493">
        <v>8.6608000000000001</v>
      </c>
      <c r="BR493"/>
      <c r="BS493">
        <v>50.008000000000003</v>
      </c>
      <c r="BT493"/>
      <c r="BU493">
        <v>17.613</v>
      </c>
      <c r="BV493"/>
      <c r="BW493" s="325">
        <v>9.0500000000000007</v>
      </c>
      <c r="BX493"/>
      <c r="BY493">
        <v>6.6269999999999953</v>
      </c>
      <c r="BZ493"/>
      <c r="CA493"/>
      <c r="CC493">
        <v>7.9</v>
      </c>
      <c r="CD493"/>
      <c r="CE493"/>
      <c r="CF493"/>
      <c r="CG493"/>
      <c r="CH493"/>
      <c r="CI493"/>
      <c r="CJ493"/>
      <c r="CK493"/>
      <c r="CL493"/>
      <c r="CM493"/>
    </row>
    <row r="494" spans="1:91">
      <c r="A494" s="154" t="s">
        <v>7720</v>
      </c>
      <c r="B494" t="s">
        <v>8287</v>
      </c>
      <c r="C494">
        <v>1</v>
      </c>
      <c r="D494">
        <v>531</v>
      </c>
      <c r="E494" s="113">
        <v>31</v>
      </c>
      <c r="F494" s="113">
        <v>5</v>
      </c>
      <c r="I494">
        <v>27.999999999999996</v>
      </c>
      <c r="K494" s="320">
        <v>9</v>
      </c>
      <c r="L494" s="320"/>
      <c r="M494">
        <v>4.1399999999999997</v>
      </c>
      <c r="N494" s="320"/>
      <c r="O494"/>
      <c r="P494"/>
      <c r="Q494"/>
      <c r="S494" s="320">
        <v>18.035015059600003</v>
      </c>
      <c r="T494" s="320"/>
      <c r="U494">
        <v>10.8</v>
      </c>
      <c r="V494"/>
      <c r="W494"/>
      <c r="X494"/>
      <c r="Y494" s="321">
        <v>6.4198123000000002</v>
      </c>
      <c r="Z494" s="320"/>
      <c r="AA494" s="322">
        <v>83340.611353711793</v>
      </c>
      <c r="AB494" s="320"/>
      <c r="AC494" s="321">
        <v>35.659940800000001</v>
      </c>
      <c r="AD494" s="320"/>
      <c r="AE494" s="320">
        <v>38.17</v>
      </c>
      <c r="AF494" s="320"/>
      <c r="AG494">
        <v>4.58</v>
      </c>
      <c r="AH494"/>
      <c r="AI494">
        <v>133</v>
      </c>
      <c r="AJ494"/>
      <c r="AK494"/>
      <c r="AL494"/>
      <c r="AM494"/>
      <c r="AN494"/>
      <c r="AO494">
        <v>77</v>
      </c>
      <c r="AP494"/>
      <c r="AQ494" s="323"/>
      <c r="AR494" s="323"/>
      <c r="AS494">
        <v>112</v>
      </c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>
        <v>0.21782000000000001</v>
      </c>
      <c r="BH494"/>
      <c r="BI494">
        <v>4.7771999999999997</v>
      </c>
      <c r="BJ494"/>
      <c r="BK494">
        <v>1.5710999999999999</v>
      </c>
      <c r="BL494"/>
      <c r="BM494">
        <v>65.715000000000003</v>
      </c>
      <c r="BN494"/>
      <c r="BO494">
        <v>20.844999999999999</v>
      </c>
      <c r="BP494"/>
      <c r="BQ494">
        <v>8.1228999999999996</v>
      </c>
      <c r="BR494"/>
      <c r="BS494">
        <v>50.575000000000003</v>
      </c>
      <c r="BT494"/>
      <c r="BU494">
        <v>16.721</v>
      </c>
      <c r="BV494"/>
      <c r="BW494" s="325">
        <v>2.82</v>
      </c>
      <c r="BX494"/>
      <c r="BY494">
        <v>6.6899999999999977</v>
      </c>
      <c r="BZ494"/>
      <c r="CA494"/>
      <c r="CC494">
        <v>9.3800000000000008</v>
      </c>
      <c r="CD494"/>
      <c r="CE494"/>
      <c r="CF494"/>
      <c r="CG494"/>
      <c r="CH494"/>
      <c r="CI494"/>
      <c r="CJ494"/>
      <c r="CK494"/>
      <c r="CL494"/>
      <c r="CM494"/>
    </row>
    <row r="495" spans="1:91">
      <c r="A495" s="154" t="s">
        <v>7720</v>
      </c>
      <c r="B495" t="s">
        <v>8289</v>
      </c>
      <c r="C495">
        <v>2</v>
      </c>
      <c r="D495">
        <v>572</v>
      </c>
      <c r="E495" s="113">
        <v>72</v>
      </c>
      <c r="F495" s="113">
        <v>5</v>
      </c>
      <c r="I495">
        <v>27.999999999999996</v>
      </c>
      <c r="K495" s="320">
        <v>9</v>
      </c>
      <c r="L495" s="320"/>
      <c r="M495">
        <v>4.13</v>
      </c>
      <c r="N495" s="320"/>
      <c r="O495"/>
      <c r="P495"/>
      <c r="Q495"/>
      <c r="S495" s="320">
        <v>16.400633519159999</v>
      </c>
      <c r="T495" s="320"/>
      <c r="U495">
        <v>10.8</v>
      </c>
      <c r="V495"/>
      <c r="W495"/>
      <c r="X495"/>
      <c r="Y495" s="321">
        <v>7.2163964999999992</v>
      </c>
      <c r="Z495" s="320"/>
      <c r="AA495" s="322">
        <v>85357.917570498903</v>
      </c>
      <c r="AB495" s="320"/>
      <c r="AC495" s="321">
        <v>36.697023000000002</v>
      </c>
      <c r="AD495" s="320"/>
      <c r="AE495" s="320">
        <v>39.35</v>
      </c>
      <c r="AF495" s="320"/>
      <c r="AG495">
        <v>4.6100000000000003</v>
      </c>
      <c r="AH495"/>
      <c r="AI495">
        <v>130</v>
      </c>
      <c r="AJ495"/>
      <c r="AK495"/>
      <c r="AL495"/>
      <c r="AM495"/>
      <c r="AN495"/>
      <c r="AO495">
        <v>79</v>
      </c>
      <c r="AP495"/>
      <c r="AQ495" s="323"/>
      <c r="AR495" s="323"/>
      <c r="AS495">
        <v>112</v>
      </c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>
        <v>-1.2311000000000001</v>
      </c>
      <c r="BH495"/>
      <c r="BI495">
        <v>4.5812999999999997</v>
      </c>
      <c r="BJ495"/>
      <c r="BK495">
        <v>1.7021999999999999</v>
      </c>
      <c r="BL495"/>
      <c r="BM495">
        <v>63.536999999999999</v>
      </c>
      <c r="BN495"/>
      <c r="BO495">
        <v>20.613</v>
      </c>
      <c r="BP495"/>
      <c r="BQ495">
        <v>8.4069000000000003</v>
      </c>
      <c r="BR495"/>
      <c r="BS495">
        <v>44.692</v>
      </c>
      <c r="BT495"/>
      <c r="BU495">
        <v>20.154</v>
      </c>
      <c r="BV495"/>
      <c r="BW495" s="325">
        <v>7.1</v>
      </c>
      <c r="BX495"/>
      <c r="BY495">
        <v>6.9869999999999948</v>
      </c>
      <c r="BZ495"/>
      <c r="CA495"/>
      <c r="CC495">
        <v>6.37</v>
      </c>
      <c r="CD495"/>
      <c r="CE495"/>
      <c r="CF495"/>
      <c r="CG495"/>
      <c r="CH495"/>
      <c r="CI495"/>
      <c r="CJ495"/>
      <c r="CK495"/>
      <c r="CL495"/>
      <c r="CM495"/>
    </row>
    <row r="496" spans="1:91">
      <c r="A496" s="154" t="s">
        <v>7720</v>
      </c>
      <c r="B496" t="s">
        <v>8287</v>
      </c>
      <c r="C496">
        <v>2</v>
      </c>
      <c r="D496">
        <v>1766</v>
      </c>
      <c r="E496" s="113">
        <v>66</v>
      </c>
      <c r="F496" s="113">
        <v>17</v>
      </c>
      <c r="I496">
        <v>27.999999999999996</v>
      </c>
      <c r="K496" s="320">
        <v>8</v>
      </c>
      <c r="L496" s="320"/>
      <c r="M496">
        <v>3.75</v>
      </c>
      <c r="N496" s="320"/>
      <c r="O496"/>
      <c r="P496"/>
      <c r="Q496"/>
      <c r="S496" s="320">
        <v>16.48274528736</v>
      </c>
      <c r="T496" s="320"/>
      <c r="U496">
        <v>10.8</v>
      </c>
      <c r="V496"/>
      <c r="W496"/>
      <c r="X496"/>
      <c r="Y496" s="321">
        <v>5.3981928000000003</v>
      </c>
      <c r="Z496" s="320"/>
      <c r="AA496" s="322">
        <v>83278.301886792455</v>
      </c>
      <c r="AB496" s="320"/>
      <c r="AC496" s="321">
        <v>33.081938999999998</v>
      </c>
      <c r="AD496" s="320"/>
      <c r="AE496" s="320">
        <v>35.31</v>
      </c>
      <c r="AF496" s="320"/>
      <c r="AG496">
        <v>4.24</v>
      </c>
      <c r="AH496"/>
      <c r="AI496">
        <v>128</v>
      </c>
      <c r="AJ496"/>
      <c r="AK496"/>
      <c r="AL496"/>
      <c r="AM496"/>
      <c r="AN496"/>
      <c r="AO496">
        <v>79</v>
      </c>
      <c r="AP496"/>
      <c r="AQ496" s="323"/>
      <c r="AR496" s="323"/>
      <c r="AS496">
        <v>112</v>
      </c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>
        <v>1.8595999999999999</v>
      </c>
      <c r="BH496"/>
      <c r="BI496">
        <v>4.7808000000000002</v>
      </c>
      <c r="BJ496"/>
      <c r="BK496">
        <v>1.5575000000000001</v>
      </c>
      <c r="BL496"/>
      <c r="BM496">
        <v>65.05</v>
      </c>
      <c r="BN496"/>
      <c r="BO496">
        <v>20.311</v>
      </c>
      <c r="BP496"/>
      <c r="BQ496">
        <v>8.6245999999999992</v>
      </c>
      <c r="BR496"/>
      <c r="BS496">
        <v>49.823999999999998</v>
      </c>
      <c r="BT496"/>
      <c r="BU496">
        <v>17.199000000000002</v>
      </c>
      <c r="BV496"/>
      <c r="BW496" s="325">
        <v>10.61</v>
      </c>
      <c r="BX496"/>
      <c r="BY496">
        <v>6.6599999999999966</v>
      </c>
      <c r="BZ496"/>
      <c r="CA496"/>
      <c r="CC496">
        <v>7.46</v>
      </c>
      <c r="CD496"/>
      <c r="CE496"/>
      <c r="CF496"/>
      <c r="CG496"/>
      <c r="CH496"/>
      <c r="CI496"/>
      <c r="CJ496"/>
      <c r="CK496"/>
      <c r="CL496"/>
      <c r="CM496"/>
    </row>
    <row r="497" spans="1:91">
      <c r="A497" s="154" t="s">
        <v>7720</v>
      </c>
      <c r="B497" t="s">
        <v>8289</v>
      </c>
      <c r="C497">
        <v>1</v>
      </c>
      <c r="D497">
        <v>1727</v>
      </c>
      <c r="E497" s="113">
        <v>27</v>
      </c>
      <c r="F497" s="113">
        <v>17</v>
      </c>
      <c r="I497">
        <v>33.5</v>
      </c>
      <c r="K497" s="320">
        <v>8</v>
      </c>
      <c r="L497" s="320"/>
      <c r="M497">
        <v>3.48</v>
      </c>
      <c r="N497" s="320"/>
      <c r="O497"/>
      <c r="P497"/>
      <c r="Q497"/>
      <c r="S497" s="320">
        <v>13.530293291970002</v>
      </c>
      <c r="T497" s="320"/>
      <c r="U497">
        <v>10.8</v>
      </c>
      <c r="V497"/>
      <c r="W497"/>
      <c r="X497"/>
      <c r="Y497" s="321">
        <v>6.1801740000000009</v>
      </c>
      <c r="Z497" s="320"/>
      <c r="AA497" s="322">
        <v>73726.851851851854</v>
      </c>
      <c r="AB497" s="320"/>
      <c r="AC497" s="321">
        <v>29.675600500000002</v>
      </c>
      <c r="AD497" s="320"/>
      <c r="AE497" s="320">
        <v>31.85</v>
      </c>
      <c r="AF497" s="320"/>
      <c r="AG497">
        <v>4.32</v>
      </c>
      <c r="AH497"/>
      <c r="AI497">
        <v>123</v>
      </c>
      <c r="AJ497"/>
      <c r="AK497"/>
      <c r="AL497"/>
      <c r="AM497"/>
      <c r="AN497"/>
      <c r="AO497">
        <v>79</v>
      </c>
      <c r="AP497"/>
      <c r="AQ497" s="323"/>
      <c r="AR497" s="323"/>
      <c r="AS497">
        <v>112</v>
      </c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>
        <v>-1.0295000000000001</v>
      </c>
      <c r="BH497"/>
      <c r="BI497">
        <v>4.9302000000000001</v>
      </c>
      <c r="BJ497"/>
      <c r="BK497">
        <v>1.5355000000000001</v>
      </c>
      <c r="BL497"/>
      <c r="BM497">
        <v>60.225000000000001</v>
      </c>
      <c r="BN497"/>
      <c r="BO497">
        <v>21.361999999999998</v>
      </c>
      <c r="BP497"/>
      <c r="BQ497">
        <v>9.4466999999999999</v>
      </c>
      <c r="BR497"/>
      <c r="BS497">
        <v>45.594000000000001</v>
      </c>
      <c r="BT497"/>
      <c r="BU497">
        <v>19.489999999999998</v>
      </c>
      <c r="BV497"/>
      <c r="BW497" s="325">
        <v>10.46</v>
      </c>
      <c r="BX497"/>
      <c r="BY497">
        <v>7.2109999999999985</v>
      </c>
      <c r="BZ497"/>
      <c r="CA497"/>
      <c r="CC497">
        <v>10.039999999999999</v>
      </c>
      <c r="CD497"/>
      <c r="CE497"/>
      <c r="CF497"/>
      <c r="CG497"/>
      <c r="CH497"/>
      <c r="CI497"/>
      <c r="CJ497"/>
      <c r="CK497"/>
      <c r="CL497"/>
      <c r="CM497"/>
    </row>
    <row r="498" spans="1:91">
      <c r="A498" s="154" t="s">
        <v>7721</v>
      </c>
      <c r="B498" t="s">
        <v>8289</v>
      </c>
      <c r="C498">
        <v>2</v>
      </c>
      <c r="D498">
        <v>774</v>
      </c>
      <c r="E498" s="113">
        <v>74</v>
      </c>
      <c r="F498" s="113">
        <v>7</v>
      </c>
      <c r="I498">
        <v>23</v>
      </c>
      <c r="K498" s="320">
        <v>9</v>
      </c>
      <c r="L498" s="320"/>
      <c r="M498">
        <v>1.96</v>
      </c>
      <c r="N498" s="320"/>
      <c r="O498"/>
      <c r="P498"/>
      <c r="Q498"/>
      <c r="S498" s="320">
        <v>7.1236883919</v>
      </c>
      <c r="T498" s="320"/>
      <c r="U498">
        <v>10.8</v>
      </c>
      <c r="V498"/>
      <c r="W498"/>
      <c r="X498"/>
      <c r="Y498" s="321">
        <v>3.9140754999999996</v>
      </c>
      <c r="Z498" s="320"/>
      <c r="AA498" s="322">
        <v>50956.284153005457</v>
      </c>
      <c r="AB498" s="320"/>
      <c r="AC498" s="321">
        <v>17.282954999999998</v>
      </c>
      <c r="AD498" s="320"/>
      <c r="AE498" s="320">
        <v>18.649999999999999</v>
      </c>
      <c r="AF498" s="320"/>
      <c r="AG498">
        <v>3.66</v>
      </c>
      <c r="AH498"/>
      <c r="AI498">
        <v>118</v>
      </c>
      <c r="AJ498"/>
      <c r="AK498"/>
      <c r="AL498"/>
      <c r="AM498"/>
      <c r="AN498"/>
      <c r="AO498">
        <v>79</v>
      </c>
      <c r="AP498"/>
      <c r="AQ498" s="323"/>
      <c r="AR498" s="323"/>
      <c r="AS498">
        <v>112</v>
      </c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>
        <v>-2.9216000000000002</v>
      </c>
      <c r="BH498"/>
      <c r="BI498">
        <v>5.3695000000000004</v>
      </c>
      <c r="BJ498"/>
      <c r="BK498">
        <v>1.6752</v>
      </c>
      <c r="BL498"/>
      <c r="BM498">
        <v>61.866</v>
      </c>
      <c r="BN498"/>
      <c r="BO498">
        <v>21.48</v>
      </c>
      <c r="BP498"/>
      <c r="BQ498">
        <v>8.3162000000000003</v>
      </c>
      <c r="BR498"/>
      <c r="BS498">
        <v>41.218000000000004</v>
      </c>
      <c r="BT498"/>
      <c r="BU498">
        <v>20.565000000000001</v>
      </c>
      <c r="BV498"/>
      <c r="BW498" s="325">
        <v>3.68</v>
      </c>
      <c r="BX498"/>
      <c r="BY498">
        <v>7.0870000000000033</v>
      </c>
      <c r="BZ498"/>
      <c r="CA498"/>
      <c r="CC498">
        <v>6.46</v>
      </c>
      <c r="CD498"/>
      <c r="CE498"/>
      <c r="CF498"/>
      <c r="CG498"/>
      <c r="CH498"/>
      <c r="CI498"/>
      <c r="CJ498"/>
      <c r="CK498"/>
      <c r="CL498"/>
      <c r="CM498"/>
    </row>
    <row r="499" spans="1:91">
      <c r="A499" s="327" t="s">
        <v>7721</v>
      </c>
      <c r="B499" s="328" t="s">
        <v>8287</v>
      </c>
      <c r="C499" s="328">
        <v>1</v>
      </c>
      <c r="D499" s="328">
        <v>908</v>
      </c>
      <c r="E499" s="113">
        <v>8</v>
      </c>
      <c r="F499" s="113">
        <v>9</v>
      </c>
      <c r="G499" s="329"/>
      <c r="H499" s="329"/>
      <c r="I499" s="328">
        <v>25</v>
      </c>
      <c r="J499" s="330"/>
      <c r="K499" s="331">
        <v>8</v>
      </c>
      <c r="L499" s="331"/>
      <c r="M499" s="328">
        <v>2.3199999999999998</v>
      </c>
      <c r="N499" s="331"/>
      <c r="O499" s="328"/>
      <c r="P499" s="328"/>
      <c r="Q499" s="328"/>
      <c r="R499" s="332"/>
      <c r="S499" s="331">
        <v>10.131949646910002</v>
      </c>
      <c r="T499" s="331"/>
      <c r="U499" s="328">
        <v>10.8</v>
      </c>
      <c r="V499" s="328"/>
      <c r="W499" s="328"/>
      <c r="X499" s="328"/>
      <c r="Y499" s="333">
        <v>4.1797979999999999</v>
      </c>
      <c r="Z499" s="331"/>
      <c r="AA499" s="334">
        <v>59274.193548387098</v>
      </c>
      <c r="AB499" s="331"/>
      <c r="AC499" s="333">
        <v>20.569563000000002</v>
      </c>
      <c r="AD499" s="331"/>
      <c r="AE499" s="331">
        <v>22.05</v>
      </c>
      <c r="AF499" s="331"/>
      <c r="AG499" s="328">
        <v>3.72</v>
      </c>
      <c r="AH499" s="328"/>
      <c r="AI499" s="328">
        <v>113</v>
      </c>
      <c r="AJ499" s="328"/>
      <c r="AK499" s="328"/>
      <c r="AL499" s="328"/>
      <c r="AM499" s="328"/>
      <c r="AN499" s="328"/>
      <c r="AO499" s="328">
        <v>77</v>
      </c>
      <c r="AP499" s="328"/>
      <c r="AQ499" s="335"/>
      <c r="AR499" s="335"/>
      <c r="AS499" s="328">
        <v>112</v>
      </c>
      <c r="AT499" s="328"/>
      <c r="AU499" s="328"/>
      <c r="AV499" s="328"/>
      <c r="AW499" s="328"/>
      <c r="AX499" s="328"/>
      <c r="AY499" s="328"/>
      <c r="AZ499" s="328"/>
      <c r="BA499" s="328"/>
      <c r="BB499" s="328"/>
      <c r="BC499" s="328"/>
      <c r="BD499" s="328"/>
      <c r="BE499" s="328"/>
      <c r="BF499" s="328"/>
      <c r="BG499" s="328">
        <v>-1.3031999999999999</v>
      </c>
      <c r="BH499" s="328"/>
      <c r="BI499" s="328">
        <v>4.5922999999999998</v>
      </c>
      <c r="BJ499" s="328"/>
      <c r="BK499" s="328">
        <v>1.6252</v>
      </c>
      <c r="BL499" s="328"/>
      <c r="BM499" s="328">
        <v>67.572999999999993</v>
      </c>
      <c r="BN499" s="328"/>
      <c r="BO499" s="328">
        <v>19.059000000000001</v>
      </c>
      <c r="BP499" s="328"/>
      <c r="BQ499" s="328">
        <v>8.8316999999999997</v>
      </c>
      <c r="BR499" s="328"/>
      <c r="BS499" s="328">
        <v>49.256999999999998</v>
      </c>
      <c r="BT499" s="328"/>
      <c r="BU499" s="328">
        <v>17.818999999999999</v>
      </c>
      <c r="BV499" s="328"/>
      <c r="BW499" s="336">
        <v>6.93</v>
      </c>
      <c r="BX499" s="328"/>
      <c r="BY499" s="328">
        <v>6.3569999999999993</v>
      </c>
      <c r="BZ499" s="328"/>
      <c r="CA499" s="328"/>
      <c r="CB499" s="337"/>
      <c r="CC499" s="328">
        <v>6.6</v>
      </c>
      <c r="CD499" s="328"/>
      <c r="CE499" s="328"/>
      <c r="CF499" s="328"/>
      <c r="CG499" s="328"/>
      <c r="CH499" s="328"/>
      <c r="CI499" s="328"/>
      <c r="CJ499" s="328"/>
      <c r="CK499" s="328" t="s">
        <v>8377</v>
      </c>
      <c r="CL499" s="328"/>
      <c r="CM499" s="328"/>
    </row>
    <row r="500" spans="1:91">
      <c r="A500" s="154" t="s">
        <v>7721</v>
      </c>
      <c r="B500" t="s">
        <v>8287</v>
      </c>
      <c r="C500">
        <v>2</v>
      </c>
      <c r="D500">
        <v>1067</v>
      </c>
      <c r="E500" s="113">
        <v>67</v>
      </c>
      <c r="F500" s="113">
        <v>10</v>
      </c>
      <c r="I500">
        <v>35.499999999999993</v>
      </c>
      <c r="K500" s="320">
        <v>9</v>
      </c>
      <c r="L500" s="320"/>
      <c r="M500">
        <v>3.49</v>
      </c>
      <c r="N500" s="320"/>
      <c r="O500"/>
      <c r="P500"/>
      <c r="Q500"/>
      <c r="S500" s="320">
        <v>14.342005726979997</v>
      </c>
      <c r="T500" s="320"/>
      <c r="U500">
        <v>10.8</v>
      </c>
      <c r="V500"/>
      <c r="W500"/>
      <c r="X500"/>
      <c r="Y500" s="321">
        <v>6.8490352999999997</v>
      </c>
      <c r="Z500" s="320"/>
      <c r="AA500" s="322">
        <v>102561.72839506171</v>
      </c>
      <c r="AB500" s="320"/>
      <c r="AC500" s="321">
        <v>31.107267599999997</v>
      </c>
      <c r="AD500" s="320"/>
      <c r="AE500" s="320">
        <v>33.229999999999997</v>
      </c>
      <c r="AF500" s="320"/>
      <c r="AG500">
        <v>3.24</v>
      </c>
      <c r="AH500"/>
      <c r="AI500">
        <v>118</v>
      </c>
      <c r="AJ500"/>
      <c r="AK500"/>
      <c r="AL500"/>
      <c r="AM500"/>
      <c r="AN500"/>
      <c r="AO500">
        <v>79</v>
      </c>
      <c r="AP500"/>
      <c r="AQ500" s="323"/>
      <c r="AR500" s="323"/>
      <c r="AS500">
        <v>112</v>
      </c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>
        <v>-4.3982000000000001</v>
      </c>
      <c r="BH500"/>
      <c r="BI500">
        <v>4.8128000000000002</v>
      </c>
      <c r="BJ500"/>
      <c r="BK500">
        <v>1.4944</v>
      </c>
      <c r="BL500"/>
      <c r="BM500">
        <v>60.679000000000002</v>
      </c>
      <c r="BN500"/>
      <c r="BO500">
        <v>21.713000000000001</v>
      </c>
      <c r="BP500"/>
      <c r="BQ500">
        <v>9.1275999999999993</v>
      </c>
      <c r="BR500"/>
      <c r="BS500">
        <v>46.104999999999997</v>
      </c>
      <c r="BT500"/>
      <c r="BU500">
        <v>18.62</v>
      </c>
      <c r="BV500"/>
      <c r="BW500" s="325">
        <v>2.2599999999999998</v>
      </c>
      <c r="BX500"/>
      <c r="BY500">
        <v>6.8220000000000027</v>
      </c>
      <c r="BZ500"/>
      <c r="CA500"/>
      <c r="CC500">
        <v>6.41</v>
      </c>
      <c r="CD500"/>
      <c r="CE500"/>
      <c r="CF500"/>
      <c r="CG500"/>
      <c r="CH500"/>
      <c r="CI500"/>
      <c r="CJ500"/>
      <c r="CK500"/>
      <c r="CL500"/>
      <c r="CM500"/>
    </row>
    <row r="501" spans="1:91">
      <c r="A501" s="154" t="s">
        <v>7721</v>
      </c>
      <c r="B501" t="s">
        <v>8289</v>
      </c>
      <c r="C501">
        <v>1</v>
      </c>
      <c r="D501">
        <v>1233</v>
      </c>
      <c r="E501" s="113">
        <v>33</v>
      </c>
      <c r="F501" s="113">
        <v>12</v>
      </c>
      <c r="I501">
        <v>34.5</v>
      </c>
      <c r="K501" s="320">
        <v>9</v>
      </c>
      <c r="L501" s="320"/>
      <c r="M501">
        <v>3.18</v>
      </c>
      <c r="N501" s="320"/>
      <c r="O501"/>
      <c r="P501"/>
      <c r="Q501"/>
      <c r="S501" s="320">
        <v>12.74048209525</v>
      </c>
      <c r="T501" s="320"/>
      <c r="U501">
        <v>10.8</v>
      </c>
      <c r="V501"/>
      <c r="W501"/>
      <c r="X501"/>
      <c r="Y501" s="321">
        <v>5.4287800000000006</v>
      </c>
      <c r="Z501" s="320"/>
      <c r="AA501" s="322">
        <v>73095.823095823085</v>
      </c>
      <c r="AB501" s="320"/>
      <c r="AC501" s="321">
        <v>27.807324999999999</v>
      </c>
      <c r="AD501" s="320"/>
      <c r="AE501" s="320">
        <v>29.75</v>
      </c>
      <c r="AF501" s="320"/>
      <c r="AG501">
        <v>4.07</v>
      </c>
      <c r="AH501"/>
      <c r="AI501">
        <v>115</v>
      </c>
      <c r="AJ501"/>
      <c r="AK501"/>
      <c r="AL501"/>
      <c r="AM501"/>
      <c r="AN501"/>
      <c r="AO501">
        <v>79</v>
      </c>
      <c r="AP501"/>
      <c r="AQ501" s="323"/>
      <c r="AR501" s="323"/>
      <c r="AS501">
        <v>112</v>
      </c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>
        <v>-0.56730000000000003</v>
      </c>
      <c r="BH501"/>
      <c r="BI501">
        <v>4.8278999999999996</v>
      </c>
      <c r="BJ501"/>
      <c r="BK501">
        <v>1.5961000000000001</v>
      </c>
      <c r="BL501"/>
      <c r="BM501">
        <v>65.197999999999993</v>
      </c>
      <c r="BN501"/>
      <c r="BO501">
        <v>19.41</v>
      </c>
      <c r="BP501"/>
      <c r="BQ501">
        <v>8.7192000000000007</v>
      </c>
      <c r="BR501"/>
      <c r="BS501">
        <v>45.817</v>
      </c>
      <c r="BT501"/>
      <c r="BU501">
        <v>19.492000000000001</v>
      </c>
      <c r="BV501"/>
      <c r="BW501">
        <v>8</v>
      </c>
      <c r="BX501"/>
      <c r="BY501">
        <v>6.5310000000000059</v>
      </c>
      <c r="BZ501"/>
      <c r="CA501"/>
      <c r="CC501">
        <v>8.07</v>
      </c>
      <c r="CD501"/>
      <c r="CE501"/>
      <c r="CF501"/>
      <c r="CG501"/>
      <c r="CH501"/>
      <c r="CI501"/>
      <c r="CJ501"/>
      <c r="CK501"/>
      <c r="CL501"/>
      <c r="CM501"/>
    </row>
    <row r="502" spans="1:91">
      <c r="A502" s="154" t="s">
        <v>7722</v>
      </c>
      <c r="B502" t="s">
        <v>8287</v>
      </c>
      <c r="C502">
        <v>1</v>
      </c>
      <c r="D502">
        <v>410</v>
      </c>
      <c r="E502" s="113">
        <v>10</v>
      </c>
      <c r="F502" s="113">
        <v>4</v>
      </c>
      <c r="I502">
        <v>29.999999999999996</v>
      </c>
      <c r="K502" s="320">
        <v>8</v>
      </c>
      <c r="L502" s="320"/>
      <c r="M502">
        <v>3.59</v>
      </c>
      <c r="N502" s="320"/>
      <c r="O502"/>
      <c r="P502"/>
      <c r="Q502"/>
      <c r="S502" s="320">
        <v>16.890014415204</v>
      </c>
      <c r="T502" s="320"/>
      <c r="U502">
        <v>10.8</v>
      </c>
      <c r="V502"/>
      <c r="W502"/>
      <c r="X502"/>
      <c r="Y502" s="321">
        <v>5.6541348000000005</v>
      </c>
      <c r="Z502" s="320"/>
      <c r="AA502" s="322">
        <v>72226.890756302528</v>
      </c>
      <c r="AB502" s="320"/>
      <c r="AC502" s="321">
        <v>32.1972138</v>
      </c>
      <c r="AD502" s="320"/>
      <c r="AE502" s="320">
        <v>34.380000000000003</v>
      </c>
      <c r="AF502" s="320"/>
      <c r="AG502">
        <v>4.76</v>
      </c>
      <c r="AH502"/>
      <c r="AI502">
        <v>130</v>
      </c>
      <c r="AJ502"/>
      <c r="AK502"/>
      <c r="AL502"/>
      <c r="AM502"/>
      <c r="AN502"/>
      <c r="AO502">
        <v>79</v>
      </c>
      <c r="AP502"/>
      <c r="AQ502" s="323"/>
      <c r="AR502" s="323"/>
      <c r="AS502">
        <v>112</v>
      </c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>
        <v>13.345000000000001</v>
      </c>
      <c r="BH502"/>
      <c r="BI502">
        <v>4.7573999999999996</v>
      </c>
      <c r="BJ502"/>
      <c r="BK502">
        <v>1.2961</v>
      </c>
      <c r="BL502"/>
      <c r="BM502">
        <v>50.637999999999998</v>
      </c>
      <c r="BN502"/>
      <c r="BO502">
        <v>20.791</v>
      </c>
      <c r="BP502"/>
      <c r="BQ502">
        <v>8.6854999999999993</v>
      </c>
      <c r="BR502"/>
      <c r="BS502">
        <v>52.457999999999998</v>
      </c>
      <c r="BT502"/>
      <c r="BU502">
        <v>16.504999999999999</v>
      </c>
      <c r="BV502"/>
      <c r="BW502" s="325">
        <v>10.45</v>
      </c>
      <c r="BX502"/>
      <c r="BY502">
        <v>6.1599999999999966</v>
      </c>
      <c r="BZ502"/>
      <c r="CA502"/>
      <c r="CC502">
        <v>5.87</v>
      </c>
      <c r="CD502"/>
      <c r="CE502"/>
      <c r="CF502"/>
      <c r="CG502"/>
      <c r="CH502"/>
      <c r="CI502"/>
      <c r="CJ502"/>
      <c r="CK502"/>
      <c r="CL502"/>
      <c r="CM502"/>
    </row>
    <row r="503" spans="1:91">
      <c r="A503" s="154" t="s">
        <v>7722</v>
      </c>
      <c r="B503" t="s">
        <v>8289</v>
      </c>
      <c r="C503">
        <v>2</v>
      </c>
      <c r="D503">
        <v>471</v>
      </c>
      <c r="E503" s="113">
        <v>71</v>
      </c>
      <c r="F503" s="113">
        <v>4</v>
      </c>
      <c r="I503">
        <v>32</v>
      </c>
      <c r="K503" s="320">
        <v>8</v>
      </c>
      <c r="L503" s="320"/>
      <c r="M503">
        <v>3.14</v>
      </c>
      <c r="N503" s="320"/>
      <c r="O503"/>
      <c r="P503"/>
      <c r="Q503"/>
      <c r="S503" s="320" t="s">
        <v>8361</v>
      </c>
      <c r="T503" s="320"/>
      <c r="U503">
        <v>10.8</v>
      </c>
      <c r="V503"/>
      <c r="W503"/>
      <c r="X503"/>
      <c r="Y503" s="321">
        <v>0</v>
      </c>
      <c r="Z503" s="320"/>
      <c r="AA503" s="322">
        <v>60000</v>
      </c>
      <c r="AB503" s="320"/>
      <c r="AC503" s="321" t="s">
        <v>8361</v>
      </c>
      <c r="AD503" s="320"/>
      <c r="AE503" s="320">
        <v>29.94</v>
      </c>
      <c r="AF503" s="320"/>
      <c r="AG503">
        <v>4.99</v>
      </c>
      <c r="AH503"/>
      <c r="AI503">
        <v>118</v>
      </c>
      <c r="AJ503"/>
      <c r="AK503"/>
      <c r="AL503"/>
      <c r="AM503"/>
      <c r="AN503"/>
      <c r="AO503">
        <v>80</v>
      </c>
      <c r="AP503"/>
      <c r="AQ503" s="323"/>
      <c r="AR503" s="323"/>
      <c r="AS503">
        <v>114</v>
      </c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>
        <v>2.7570999999999999</v>
      </c>
      <c r="BH503"/>
      <c r="BI503">
        <v>4.9282000000000004</v>
      </c>
      <c r="BJ503"/>
      <c r="BK503">
        <v>1.6017999999999999</v>
      </c>
      <c r="BL503"/>
      <c r="BM503">
        <v>57.427999999999997</v>
      </c>
      <c r="BN503"/>
      <c r="BO503">
        <v>20.190999999999999</v>
      </c>
      <c r="BP503"/>
      <c r="BQ503">
        <v>8.6661999999999999</v>
      </c>
      <c r="BR503"/>
      <c r="BS503">
        <v>44.155999999999999</v>
      </c>
      <c r="BT503"/>
      <c r="BU503">
        <v>19.039000000000001</v>
      </c>
      <c r="BV503"/>
      <c r="BW503" s="325">
        <v>0.46</v>
      </c>
      <c r="BX503"/>
      <c r="BY503">
        <v>7.2060000000000031</v>
      </c>
      <c r="BZ503"/>
      <c r="CA503"/>
      <c r="CC503">
        <v>6.29</v>
      </c>
      <c r="CD503"/>
      <c r="CE503"/>
      <c r="CF503"/>
      <c r="CG503"/>
      <c r="CH503"/>
      <c r="CI503"/>
      <c r="CJ503"/>
      <c r="CK503"/>
      <c r="CL503"/>
      <c r="CM503"/>
    </row>
    <row r="504" spans="1:91">
      <c r="A504" s="154" t="s">
        <v>7722</v>
      </c>
      <c r="B504" t="s">
        <v>8289</v>
      </c>
      <c r="C504">
        <v>1</v>
      </c>
      <c r="D504">
        <v>1015</v>
      </c>
      <c r="E504" s="113">
        <v>15</v>
      </c>
      <c r="F504" s="113">
        <v>10</v>
      </c>
      <c r="I504">
        <v>18.5</v>
      </c>
      <c r="K504" s="320">
        <v>8</v>
      </c>
      <c r="L504" s="320"/>
      <c r="M504">
        <v>2.91</v>
      </c>
      <c r="N504" s="320"/>
      <c r="O504"/>
      <c r="P504"/>
      <c r="Q504"/>
      <c r="S504" s="320">
        <v>12.439328582450001</v>
      </c>
      <c r="T504" s="320"/>
      <c r="U504">
        <v>10.8</v>
      </c>
      <c r="V504"/>
      <c r="W504"/>
      <c r="X504"/>
      <c r="Y504" s="321">
        <v>6.1298357999999995</v>
      </c>
      <c r="Z504" s="320"/>
      <c r="AA504" s="322">
        <v>68546.798029556652</v>
      </c>
      <c r="AB504" s="320"/>
      <c r="AC504" s="321">
        <v>25.942291099999998</v>
      </c>
      <c r="AD504" s="320"/>
      <c r="AE504" s="320">
        <v>27.83</v>
      </c>
      <c r="AF504" s="320"/>
      <c r="AG504">
        <v>4.0599999999999996</v>
      </c>
      <c r="AH504"/>
      <c r="AI504">
        <v>125</v>
      </c>
      <c r="AJ504"/>
      <c r="AK504"/>
      <c r="AL504"/>
      <c r="AM504"/>
      <c r="AN504"/>
      <c r="AO504">
        <v>77</v>
      </c>
      <c r="AP504"/>
      <c r="AQ504" s="323"/>
      <c r="AR504" s="323"/>
      <c r="AS504">
        <v>112</v>
      </c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>
        <v>9.1639999999999997</v>
      </c>
      <c r="BH504"/>
      <c r="BI504">
        <v>4.8272000000000004</v>
      </c>
      <c r="BJ504"/>
      <c r="BK504">
        <v>1.3865000000000001</v>
      </c>
      <c r="BL504"/>
      <c r="BM504">
        <v>54.673000000000002</v>
      </c>
      <c r="BN504"/>
      <c r="BO504">
        <v>21.111000000000001</v>
      </c>
      <c r="BP504"/>
      <c r="BQ504">
        <v>9.5081000000000007</v>
      </c>
      <c r="BR504"/>
      <c r="BS504">
        <v>47.95</v>
      </c>
      <c r="BT504"/>
      <c r="BU504">
        <v>18.846</v>
      </c>
      <c r="BV504"/>
      <c r="BW504" s="325">
        <v>12.09</v>
      </c>
      <c r="BX504"/>
      <c r="BY504">
        <v>6.6809999999999974</v>
      </c>
      <c r="BZ504"/>
      <c r="CA504"/>
      <c r="CC504">
        <v>6.02</v>
      </c>
      <c r="CD504"/>
      <c r="CE504"/>
      <c r="CF504"/>
      <c r="CG504"/>
      <c r="CH504"/>
      <c r="CI504"/>
      <c r="CJ504"/>
      <c r="CK504"/>
      <c r="CL504"/>
      <c r="CM504"/>
    </row>
    <row r="505" spans="1:91">
      <c r="A505" s="154" t="s">
        <v>7722</v>
      </c>
      <c r="B505" t="s">
        <v>8287</v>
      </c>
      <c r="C505">
        <v>2</v>
      </c>
      <c r="D505">
        <v>1148</v>
      </c>
      <c r="E505" s="113">
        <v>48</v>
      </c>
      <c r="F505" s="113">
        <v>11</v>
      </c>
      <c r="I505">
        <v>31</v>
      </c>
      <c r="K505" s="320">
        <v>9</v>
      </c>
      <c r="L505" s="320"/>
      <c r="M505">
        <v>3.61</v>
      </c>
      <c r="N505" s="320"/>
      <c r="O505"/>
      <c r="P505"/>
      <c r="Q505"/>
      <c r="S505" s="320">
        <v>16.546064963453997</v>
      </c>
      <c r="T505" s="320"/>
      <c r="U505">
        <v>10.8</v>
      </c>
      <c r="V505"/>
      <c r="W505"/>
      <c r="X505"/>
      <c r="Y505" s="321">
        <v>5.7531825000000003</v>
      </c>
      <c r="Z505" s="320"/>
      <c r="AA505" s="322">
        <v>79976.958525345617</v>
      </c>
      <c r="AB505" s="320"/>
      <c r="AC505" s="321">
        <v>32.523617099999996</v>
      </c>
      <c r="AD505" s="320"/>
      <c r="AE505" s="320">
        <v>34.71</v>
      </c>
      <c r="AF505" s="320"/>
      <c r="AG505">
        <v>4.34</v>
      </c>
      <c r="AH505"/>
      <c r="AI505">
        <v>125</v>
      </c>
      <c r="AJ505"/>
      <c r="AK505"/>
      <c r="AL505"/>
      <c r="AM505"/>
      <c r="AN505"/>
      <c r="AO505">
        <v>77</v>
      </c>
      <c r="AP505"/>
      <c r="AQ505" s="323"/>
      <c r="AR505" s="323"/>
      <c r="AS505">
        <v>112</v>
      </c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>
        <v>-0.12242</v>
      </c>
      <c r="BH505"/>
      <c r="BI505">
        <v>4.6246</v>
      </c>
      <c r="BJ505"/>
      <c r="BK505">
        <v>1.3998999999999999</v>
      </c>
      <c r="BL505"/>
      <c r="BM505">
        <v>61.228999999999999</v>
      </c>
      <c r="BN505"/>
      <c r="BO505">
        <v>20.927</v>
      </c>
      <c r="BP505"/>
      <c r="BQ505">
        <v>9.0105000000000004</v>
      </c>
      <c r="BR505"/>
      <c r="BS505">
        <v>50.874000000000002</v>
      </c>
      <c r="BT505"/>
      <c r="BU505">
        <v>16.664000000000001</v>
      </c>
      <c r="BV505"/>
      <c r="BW505" s="325">
        <v>13.79</v>
      </c>
      <c r="BX505"/>
      <c r="BY505">
        <v>6.6119999999999948</v>
      </c>
      <c r="BZ505"/>
      <c r="CA505"/>
      <c r="CC505">
        <v>5.51</v>
      </c>
      <c r="CD505"/>
      <c r="CE505"/>
      <c r="CF505"/>
      <c r="CG505"/>
      <c r="CH505"/>
      <c r="CI505"/>
      <c r="CJ505"/>
      <c r="CK505"/>
      <c r="CL505"/>
      <c r="CM505"/>
    </row>
    <row r="506" spans="1:91">
      <c r="A506" s="154" t="s">
        <v>7723</v>
      </c>
      <c r="B506" t="s">
        <v>8287</v>
      </c>
      <c r="C506">
        <v>1</v>
      </c>
      <c r="D506">
        <v>709</v>
      </c>
      <c r="E506" s="113">
        <v>9</v>
      </c>
      <c r="F506" s="113">
        <v>7</v>
      </c>
      <c r="I506">
        <v>18.5</v>
      </c>
      <c r="K506" s="320">
        <v>9</v>
      </c>
      <c r="L506" s="320"/>
      <c r="M506">
        <v>3.26</v>
      </c>
      <c r="N506" s="320"/>
      <c r="O506"/>
      <c r="P506"/>
      <c r="Q506"/>
      <c r="S506" s="320">
        <v>14.574087539999999</v>
      </c>
      <c r="T506" s="320"/>
      <c r="U506">
        <v>10.8</v>
      </c>
      <c r="V506"/>
      <c r="W506"/>
      <c r="X506"/>
      <c r="Y506" s="321">
        <v>5.4318870000000006</v>
      </c>
      <c r="Z506" s="320"/>
      <c r="AA506" s="322">
        <v>72041.763341067286</v>
      </c>
      <c r="AB506" s="320"/>
      <c r="AC506" s="321">
        <v>29.101612499999998</v>
      </c>
      <c r="AD506" s="320"/>
      <c r="AE506" s="320">
        <v>31.05</v>
      </c>
      <c r="AF506" s="320"/>
      <c r="AG506">
        <v>4.3099999999999996</v>
      </c>
      <c r="AH506"/>
      <c r="AI506">
        <v>140</v>
      </c>
      <c r="AJ506"/>
      <c r="AK506"/>
      <c r="AL506"/>
      <c r="AM506"/>
      <c r="AN506"/>
      <c r="AO506">
        <v>77</v>
      </c>
      <c r="AP506"/>
      <c r="AQ506" s="323"/>
      <c r="AR506" s="323"/>
      <c r="AS506">
        <v>118</v>
      </c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>
        <v>1.3709</v>
      </c>
      <c r="BH506"/>
      <c r="BI506">
        <v>4.4108000000000001</v>
      </c>
      <c r="BJ506"/>
      <c r="BK506">
        <v>1.6549</v>
      </c>
      <c r="BL506"/>
      <c r="BM506">
        <v>64.611999999999995</v>
      </c>
      <c r="BN506"/>
      <c r="BO506">
        <v>18.972000000000001</v>
      </c>
      <c r="BP506"/>
      <c r="BQ506">
        <v>9.4463000000000008</v>
      </c>
      <c r="BR506"/>
      <c r="BS506">
        <v>50.08</v>
      </c>
      <c r="BT506"/>
      <c r="BU506">
        <v>17.927</v>
      </c>
      <c r="BV506"/>
      <c r="BW506" s="325">
        <v>7.29</v>
      </c>
      <c r="BX506"/>
      <c r="BY506">
        <v>6.3029999999999973</v>
      </c>
      <c r="BZ506"/>
      <c r="CA506"/>
      <c r="CC506">
        <v>6.39</v>
      </c>
      <c r="CD506"/>
      <c r="CE506"/>
      <c r="CF506"/>
      <c r="CG506"/>
      <c r="CH506"/>
      <c r="CI506"/>
      <c r="CJ506"/>
      <c r="CK506"/>
      <c r="CL506"/>
      <c r="CM506"/>
    </row>
    <row r="507" spans="1:91">
      <c r="A507" s="154" t="s">
        <v>7723</v>
      </c>
      <c r="B507" t="s">
        <v>8289</v>
      </c>
      <c r="C507">
        <v>2</v>
      </c>
      <c r="D507">
        <v>748</v>
      </c>
      <c r="E507" s="113">
        <v>48</v>
      </c>
      <c r="F507" s="113">
        <v>7</v>
      </c>
      <c r="I507">
        <v>25</v>
      </c>
      <c r="K507" s="320">
        <v>9</v>
      </c>
      <c r="L507" s="320"/>
      <c r="M507">
        <v>3.45</v>
      </c>
      <c r="N507" s="320"/>
      <c r="O507"/>
      <c r="P507"/>
      <c r="Q507"/>
      <c r="S507" s="320">
        <v>14.742362845980001</v>
      </c>
      <c r="T507" s="320"/>
      <c r="U507">
        <v>10.8</v>
      </c>
      <c r="V507"/>
      <c r="W507"/>
      <c r="X507"/>
      <c r="Y507" s="321">
        <v>6.6635019999999985</v>
      </c>
      <c r="Z507" s="320"/>
      <c r="AA507" s="322">
        <v>78392.434988179652</v>
      </c>
      <c r="AB507" s="320"/>
      <c r="AC507" s="321">
        <v>31.022838</v>
      </c>
      <c r="AD507" s="320"/>
      <c r="AE507" s="320">
        <v>33.159999999999997</v>
      </c>
      <c r="AF507" s="320"/>
      <c r="AG507">
        <v>4.2300000000000004</v>
      </c>
      <c r="AH507"/>
      <c r="AI507">
        <v>138</v>
      </c>
      <c r="AJ507"/>
      <c r="AK507"/>
      <c r="AL507"/>
      <c r="AM507"/>
      <c r="AN507"/>
      <c r="AO507">
        <v>77</v>
      </c>
      <c r="AP507"/>
      <c r="AQ507" s="323"/>
      <c r="AR507" s="323"/>
      <c r="AS507">
        <v>118</v>
      </c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>
        <v>-1.7416</v>
      </c>
      <c r="BH507"/>
      <c r="BI507">
        <v>4.7638999999999996</v>
      </c>
      <c r="BJ507"/>
      <c r="BK507">
        <v>1.6353</v>
      </c>
      <c r="BL507"/>
      <c r="BM507">
        <v>64.646000000000001</v>
      </c>
      <c r="BN507"/>
      <c r="BO507">
        <v>19.702999999999999</v>
      </c>
      <c r="BP507"/>
      <c r="BQ507">
        <v>9.3610000000000007</v>
      </c>
      <c r="BR507"/>
      <c r="BS507">
        <v>47.521000000000001</v>
      </c>
      <c r="BT507"/>
      <c r="BU507">
        <v>18.693999999999999</v>
      </c>
      <c r="BV507"/>
      <c r="BW507" s="325">
        <v>3.81</v>
      </c>
      <c r="BX507"/>
      <c r="BY507">
        <v>6.5049999999999955</v>
      </c>
      <c r="BZ507"/>
      <c r="CA507"/>
      <c r="CC507">
        <v>5.53</v>
      </c>
      <c r="CD507"/>
      <c r="CE507"/>
      <c r="CF507"/>
      <c r="CG507"/>
      <c r="CH507"/>
      <c r="CI507"/>
      <c r="CJ507"/>
      <c r="CK507"/>
      <c r="CL507"/>
      <c r="CM507"/>
    </row>
    <row r="508" spans="1:91">
      <c r="A508" s="154" t="s">
        <v>7723</v>
      </c>
      <c r="B508" t="s">
        <v>8287</v>
      </c>
      <c r="C508">
        <v>2</v>
      </c>
      <c r="D508">
        <v>1257</v>
      </c>
      <c r="E508" s="113">
        <v>57</v>
      </c>
      <c r="F508" s="113">
        <v>12</v>
      </c>
      <c r="I508">
        <v>28.5</v>
      </c>
      <c r="K508" s="320">
        <v>9</v>
      </c>
      <c r="L508" s="320"/>
      <c r="M508">
        <v>3.15</v>
      </c>
      <c r="N508" s="320"/>
      <c r="O508"/>
      <c r="P508"/>
      <c r="Q508"/>
      <c r="S508" s="320">
        <v>13.915849658480001</v>
      </c>
      <c r="T508" s="320"/>
      <c r="U508">
        <v>10.8</v>
      </c>
      <c r="V508"/>
      <c r="W508"/>
      <c r="X508"/>
      <c r="Y508" s="321">
        <v>4.7491906000000004</v>
      </c>
      <c r="Z508" s="320"/>
      <c r="AA508" s="322">
        <v>66349.206349206346</v>
      </c>
      <c r="AB508" s="320"/>
      <c r="AC508" s="321">
        <v>27.371852199999999</v>
      </c>
      <c r="AD508" s="320"/>
      <c r="AE508" s="320">
        <v>29.26</v>
      </c>
      <c r="AF508" s="320"/>
      <c r="AG508">
        <v>4.41</v>
      </c>
      <c r="AH508"/>
      <c r="AI508">
        <v>135</v>
      </c>
      <c r="AJ508"/>
      <c r="AK508"/>
      <c r="AL508"/>
      <c r="AM508"/>
      <c r="AN508"/>
      <c r="AO508">
        <v>79</v>
      </c>
      <c r="AP508"/>
      <c r="AQ508" s="323"/>
      <c r="AR508" s="323"/>
      <c r="AS508">
        <v>116</v>
      </c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>
        <v>-4.3620000000000001</v>
      </c>
      <c r="BH508"/>
      <c r="BI508">
        <v>4.9869000000000003</v>
      </c>
      <c r="BJ508"/>
      <c r="BK508">
        <v>1.5642</v>
      </c>
      <c r="BL508"/>
      <c r="BM508">
        <v>70.566999999999993</v>
      </c>
      <c r="BN508"/>
      <c r="BO508">
        <v>20.731000000000002</v>
      </c>
      <c r="BP508"/>
      <c r="BQ508">
        <v>7.6060999999999996</v>
      </c>
      <c r="BR508"/>
      <c r="BS508">
        <v>50.84</v>
      </c>
      <c r="BT508"/>
      <c r="BU508">
        <v>16.52</v>
      </c>
      <c r="BV508"/>
      <c r="BW508" s="325">
        <v>11.31</v>
      </c>
      <c r="BX508"/>
      <c r="BY508">
        <v>6.5430000000000064</v>
      </c>
      <c r="BZ508"/>
      <c r="CA508"/>
      <c r="CC508">
        <v>8.7200000000000006</v>
      </c>
      <c r="CD508"/>
      <c r="CE508"/>
      <c r="CF508"/>
      <c r="CG508"/>
      <c r="CH508"/>
      <c r="CI508"/>
      <c r="CJ508"/>
      <c r="CK508"/>
      <c r="CL508"/>
      <c r="CM508"/>
    </row>
    <row r="509" spans="1:91">
      <c r="A509" s="154" t="s">
        <v>7723</v>
      </c>
      <c r="B509" t="s">
        <v>8289</v>
      </c>
      <c r="C509">
        <v>1</v>
      </c>
      <c r="D509">
        <v>1417</v>
      </c>
      <c r="E509" s="113">
        <v>17</v>
      </c>
      <c r="F509" s="113">
        <v>14</v>
      </c>
      <c r="I509">
        <v>21.499999999999996</v>
      </c>
      <c r="K509" s="320">
        <v>9</v>
      </c>
      <c r="L509" s="320"/>
      <c r="M509">
        <v>3.28</v>
      </c>
      <c r="N509" s="320"/>
      <c r="O509"/>
      <c r="P509"/>
      <c r="Q509"/>
      <c r="S509" s="320">
        <v>14.233905286209001</v>
      </c>
      <c r="T509" s="320"/>
      <c r="U509">
        <v>10.8</v>
      </c>
      <c r="V509"/>
      <c r="W509"/>
      <c r="X509"/>
      <c r="Y509" s="321">
        <v>6.0137117</v>
      </c>
      <c r="Z509" s="320"/>
      <c r="AA509" s="322">
        <v>91282.798833819237</v>
      </c>
      <c r="AB509" s="320"/>
      <c r="AC509" s="321">
        <v>29.380364700000001</v>
      </c>
      <c r="AD509" s="320"/>
      <c r="AE509" s="320">
        <v>31.31</v>
      </c>
      <c r="AF509" s="320"/>
      <c r="AG509">
        <v>3.43</v>
      </c>
      <c r="AH509"/>
      <c r="AI509">
        <v>133</v>
      </c>
      <c r="AJ509"/>
      <c r="AK509"/>
      <c r="AL509"/>
      <c r="AM509"/>
      <c r="AN509"/>
      <c r="AO509">
        <v>79</v>
      </c>
      <c r="AP509"/>
      <c r="AQ509" s="323"/>
      <c r="AR509" s="323"/>
      <c r="AS509">
        <v>118</v>
      </c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>
        <v>0.63988999999999996</v>
      </c>
      <c r="BH509"/>
      <c r="BI509">
        <v>4.5707000000000004</v>
      </c>
      <c r="BJ509"/>
      <c r="BK509">
        <v>1.5642</v>
      </c>
      <c r="BL509"/>
      <c r="BM509">
        <v>62.576000000000001</v>
      </c>
      <c r="BN509"/>
      <c r="BO509">
        <v>20.977</v>
      </c>
      <c r="BP509"/>
      <c r="BQ509">
        <v>9.4610000000000003</v>
      </c>
      <c r="BR509"/>
      <c r="BS509">
        <v>48.447000000000003</v>
      </c>
      <c r="BT509"/>
      <c r="BU509">
        <v>18.988</v>
      </c>
      <c r="BV509"/>
      <c r="BW509" s="325">
        <v>3.98</v>
      </c>
      <c r="BX509"/>
      <c r="BY509">
        <v>6.1359999999999957</v>
      </c>
      <c r="BZ509"/>
      <c r="CA509"/>
      <c r="CC509">
        <v>6.19</v>
      </c>
      <c r="CD509"/>
      <c r="CE509"/>
      <c r="CF509"/>
      <c r="CG509"/>
      <c r="CH509"/>
      <c r="CI509"/>
      <c r="CJ509"/>
      <c r="CK509"/>
      <c r="CL509"/>
      <c r="CM509"/>
    </row>
    <row r="510" spans="1:91">
      <c r="A510" s="154" t="s">
        <v>7724</v>
      </c>
      <c r="B510" t="s">
        <v>8287</v>
      </c>
      <c r="C510">
        <v>1</v>
      </c>
      <c r="D510">
        <v>728</v>
      </c>
      <c r="E510" s="113">
        <v>28</v>
      </c>
      <c r="F510" s="113">
        <v>7</v>
      </c>
      <c r="I510">
        <v>26.499999999999996</v>
      </c>
      <c r="K510" s="320">
        <v>9</v>
      </c>
      <c r="L510" s="320"/>
      <c r="M510">
        <v>3.78</v>
      </c>
      <c r="N510" s="320"/>
      <c r="O510"/>
      <c r="P510"/>
      <c r="Q510"/>
      <c r="S510" s="320">
        <v>16.522748818079002</v>
      </c>
      <c r="T510" s="320"/>
      <c r="U510">
        <v>10.8</v>
      </c>
      <c r="V510"/>
      <c r="W510"/>
      <c r="X510"/>
      <c r="Y510" s="321">
        <v>6.2645632000000013</v>
      </c>
      <c r="Z510" s="320"/>
      <c r="AA510" s="322">
        <v>87369.7270471464</v>
      </c>
      <c r="AB510" s="320"/>
      <c r="AC510" s="321">
        <v>33.054091700000001</v>
      </c>
      <c r="AD510" s="320"/>
      <c r="AE510" s="320">
        <v>35.21</v>
      </c>
      <c r="AF510" s="320"/>
      <c r="AG510">
        <v>4.03</v>
      </c>
      <c r="AH510"/>
      <c r="AI510">
        <v>133</v>
      </c>
      <c r="AJ510"/>
      <c r="AK510"/>
      <c r="AL510"/>
      <c r="AM510"/>
      <c r="AN510"/>
      <c r="AO510">
        <v>79</v>
      </c>
      <c r="AP510"/>
      <c r="AQ510" s="323"/>
      <c r="AR510" s="323"/>
      <c r="AS510">
        <v>112</v>
      </c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>
        <v>3.4177</v>
      </c>
      <c r="BH510"/>
      <c r="BI510">
        <v>4.6432000000000002</v>
      </c>
      <c r="BJ510"/>
      <c r="BK510">
        <v>1.4224000000000001</v>
      </c>
      <c r="BL510"/>
      <c r="BM510">
        <v>63.267000000000003</v>
      </c>
      <c r="BN510"/>
      <c r="BO510">
        <v>20.201000000000001</v>
      </c>
      <c r="BP510"/>
      <c r="BQ510">
        <v>9.8146000000000004</v>
      </c>
      <c r="BR510"/>
      <c r="BS510">
        <v>49.987000000000002</v>
      </c>
      <c r="BT510"/>
      <c r="BU510">
        <v>18.113</v>
      </c>
      <c r="BV510"/>
      <c r="BW510" s="325">
        <v>20.11</v>
      </c>
      <c r="BX510"/>
      <c r="BY510">
        <v>6.6189999999999998</v>
      </c>
      <c r="BZ510"/>
      <c r="CA510"/>
      <c r="CC510">
        <v>8.4499999999999993</v>
      </c>
      <c r="CD510"/>
      <c r="CE510"/>
      <c r="CF510"/>
      <c r="CG510"/>
      <c r="CH510"/>
      <c r="CI510"/>
      <c r="CJ510"/>
      <c r="CK510"/>
      <c r="CL510"/>
      <c r="CM510"/>
    </row>
    <row r="511" spans="1:91">
      <c r="A511" s="327" t="s">
        <v>7724</v>
      </c>
      <c r="B511" s="328" t="s">
        <v>8289</v>
      </c>
      <c r="C511" s="328">
        <v>2</v>
      </c>
      <c r="D511" s="328">
        <v>868</v>
      </c>
      <c r="E511" s="113">
        <v>68</v>
      </c>
      <c r="F511" s="113">
        <v>8</v>
      </c>
      <c r="G511" s="329"/>
      <c r="H511" s="329"/>
      <c r="I511" s="328">
        <v>32.5</v>
      </c>
      <c r="J511" s="330"/>
      <c r="K511" s="331">
        <v>8</v>
      </c>
      <c r="L511" s="331"/>
      <c r="M511" s="328">
        <v>3.04</v>
      </c>
      <c r="N511" s="331"/>
      <c r="O511" s="328"/>
      <c r="P511" s="328"/>
      <c r="Q511" s="328"/>
      <c r="R511" s="332"/>
      <c r="S511" s="331">
        <v>12.272290642002002</v>
      </c>
      <c r="T511" s="331"/>
      <c r="U511" s="328">
        <v>10.8</v>
      </c>
      <c r="V511" s="328"/>
      <c r="W511" s="328"/>
      <c r="X511" s="328"/>
      <c r="Y511" s="333">
        <v>5.7154264000000001</v>
      </c>
      <c r="Z511" s="331"/>
      <c r="AA511" s="334">
        <v>81774.647887323954</v>
      </c>
      <c r="AB511" s="331"/>
      <c r="AC511" s="333">
        <v>27.068442900000001</v>
      </c>
      <c r="AD511" s="331"/>
      <c r="AE511" s="331">
        <v>29.03</v>
      </c>
      <c r="AF511" s="331"/>
      <c r="AG511" s="328">
        <v>3.55</v>
      </c>
      <c r="AH511" s="328"/>
      <c r="AI511" s="328">
        <v>120</v>
      </c>
      <c r="AJ511" s="328"/>
      <c r="AK511" s="328"/>
      <c r="AL511" s="328"/>
      <c r="AM511" s="328"/>
      <c r="AN511" s="328"/>
      <c r="AO511" s="328">
        <v>80</v>
      </c>
      <c r="AP511" s="328"/>
      <c r="AQ511" s="335"/>
      <c r="AR511" s="335"/>
      <c r="AS511" s="328">
        <v>112</v>
      </c>
      <c r="AT511" s="328"/>
      <c r="AU511" s="328"/>
      <c r="AV511" s="328"/>
      <c r="AW511" s="328"/>
      <c r="AX511" s="328"/>
      <c r="AY511" s="328"/>
      <c r="AZ511" s="328"/>
      <c r="BA511" s="328"/>
      <c r="BB511" s="328"/>
      <c r="BC511" s="328"/>
      <c r="BD511" s="328"/>
      <c r="BE511" s="328"/>
      <c r="BF511" s="328"/>
      <c r="BG511" s="328">
        <v>-9.7904</v>
      </c>
      <c r="BH511" s="328"/>
      <c r="BI511" s="328">
        <v>5.3718000000000004</v>
      </c>
      <c r="BJ511" s="328"/>
      <c r="BK511" s="328">
        <v>1.5564</v>
      </c>
      <c r="BL511" s="328"/>
      <c r="BM511" s="328">
        <v>62.808</v>
      </c>
      <c r="BN511" s="328"/>
      <c r="BO511" s="328">
        <v>21.209</v>
      </c>
      <c r="BP511" s="328"/>
      <c r="BQ511" s="328">
        <v>10.518000000000001</v>
      </c>
      <c r="BR511" s="328"/>
      <c r="BS511" s="328">
        <v>45.338000000000001</v>
      </c>
      <c r="BT511" s="328"/>
      <c r="BU511" s="328">
        <v>18.995999999999999</v>
      </c>
      <c r="BV511" s="328"/>
      <c r="BW511" s="336">
        <v>8.43</v>
      </c>
      <c r="BX511" s="328"/>
      <c r="BY511" s="328">
        <v>7.1680000000000064</v>
      </c>
      <c r="BZ511" s="328"/>
      <c r="CA511" s="328"/>
      <c r="CB511" s="337"/>
      <c r="CC511" s="328">
        <v>6.16</v>
      </c>
      <c r="CD511" s="328"/>
      <c r="CE511" s="328"/>
      <c r="CF511" s="328"/>
      <c r="CG511" s="328"/>
      <c r="CH511" s="328"/>
      <c r="CI511" s="328"/>
      <c r="CJ511" s="328"/>
      <c r="CK511" s="328" t="s">
        <v>8377</v>
      </c>
      <c r="CL511" s="328"/>
      <c r="CM511" s="328"/>
    </row>
    <row r="512" spans="1:91">
      <c r="A512" s="154" t="s">
        <v>7724</v>
      </c>
      <c r="B512" t="s">
        <v>8287</v>
      </c>
      <c r="C512">
        <v>2</v>
      </c>
      <c r="D512">
        <v>1060</v>
      </c>
      <c r="E512" s="113">
        <v>60</v>
      </c>
      <c r="F512" s="113">
        <v>10</v>
      </c>
      <c r="I512">
        <v>27.499999999999996</v>
      </c>
      <c r="K512" s="320">
        <v>9</v>
      </c>
      <c r="L512" s="320"/>
      <c r="M512">
        <v>4.07</v>
      </c>
      <c r="N512" s="320"/>
      <c r="O512"/>
      <c r="P512"/>
      <c r="Q512"/>
      <c r="S512" s="320">
        <v>17.696192603739998</v>
      </c>
      <c r="T512" s="320"/>
      <c r="U512">
        <v>10.8</v>
      </c>
      <c r="V512"/>
      <c r="W512"/>
      <c r="X512"/>
      <c r="Y512" s="321">
        <v>8.5017274999999994</v>
      </c>
      <c r="Z512" s="320"/>
      <c r="AA512" s="322">
        <v>103668.47826086955</v>
      </c>
      <c r="AB512" s="320"/>
      <c r="AC512" s="321">
        <v>35.664145999999995</v>
      </c>
      <c r="AD512" s="320"/>
      <c r="AE512" s="320">
        <v>38.15</v>
      </c>
      <c r="AF512" s="320"/>
      <c r="AG512">
        <v>3.68</v>
      </c>
      <c r="AH512"/>
      <c r="AI512">
        <v>120</v>
      </c>
      <c r="AJ512"/>
      <c r="AK512"/>
      <c r="AL512"/>
      <c r="AM512"/>
      <c r="AN512"/>
      <c r="AO512">
        <v>79</v>
      </c>
      <c r="AP512"/>
      <c r="AQ512" s="323"/>
      <c r="AR512" s="323"/>
      <c r="AS512">
        <v>112</v>
      </c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>
        <v>3.8815</v>
      </c>
      <c r="BH512"/>
      <c r="BI512">
        <v>4.5475000000000003</v>
      </c>
      <c r="BJ512"/>
      <c r="BK512">
        <v>1.3583000000000001</v>
      </c>
      <c r="BL512"/>
      <c r="BM512">
        <v>60.115000000000002</v>
      </c>
      <c r="BN512"/>
      <c r="BO512">
        <v>20.553000000000001</v>
      </c>
      <c r="BP512"/>
      <c r="BQ512">
        <v>10.975</v>
      </c>
      <c r="BR512"/>
      <c r="BS512">
        <v>49.619</v>
      </c>
      <c r="BT512"/>
      <c r="BU512">
        <v>18.358000000000001</v>
      </c>
      <c r="BV512"/>
      <c r="BW512" s="325">
        <v>10.62</v>
      </c>
      <c r="BX512"/>
      <c r="BY512">
        <v>6.5529999999999973</v>
      </c>
      <c r="BZ512"/>
      <c r="CA512"/>
      <c r="CC512">
        <v>7.87</v>
      </c>
      <c r="CD512"/>
      <c r="CE512"/>
      <c r="CF512"/>
      <c r="CG512"/>
      <c r="CH512"/>
      <c r="CI512"/>
      <c r="CJ512"/>
      <c r="CK512"/>
      <c r="CL512"/>
      <c r="CM512"/>
    </row>
    <row r="513" spans="1:91">
      <c r="A513" s="154" t="s">
        <v>7724</v>
      </c>
      <c r="B513" t="s">
        <v>8289</v>
      </c>
      <c r="C513">
        <v>1</v>
      </c>
      <c r="D513">
        <v>1137</v>
      </c>
      <c r="E513" s="113">
        <v>37</v>
      </c>
      <c r="F513" s="113">
        <v>11</v>
      </c>
      <c r="I513">
        <v>32</v>
      </c>
      <c r="K513" s="320">
        <v>8</v>
      </c>
      <c r="L513" s="320"/>
      <c r="M513">
        <v>3.6</v>
      </c>
      <c r="N513" s="320"/>
      <c r="O513"/>
      <c r="P513"/>
      <c r="Q513"/>
      <c r="S513" s="320">
        <v>15.126037634135999</v>
      </c>
      <c r="T513" s="320"/>
      <c r="U513">
        <v>10.8</v>
      </c>
      <c r="V513"/>
      <c r="W513"/>
      <c r="X513"/>
      <c r="Y513" s="321">
        <v>6.9914031000000003</v>
      </c>
      <c r="Z513" s="320"/>
      <c r="AA513" s="322">
        <v>92868.852459016402</v>
      </c>
      <c r="AB513" s="320"/>
      <c r="AC513" s="321">
        <v>31.8765018</v>
      </c>
      <c r="AD513" s="320"/>
      <c r="AE513" s="320">
        <v>33.99</v>
      </c>
      <c r="AF513" s="320"/>
      <c r="AG513">
        <v>3.66</v>
      </c>
      <c r="AH513"/>
      <c r="AI513">
        <v>123</v>
      </c>
      <c r="AJ513"/>
      <c r="AK513"/>
      <c r="AL513"/>
      <c r="AM513"/>
      <c r="AN513"/>
      <c r="AO513">
        <v>79</v>
      </c>
      <c r="AP513"/>
      <c r="AQ513" s="323"/>
      <c r="AR513" s="323"/>
      <c r="AS513">
        <v>112</v>
      </c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>
        <v>10.076000000000001</v>
      </c>
      <c r="BH513"/>
      <c r="BI513">
        <v>4.8106999999999998</v>
      </c>
      <c r="BJ513"/>
      <c r="BK513">
        <v>1.3055000000000001</v>
      </c>
      <c r="BL513"/>
      <c r="BM513">
        <v>48.213999999999999</v>
      </c>
      <c r="BN513"/>
      <c r="BO513">
        <v>20.547000000000001</v>
      </c>
      <c r="BP513"/>
      <c r="BQ513">
        <v>10.651</v>
      </c>
      <c r="BR513"/>
      <c r="BS513">
        <v>47.451999999999998</v>
      </c>
      <c r="BT513"/>
      <c r="BU513">
        <v>19.312999999999999</v>
      </c>
      <c r="BV513"/>
      <c r="BW513" s="325">
        <v>7.99</v>
      </c>
      <c r="BX513"/>
      <c r="BY513">
        <v>6.8539999999999992</v>
      </c>
      <c r="BZ513"/>
      <c r="CA513"/>
      <c r="CC513">
        <v>7.22</v>
      </c>
      <c r="CD513"/>
      <c r="CE513"/>
      <c r="CF513"/>
      <c r="CG513"/>
      <c r="CH513"/>
      <c r="CI513"/>
      <c r="CJ513"/>
      <c r="CK513"/>
      <c r="CL513"/>
      <c r="CM513"/>
    </row>
    <row r="514" spans="1:91">
      <c r="A514" s="154" t="s">
        <v>7725</v>
      </c>
      <c r="B514" t="s">
        <v>8287</v>
      </c>
      <c r="C514">
        <v>1</v>
      </c>
      <c r="D514">
        <v>514</v>
      </c>
      <c r="E514" s="113">
        <v>14</v>
      </c>
      <c r="F514" s="113">
        <v>5</v>
      </c>
      <c r="I514">
        <v>25</v>
      </c>
      <c r="K514" s="320">
        <v>8</v>
      </c>
      <c r="L514" s="320"/>
      <c r="M514">
        <v>2.71</v>
      </c>
      <c r="N514" s="320"/>
      <c r="O514"/>
      <c r="P514"/>
      <c r="Q514"/>
      <c r="S514" s="320">
        <v>12.462122433011999</v>
      </c>
      <c r="T514" s="320"/>
      <c r="U514">
        <v>10.8</v>
      </c>
      <c r="V514"/>
      <c r="W514"/>
      <c r="X514"/>
      <c r="Y514" s="321">
        <v>4.2351455999999992</v>
      </c>
      <c r="Z514" s="320"/>
      <c r="AA514" s="322">
        <v>62898.550724637687</v>
      </c>
      <c r="AB514" s="320"/>
      <c r="AC514" s="321">
        <v>24.381512399999998</v>
      </c>
      <c r="AD514" s="320"/>
      <c r="AE514" s="320">
        <v>26.04</v>
      </c>
      <c r="AF514" s="320"/>
      <c r="AG514">
        <v>4.1399999999999997</v>
      </c>
      <c r="AH514"/>
      <c r="AI514">
        <v>130</v>
      </c>
      <c r="AJ514"/>
      <c r="AK514"/>
      <c r="AL514"/>
      <c r="AM514"/>
      <c r="AN514"/>
      <c r="AO514">
        <v>80</v>
      </c>
      <c r="AP514"/>
      <c r="AQ514" s="323"/>
      <c r="AR514" s="323"/>
      <c r="AS514">
        <v>112</v>
      </c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>
        <v>9.0574000000000002E-2</v>
      </c>
      <c r="BH514"/>
      <c r="BI514">
        <v>4.6685999999999996</v>
      </c>
      <c r="BJ514"/>
      <c r="BK514">
        <v>1.478</v>
      </c>
      <c r="BL514"/>
      <c r="BM514">
        <v>62.646999999999998</v>
      </c>
      <c r="BN514"/>
      <c r="BO514">
        <v>20.757000000000001</v>
      </c>
      <c r="BP514"/>
      <c r="BQ514">
        <v>10.183</v>
      </c>
      <c r="BR514"/>
      <c r="BS514">
        <v>51.113</v>
      </c>
      <c r="BT514"/>
      <c r="BU514">
        <v>16.753</v>
      </c>
      <c r="BV514"/>
      <c r="BW514" s="325">
        <v>13.45</v>
      </c>
      <c r="BX514"/>
      <c r="BY514">
        <v>6.2789999999999964</v>
      </c>
      <c r="BZ514"/>
      <c r="CA514"/>
      <c r="CC514">
        <v>5.57</v>
      </c>
      <c r="CD514"/>
      <c r="CE514"/>
      <c r="CF514"/>
      <c r="CG514"/>
      <c r="CH514"/>
      <c r="CI514"/>
      <c r="CJ514"/>
      <c r="CK514"/>
      <c r="CL514"/>
      <c r="CM514"/>
    </row>
    <row r="515" spans="1:91">
      <c r="A515" s="327" t="s">
        <v>7725</v>
      </c>
      <c r="B515" s="328" t="s">
        <v>8289</v>
      </c>
      <c r="C515" s="328">
        <v>2</v>
      </c>
      <c r="D515" s="328">
        <v>849</v>
      </c>
      <c r="E515" s="113">
        <v>49</v>
      </c>
      <c r="F515" s="113">
        <v>8</v>
      </c>
      <c r="G515" s="329"/>
      <c r="H515" s="329"/>
      <c r="I515" s="328">
        <v>29.999999999999996</v>
      </c>
      <c r="J515" s="330"/>
      <c r="K515" s="331">
        <v>9</v>
      </c>
      <c r="L515" s="331"/>
      <c r="M515" s="328">
        <v>2.83</v>
      </c>
      <c r="N515" s="331"/>
      <c r="O515" s="328"/>
      <c r="P515" s="328"/>
      <c r="Q515" s="328"/>
      <c r="R515" s="332"/>
      <c r="S515" s="331">
        <v>11.944496759909999</v>
      </c>
      <c r="T515" s="331"/>
      <c r="U515" s="328">
        <v>10.8</v>
      </c>
      <c r="V515" s="328"/>
      <c r="W515" s="328"/>
      <c r="X515" s="328"/>
      <c r="Y515" s="333">
        <v>4.9550453000000001</v>
      </c>
      <c r="Z515" s="331"/>
      <c r="AA515" s="334">
        <v>64821.852731591447</v>
      </c>
      <c r="AB515" s="331"/>
      <c r="AC515" s="333">
        <v>25.525701499999997</v>
      </c>
      <c r="AD515" s="331"/>
      <c r="AE515" s="331">
        <v>27.29</v>
      </c>
      <c r="AF515" s="331"/>
      <c r="AG515" s="328">
        <v>4.21</v>
      </c>
      <c r="AH515" s="328"/>
      <c r="AI515" s="328">
        <v>118</v>
      </c>
      <c r="AJ515" s="328"/>
      <c r="AK515" s="328"/>
      <c r="AL515" s="328"/>
      <c r="AM515" s="328"/>
      <c r="AN515" s="328"/>
      <c r="AO515" s="328">
        <v>79</v>
      </c>
      <c r="AP515" s="328"/>
      <c r="AQ515" s="335"/>
      <c r="AR515" s="335"/>
      <c r="AS515" s="328">
        <v>112</v>
      </c>
      <c r="AT515" s="328"/>
      <c r="AU515" s="328"/>
      <c r="AV515" s="328"/>
      <c r="AW515" s="328"/>
      <c r="AX515" s="328"/>
      <c r="AY515" s="328"/>
      <c r="AZ515" s="328"/>
      <c r="BA515" s="328"/>
      <c r="BB515" s="328"/>
      <c r="BC515" s="328"/>
      <c r="BD515" s="328"/>
      <c r="BE515" s="328"/>
      <c r="BF515" s="328"/>
      <c r="BG515" s="328">
        <v>-5.92</v>
      </c>
      <c r="BH515" s="328"/>
      <c r="BI515" s="328">
        <v>5.0841000000000003</v>
      </c>
      <c r="BJ515" s="328"/>
      <c r="BK515" s="328">
        <v>1.5513999999999999</v>
      </c>
      <c r="BL515" s="328"/>
      <c r="BM515" s="328">
        <v>65.248999999999995</v>
      </c>
      <c r="BN515" s="328"/>
      <c r="BO515" s="328">
        <v>22.181000000000001</v>
      </c>
      <c r="BP515" s="328"/>
      <c r="BQ515" s="328">
        <v>9.9536999999999995</v>
      </c>
      <c r="BR515" s="328"/>
      <c r="BS515" s="328">
        <v>46.793999999999997</v>
      </c>
      <c r="BT515" s="328"/>
      <c r="BU515" s="328">
        <v>18.867999999999999</v>
      </c>
      <c r="BV515" s="328"/>
      <c r="BW515" s="336">
        <v>11.32</v>
      </c>
      <c r="BX515" s="328"/>
      <c r="BY515" s="328">
        <v>6.4759999999999991</v>
      </c>
      <c r="BZ515" s="328"/>
      <c r="CA515" s="328"/>
      <c r="CB515" s="337"/>
      <c r="CC515" s="328">
        <v>5.22</v>
      </c>
      <c r="CD515" s="328"/>
      <c r="CE515" s="328"/>
      <c r="CF515" s="328"/>
      <c r="CG515" s="328"/>
      <c r="CH515" s="328"/>
      <c r="CI515" s="328"/>
      <c r="CJ515" s="328"/>
      <c r="CK515" s="328" t="s">
        <v>8377</v>
      </c>
      <c r="CL515" s="328"/>
      <c r="CM515" s="328"/>
    </row>
    <row r="516" spans="1:91">
      <c r="A516" s="154" t="s">
        <v>7725</v>
      </c>
      <c r="B516" t="s">
        <v>8287</v>
      </c>
      <c r="C516">
        <v>2</v>
      </c>
      <c r="D516">
        <v>1051</v>
      </c>
      <c r="E516" s="113">
        <v>51</v>
      </c>
      <c r="F516" s="113">
        <v>10</v>
      </c>
      <c r="I516">
        <v>34</v>
      </c>
      <c r="K516" s="320">
        <v>9</v>
      </c>
      <c r="L516" s="320"/>
      <c r="M516">
        <v>2.58</v>
      </c>
      <c r="N516" s="320"/>
      <c r="O516"/>
      <c r="P516"/>
      <c r="Q516"/>
      <c r="S516" s="320">
        <v>10.913953577840003</v>
      </c>
      <c r="T516" s="320"/>
      <c r="U516">
        <v>10.8</v>
      </c>
      <c r="V516"/>
      <c r="W516"/>
      <c r="X516"/>
      <c r="Y516" s="321">
        <v>4.1936799999999996</v>
      </c>
      <c r="Z516" s="320"/>
      <c r="AA516" s="322">
        <v>67391.304347826081</v>
      </c>
      <c r="AB516" s="320"/>
      <c r="AC516" s="321">
        <v>23.171384000000003</v>
      </c>
      <c r="AD516" s="320"/>
      <c r="AE516" s="320">
        <v>24.8</v>
      </c>
      <c r="AF516" s="320"/>
      <c r="AG516">
        <v>3.68</v>
      </c>
      <c r="AH516"/>
      <c r="AI516">
        <v>125</v>
      </c>
      <c r="AJ516"/>
      <c r="AK516"/>
      <c r="AL516"/>
      <c r="AM516"/>
      <c r="AN516"/>
      <c r="AO516">
        <v>83</v>
      </c>
      <c r="AP516"/>
      <c r="AQ516" s="323"/>
      <c r="AR516" s="323"/>
      <c r="AS516">
        <v>112</v>
      </c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>
        <v>-7.6831999999999998E-2</v>
      </c>
      <c r="BH516"/>
      <c r="BI516">
        <v>4.6280999999999999</v>
      </c>
      <c r="BJ516"/>
      <c r="BK516">
        <v>1.5073000000000001</v>
      </c>
      <c r="BL516"/>
      <c r="BM516">
        <v>60.57</v>
      </c>
      <c r="BN516"/>
      <c r="BO516">
        <v>21.611999999999998</v>
      </c>
      <c r="BP516"/>
      <c r="BQ516">
        <v>10.5</v>
      </c>
      <c r="BR516"/>
      <c r="BS516">
        <v>47.100999999999999</v>
      </c>
      <c r="BT516"/>
      <c r="BU516">
        <v>18.914999999999999</v>
      </c>
      <c r="BV516"/>
      <c r="BW516" s="325">
        <v>11.6</v>
      </c>
      <c r="BX516"/>
      <c r="BY516">
        <v>6.4099999999999966</v>
      </c>
      <c r="BZ516"/>
      <c r="CA516"/>
      <c r="CC516">
        <v>5.52</v>
      </c>
      <c r="CD516"/>
      <c r="CE516"/>
      <c r="CF516"/>
      <c r="CG516"/>
      <c r="CH516"/>
      <c r="CI516"/>
      <c r="CJ516"/>
      <c r="CK516"/>
      <c r="CL516"/>
      <c r="CM516"/>
    </row>
    <row r="517" spans="1:91">
      <c r="A517" s="154" t="s">
        <v>7725</v>
      </c>
      <c r="B517" t="s">
        <v>8289</v>
      </c>
      <c r="C517">
        <v>1</v>
      </c>
      <c r="D517">
        <v>1231</v>
      </c>
      <c r="E517" s="113">
        <v>31</v>
      </c>
      <c r="F517" s="113">
        <v>12</v>
      </c>
      <c r="I517">
        <v>29.999999999999996</v>
      </c>
      <c r="K517" s="320">
        <v>9</v>
      </c>
      <c r="L517" s="320"/>
      <c r="M517">
        <v>3.07</v>
      </c>
      <c r="N517" s="320"/>
      <c r="O517"/>
      <c r="P517"/>
      <c r="Q517"/>
      <c r="S517" s="320">
        <v>12.443710204199999</v>
      </c>
      <c r="T517" s="320"/>
      <c r="U517">
        <v>10.8</v>
      </c>
      <c r="V517"/>
      <c r="W517"/>
      <c r="X517"/>
      <c r="Y517" s="321">
        <v>5.1799175999999996</v>
      </c>
      <c r="Z517" s="320"/>
      <c r="AA517" s="322">
        <v>64942.791762013723</v>
      </c>
      <c r="AB517" s="320"/>
      <c r="AC517" s="321">
        <v>26.523947999999997</v>
      </c>
      <c r="AD517" s="320"/>
      <c r="AE517" s="320">
        <v>28.38</v>
      </c>
      <c r="AF517" s="320"/>
      <c r="AG517">
        <v>4.37</v>
      </c>
      <c r="AH517"/>
      <c r="AI517">
        <v>120</v>
      </c>
      <c r="AJ517"/>
      <c r="AK517"/>
      <c r="AL517"/>
      <c r="AM517"/>
      <c r="AN517"/>
      <c r="AO517">
        <v>81</v>
      </c>
      <c r="AP517"/>
      <c r="AQ517" s="323"/>
      <c r="AR517" s="323"/>
      <c r="AS517">
        <v>112</v>
      </c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>
        <v>-1.1724000000000001</v>
      </c>
      <c r="BH517"/>
      <c r="BI517">
        <v>4.8037999999999998</v>
      </c>
      <c r="BJ517"/>
      <c r="BK517">
        <v>1.4623999999999999</v>
      </c>
      <c r="BL517"/>
      <c r="BM517">
        <v>60.823999999999998</v>
      </c>
      <c r="BN517"/>
      <c r="BO517">
        <v>22.459</v>
      </c>
      <c r="BP517"/>
      <c r="BQ517">
        <v>10.047000000000001</v>
      </c>
      <c r="BR517"/>
      <c r="BS517">
        <v>46.914999999999999</v>
      </c>
      <c r="BT517"/>
      <c r="BU517">
        <v>19.547999999999998</v>
      </c>
      <c r="BV517"/>
      <c r="BW517" s="325">
        <v>9.33</v>
      </c>
      <c r="BX517"/>
      <c r="BY517">
        <v>6.6479999999999961</v>
      </c>
      <c r="BZ517"/>
      <c r="CA517"/>
      <c r="CC517">
        <v>9.15</v>
      </c>
      <c r="CD517"/>
      <c r="CE517"/>
      <c r="CF517"/>
      <c r="CG517"/>
      <c r="CH517"/>
      <c r="CI517"/>
      <c r="CJ517"/>
      <c r="CK517"/>
      <c r="CL517"/>
      <c r="CM517"/>
    </row>
    <row r="518" spans="1:91">
      <c r="A518" s="154" t="s">
        <v>7726</v>
      </c>
      <c r="B518" t="s">
        <v>8289</v>
      </c>
      <c r="C518">
        <v>2</v>
      </c>
      <c r="D518">
        <v>267</v>
      </c>
      <c r="E518" s="113">
        <v>67</v>
      </c>
      <c r="F518" s="113">
        <v>2</v>
      </c>
      <c r="I518">
        <v>31</v>
      </c>
      <c r="K518" s="320">
        <v>7</v>
      </c>
      <c r="L518" s="320"/>
      <c r="M518">
        <v>1.93</v>
      </c>
      <c r="N518" s="320"/>
      <c r="O518"/>
      <c r="P518"/>
      <c r="Q518"/>
      <c r="S518" s="320">
        <v>7.4264997945599989</v>
      </c>
      <c r="T518" s="320"/>
      <c r="U518">
        <v>10.8</v>
      </c>
      <c r="V518"/>
      <c r="W518"/>
      <c r="X518"/>
      <c r="Y518" s="321">
        <v>3.3341327999999995</v>
      </c>
      <c r="Z518" s="320"/>
      <c r="AA518" s="322">
        <v>40177.777777777766</v>
      </c>
      <c r="AB518" s="320"/>
      <c r="AC518" s="321">
        <v>17.048897599999997</v>
      </c>
      <c r="AD518" s="320"/>
      <c r="AE518" s="320">
        <v>18.079999999999998</v>
      </c>
      <c r="AF518" s="320"/>
      <c r="AG518">
        <v>4.5</v>
      </c>
      <c r="AH518"/>
      <c r="AI518">
        <v>100</v>
      </c>
      <c r="AJ518"/>
      <c r="AK518"/>
      <c r="AL518"/>
      <c r="AM518"/>
      <c r="AN518"/>
      <c r="AO518">
        <v>77</v>
      </c>
      <c r="AP518"/>
      <c r="AQ518" s="323"/>
      <c r="AR518" s="323"/>
      <c r="AS518">
        <v>118</v>
      </c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>
        <v>4.6908000000000003</v>
      </c>
      <c r="BH518"/>
      <c r="BI518">
        <v>5.3723000000000001</v>
      </c>
      <c r="BJ518"/>
      <c r="BK518">
        <v>1.665</v>
      </c>
      <c r="BL518"/>
      <c r="BM518">
        <v>58.216000000000001</v>
      </c>
      <c r="BN518"/>
      <c r="BO518">
        <v>20.481000000000002</v>
      </c>
      <c r="BP518"/>
      <c r="BQ518">
        <v>9.8552999999999997</v>
      </c>
      <c r="BR518"/>
      <c r="BS518">
        <v>43.56</v>
      </c>
      <c r="BT518"/>
      <c r="BU518">
        <v>20.03</v>
      </c>
      <c r="BV518"/>
      <c r="BW518" s="325">
        <v>3.89</v>
      </c>
      <c r="BX518"/>
      <c r="BY518">
        <v>6.945999999999998</v>
      </c>
      <c r="BZ518"/>
      <c r="CA518"/>
      <c r="CC518">
        <v>7.91</v>
      </c>
      <c r="CD518"/>
      <c r="CE518"/>
      <c r="CF518"/>
      <c r="CG518"/>
      <c r="CH518"/>
      <c r="CI518"/>
      <c r="CJ518"/>
      <c r="CK518"/>
      <c r="CL518"/>
      <c r="CM518"/>
    </row>
    <row r="519" spans="1:91">
      <c r="A519" s="154" t="s">
        <v>7726</v>
      </c>
      <c r="B519" t="s">
        <v>8287</v>
      </c>
      <c r="C519">
        <v>1</v>
      </c>
      <c r="D519">
        <v>622</v>
      </c>
      <c r="E519" s="113">
        <v>22</v>
      </c>
      <c r="F519" s="113">
        <v>6</v>
      </c>
      <c r="I519">
        <v>32.999999999999993</v>
      </c>
      <c r="K519" s="320">
        <v>8</v>
      </c>
      <c r="L519" s="320"/>
      <c r="M519">
        <v>3.36</v>
      </c>
      <c r="N519" s="320"/>
      <c r="O519"/>
      <c r="P519"/>
      <c r="Q519"/>
      <c r="S519" s="320">
        <v>15.524148502044</v>
      </c>
      <c r="T519" s="320"/>
      <c r="U519">
        <v>10.8</v>
      </c>
      <c r="V519"/>
      <c r="W519"/>
      <c r="X519"/>
      <c r="Y519" s="321">
        <v>6.3353029999999997</v>
      </c>
      <c r="Z519" s="320"/>
      <c r="AA519" s="322">
        <v>78508.557457212723</v>
      </c>
      <c r="AB519" s="320"/>
      <c r="AC519" s="321">
        <v>30.2514732</v>
      </c>
      <c r="AD519" s="320"/>
      <c r="AE519" s="320">
        <v>32.11</v>
      </c>
      <c r="AF519" s="320"/>
      <c r="AG519">
        <v>4.09</v>
      </c>
      <c r="AH519"/>
      <c r="AI519">
        <v>120</v>
      </c>
      <c r="AJ519"/>
      <c r="AK519"/>
      <c r="AL519"/>
      <c r="AM519"/>
      <c r="AN519"/>
      <c r="AO519">
        <v>77</v>
      </c>
      <c r="AP519"/>
      <c r="AQ519" s="323"/>
      <c r="AR519" s="323"/>
      <c r="AS519">
        <v>112</v>
      </c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>
        <v>5.5831999999999997</v>
      </c>
      <c r="BH519"/>
      <c r="BI519">
        <v>4.5864000000000003</v>
      </c>
      <c r="BJ519"/>
      <c r="BK519">
        <v>1.5281</v>
      </c>
      <c r="BL519"/>
      <c r="BM519">
        <v>59.524999999999999</v>
      </c>
      <c r="BN519"/>
      <c r="BO519">
        <v>19.37</v>
      </c>
      <c r="BP519"/>
      <c r="BQ519">
        <v>8.7520000000000007</v>
      </c>
      <c r="BR519"/>
      <c r="BS519">
        <v>51.317</v>
      </c>
      <c r="BT519"/>
      <c r="BU519">
        <v>17.32</v>
      </c>
      <c r="BV519"/>
      <c r="BW519" s="325">
        <v>16.32</v>
      </c>
      <c r="BX519"/>
      <c r="BY519">
        <v>6.1299999999999955</v>
      </c>
      <c r="BZ519"/>
      <c r="CA519"/>
      <c r="CC519">
        <v>6.09</v>
      </c>
      <c r="CD519"/>
      <c r="CE519"/>
      <c r="CF519"/>
      <c r="CG519"/>
      <c r="CH519"/>
      <c r="CI519"/>
      <c r="CJ519"/>
      <c r="CK519"/>
      <c r="CL519"/>
      <c r="CM519"/>
    </row>
    <row r="520" spans="1:91">
      <c r="A520" s="154" t="s">
        <v>7726</v>
      </c>
      <c r="B520" t="s">
        <v>8289</v>
      </c>
      <c r="C520">
        <v>1</v>
      </c>
      <c r="D520">
        <v>1109</v>
      </c>
      <c r="E520" s="113">
        <v>9</v>
      </c>
      <c r="F520" s="113">
        <v>11</v>
      </c>
      <c r="I520">
        <v>24.5</v>
      </c>
      <c r="K520" s="320">
        <v>9</v>
      </c>
      <c r="L520" s="320"/>
      <c r="M520">
        <v>3.03</v>
      </c>
      <c r="N520" s="320"/>
      <c r="O520"/>
      <c r="P520"/>
      <c r="Q520"/>
      <c r="S520" s="320">
        <v>12.734269062976001</v>
      </c>
      <c r="T520" s="320"/>
      <c r="U520">
        <v>10.8</v>
      </c>
      <c r="V520"/>
      <c r="W520"/>
      <c r="X520"/>
      <c r="Y520" s="321">
        <v>5.3874288000000004</v>
      </c>
      <c r="Z520" s="320"/>
      <c r="AA520" s="322">
        <v>77849.462365591404</v>
      </c>
      <c r="AB520" s="320"/>
      <c r="AC520" s="321">
        <v>27.114958400000003</v>
      </c>
      <c r="AD520" s="320"/>
      <c r="AE520" s="320">
        <v>28.96</v>
      </c>
      <c r="AF520" s="320"/>
      <c r="AG520">
        <v>3.72</v>
      </c>
      <c r="AH520"/>
      <c r="AI520">
        <v>115</v>
      </c>
      <c r="AJ520"/>
      <c r="AK520"/>
      <c r="AL520"/>
      <c r="AM520"/>
      <c r="AN520"/>
      <c r="AO520">
        <v>77</v>
      </c>
      <c r="AP520"/>
      <c r="AQ520" s="323"/>
      <c r="AR520" s="323"/>
      <c r="AS520">
        <v>112</v>
      </c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>
        <v>1.4992000000000001</v>
      </c>
      <c r="BH520"/>
      <c r="BI520">
        <v>4.9915000000000003</v>
      </c>
      <c r="BJ520"/>
      <c r="BK520">
        <v>1.5872999999999999</v>
      </c>
      <c r="BL520"/>
      <c r="BM520">
        <v>58.609000000000002</v>
      </c>
      <c r="BN520"/>
      <c r="BO520">
        <v>20.439</v>
      </c>
      <c r="BP520"/>
      <c r="BQ520">
        <v>10.151999999999999</v>
      </c>
      <c r="BR520"/>
      <c r="BS520">
        <v>46.963999999999999</v>
      </c>
      <c r="BT520"/>
      <c r="BU520">
        <v>19.7</v>
      </c>
      <c r="BV520"/>
      <c r="BW520" s="325">
        <v>3.68</v>
      </c>
      <c r="BX520"/>
      <c r="BY520">
        <v>6.7939999999999969</v>
      </c>
      <c r="BZ520"/>
      <c r="CA520"/>
      <c r="CC520">
        <v>6.08</v>
      </c>
      <c r="CD520"/>
      <c r="CE520"/>
      <c r="CF520"/>
      <c r="CG520"/>
      <c r="CH520"/>
      <c r="CI520"/>
      <c r="CJ520"/>
      <c r="CK520"/>
      <c r="CL520"/>
      <c r="CM520"/>
    </row>
    <row r="521" spans="1:91">
      <c r="A521" s="154" t="s">
        <v>7726</v>
      </c>
      <c r="B521" t="s">
        <v>8287</v>
      </c>
      <c r="C521">
        <v>2</v>
      </c>
      <c r="D521">
        <v>1754</v>
      </c>
      <c r="E521" s="113">
        <v>54</v>
      </c>
      <c r="F521" s="113">
        <v>17</v>
      </c>
      <c r="I521">
        <v>29.999999999999996</v>
      </c>
      <c r="K521" s="320">
        <v>8</v>
      </c>
      <c r="L521" s="320"/>
      <c r="M521">
        <v>3.4</v>
      </c>
      <c r="N521" s="320"/>
      <c r="O521"/>
      <c r="P521"/>
      <c r="Q521"/>
      <c r="S521" s="320">
        <v>15.516539812202</v>
      </c>
      <c r="T521" s="320"/>
      <c r="U521">
        <v>10.8</v>
      </c>
      <c r="V521"/>
      <c r="W521"/>
      <c r="X521"/>
      <c r="Y521" s="321">
        <v>5.0891055999999999</v>
      </c>
      <c r="Z521" s="320"/>
      <c r="AA521" s="322">
        <v>89945.054945054944</v>
      </c>
      <c r="AB521" s="320"/>
      <c r="AC521" s="321">
        <v>30.7386038</v>
      </c>
      <c r="AD521" s="320"/>
      <c r="AE521" s="320">
        <v>32.74</v>
      </c>
      <c r="AF521" s="320"/>
      <c r="AG521">
        <v>3.64</v>
      </c>
      <c r="AH521"/>
      <c r="AI521">
        <v>115</v>
      </c>
      <c r="AJ521"/>
      <c r="AK521"/>
      <c r="AL521"/>
      <c r="AM521"/>
      <c r="AN521"/>
      <c r="AO521">
        <v>77</v>
      </c>
      <c r="AP521"/>
      <c r="AQ521" s="323"/>
      <c r="AR521" s="323"/>
      <c r="AS521">
        <v>112</v>
      </c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>
        <v>-4.8016999999999997E-2</v>
      </c>
      <c r="BH521"/>
      <c r="BI521">
        <v>5.0675999999999997</v>
      </c>
      <c r="BJ521"/>
      <c r="BK521">
        <v>1.4905999999999999</v>
      </c>
      <c r="BL521"/>
      <c r="BM521">
        <v>62.703000000000003</v>
      </c>
      <c r="BN521"/>
      <c r="BO521">
        <v>21.497</v>
      </c>
      <c r="BP521"/>
      <c r="BQ521">
        <v>8.9682999999999993</v>
      </c>
      <c r="BR521"/>
      <c r="BS521">
        <v>50.478999999999999</v>
      </c>
      <c r="BT521"/>
      <c r="BU521">
        <v>16.498000000000001</v>
      </c>
      <c r="BV521"/>
      <c r="BW521" s="325">
        <v>10.06</v>
      </c>
      <c r="BX521"/>
      <c r="BY521">
        <v>6.534000000000006</v>
      </c>
      <c r="BZ521"/>
      <c r="CA521"/>
      <c r="CC521">
        <v>5.37</v>
      </c>
      <c r="CD521"/>
      <c r="CE521"/>
      <c r="CF521"/>
      <c r="CG521"/>
      <c r="CH521"/>
      <c r="CI521"/>
      <c r="CJ521"/>
      <c r="CK521"/>
      <c r="CL521"/>
      <c r="CM521"/>
    </row>
    <row r="522" spans="1:91">
      <c r="A522" s="327" t="s">
        <v>7727</v>
      </c>
      <c r="B522" s="328" t="s">
        <v>8289</v>
      </c>
      <c r="C522" s="328">
        <v>2</v>
      </c>
      <c r="D522" s="328">
        <v>358</v>
      </c>
      <c r="E522" s="113">
        <v>58</v>
      </c>
      <c r="F522" s="113">
        <v>3</v>
      </c>
      <c r="G522" s="329"/>
      <c r="H522" s="329"/>
      <c r="I522" s="328">
        <v>34</v>
      </c>
      <c r="J522" s="330"/>
      <c r="K522" s="331">
        <v>6</v>
      </c>
      <c r="L522" s="331"/>
      <c r="M522" s="328">
        <v>0.5</v>
      </c>
      <c r="N522" s="331"/>
      <c r="O522" s="328"/>
      <c r="P522" s="328"/>
      <c r="Q522" s="328"/>
      <c r="R522" s="332"/>
      <c r="S522" s="331" t="s">
        <v>8361</v>
      </c>
      <c r="T522" s="331"/>
      <c r="U522" s="328">
        <v>10.8</v>
      </c>
      <c r="V522" s="328"/>
      <c r="W522" s="328"/>
      <c r="X522" s="328"/>
      <c r="Y522" s="333">
        <v>0</v>
      </c>
      <c r="Z522" s="331"/>
      <c r="AA522" s="334">
        <v>13149.171270718232</v>
      </c>
      <c r="AB522" s="331"/>
      <c r="AC522" s="333" t="s">
        <v>8361</v>
      </c>
      <c r="AD522" s="331"/>
      <c r="AE522" s="331">
        <v>4.76</v>
      </c>
      <c r="AF522" s="331"/>
      <c r="AG522" s="328">
        <v>3.62</v>
      </c>
      <c r="AH522" s="328"/>
      <c r="AI522" s="328">
        <v>115</v>
      </c>
      <c r="AJ522" s="328"/>
      <c r="AK522" s="328"/>
      <c r="AL522" s="328"/>
      <c r="AM522" s="328"/>
      <c r="AN522" s="328"/>
      <c r="AO522" s="328">
        <v>80</v>
      </c>
      <c r="AP522" s="328"/>
      <c r="AQ522" s="335"/>
      <c r="AR522" s="335"/>
      <c r="AS522" s="328">
        <v>118</v>
      </c>
      <c r="AT522" s="328"/>
      <c r="AU522" s="328"/>
      <c r="AV522" s="328"/>
      <c r="AW522" s="328"/>
      <c r="AX522" s="328"/>
      <c r="AY522" s="328"/>
      <c r="AZ522" s="328"/>
      <c r="BA522" s="328"/>
      <c r="BB522" s="328"/>
      <c r="BC522" s="328"/>
      <c r="BD522" s="328"/>
      <c r="BE522" s="328"/>
      <c r="BF522" s="328"/>
      <c r="BG522" s="328"/>
      <c r="BH522" s="328"/>
      <c r="BI522" s="328"/>
      <c r="BJ522" s="328"/>
      <c r="BK522" s="328"/>
      <c r="BL522" s="328"/>
      <c r="BM522" s="328"/>
      <c r="BN522" s="328"/>
      <c r="BO522" s="328"/>
      <c r="BP522" s="328"/>
      <c r="BQ522" s="328"/>
      <c r="BR522" s="328"/>
      <c r="BS522" s="328"/>
      <c r="BT522" s="328"/>
      <c r="BU522" s="328"/>
      <c r="BV522" s="328"/>
      <c r="BW522" s="328" t="s">
        <v>8361</v>
      </c>
      <c r="BX522" s="339"/>
      <c r="BY522" s="328" t="s">
        <v>8237</v>
      </c>
      <c r="BZ522" s="328"/>
      <c r="CA522" s="328"/>
      <c r="CB522" s="337"/>
      <c r="CC522" s="328">
        <v>6.5</v>
      </c>
      <c r="CD522" s="328"/>
      <c r="CE522" s="328"/>
      <c r="CF522" s="328"/>
      <c r="CG522" s="328"/>
      <c r="CH522" s="328"/>
      <c r="CI522" s="328"/>
      <c r="CJ522" s="328"/>
      <c r="CK522" s="328" t="s">
        <v>8377</v>
      </c>
      <c r="CL522" s="328"/>
      <c r="CM522" s="328"/>
    </row>
    <row r="523" spans="1:91">
      <c r="A523" s="154" t="s">
        <v>7727</v>
      </c>
      <c r="B523" t="s">
        <v>8287</v>
      </c>
      <c r="C523">
        <v>1</v>
      </c>
      <c r="D523">
        <v>725</v>
      </c>
      <c r="E523" s="113">
        <v>25</v>
      </c>
      <c r="F523" s="113">
        <v>7</v>
      </c>
      <c r="I523">
        <v>27.999999999999996</v>
      </c>
      <c r="K523" s="320">
        <v>9</v>
      </c>
      <c r="L523" s="320"/>
      <c r="M523">
        <v>3.33</v>
      </c>
      <c r="N523" s="320"/>
      <c r="O523"/>
      <c r="P523"/>
      <c r="Q523"/>
      <c r="S523" s="320">
        <v>14.403896911403999</v>
      </c>
      <c r="T523" s="320"/>
      <c r="U523">
        <v>10.8</v>
      </c>
      <c r="V523"/>
      <c r="W523"/>
      <c r="X523"/>
      <c r="Y523" s="321">
        <v>5.5554686000000002</v>
      </c>
      <c r="Z523" s="320"/>
      <c r="AA523" s="322">
        <v>76641.604010025054</v>
      </c>
      <c r="AB523" s="320"/>
      <c r="AC523" s="321">
        <v>28.587101399999998</v>
      </c>
      <c r="AD523" s="320"/>
      <c r="AE523" s="320">
        <v>30.58</v>
      </c>
      <c r="AF523" s="320"/>
      <c r="AG523">
        <v>3.99</v>
      </c>
      <c r="AH523"/>
      <c r="AI523">
        <v>143</v>
      </c>
      <c r="AJ523"/>
      <c r="AK523"/>
      <c r="AL523"/>
      <c r="AM523"/>
      <c r="AN523"/>
      <c r="AO523">
        <v>87</v>
      </c>
      <c r="AP523"/>
      <c r="AQ523" s="323"/>
      <c r="AR523" s="323"/>
      <c r="AS523">
        <v>112</v>
      </c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>
        <v>1.2235</v>
      </c>
      <c r="BH523"/>
      <c r="BI523">
        <v>4.6406000000000001</v>
      </c>
      <c r="BJ523"/>
      <c r="BK523">
        <v>1.3852</v>
      </c>
      <c r="BL523"/>
      <c r="BM523">
        <v>60.570999999999998</v>
      </c>
      <c r="BN523"/>
      <c r="BO523">
        <v>20.765999999999998</v>
      </c>
      <c r="BP523"/>
      <c r="BQ523">
        <v>9.6478000000000002</v>
      </c>
      <c r="BR523"/>
      <c r="BS523">
        <v>50.386000000000003</v>
      </c>
      <c r="BT523"/>
      <c r="BU523">
        <v>17.690000000000001</v>
      </c>
      <c r="BV523"/>
      <c r="BW523" s="325">
        <v>2.52</v>
      </c>
      <c r="BX523"/>
      <c r="BY523">
        <v>6.5550000000000068</v>
      </c>
      <c r="BZ523"/>
      <c r="CA523"/>
      <c r="CC523">
        <v>9.76</v>
      </c>
      <c r="CD523"/>
      <c r="CE523"/>
      <c r="CF523"/>
      <c r="CG523"/>
      <c r="CH523"/>
      <c r="CI523"/>
      <c r="CJ523"/>
      <c r="CK523"/>
      <c r="CL523"/>
      <c r="CM523"/>
    </row>
    <row r="524" spans="1:91">
      <c r="A524" s="154" t="s">
        <v>7727</v>
      </c>
      <c r="B524" t="s">
        <v>8289</v>
      </c>
      <c r="C524">
        <v>1</v>
      </c>
      <c r="D524">
        <v>1508</v>
      </c>
      <c r="E524" s="113">
        <v>8</v>
      </c>
      <c r="F524" s="113">
        <v>15</v>
      </c>
      <c r="I524">
        <v>32</v>
      </c>
      <c r="K524" s="320">
        <v>9</v>
      </c>
      <c r="L524" s="320"/>
      <c r="M524">
        <v>3.27</v>
      </c>
      <c r="N524" s="320"/>
      <c r="O524"/>
      <c r="P524"/>
      <c r="Q524"/>
      <c r="S524" s="320">
        <v>14.280511215623999</v>
      </c>
      <c r="T524" s="320"/>
      <c r="U524">
        <v>10.8</v>
      </c>
      <c r="V524"/>
      <c r="W524"/>
      <c r="X524"/>
      <c r="Y524" s="321">
        <v>6.0225976000000001</v>
      </c>
      <c r="Z524" s="320"/>
      <c r="AA524" s="322">
        <v>74685.990338164265</v>
      </c>
      <c r="AB524" s="320"/>
      <c r="AC524" s="321">
        <v>28.895049199999999</v>
      </c>
      <c r="AD524" s="320"/>
      <c r="AE524" s="320">
        <v>30.92</v>
      </c>
      <c r="AF524" s="320"/>
      <c r="AG524">
        <v>4.1399999999999997</v>
      </c>
      <c r="AH524"/>
      <c r="AI524">
        <v>135</v>
      </c>
      <c r="AJ524"/>
      <c r="AK524"/>
      <c r="AL524"/>
      <c r="AM524"/>
      <c r="AN524"/>
      <c r="AO524">
        <v>80</v>
      </c>
      <c r="AP524"/>
      <c r="AQ524" s="323"/>
      <c r="AR524" s="323"/>
      <c r="AS524">
        <v>114</v>
      </c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>
        <v>0.62648000000000004</v>
      </c>
      <c r="BH524"/>
      <c r="BI524">
        <v>4.7274000000000003</v>
      </c>
      <c r="BJ524"/>
      <c r="BK524">
        <v>1.3742000000000001</v>
      </c>
      <c r="BL524"/>
      <c r="BM524">
        <v>58.234000000000002</v>
      </c>
      <c r="BN524"/>
      <c r="BO524">
        <v>20.789000000000001</v>
      </c>
      <c r="BP524"/>
      <c r="BQ524">
        <v>9.1727000000000007</v>
      </c>
      <c r="BR524"/>
      <c r="BS524">
        <v>49.421999999999997</v>
      </c>
      <c r="BT524"/>
      <c r="BU524">
        <v>18.766999999999999</v>
      </c>
      <c r="BV524"/>
      <c r="BW524" s="325">
        <v>11.82</v>
      </c>
      <c r="BX524"/>
      <c r="BY524">
        <v>6.4590000000000032</v>
      </c>
      <c r="BZ524"/>
      <c r="CA524"/>
      <c r="CC524">
        <v>7.08</v>
      </c>
      <c r="CD524"/>
      <c r="CE524"/>
      <c r="CF524"/>
      <c r="CG524"/>
      <c r="CH524"/>
      <c r="CI524"/>
      <c r="CJ524"/>
      <c r="CK524"/>
      <c r="CL524"/>
      <c r="CM524"/>
    </row>
    <row r="525" spans="1:91">
      <c r="A525" s="154" t="s">
        <v>7727</v>
      </c>
      <c r="B525" t="s">
        <v>8287</v>
      </c>
      <c r="C525">
        <v>2</v>
      </c>
      <c r="D525">
        <v>1764</v>
      </c>
      <c r="E525" s="113">
        <v>64</v>
      </c>
      <c r="F525" s="113">
        <v>17</v>
      </c>
      <c r="I525">
        <v>34.5</v>
      </c>
      <c r="K525" s="320">
        <v>8</v>
      </c>
      <c r="L525" s="320"/>
      <c r="M525">
        <v>3.17</v>
      </c>
      <c r="N525" s="320"/>
      <c r="O525"/>
      <c r="P525"/>
      <c r="Q525"/>
      <c r="S525" s="320">
        <v>13.942493908159999</v>
      </c>
      <c r="T525" s="320"/>
      <c r="U525">
        <v>10.8</v>
      </c>
      <c r="V525"/>
      <c r="W525"/>
      <c r="X525"/>
      <c r="Y525" s="321">
        <v>5.3888304000000007</v>
      </c>
      <c r="Z525" s="320"/>
      <c r="AA525" s="322">
        <v>80760.869565217377</v>
      </c>
      <c r="AB525" s="320"/>
      <c r="AC525" s="321">
        <v>27.707658799999997</v>
      </c>
      <c r="AD525" s="320"/>
      <c r="AE525" s="320">
        <v>29.72</v>
      </c>
      <c r="AF525" s="320"/>
      <c r="AG525">
        <v>3.68</v>
      </c>
      <c r="AH525"/>
      <c r="AI525">
        <v>128</v>
      </c>
      <c r="AJ525"/>
      <c r="AK525"/>
      <c r="AL525"/>
      <c r="AM525"/>
      <c r="AN525"/>
      <c r="AO525">
        <v>77</v>
      </c>
      <c r="AP525"/>
      <c r="AQ525" s="323"/>
      <c r="AR525" s="323"/>
      <c r="AS525">
        <v>112</v>
      </c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>
        <v>1.6675</v>
      </c>
      <c r="BH525"/>
      <c r="BI525">
        <v>4.9433999999999996</v>
      </c>
      <c r="BJ525"/>
      <c r="BK525">
        <v>1.3315999999999999</v>
      </c>
      <c r="BL525"/>
      <c r="BM525">
        <v>57.84</v>
      </c>
      <c r="BN525"/>
      <c r="BO525">
        <v>21.806999999999999</v>
      </c>
      <c r="BP525"/>
      <c r="BQ525">
        <v>9.3313000000000006</v>
      </c>
      <c r="BR525"/>
      <c r="BS525">
        <v>50.32</v>
      </c>
      <c r="BT525"/>
      <c r="BU525">
        <v>17.113</v>
      </c>
      <c r="BV525"/>
      <c r="BW525" s="325">
        <v>4.58</v>
      </c>
      <c r="BX525"/>
      <c r="BY525">
        <v>6.7420000000000044</v>
      </c>
      <c r="BZ525"/>
      <c r="CA525"/>
      <c r="CC525">
        <v>7.87</v>
      </c>
      <c r="CD525"/>
      <c r="CE525"/>
      <c r="CF525"/>
      <c r="CG525"/>
      <c r="CH525"/>
      <c r="CI525"/>
      <c r="CJ525"/>
      <c r="CK525"/>
      <c r="CL525"/>
      <c r="CM525"/>
    </row>
    <row r="526" spans="1:91">
      <c r="A526" s="154" t="s">
        <v>7728</v>
      </c>
      <c r="B526" t="s">
        <v>8287</v>
      </c>
      <c r="C526">
        <v>1</v>
      </c>
      <c r="D526">
        <v>620</v>
      </c>
      <c r="E526" s="113">
        <v>20</v>
      </c>
      <c r="F526" s="113">
        <v>6</v>
      </c>
      <c r="I526">
        <v>32.5</v>
      </c>
      <c r="K526" s="320">
        <v>8</v>
      </c>
      <c r="L526" s="320"/>
      <c r="M526">
        <v>3.61</v>
      </c>
      <c r="N526" s="320"/>
      <c r="O526"/>
      <c r="P526"/>
      <c r="Q526"/>
      <c r="S526" s="320">
        <v>17.054231764324001</v>
      </c>
      <c r="T526" s="320"/>
      <c r="U526">
        <v>10.8</v>
      </c>
      <c r="V526"/>
      <c r="W526"/>
      <c r="X526"/>
      <c r="Y526" s="321">
        <v>5.8171473999999996</v>
      </c>
      <c r="Z526" s="320"/>
      <c r="AA526" s="322">
        <v>84669.92665036676</v>
      </c>
      <c r="AB526" s="320"/>
      <c r="AC526" s="321">
        <v>32.638428699999999</v>
      </c>
      <c r="AD526" s="320"/>
      <c r="AE526" s="320">
        <v>34.630000000000003</v>
      </c>
      <c r="AF526" s="320"/>
      <c r="AG526">
        <v>4.09</v>
      </c>
      <c r="AH526"/>
      <c r="AI526">
        <v>135</v>
      </c>
      <c r="AJ526"/>
      <c r="AK526"/>
      <c r="AL526"/>
      <c r="AM526"/>
      <c r="AN526"/>
      <c r="AO526">
        <v>80</v>
      </c>
      <c r="AP526"/>
      <c r="AQ526" s="323"/>
      <c r="AR526" s="323"/>
      <c r="AS526">
        <v>112</v>
      </c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>
        <v>-1.2273000000000001</v>
      </c>
      <c r="BH526"/>
      <c r="BI526">
        <v>4.5128000000000004</v>
      </c>
      <c r="BJ526"/>
      <c r="BK526">
        <v>1.4755</v>
      </c>
      <c r="BL526"/>
      <c r="BM526">
        <v>63.189</v>
      </c>
      <c r="BN526"/>
      <c r="BO526">
        <v>19.603999999999999</v>
      </c>
      <c r="BP526"/>
      <c r="BQ526">
        <v>9.5327999999999999</v>
      </c>
      <c r="BR526"/>
      <c r="BS526">
        <v>52.252000000000002</v>
      </c>
      <c r="BT526"/>
      <c r="BU526">
        <v>17.709</v>
      </c>
      <c r="BV526"/>
      <c r="BW526" s="325">
        <v>7.67</v>
      </c>
      <c r="BX526"/>
      <c r="BY526">
        <v>6.3020000000000067</v>
      </c>
      <c r="BZ526"/>
      <c r="CA526"/>
      <c r="CC526">
        <v>5.71</v>
      </c>
      <c r="CD526"/>
      <c r="CE526"/>
      <c r="CF526"/>
      <c r="CG526"/>
      <c r="CH526"/>
      <c r="CI526"/>
      <c r="CJ526"/>
      <c r="CK526"/>
      <c r="CL526"/>
      <c r="CM526"/>
    </row>
    <row r="527" spans="1:91">
      <c r="A527" s="154" t="s">
        <v>7728</v>
      </c>
      <c r="B527" t="s">
        <v>8289</v>
      </c>
      <c r="C527">
        <v>2</v>
      </c>
      <c r="D527">
        <v>761</v>
      </c>
      <c r="E527" s="113">
        <v>61</v>
      </c>
      <c r="F527" s="113">
        <v>7</v>
      </c>
      <c r="I527">
        <v>27</v>
      </c>
      <c r="K527" s="320">
        <v>8</v>
      </c>
      <c r="L527" s="320"/>
      <c r="M527">
        <v>2.4500000000000002</v>
      </c>
      <c r="N527" s="320"/>
      <c r="O527"/>
      <c r="P527"/>
      <c r="Q527"/>
      <c r="S527" s="320">
        <v>9.4605598117799996</v>
      </c>
      <c r="T527" s="320"/>
      <c r="U527">
        <v>10.8</v>
      </c>
      <c r="V527"/>
      <c r="W527"/>
      <c r="X527"/>
      <c r="Y527" s="321">
        <v>4.8066392000000002</v>
      </c>
      <c r="Z527" s="320"/>
      <c r="AA527" s="322">
        <v>54866.828087167072</v>
      </c>
      <c r="AB527" s="320"/>
      <c r="AC527" s="321">
        <v>21.031879</v>
      </c>
      <c r="AD527" s="320"/>
      <c r="AE527" s="320">
        <v>22.66</v>
      </c>
      <c r="AF527" s="320"/>
      <c r="AG527">
        <v>4.13</v>
      </c>
      <c r="AH527"/>
      <c r="AI527">
        <v>123</v>
      </c>
      <c r="AJ527"/>
      <c r="AK527"/>
      <c r="AL527"/>
      <c r="AM527"/>
      <c r="AN527"/>
      <c r="AO527">
        <v>77</v>
      </c>
      <c r="AP527"/>
      <c r="AQ527" s="323"/>
      <c r="AR527" s="323"/>
      <c r="AS527">
        <v>112</v>
      </c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>
        <v>-0.22872999999999999</v>
      </c>
      <c r="BH527"/>
      <c r="BI527">
        <v>4.8621999999999996</v>
      </c>
      <c r="BJ527"/>
      <c r="BK527">
        <v>1.7259</v>
      </c>
      <c r="BL527"/>
      <c r="BM527">
        <v>65.558000000000007</v>
      </c>
      <c r="BN527"/>
      <c r="BO527">
        <v>18.506</v>
      </c>
      <c r="BP527"/>
      <c r="BQ527">
        <v>8.9792000000000005</v>
      </c>
      <c r="BR527"/>
      <c r="BS527">
        <v>44.981999999999999</v>
      </c>
      <c r="BT527"/>
      <c r="BU527">
        <v>20.826000000000001</v>
      </c>
      <c r="BV527"/>
      <c r="BW527" s="325">
        <v>3.28</v>
      </c>
      <c r="BX527"/>
      <c r="BY527">
        <v>7.1029999999999944</v>
      </c>
      <c r="BZ527"/>
      <c r="CA527"/>
      <c r="CC527">
        <v>9.11</v>
      </c>
      <c r="CD527"/>
      <c r="CE527"/>
      <c r="CF527"/>
      <c r="CG527"/>
      <c r="CH527"/>
      <c r="CI527"/>
      <c r="CJ527"/>
      <c r="CK527"/>
      <c r="CL527"/>
      <c r="CM527"/>
    </row>
    <row r="528" spans="1:91">
      <c r="A528" s="154" t="s">
        <v>7728</v>
      </c>
      <c r="B528" t="s">
        <v>8287</v>
      </c>
      <c r="C528">
        <v>2</v>
      </c>
      <c r="D528">
        <v>1645</v>
      </c>
      <c r="E528" s="113">
        <v>45</v>
      </c>
      <c r="F528" s="113">
        <v>16</v>
      </c>
      <c r="I528">
        <v>36</v>
      </c>
      <c r="K528" s="320">
        <v>8</v>
      </c>
      <c r="L528" s="320"/>
      <c r="M528">
        <v>2.9</v>
      </c>
      <c r="N528" s="320"/>
      <c r="O528"/>
      <c r="P528"/>
      <c r="Q528"/>
      <c r="S528" s="320">
        <v>14.204881284624001</v>
      </c>
      <c r="T528" s="320"/>
      <c r="U528">
        <v>10.8</v>
      </c>
      <c r="V528"/>
      <c r="W528"/>
      <c r="X528"/>
      <c r="Y528" s="321">
        <v>4.8563724000000006</v>
      </c>
      <c r="Z528" s="320"/>
      <c r="AA528" s="322">
        <v>75978.260869565216</v>
      </c>
      <c r="AB528" s="320"/>
      <c r="AC528" s="321">
        <v>26.3072844</v>
      </c>
      <c r="AD528" s="320"/>
      <c r="AE528" s="320">
        <v>27.96</v>
      </c>
      <c r="AF528" s="320"/>
      <c r="AG528">
        <v>3.68</v>
      </c>
      <c r="AH528"/>
      <c r="AI528">
        <v>125</v>
      </c>
      <c r="AJ528"/>
      <c r="AK528"/>
      <c r="AL528"/>
      <c r="AM528"/>
      <c r="AN528"/>
      <c r="AO528">
        <v>77</v>
      </c>
      <c r="AP528"/>
      <c r="AQ528" s="323"/>
      <c r="AR528" s="323"/>
      <c r="AS528">
        <v>112</v>
      </c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>
        <v>1.8483000000000001</v>
      </c>
      <c r="BH528"/>
      <c r="BI528">
        <v>4.4892000000000003</v>
      </c>
      <c r="BJ528"/>
      <c r="BK528">
        <v>1.5154000000000001</v>
      </c>
      <c r="BL528"/>
      <c r="BM528">
        <v>61.805999999999997</v>
      </c>
      <c r="BN528"/>
      <c r="BO528">
        <v>20.343</v>
      </c>
      <c r="BP528"/>
      <c r="BQ528">
        <v>9.1632999999999996</v>
      </c>
      <c r="BR528"/>
      <c r="BS528">
        <v>53.996000000000002</v>
      </c>
      <c r="BT528"/>
      <c r="BU528">
        <v>14.843999999999999</v>
      </c>
      <c r="BV528"/>
      <c r="BW528" s="325">
        <v>6.04</v>
      </c>
      <c r="BX528"/>
      <c r="BY528">
        <v>6.2109999999999985</v>
      </c>
      <c r="BZ528"/>
      <c r="CA528"/>
      <c r="CC528">
        <v>5.25</v>
      </c>
      <c r="CD528"/>
      <c r="CE528"/>
      <c r="CF528"/>
      <c r="CG528"/>
      <c r="CH528"/>
      <c r="CI528"/>
      <c r="CJ528"/>
      <c r="CK528"/>
      <c r="CL528"/>
      <c r="CM528"/>
    </row>
    <row r="529" spans="1:91">
      <c r="A529" s="154" t="s">
        <v>7728</v>
      </c>
      <c r="B529" t="s">
        <v>8289</v>
      </c>
      <c r="C529">
        <v>1</v>
      </c>
      <c r="D529">
        <v>1702</v>
      </c>
      <c r="E529" s="113">
        <v>2</v>
      </c>
      <c r="F529" s="113">
        <v>17</v>
      </c>
      <c r="I529">
        <v>35.499999999999993</v>
      </c>
      <c r="K529" s="320">
        <v>8</v>
      </c>
      <c r="L529" s="320"/>
      <c r="M529">
        <v>3.15</v>
      </c>
      <c r="N529" s="320"/>
      <c r="O529"/>
      <c r="P529"/>
      <c r="Q529"/>
      <c r="S529" s="320">
        <v>15.651556000000001</v>
      </c>
      <c r="T529" s="320"/>
      <c r="U529">
        <v>10.8</v>
      </c>
      <c r="V529"/>
      <c r="W529"/>
      <c r="X529"/>
      <c r="Y529" s="321">
        <v>0</v>
      </c>
      <c r="Z529" s="320"/>
      <c r="AA529" s="322">
        <v>80758.807588075884</v>
      </c>
      <c r="AB529" s="320"/>
      <c r="AC529" s="321">
        <v>29.8</v>
      </c>
      <c r="AD529" s="320"/>
      <c r="AE529" s="320">
        <v>29.8</v>
      </c>
      <c r="AF529" s="320"/>
      <c r="AG529">
        <v>3.69</v>
      </c>
      <c r="AH529"/>
      <c r="AI529">
        <v>130</v>
      </c>
      <c r="AJ529"/>
      <c r="AK529"/>
      <c r="AL529"/>
      <c r="AM529"/>
      <c r="AN529"/>
      <c r="AO529">
        <v>79</v>
      </c>
      <c r="AP529"/>
      <c r="AQ529" s="323"/>
      <c r="AR529" s="323"/>
      <c r="AS529">
        <v>114</v>
      </c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>
        <v>5.7572000000000001</v>
      </c>
      <c r="BH529"/>
      <c r="BI529">
        <v>4.3478000000000003</v>
      </c>
      <c r="BJ529"/>
      <c r="BK529">
        <v>1.4300999999999999</v>
      </c>
      <c r="BL529"/>
      <c r="BM529">
        <v>58.295000000000002</v>
      </c>
      <c r="BN529"/>
      <c r="BO529">
        <v>19.792000000000002</v>
      </c>
      <c r="BP529"/>
      <c r="BQ529">
        <v>10.974</v>
      </c>
      <c r="BR529"/>
      <c r="BS529">
        <v>52.521999999999998</v>
      </c>
      <c r="BT529"/>
      <c r="BU529">
        <v>17.286000000000001</v>
      </c>
      <c r="BV529"/>
      <c r="BW529" s="325">
        <v>14.85</v>
      </c>
      <c r="BX529"/>
      <c r="BY529">
        <v>6.3149999999999977</v>
      </c>
      <c r="BZ529"/>
      <c r="CA529"/>
      <c r="CC529">
        <v>7.01</v>
      </c>
      <c r="CD529"/>
      <c r="CE529"/>
      <c r="CF529"/>
      <c r="CG529"/>
      <c r="CH529"/>
      <c r="CI529"/>
      <c r="CJ529"/>
      <c r="CK529"/>
      <c r="CL529"/>
      <c r="CM529"/>
    </row>
    <row r="530" spans="1:91">
      <c r="A530" s="154" t="s">
        <v>7729</v>
      </c>
      <c r="B530" t="s">
        <v>8287</v>
      </c>
      <c r="C530">
        <v>1</v>
      </c>
      <c r="D530">
        <v>633</v>
      </c>
      <c r="E530" s="113">
        <v>33</v>
      </c>
      <c r="F530" s="113">
        <v>6</v>
      </c>
      <c r="I530">
        <v>33.5</v>
      </c>
      <c r="K530" s="320">
        <v>9</v>
      </c>
      <c r="L530" s="320"/>
      <c r="M530">
        <v>3.18</v>
      </c>
      <c r="N530" s="320"/>
      <c r="O530"/>
      <c r="P530"/>
      <c r="Q530"/>
      <c r="S530" s="320">
        <v>13.567910751557999</v>
      </c>
      <c r="T530" s="320"/>
      <c r="U530">
        <v>10.8</v>
      </c>
      <c r="V530"/>
      <c r="W530"/>
      <c r="X530"/>
      <c r="Y530" s="321">
        <v>5.6387535</v>
      </c>
      <c r="Z530" s="320"/>
      <c r="AA530" s="322">
        <v>80683.060109289625</v>
      </c>
      <c r="AB530" s="320"/>
      <c r="AC530" s="321">
        <v>27.6879186</v>
      </c>
      <c r="AD530" s="320"/>
      <c r="AE530" s="320">
        <v>29.53</v>
      </c>
      <c r="AF530" s="320"/>
      <c r="AG530">
        <v>3.66</v>
      </c>
      <c r="AH530"/>
      <c r="AI530">
        <v>130</v>
      </c>
      <c r="AJ530"/>
      <c r="AK530"/>
      <c r="AL530"/>
      <c r="AM530"/>
      <c r="AN530"/>
      <c r="AO530">
        <v>80</v>
      </c>
      <c r="AP530"/>
      <c r="AQ530" s="323"/>
      <c r="AR530" s="323"/>
      <c r="AS530">
        <v>112</v>
      </c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>
        <v>0.44824000000000003</v>
      </c>
      <c r="BH530"/>
      <c r="BI530">
        <v>4.3959999999999999</v>
      </c>
      <c r="BJ530"/>
      <c r="BK530">
        <v>1.5242</v>
      </c>
      <c r="BL530"/>
      <c r="BM530">
        <v>61.668999999999997</v>
      </c>
      <c r="BN530"/>
      <c r="BO530">
        <v>20.477</v>
      </c>
      <c r="BP530"/>
      <c r="BQ530">
        <v>10.003</v>
      </c>
      <c r="BR530"/>
      <c r="BS530">
        <v>49.003</v>
      </c>
      <c r="BT530"/>
      <c r="BU530">
        <v>18.024000000000001</v>
      </c>
      <c r="BV530"/>
      <c r="BW530" t="s">
        <v>8361</v>
      </c>
      <c r="BX530" s="324"/>
      <c r="BY530">
        <v>6.5630000000000024</v>
      </c>
      <c r="BZ530"/>
      <c r="CA530"/>
      <c r="CC530">
        <v>8.73</v>
      </c>
      <c r="CD530"/>
      <c r="CE530"/>
      <c r="CF530"/>
      <c r="CG530"/>
      <c r="CH530"/>
      <c r="CI530"/>
      <c r="CJ530"/>
      <c r="CK530"/>
      <c r="CL530"/>
      <c r="CM530"/>
    </row>
    <row r="531" spans="1:91">
      <c r="A531" s="327" t="s">
        <v>7729</v>
      </c>
      <c r="B531" s="328" t="s">
        <v>8289</v>
      </c>
      <c r="C531" s="328">
        <v>2</v>
      </c>
      <c r="D531" s="328">
        <v>966</v>
      </c>
      <c r="E531" s="113">
        <v>66</v>
      </c>
      <c r="F531" s="113">
        <v>9</v>
      </c>
      <c r="G531" s="329"/>
      <c r="H531" s="329"/>
      <c r="I531" s="328">
        <v>34.5</v>
      </c>
      <c r="J531" s="330"/>
      <c r="K531" s="331">
        <v>8</v>
      </c>
      <c r="L531" s="331"/>
      <c r="M531" s="328">
        <v>1.25</v>
      </c>
      <c r="N531" s="331"/>
      <c r="O531" s="328"/>
      <c r="P531" s="328"/>
      <c r="Q531" s="328"/>
      <c r="R531" s="332"/>
      <c r="S531" s="331">
        <v>4.3610810548319989</v>
      </c>
      <c r="T531" s="331"/>
      <c r="U531" s="328">
        <v>10.8</v>
      </c>
      <c r="V531" s="328"/>
      <c r="W531" s="328"/>
      <c r="X531" s="328"/>
      <c r="Y531" s="333">
        <v>2.2575288000000002</v>
      </c>
      <c r="Z531" s="331"/>
      <c r="AA531" s="334">
        <v>36564.417177914111</v>
      </c>
      <c r="AB531" s="331"/>
      <c r="AC531" s="333">
        <v>11.098592799999999</v>
      </c>
      <c r="AD531" s="331"/>
      <c r="AE531" s="331">
        <v>11.92</v>
      </c>
      <c r="AF531" s="331"/>
      <c r="AG531" s="328">
        <v>3.26</v>
      </c>
      <c r="AH531" s="328"/>
      <c r="AI531" s="328">
        <v>100</v>
      </c>
      <c r="AJ531" s="328"/>
      <c r="AK531" s="328"/>
      <c r="AL531" s="328"/>
      <c r="AM531" s="328"/>
      <c r="AN531" s="328"/>
      <c r="AO531" s="328">
        <v>80</v>
      </c>
      <c r="AP531" s="328"/>
      <c r="AQ531" s="335"/>
      <c r="AR531" s="335"/>
      <c r="AS531" s="328">
        <v>114</v>
      </c>
      <c r="AT531" s="328"/>
      <c r="AU531" s="328"/>
      <c r="AV531" s="328"/>
      <c r="AW531" s="328"/>
      <c r="AX531" s="328"/>
      <c r="AY531" s="328"/>
      <c r="AZ531" s="328"/>
      <c r="BA531" s="328"/>
      <c r="BB531" s="328"/>
      <c r="BC531" s="328"/>
      <c r="BD531" s="328"/>
      <c r="BE531" s="328"/>
      <c r="BF531" s="328"/>
      <c r="BG531" s="328">
        <v>-3.6728000000000001</v>
      </c>
      <c r="BH531" s="328"/>
      <c r="BI531" s="328">
        <v>5.2534999999999998</v>
      </c>
      <c r="BJ531" s="328"/>
      <c r="BK531" s="328">
        <v>1.7582</v>
      </c>
      <c r="BL531" s="328"/>
      <c r="BM531" s="328">
        <v>62.13</v>
      </c>
      <c r="BN531" s="328"/>
      <c r="BO531" s="328">
        <v>20.088000000000001</v>
      </c>
      <c r="BP531" s="328"/>
      <c r="BQ531" s="328">
        <v>8.7036999999999995</v>
      </c>
      <c r="BR531" s="328"/>
      <c r="BS531" s="328">
        <v>39.293999999999997</v>
      </c>
      <c r="BT531" s="328"/>
      <c r="BU531" s="328">
        <v>21.111999999999998</v>
      </c>
      <c r="BV531" s="328"/>
      <c r="BW531" s="336">
        <v>0.37</v>
      </c>
      <c r="BX531" s="328"/>
      <c r="BY531" s="328">
        <v>7.605000000000004</v>
      </c>
      <c r="BZ531" s="328"/>
      <c r="CA531" s="328"/>
      <c r="CB531" s="337"/>
      <c r="CC531" s="328">
        <v>6.3</v>
      </c>
      <c r="CD531" s="328"/>
      <c r="CE531" s="328"/>
      <c r="CF531" s="328"/>
      <c r="CG531" s="328"/>
      <c r="CH531" s="328"/>
      <c r="CI531" s="328"/>
      <c r="CJ531" s="328"/>
      <c r="CK531" s="328" t="s">
        <v>8377</v>
      </c>
      <c r="CL531" s="328"/>
      <c r="CM531" s="328"/>
    </row>
    <row r="532" spans="1:91">
      <c r="A532" s="154" t="s">
        <v>7729</v>
      </c>
      <c r="B532" t="s">
        <v>8287</v>
      </c>
      <c r="C532">
        <v>2</v>
      </c>
      <c r="D532">
        <v>1242</v>
      </c>
      <c r="E532" s="113">
        <v>42</v>
      </c>
      <c r="F532" s="113">
        <v>12</v>
      </c>
      <c r="I532">
        <v>29.999999999999996</v>
      </c>
      <c r="K532" s="320">
        <v>9</v>
      </c>
      <c r="L532" s="320"/>
      <c r="M532">
        <v>3.19</v>
      </c>
      <c r="N532" s="320"/>
      <c r="O532"/>
      <c r="P532"/>
      <c r="Q532"/>
      <c r="S532" s="320">
        <v>13.749515895768003</v>
      </c>
      <c r="T532" s="320"/>
      <c r="U532">
        <v>10.8</v>
      </c>
      <c r="V532"/>
      <c r="W532"/>
      <c r="X532"/>
      <c r="Y532" s="321">
        <v>5.543295800000001</v>
      </c>
      <c r="Z532" s="320"/>
      <c r="AA532" s="322">
        <v>85910.364145658285</v>
      </c>
      <c r="AB532" s="320"/>
      <c r="AC532" s="321">
        <v>28.601921900000004</v>
      </c>
      <c r="AD532" s="320"/>
      <c r="AE532" s="320">
        <v>30.67</v>
      </c>
      <c r="AF532" s="320"/>
      <c r="AG532">
        <v>3.57</v>
      </c>
      <c r="AH532"/>
      <c r="AI532">
        <v>130</v>
      </c>
      <c r="AJ532"/>
      <c r="AK532"/>
      <c r="AL532"/>
      <c r="AM532"/>
      <c r="AN532"/>
      <c r="AO532">
        <v>81</v>
      </c>
      <c r="AP532"/>
      <c r="AQ532" s="323"/>
      <c r="AR532" s="323"/>
      <c r="AS532">
        <v>112</v>
      </c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>
        <v>-6.7607999999999997</v>
      </c>
      <c r="BH532"/>
      <c r="BI532">
        <v>5.0571000000000002</v>
      </c>
      <c r="BJ532"/>
      <c r="BK532">
        <v>1.5359</v>
      </c>
      <c r="BL532"/>
      <c r="BM532">
        <v>67.676000000000002</v>
      </c>
      <c r="BN532"/>
      <c r="BO532">
        <v>20.507000000000001</v>
      </c>
      <c r="BP532"/>
      <c r="BQ532">
        <v>9.3231999999999999</v>
      </c>
      <c r="BR532"/>
      <c r="BS532">
        <v>48.072000000000003</v>
      </c>
      <c r="BT532"/>
      <c r="BU532">
        <v>17.762</v>
      </c>
      <c r="BV532"/>
      <c r="BW532" s="325">
        <v>5.83</v>
      </c>
      <c r="BX532"/>
      <c r="BY532">
        <v>6.5109999999999957</v>
      </c>
      <c r="BZ532"/>
      <c r="CA532"/>
      <c r="CC532">
        <v>5.52</v>
      </c>
      <c r="CD532"/>
      <c r="CE532"/>
      <c r="CF532"/>
      <c r="CG532"/>
      <c r="CH532"/>
      <c r="CI532"/>
      <c r="CJ532"/>
      <c r="CK532"/>
      <c r="CL532"/>
      <c r="CM532"/>
    </row>
    <row r="533" spans="1:91">
      <c r="A533" s="154" t="s">
        <v>7729</v>
      </c>
      <c r="B533" t="s">
        <v>8289</v>
      </c>
      <c r="C533">
        <v>1</v>
      </c>
      <c r="D533">
        <v>1609</v>
      </c>
      <c r="E533" s="113">
        <v>9</v>
      </c>
      <c r="F533" s="113">
        <v>16</v>
      </c>
      <c r="I533">
        <v>27</v>
      </c>
      <c r="K533" s="320">
        <v>8</v>
      </c>
      <c r="L533" s="320"/>
      <c r="M533">
        <v>2.89</v>
      </c>
      <c r="N533" s="320"/>
      <c r="O533"/>
      <c r="P533"/>
      <c r="Q533"/>
      <c r="S533" s="320">
        <v>12.482661060623</v>
      </c>
      <c r="T533" s="320"/>
      <c r="U533">
        <v>10.8</v>
      </c>
      <c r="V533"/>
      <c r="W533"/>
      <c r="X533"/>
      <c r="Y533" s="321">
        <v>5.1850928999999999</v>
      </c>
      <c r="Z533" s="320"/>
      <c r="AA533" s="322">
        <v>75983.379501385047</v>
      </c>
      <c r="AB533" s="320"/>
      <c r="AC533" s="321">
        <v>25.6807889</v>
      </c>
      <c r="AD533" s="320"/>
      <c r="AE533" s="320">
        <v>27.43</v>
      </c>
      <c r="AF533" s="320"/>
      <c r="AG533">
        <v>3.61</v>
      </c>
      <c r="AH533"/>
      <c r="AI533">
        <v>128</v>
      </c>
      <c r="AJ533"/>
      <c r="AK533"/>
      <c r="AL533"/>
      <c r="AM533"/>
      <c r="AN533"/>
      <c r="AO533">
        <v>82</v>
      </c>
      <c r="AP533"/>
      <c r="AQ533" s="323"/>
      <c r="AR533" s="323"/>
      <c r="AS533">
        <v>112</v>
      </c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>
        <v>-1.2045999999999999</v>
      </c>
      <c r="BH533"/>
      <c r="BI533">
        <v>4.2213000000000003</v>
      </c>
      <c r="BJ533"/>
      <c r="BK533">
        <v>1.5444</v>
      </c>
      <c r="BL533"/>
      <c r="BM533">
        <v>63.008000000000003</v>
      </c>
      <c r="BN533"/>
      <c r="BO533">
        <v>19.279</v>
      </c>
      <c r="BP533"/>
      <c r="BQ533">
        <v>10.675000000000001</v>
      </c>
      <c r="BR533"/>
      <c r="BS533">
        <v>48.606999999999999</v>
      </c>
      <c r="BT533"/>
      <c r="BU533">
        <v>18.434999999999999</v>
      </c>
      <c r="BV533"/>
      <c r="BW533" s="325">
        <v>3.46</v>
      </c>
      <c r="BX533"/>
      <c r="BY533">
        <v>6.2360000000000042</v>
      </c>
      <c r="BZ533"/>
      <c r="CA533"/>
      <c r="CC533">
        <v>6.73</v>
      </c>
      <c r="CD533"/>
      <c r="CE533"/>
      <c r="CF533"/>
      <c r="CG533"/>
      <c r="CH533"/>
      <c r="CI533"/>
      <c r="CJ533"/>
      <c r="CK533"/>
      <c r="CL533"/>
      <c r="CM533"/>
    </row>
    <row r="534" spans="1:91">
      <c r="A534" s="154" t="s">
        <v>7730</v>
      </c>
      <c r="B534" t="s">
        <v>8287</v>
      </c>
      <c r="C534">
        <v>1</v>
      </c>
      <c r="D534">
        <v>306</v>
      </c>
      <c r="E534" s="113">
        <v>6</v>
      </c>
      <c r="F534" s="113">
        <v>3</v>
      </c>
      <c r="I534">
        <v>26.499999999999996</v>
      </c>
      <c r="K534" s="320">
        <v>9</v>
      </c>
      <c r="L534" s="320"/>
      <c r="M534">
        <v>3.55</v>
      </c>
      <c r="N534" s="320"/>
      <c r="O534"/>
      <c r="P534"/>
      <c r="Q534"/>
      <c r="S534" s="320">
        <v>15.524079108383999</v>
      </c>
      <c r="T534" s="320"/>
      <c r="U534">
        <v>10.8</v>
      </c>
      <c r="V534"/>
      <c r="W534"/>
      <c r="X534"/>
      <c r="Y534" s="321">
        <v>6.0905339999999999</v>
      </c>
      <c r="Z534" s="320"/>
      <c r="AA534" s="322">
        <v>89365.079365079364</v>
      </c>
      <c r="AB534" s="320"/>
      <c r="AC534" s="321">
        <v>31.6714524</v>
      </c>
      <c r="AD534" s="320"/>
      <c r="AE534" s="320">
        <v>33.78</v>
      </c>
      <c r="AF534" s="320"/>
      <c r="AG534">
        <v>3.78</v>
      </c>
      <c r="AH534"/>
      <c r="AI534">
        <v>140</v>
      </c>
      <c r="AJ534"/>
      <c r="AK534"/>
      <c r="AL534"/>
      <c r="AM534"/>
      <c r="AN534"/>
      <c r="AO534">
        <v>72</v>
      </c>
      <c r="AP534"/>
      <c r="AQ534" s="323"/>
      <c r="AR534" s="323"/>
      <c r="AS534">
        <v>114</v>
      </c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>
        <v>2.5451000000000001</v>
      </c>
      <c r="BH534"/>
      <c r="BI534">
        <v>4.6706000000000003</v>
      </c>
      <c r="BJ534"/>
      <c r="BK534">
        <v>1.3929</v>
      </c>
      <c r="BL534"/>
      <c r="BM534">
        <v>57.664999999999999</v>
      </c>
      <c r="BN534"/>
      <c r="BO534">
        <v>22.155000000000001</v>
      </c>
      <c r="BP534"/>
      <c r="BQ534">
        <v>9.7649000000000008</v>
      </c>
      <c r="BR534"/>
      <c r="BS534">
        <v>49.015999999999998</v>
      </c>
      <c r="BT534"/>
      <c r="BU534">
        <v>18.03</v>
      </c>
      <c r="BV534"/>
      <c r="BW534" s="325">
        <v>14.09</v>
      </c>
      <c r="BX534"/>
      <c r="BY534">
        <v>6.5810000000000031</v>
      </c>
      <c r="BZ534"/>
      <c r="CA534"/>
      <c r="CC534">
        <v>6.48</v>
      </c>
      <c r="CD534"/>
      <c r="CE534"/>
      <c r="CF534"/>
      <c r="CG534"/>
      <c r="CH534"/>
      <c r="CI534"/>
      <c r="CJ534"/>
      <c r="CK534"/>
      <c r="CL534"/>
      <c r="CM534"/>
    </row>
    <row r="535" spans="1:91">
      <c r="A535" s="154" t="s">
        <v>7730</v>
      </c>
      <c r="B535" t="s">
        <v>8289</v>
      </c>
      <c r="C535">
        <v>2</v>
      </c>
      <c r="D535">
        <v>674</v>
      </c>
      <c r="E535" s="113">
        <v>74</v>
      </c>
      <c r="F535" s="113">
        <v>6</v>
      </c>
      <c r="I535">
        <v>28.5</v>
      </c>
      <c r="K535" s="320">
        <v>9</v>
      </c>
      <c r="L535" s="320"/>
      <c r="M535">
        <v>3.36</v>
      </c>
      <c r="N535" s="320"/>
      <c r="O535"/>
      <c r="P535"/>
      <c r="Q535"/>
      <c r="S535" s="320">
        <v>13.758689686755996</v>
      </c>
      <c r="T535" s="320"/>
      <c r="U535">
        <v>10.8</v>
      </c>
      <c r="V535"/>
      <c r="W535"/>
      <c r="X535"/>
      <c r="Y535" s="321">
        <v>6.1177115999999998</v>
      </c>
      <c r="Z535" s="320"/>
      <c r="AA535" s="322">
        <v>88551.912568305997</v>
      </c>
      <c r="AB535" s="320"/>
      <c r="AC535" s="321">
        <v>30.250845799999993</v>
      </c>
      <c r="AD535" s="320"/>
      <c r="AE535" s="320">
        <v>32.409999999999997</v>
      </c>
      <c r="AF535" s="320"/>
      <c r="AG535">
        <v>3.66</v>
      </c>
      <c r="AH535"/>
      <c r="AI535">
        <v>138</v>
      </c>
      <c r="AJ535"/>
      <c r="AK535"/>
      <c r="AL535"/>
      <c r="AM535"/>
      <c r="AN535"/>
      <c r="AO535">
        <v>77</v>
      </c>
      <c r="AP535"/>
      <c r="AQ535" s="323"/>
      <c r="AR535" s="323"/>
      <c r="AS535">
        <v>112</v>
      </c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>
        <v>-0.94055999999999995</v>
      </c>
      <c r="BH535"/>
      <c r="BI535">
        <v>4.8815</v>
      </c>
      <c r="BJ535"/>
      <c r="BK535">
        <v>1.4518</v>
      </c>
      <c r="BL535"/>
      <c r="BM535">
        <v>61.033000000000001</v>
      </c>
      <c r="BN535"/>
      <c r="BO535">
        <v>21.516999999999999</v>
      </c>
      <c r="BP535"/>
      <c r="BQ535">
        <v>9.8571000000000009</v>
      </c>
      <c r="BR535"/>
      <c r="BS535">
        <v>45.481999999999999</v>
      </c>
      <c r="BT535"/>
      <c r="BU535">
        <v>19.678000000000001</v>
      </c>
      <c r="BV535"/>
      <c r="BW535" s="325">
        <v>11.53</v>
      </c>
      <c r="BX535"/>
      <c r="BY535">
        <v>6.9339999999999975</v>
      </c>
      <c r="BZ535"/>
      <c r="CA535"/>
      <c r="CC535">
        <v>5.21</v>
      </c>
      <c r="CD535"/>
      <c r="CE535"/>
      <c r="CF535"/>
      <c r="CG535"/>
      <c r="CH535"/>
      <c r="CI535"/>
      <c r="CJ535"/>
      <c r="CK535"/>
      <c r="CL535"/>
      <c r="CM535"/>
    </row>
    <row r="536" spans="1:91">
      <c r="A536" s="154" t="s">
        <v>7730</v>
      </c>
      <c r="B536" t="s">
        <v>8287</v>
      </c>
      <c r="C536">
        <v>2</v>
      </c>
      <c r="D536">
        <v>1152</v>
      </c>
      <c r="E536" s="113">
        <v>52</v>
      </c>
      <c r="F536" s="113">
        <v>11</v>
      </c>
      <c r="I536">
        <v>31.499999999999996</v>
      </c>
      <c r="K536" s="320">
        <v>9</v>
      </c>
      <c r="L536" s="320"/>
      <c r="M536">
        <v>3.33</v>
      </c>
      <c r="N536" s="320"/>
      <c r="O536"/>
      <c r="P536"/>
      <c r="Q536"/>
      <c r="S536" s="320">
        <v>14.967510671232001</v>
      </c>
      <c r="T536" s="320"/>
      <c r="U536">
        <v>10.8</v>
      </c>
      <c r="V536"/>
      <c r="W536"/>
      <c r="X536"/>
      <c r="Y536" s="321">
        <v>5.9038490000000001</v>
      </c>
      <c r="Z536" s="320"/>
      <c r="AA536" s="322">
        <v>84591.029023746712</v>
      </c>
      <c r="AB536" s="320"/>
      <c r="AC536" s="321">
        <v>29.925445200000002</v>
      </c>
      <c r="AD536" s="320"/>
      <c r="AE536" s="320">
        <v>32.06</v>
      </c>
      <c r="AF536" s="320"/>
      <c r="AG536">
        <v>3.79</v>
      </c>
      <c r="AH536"/>
      <c r="AI536">
        <v>130</v>
      </c>
      <c r="AJ536"/>
      <c r="AK536"/>
      <c r="AL536"/>
      <c r="AM536"/>
      <c r="AN536"/>
      <c r="AO536">
        <v>77</v>
      </c>
      <c r="AP536"/>
      <c r="AQ536" s="323"/>
      <c r="AR536" s="323"/>
      <c r="AS536">
        <v>112</v>
      </c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>
        <v>5.3456999999999999</v>
      </c>
      <c r="BH536"/>
      <c r="BI536">
        <v>4.7614000000000001</v>
      </c>
      <c r="BJ536"/>
      <c r="BK536">
        <v>1.3767</v>
      </c>
      <c r="BL536"/>
      <c r="BM536">
        <v>58.277999999999999</v>
      </c>
      <c r="BN536"/>
      <c r="BO536">
        <v>20.474</v>
      </c>
      <c r="BP536"/>
      <c r="BQ536">
        <v>9.9031000000000002</v>
      </c>
      <c r="BR536"/>
      <c r="BS536">
        <v>50.015999999999998</v>
      </c>
      <c r="BT536"/>
      <c r="BU536">
        <v>17.027000000000001</v>
      </c>
      <c r="BV536"/>
      <c r="BW536" s="325">
        <v>10.7</v>
      </c>
      <c r="BX536"/>
      <c r="BY536">
        <v>6.6029999999999944</v>
      </c>
      <c r="BZ536"/>
      <c r="CA536"/>
      <c r="CC536">
        <v>5.37</v>
      </c>
      <c r="CD536"/>
      <c r="CE536"/>
      <c r="CF536"/>
      <c r="CG536"/>
      <c r="CH536"/>
      <c r="CI536"/>
      <c r="CJ536"/>
      <c r="CK536"/>
      <c r="CL536"/>
      <c r="CM536"/>
    </row>
    <row r="537" spans="1:91">
      <c r="A537" s="154" t="s">
        <v>7730</v>
      </c>
      <c r="B537" t="s">
        <v>8289</v>
      </c>
      <c r="C537">
        <v>1</v>
      </c>
      <c r="D537">
        <v>1322</v>
      </c>
      <c r="E537" s="113">
        <v>22</v>
      </c>
      <c r="F537" s="113">
        <v>13</v>
      </c>
      <c r="I537">
        <v>38.5</v>
      </c>
      <c r="K537" s="320">
        <v>9</v>
      </c>
      <c r="L537" s="320"/>
      <c r="M537">
        <v>2.87</v>
      </c>
      <c r="N537" s="320"/>
      <c r="O537"/>
      <c r="P537"/>
      <c r="Q537"/>
      <c r="S537" s="320">
        <v>11.249028693179003</v>
      </c>
      <c r="T537" s="320"/>
      <c r="U537">
        <v>10.8</v>
      </c>
      <c r="V537"/>
      <c r="W537"/>
      <c r="X537"/>
      <c r="Y537" s="321">
        <v>5.4702137000000004</v>
      </c>
      <c r="Z537" s="320"/>
      <c r="AA537" s="322">
        <v>72131.578947368427</v>
      </c>
      <c r="AB537" s="320"/>
      <c r="AC537" s="321">
        <v>25.549135100000001</v>
      </c>
      <c r="AD537" s="320"/>
      <c r="AE537" s="320">
        <v>27.41</v>
      </c>
      <c r="AF537" s="320"/>
      <c r="AG537">
        <v>3.8</v>
      </c>
      <c r="AH537"/>
      <c r="AI537">
        <v>123</v>
      </c>
      <c r="AJ537"/>
      <c r="AK537"/>
      <c r="AL537"/>
      <c r="AM537"/>
      <c r="AN537"/>
      <c r="AO537">
        <v>77</v>
      </c>
      <c r="AP537"/>
      <c r="AQ537" s="323"/>
      <c r="AR537" s="323"/>
      <c r="AS537">
        <v>112</v>
      </c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>
        <v>-4.4527999999999999</v>
      </c>
      <c r="BH537"/>
      <c r="BI537">
        <v>5.4808000000000003</v>
      </c>
      <c r="BJ537"/>
      <c r="BK537">
        <v>1.6007</v>
      </c>
      <c r="BL537"/>
      <c r="BM537">
        <v>62.323999999999998</v>
      </c>
      <c r="BN537"/>
      <c r="BO537">
        <v>20.241</v>
      </c>
      <c r="BP537"/>
      <c r="BQ537">
        <v>9.6595999999999993</v>
      </c>
      <c r="BR537"/>
      <c r="BS537">
        <v>44.029000000000003</v>
      </c>
      <c r="BT537"/>
      <c r="BU537">
        <v>18.931999999999999</v>
      </c>
      <c r="BV537"/>
      <c r="BW537" s="325">
        <v>1.99</v>
      </c>
      <c r="BX537"/>
      <c r="BY537">
        <v>7.2219999999999942</v>
      </c>
      <c r="BZ537"/>
      <c r="CA537"/>
      <c r="CC537">
        <v>6.13</v>
      </c>
      <c r="CD537"/>
      <c r="CE537"/>
      <c r="CF537"/>
      <c r="CG537"/>
      <c r="CH537"/>
      <c r="CI537"/>
      <c r="CJ537"/>
      <c r="CK537"/>
      <c r="CL537"/>
      <c r="CM537"/>
    </row>
    <row r="538" spans="1:91">
      <c r="A538" s="154" t="s">
        <v>7731</v>
      </c>
      <c r="B538" t="s">
        <v>8287</v>
      </c>
      <c r="C538">
        <v>1</v>
      </c>
      <c r="D538">
        <v>325</v>
      </c>
      <c r="E538" s="113">
        <v>25</v>
      </c>
      <c r="F538" s="113">
        <v>3</v>
      </c>
      <c r="I538">
        <v>29.5</v>
      </c>
      <c r="K538" s="320">
        <v>8</v>
      </c>
      <c r="L538" s="320"/>
      <c r="M538">
        <v>3.42</v>
      </c>
      <c r="N538" s="320"/>
      <c r="O538"/>
      <c r="P538"/>
      <c r="Q538"/>
      <c r="S538" s="320">
        <v>15.088783792693002</v>
      </c>
      <c r="T538" s="320"/>
      <c r="U538">
        <v>10.8</v>
      </c>
      <c r="V538"/>
      <c r="W538"/>
      <c r="X538"/>
      <c r="Y538" s="321">
        <v>6.3143646000000002</v>
      </c>
      <c r="Z538" s="320"/>
      <c r="AA538" s="322">
        <v>61257.253384912961</v>
      </c>
      <c r="AB538" s="320"/>
      <c r="AC538" s="321">
        <v>29.586430700000005</v>
      </c>
      <c r="AD538" s="320"/>
      <c r="AE538" s="320">
        <v>31.67</v>
      </c>
      <c r="AF538" s="320"/>
      <c r="AG538">
        <v>5.17</v>
      </c>
      <c r="AH538"/>
      <c r="AI538">
        <v>133</v>
      </c>
      <c r="AJ538"/>
      <c r="AK538"/>
      <c r="AL538"/>
      <c r="AM538"/>
      <c r="AN538"/>
      <c r="AO538">
        <v>77</v>
      </c>
      <c r="AP538"/>
      <c r="AQ538" s="323"/>
      <c r="AR538" s="323"/>
      <c r="AS538">
        <v>112</v>
      </c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>
        <v>-3.3795999999999999</v>
      </c>
      <c r="BH538"/>
      <c r="BI538">
        <v>4.7785000000000002</v>
      </c>
      <c r="BJ538"/>
      <c r="BK538">
        <v>1.4113</v>
      </c>
      <c r="BL538"/>
      <c r="BM538">
        <v>64.254999999999995</v>
      </c>
      <c r="BN538"/>
      <c r="BO538">
        <v>21.93</v>
      </c>
      <c r="BP538"/>
      <c r="BQ538">
        <v>10.185</v>
      </c>
      <c r="BR538"/>
      <c r="BS538">
        <v>50.999000000000002</v>
      </c>
      <c r="BT538"/>
      <c r="BU538">
        <v>18.033999999999999</v>
      </c>
      <c r="BV538"/>
      <c r="BW538" s="325">
        <v>11.44</v>
      </c>
      <c r="BX538"/>
      <c r="BY538">
        <v>6.5900000000000034</v>
      </c>
      <c r="BZ538"/>
      <c r="CA538"/>
      <c r="CC538">
        <v>8.98</v>
      </c>
      <c r="CD538"/>
      <c r="CE538"/>
      <c r="CF538"/>
      <c r="CG538"/>
      <c r="CH538"/>
      <c r="CI538"/>
      <c r="CJ538"/>
      <c r="CK538"/>
      <c r="CL538"/>
      <c r="CM538"/>
    </row>
    <row r="539" spans="1:91">
      <c r="A539" s="154" t="s">
        <v>7731</v>
      </c>
      <c r="B539" t="s">
        <v>8289</v>
      </c>
      <c r="C539">
        <v>2</v>
      </c>
      <c r="D539">
        <v>754</v>
      </c>
      <c r="E539" s="113">
        <v>54</v>
      </c>
      <c r="F539" s="113">
        <v>7</v>
      </c>
      <c r="I539">
        <v>27.499999999999996</v>
      </c>
      <c r="K539" s="320">
        <v>9</v>
      </c>
      <c r="L539" s="320"/>
      <c r="M539">
        <v>2.91</v>
      </c>
      <c r="N539" s="320"/>
      <c r="O539"/>
      <c r="P539"/>
      <c r="Q539"/>
      <c r="S539" s="320">
        <v>12.62857344</v>
      </c>
      <c r="T539" s="320"/>
      <c r="U539">
        <v>10.8</v>
      </c>
      <c r="V539"/>
      <c r="W539"/>
      <c r="X539"/>
      <c r="Y539" s="321">
        <v>5.8388400000000003</v>
      </c>
      <c r="Z539" s="320"/>
      <c r="AA539" s="322">
        <v>57142.857142857138</v>
      </c>
      <c r="AB539" s="320"/>
      <c r="AC539" s="321">
        <v>26.292000000000002</v>
      </c>
      <c r="AD539" s="320"/>
      <c r="AE539" s="320">
        <v>28</v>
      </c>
      <c r="AF539" s="320"/>
      <c r="AG539">
        <v>4.9000000000000004</v>
      </c>
      <c r="AH539"/>
      <c r="AI539">
        <v>118</v>
      </c>
      <c r="AJ539"/>
      <c r="AK539"/>
      <c r="AL539"/>
      <c r="AM539"/>
      <c r="AN539"/>
      <c r="AO539">
        <v>77</v>
      </c>
      <c r="AP539"/>
      <c r="AQ539" s="323"/>
      <c r="AR539" s="323"/>
      <c r="AS539">
        <v>112</v>
      </c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>
        <v>0.76385000000000003</v>
      </c>
      <c r="BH539"/>
      <c r="BI539">
        <v>4.3445</v>
      </c>
      <c r="BJ539"/>
      <c r="BK539">
        <v>1.516</v>
      </c>
      <c r="BL539"/>
      <c r="BM539">
        <v>61.094000000000001</v>
      </c>
      <c r="BN539"/>
      <c r="BO539">
        <v>20.666</v>
      </c>
      <c r="BP539"/>
      <c r="BQ539">
        <v>11.401999999999999</v>
      </c>
      <c r="BR539"/>
      <c r="BS539">
        <v>48.031999999999996</v>
      </c>
      <c r="BT539"/>
      <c r="BU539">
        <v>19.824999999999999</v>
      </c>
      <c r="BV539"/>
      <c r="BW539" s="325">
        <v>3.05</v>
      </c>
      <c r="BX539"/>
      <c r="BY539">
        <v>6.6899999999999977</v>
      </c>
      <c r="BZ539"/>
      <c r="CA539"/>
      <c r="CC539">
        <v>5.44</v>
      </c>
      <c r="CD539"/>
      <c r="CE539"/>
      <c r="CF539"/>
      <c r="CG539"/>
      <c r="CH539"/>
      <c r="CI539"/>
      <c r="CJ539"/>
      <c r="CK539"/>
      <c r="CL539"/>
      <c r="CM539"/>
    </row>
    <row r="540" spans="1:91">
      <c r="A540" s="154" t="s">
        <v>7731</v>
      </c>
      <c r="B540" t="s">
        <v>8287</v>
      </c>
      <c r="C540">
        <v>2</v>
      </c>
      <c r="D540">
        <v>1270</v>
      </c>
      <c r="E540" s="113">
        <v>70</v>
      </c>
      <c r="F540" s="113">
        <v>12</v>
      </c>
      <c r="I540">
        <v>33.5</v>
      </c>
      <c r="K540" s="320">
        <v>9</v>
      </c>
      <c r="L540" s="320"/>
      <c r="M540">
        <v>3.41</v>
      </c>
      <c r="N540" s="320"/>
      <c r="O540"/>
      <c r="P540"/>
      <c r="Q540"/>
      <c r="S540" s="320">
        <v>16.152966726623998</v>
      </c>
      <c r="T540" s="320"/>
      <c r="U540">
        <v>10.8</v>
      </c>
      <c r="V540"/>
      <c r="W540"/>
      <c r="X540"/>
      <c r="Y540" s="321">
        <v>5.6583071999999994</v>
      </c>
      <c r="Z540" s="320"/>
      <c r="AA540" s="322">
        <v>70603.448275862072</v>
      </c>
      <c r="AB540" s="320"/>
      <c r="AC540" s="321">
        <v>30.539527199999995</v>
      </c>
      <c r="AD540" s="320"/>
      <c r="AE540" s="320">
        <v>32.76</v>
      </c>
      <c r="AF540" s="320"/>
      <c r="AG540">
        <v>4.6399999999999997</v>
      </c>
      <c r="AH540"/>
      <c r="AI540">
        <v>130</v>
      </c>
      <c r="AJ540"/>
      <c r="AK540"/>
      <c r="AL540"/>
      <c r="AM540"/>
      <c r="AN540"/>
      <c r="AO540">
        <v>77</v>
      </c>
      <c r="AP540"/>
      <c r="AQ540" s="323"/>
      <c r="AR540" s="323"/>
      <c r="AS540">
        <v>112</v>
      </c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>
        <v>-4.1576000000000004</v>
      </c>
      <c r="BH540"/>
      <c r="BI540">
        <v>5.1332000000000004</v>
      </c>
      <c r="BJ540"/>
      <c r="BK540">
        <v>1.4278</v>
      </c>
      <c r="BL540"/>
      <c r="BM540">
        <v>66.38</v>
      </c>
      <c r="BN540"/>
      <c r="BO540">
        <v>22.029</v>
      </c>
      <c r="BP540"/>
      <c r="BQ540">
        <v>9.2507999999999999</v>
      </c>
      <c r="BR540"/>
      <c r="BS540">
        <v>52.892000000000003</v>
      </c>
      <c r="BT540"/>
      <c r="BU540">
        <v>15.968999999999999</v>
      </c>
      <c r="BV540"/>
      <c r="BW540" s="325">
        <v>12.45</v>
      </c>
      <c r="BX540"/>
      <c r="BY540">
        <v>6.5960000000000036</v>
      </c>
      <c r="BZ540"/>
      <c r="CA540"/>
      <c r="CC540">
        <v>5.57</v>
      </c>
      <c r="CD540"/>
      <c r="CE540"/>
      <c r="CF540"/>
      <c r="CG540"/>
      <c r="CH540"/>
      <c r="CI540"/>
      <c r="CJ540"/>
      <c r="CK540"/>
      <c r="CL540"/>
      <c r="CM540"/>
    </row>
    <row r="541" spans="1:91">
      <c r="A541" s="154" t="s">
        <v>7731</v>
      </c>
      <c r="B541" t="s">
        <v>8289</v>
      </c>
      <c r="C541">
        <v>1</v>
      </c>
      <c r="D541">
        <v>1430</v>
      </c>
      <c r="E541" s="113">
        <v>30</v>
      </c>
      <c r="F541" s="113">
        <v>14</v>
      </c>
      <c r="I541">
        <v>27</v>
      </c>
      <c r="K541" s="320">
        <v>9</v>
      </c>
      <c r="L541" s="320"/>
      <c r="M541">
        <v>3.54</v>
      </c>
      <c r="N541" s="320"/>
      <c r="O541"/>
      <c r="P541"/>
      <c r="Q541"/>
      <c r="S541" s="320">
        <v>14.845998662016003</v>
      </c>
      <c r="T541" s="320"/>
      <c r="U541">
        <v>10.8</v>
      </c>
      <c r="V541"/>
      <c r="W541"/>
      <c r="X541"/>
      <c r="Y541" s="321">
        <v>5.9846573999999997</v>
      </c>
      <c r="Z541" s="320"/>
      <c r="AA541" s="322">
        <v>75204.545454545456</v>
      </c>
      <c r="AB541" s="320"/>
      <c r="AC541" s="321">
        <v>31.095003900000005</v>
      </c>
      <c r="AD541" s="320"/>
      <c r="AE541" s="320">
        <v>33.090000000000003</v>
      </c>
      <c r="AF541" s="320"/>
      <c r="AG541">
        <v>4.4000000000000004</v>
      </c>
      <c r="AH541"/>
      <c r="AI541">
        <v>128</v>
      </c>
      <c r="AJ541"/>
      <c r="AK541"/>
      <c r="AL541"/>
      <c r="AM541"/>
      <c r="AN541"/>
      <c r="AO541">
        <v>77</v>
      </c>
      <c r="AP541"/>
      <c r="AQ541" s="323"/>
      <c r="AR541" s="323"/>
      <c r="AS541">
        <v>112</v>
      </c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>
        <v>8.2741999999999996E-2</v>
      </c>
      <c r="BH541"/>
      <c r="BI541">
        <v>4.7244999999999999</v>
      </c>
      <c r="BJ541"/>
      <c r="BK541">
        <v>1.3665</v>
      </c>
      <c r="BL541"/>
      <c r="BM541">
        <v>58.795000000000002</v>
      </c>
      <c r="BN541"/>
      <c r="BO541">
        <v>21.126999999999999</v>
      </c>
      <c r="BP541"/>
      <c r="BQ541">
        <v>11.807</v>
      </c>
      <c r="BR541"/>
      <c r="BS541">
        <v>47.744</v>
      </c>
      <c r="BT541"/>
      <c r="BU541">
        <v>19.565000000000001</v>
      </c>
      <c r="BV541"/>
      <c r="BW541" s="325">
        <v>6.27</v>
      </c>
      <c r="BX541"/>
      <c r="BY541">
        <v>6.7609999999999957</v>
      </c>
      <c r="BZ541"/>
      <c r="CA541"/>
      <c r="CC541">
        <v>8.1300000000000008</v>
      </c>
      <c r="CD541"/>
      <c r="CE541"/>
      <c r="CF541"/>
      <c r="CG541"/>
      <c r="CH541"/>
      <c r="CI541"/>
      <c r="CJ541"/>
      <c r="CK541"/>
      <c r="CL541"/>
      <c r="CM541"/>
    </row>
    <row r="542" spans="1:91">
      <c r="A542" s="154" t="s">
        <v>7732</v>
      </c>
      <c r="B542" t="s">
        <v>8289</v>
      </c>
      <c r="C542">
        <v>2</v>
      </c>
      <c r="D542">
        <v>469</v>
      </c>
      <c r="E542" s="113">
        <v>69</v>
      </c>
      <c r="F542" s="113">
        <v>4</v>
      </c>
      <c r="I542">
        <v>25</v>
      </c>
      <c r="K542" s="320">
        <v>8</v>
      </c>
      <c r="L542" s="320"/>
      <c r="M542">
        <v>1.32</v>
      </c>
      <c r="N542" s="320"/>
      <c r="O542"/>
      <c r="P542"/>
      <c r="Q542"/>
      <c r="S542" s="320">
        <v>4.0999414022280005</v>
      </c>
      <c r="T542" s="320"/>
      <c r="U542">
        <v>10.8</v>
      </c>
      <c r="V542"/>
      <c r="W542"/>
      <c r="X542"/>
      <c r="Y542" s="321">
        <v>2.4176772000000004</v>
      </c>
      <c r="Z542" s="320"/>
      <c r="AA542" s="322">
        <v>36000</v>
      </c>
      <c r="AB542" s="320"/>
      <c r="AC542" s="321">
        <v>11.6551764</v>
      </c>
      <c r="AD542" s="320"/>
      <c r="AE542" s="320">
        <v>12.42</v>
      </c>
      <c r="AF542" s="320"/>
      <c r="AG542">
        <v>3.45</v>
      </c>
      <c r="AH542"/>
      <c r="AI542">
        <v>105</v>
      </c>
      <c r="AJ542"/>
      <c r="AK542"/>
      <c r="AL542"/>
      <c r="AM542"/>
      <c r="AN542"/>
      <c r="AO542">
        <v>77</v>
      </c>
      <c r="AP542"/>
      <c r="AQ542" s="323"/>
      <c r="AR542" s="323"/>
      <c r="AS542">
        <v>114</v>
      </c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>
        <v>-7.4032</v>
      </c>
      <c r="BH542"/>
      <c r="BI542"/>
      <c r="BJ542"/>
      <c r="BK542"/>
      <c r="BL542"/>
      <c r="BM542"/>
      <c r="BN542"/>
      <c r="BO542"/>
      <c r="BP542"/>
      <c r="BQ542"/>
      <c r="BR542"/>
      <c r="BS542">
        <v>35.177</v>
      </c>
      <c r="BT542"/>
      <c r="BU542"/>
      <c r="BV542"/>
      <c r="BW542" s="325">
        <v>1.41</v>
      </c>
      <c r="BX542"/>
      <c r="BY542">
        <v>6.5220000000000056</v>
      </c>
      <c r="BZ542"/>
      <c r="CA542"/>
      <c r="CC542">
        <v>7.55</v>
      </c>
      <c r="CD542"/>
      <c r="CE542"/>
      <c r="CF542"/>
      <c r="CG542"/>
      <c r="CH542"/>
      <c r="CI542"/>
      <c r="CJ542"/>
      <c r="CK542"/>
      <c r="CL542"/>
      <c r="CM542"/>
    </row>
    <row r="543" spans="1:91">
      <c r="A543" s="327" t="s">
        <v>7732</v>
      </c>
      <c r="B543" s="328" t="s">
        <v>8287</v>
      </c>
      <c r="C543" s="328">
        <v>1</v>
      </c>
      <c r="D543" s="328">
        <v>831</v>
      </c>
      <c r="E543" s="113">
        <v>31</v>
      </c>
      <c r="F543" s="113">
        <v>8</v>
      </c>
      <c r="G543" s="329"/>
      <c r="H543" s="329"/>
      <c r="I543" s="328">
        <v>26</v>
      </c>
      <c r="J543" s="330"/>
      <c r="K543" s="331">
        <v>7</v>
      </c>
      <c r="L543" s="331"/>
      <c r="M543" s="328">
        <v>2.14</v>
      </c>
      <c r="N543" s="331"/>
      <c r="O543" s="328"/>
      <c r="P543" s="328"/>
      <c r="Q543" s="328"/>
      <c r="R543" s="332"/>
      <c r="S543" s="331">
        <v>9.3492469485000012</v>
      </c>
      <c r="T543" s="331"/>
      <c r="U543" s="328">
        <v>10.8</v>
      </c>
      <c r="V543" s="328"/>
      <c r="W543" s="328"/>
      <c r="X543" s="328"/>
      <c r="Y543" s="333">
        <v>3.3807355000000001</v>
      </c>
      <c r="Z543" s="331"/>
      <c r="AA543" s="334">
        <v>42339.055793991422</v>
      </c>
      <c r="AB543" s="331"/>
      <c r="AC543" s="333">
        <v>18.422887500000002</v>
      </c>
      <c r="AD543" s="331"/>
      <c r="AE543" s="331">
        <v>19.73</v>
      </c>
      <c r="AF543" s="331"/>
      <c r="AG543" s="328">
        <v>4.66</v>
      </c>
      <c r="AH543" s="328"/>
      <c r="AI543" s="328">
        <v>100</v>
      </c>
      <c r="AJ543" s="328"/>
      <c r="AK543" s="328"/>
      <c r="AL543" s="328"/>
      <c r="AM543" s="328"/>
      <c r="AN543" s="328"/>
      <c r="AO543" s="328">
        <v>77</v>
      </c>
      <c r="AP543" s="328"/>
      <c r="AQ543" s="335"/>
      <c r="AR543" s="335"/>
      <c r="AS543" s="328">
        <v>114</v>
      </c>
      <c r="AT543" s="328"/>
      <c r="AU543" s="328"/>
      <c r="AV543" s="328"/>
      <c r="AW543" s="328"/>
      <c r="AX543" s="328"/>
      <c r="AY543" s="328"/>
      <c r="AZ543" s="328"/>
      <c r="BA543" s="328"/>
      <c r="BB543" s="328"/>
      <c r="BC543" s="328"/>
      <c r="BD543" s="328"/>
      <c r="BE543" s="328"/>
      <c r="BF543" s="328"/>
      <c r="BG543" s="328">
        <v>-1.9473</v>
      </c>
      <c r="BH543" s="328"/>
      <c r="BI543" s="328">
        <v>4.7960000000000003</v>
      </c>
      <c r="BJ543" s="328"/>
      <c r="BK543" s="328">
        <v>1.5609</v>
      </c>
      <c r="BL543" s="328"/>
      <c r="BM543" s="328">
        <v>68.335999999999999</v>
      </c>
      <c r="BN543" s="328"/>
      <c r="BO543" s="328">
        <v>21.158000000000001</v>
      </c>
      <c r="BP543" s="328"/>
      <c r="BQ543" s="328">
        <v>8.4169</v>
      </c>
      <c r="BR543" s="328"/>
      <c r="BS543" s="328">
        <v>50.747999999999998</v>
      </c>
      <c r="BT543" s="328"/>
      <c r="BU543" s="328">
        <v>17.187000000000001</v>
      </c>
      <c r="BV543" s="328"/>
      <c r="BW543" s="336">
        <v>11.29</v>
      </c>
      <c r="BX543" s="328"/>
      <c r="BY543" s="328">
        <v>6.4770000000000039</v>
      </c>
      <c r="BZ543" s="328"/>
      <c r="CA543" s="328"/>
      <c r="CB543" s="337"/>
      <c r="CC543" s="328">
        <v>9.39</v>
      </c>
      <c r="CD543" s="328"/>
      <c r="CE543" s="328"/>
      <c r="CF543" s="328"/>
      <c r="CG543" s="328"/>
      <c r="CH543" s="328"/>
      <c r="CI543" s="328"/>
      <c r="CJ543" s="328"/>
      <c r="CK543" s="328" t="s">
        <v>8377</v>
      </c>
      <c r="CL543" s="328"/>
      <c r="CM543" s="328"/>
    </row>
    <row r="544" spans="1:91">
      <c r="A544" s="154" t="s">
        <v>7732</v>
      </c>
      <c r="B544" t="s">
        <v>8287</v>
      </c>
      <c r="C544">
        <v>2</v>
      </c>
      <c r="D544">
        <v>1156</v>
      </c>
      <c r="E544" s="113">
        <v>56</v>
      </c>
      <c r="F544" s="113">
        <v>11</v>
      </c>
      <c r="I544">
        <v>31</v>
      </c>
      <c r="K544" s="320">
        <v>9</v>
      </c>
      <c r="L544" s="320"/>
      <c r="M544">
        <v>2.97</v>
      </c>
      <c r="N544" s="320"/>
      <c r="O544"/>
      <c r="P544"/>
      <c r="Q544"/>
      <c r="S544" s="320">
        <v>13.023607742208</v>
      </c>
      <c r="T544" s="320"/>
      <c r="U544">
        <v>10.8</v>
      </c>
      <c r="V544"/>
      <c r="W544"/>
      <c r="X544"/>
      <c r="Y544" s="321">
        <v>5.1907136000000005</v>
      </c>
      <c r="Z544" s="320"/>
      <c r="AA544" s="322">
        <v>73624.678663239072</v>
      </c>
      <c r="AB544" s="320"/>
      <c r="AC544" s="321">
        <v>26.708518399999999</v>
      </c>
      <c r="AD544" s="320"/>
      <c r="AE544" s="320">
        <v>28.64</v>
      </c>
      <c r="AF544" s="320"/>
      <c r="AG544">
        <v>3.89</v>
      </c>
      <c r="AH544"/>
      <c r="AI544">
        <v>120</v>
      </c>
      <c r="AJ544"/>
      <c r="AK544"/>
      <c r="AL544"/>
      <c r="AM544"/>
      <c r="AN544"/>
      <c r="AO544">
        <v>77</v>
      </c>
      <c r="AP544"/>
      <c r="AQ544" s="323"/>
      <c r="AR544" s="323"/>
      <c r="AS544">
        <v>112</v>
      </c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>
        <v>-0.65639000000000003</v>
      </c>
      <c r="BH544"/>
      <c r="BI544">
        <v>4.5548999999999999</v>
      </c>
      <c r="BJ544"/>
      <c r="BK544">
        <v>1.5531999999999999</v>
      </c>
      <c r="BL544"/>
      <c r="BM544">
        <v>63.069000000000003</v>
      </c>
      <c r="BN544"/>
      <c r="BO544">
        <v>18.988</v>
      </c>
      <c r="BP544"/>
      <c r="BQ544">
        <v>9.0878999999999994</v>
      </c>
      <c r="BR544"/>
      <c r="BS544">
        <v>48.762</v>
      </c>
      <c r="BT544"/>
      <c r="BU544">
        <v>18.053999999999998</v>
      </c>
      <c r="BV544"/>
      <c r="BW544" s="325">
        <v>9.48</v>
      </c>
      <c r="BX544"/>
      <c r="BY544">
        <v>6.4500000000000028</v>
      </c>
      <c r="BZ544"/>
      <c r="CA544"/>
      <c r="CC544">
        <v>5.22</v>
      </c>
      <c r="CD544"/>
      <c r="CE544"/>
      <c r="CF544"/>
      <c r="CG544"/>
      <c r="CH544"/>
      <c r="CI544"/>
      <c r="CJ544"/>
      <c r="CK544"/>
      <c r="CL544"/>
      <c r="CM544"/>
    </row>
    <row r="545" spans="1:91">
      <c r="A545" s="154" t="s">
        <v>7732</v>
      </c>
      <c r="B545" t="s">
        <v>8289</v>
      </c>
      <c r="C545">
        <v>1</v>
      </c>
      <c r="D545">
        <v>1116</v>
      </c>
      <c r="E545" s="113">
        <v>16</v>
      </c>
      <c r="F545" s="113">
        <v>11</v>
      </c>
      <c r="I545">
        <v>21.499999999999996</v>
      </c>
      <c r="K545" s="320">
        <v>9</v>
      </c>
      <c r="L545" s="320"/>
      <c r="M545">
        <v>2.99</v>
      </c>
      <c r="N545" s="320"/>
      <c r="O545"/>
      <c r="P545"/>
      <c r="Q545"/>
      <c r="S545" s="320">
        <v>12.825339546948001</v>
      </c>
      <c r="T545" s="320"/>
      <c r="U545">
        <v>10.8</v>
      </c>
      <c r="V545"/>
      <c r="W545"/>
      <c r="X545"/>
      <c r="Y545" s="321">
        <v>5.7600272999999991</v>
      </c>
      <c r="Z545" s="320"/>
      <c r="AA545" s="322">
        <v>72015.113350125932</v>
      </c>
      <c r="AB545" s="320"/>
      <c r="AC545" s="321">
        <v>26.807699400000001</v>
      </c>
      <c r="AD545" s="320"/>
      <c r="AE545" s="320">
        <v>28.59</v>
      </c>
      <c r="AF545" s="320"/>
      <c r="AG545">
        <v>3.97</v>
      </c>
      <c r="AH545"/>
      <c r="AI545">
        <v>120</v>
      </c>
      <c r="AJ545"/>
      <c r="AK545"/>
      <c r="AL545"/>
      <c r="AM545"/>
      <c r="AN545"/>
      <c r="AO545">
        <v>79</v>
      </c>
      <c r="AP545"/>
      <c r="AQ545" s="323"/>
      <c r="AR545" s="323"/>
      <c r="AS545">
        <v>112</v>
      </c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>
        <v>3.1566999999999998</v>
      </c>
      <c r="BH545"/>
      <c r="BI545">
        <v>4.5522</v>
      </c>
      <c r="BJ545"/>
      <c r="BK545">
        <v>1.5579000000000001</v>
      </c>
      <c r="BL545"/>
      <c r="BM545">
        <v>59.625</v>
      </c>
      <c r="BN545"/>
      <c r="BO545">
        <v>20.643000000000001</v>
      </c>
      <c r="BP545"/>
      <c r="BQ545">
        <v>9.0949000000000009</v>
      </c>
      <c r="BR545"/>
      <c r="BS545">
        <v>47.841999999999999</v>
      </c>
      <c r="BT545"/>
      <c r="BU545">
        <v>19.265999999999998</v>
      </c>
      <c r="BV545"/>
      <c r="BW545" s="325">
        <v>12.6</v>
      </c>
      <c r="BX545"/>
      <c r="BY545">
        <v>6.4579999999999984</v>
      </c>
      <c r="BZ545"/>
      <c r="CA545"/>
      <c r="CC545">
        <v>6.04</v>
      </c>
      <c r="CD545"/>
      <c r="CE545"/>
      <c r="CF545"/>
      <c r="CG545"/>
      <c r="CH545"/>
      <c r="CI545"/>
      <c r="CJ545"/>
      <c r="CK545"/>
      <c r="CL545"/>
      <c r="CM545"/>
    </row>
    <row r="546" spans="1:91">
      <c r="A546" s="154" t="s">
        <v>7762</v>
      </c>
      <c r="B546" t="s">
        <v>8287</v>
      </c>
      <c r="C546">
        <v>1</v>
      </c>
      <c r="D546">
        <v>616</v>
      </c>
      <c r="E546" s="113">
        <v>16</v>
      </c>
      <c r="F546" s="113">
        <v>6</v>
      </c>
      <c r="I546">
        <v>32</v>
      </c>
      <c r="K546" s="320">
        <v>9</v>
      </c>
      <c r="L546" s="320"/>
      <c r="M546">
        <v>3.9</v>
      </c>
      <c r="N546" s="320"/>
      <c r="O546"/>
      <c r="P546"/>
      <c r="Q546"/>
      <c r="S546" s="320">
        <v>17.785892621952001</v>
      </c>
      <c r="T546" s="320"/>
      <c r="U546">
        <v>10.8</v>
      </c>
      <c r="V546"/>
      <c r="W546"/>
      <c r="X546"/>
      <c r="Y546" s="321">
        <v>5.8442384000000001</v>
      </c>
      <c r="Z546" s="320"/>
      <c r="AA546" s="322">
        <v>86566.125290023221</v>
      </c>
      <c r="AB546" s="320"/>
      <c r="AC546" s="321">
        <v>34.940068799999999</v>
      </c>
      <c r="AD546" s="320"/>
      <c r="AE546" s="320">
        <v>37.31</v>
      </c>
      <c r="AF546" s="320"/>
      <c r="AG546">
        <v>4.3099999999999996</v>
      </c>
      <c r="AH546"/>
      <c r="AI546">
        <v>130</v>
      </c>
      <c r="AJ546"/>
      <c r="AK546"/>
      <c r="AL546"/>
      <c r="AM546"/>
      <c r="AN546"/>
      <c r="AO546">
        <v>80</v>
      </c>
      <c r="AP546"/>
      <c r="AQ546" s="323"/>
      <c r="AR546" s="323"/>
      <c r="AS546">
        <v>112</v>
      </c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>
        <v>-0.29142000000000001</v>
      </c>
      <c r="BH546"/>
      <c r="BI546">
        <v>4.0480999999999998</v>
      </c>
      <c r="BJ546"/>
      <c r="BK546">
        <v>1.5788</v>
      </c>
      <c r="BL546"/>
      <c r="BM546">
        <v>72.504999999999995</v>
      </c>
      <c r="BN546"/>
      <c r="BO546">
        <v>17.777000000000001</v>
      </c>
      <c r="BP546"/>
      <c r="BQ546">
        <v>8.0167000000000002</v>
      </c>
      <c r="BR546"/>
      <c r="BS546">
        <v>50.904000000000003</v>
      </c>
      <c r="BT546"/>
      <c r="BU546">
        <v>17.306999999999999</v>
      </c>
      <c r="BV546"/>
      <c r="BW546" s="325">
        <v>14.69</v>
      </c>
      <c r="BX546"/>
      <c r="BY546">
        <v>6.5529999999999973</v>
      </c>
      <c r="BZ546"/>
      <c r="CA546"/>
      <c r="CC546">
        <v>5.97</v>
      </c>
      <c r="CD546"/>
      <c r="CE546"/>
      <c r="CF546"/>
      <c r="CG546"/>
      <c r="CH546"/>
      <c r="CI546"/>
      <c r="CJ546"/>
      <c r="CK546"/>
      <c r="CL546"/>
      <c r="CM546"/>
    </row>
    <row r="547" spans="1:91">
      <c r="A547" s="154" t="s">
        <v>7762</v>
      </c>
      <c r="B547" t="s">
        <v>8289</v>
      </c>
      <c r="C547">
        <v>2</v>
      </c>
      <c r="D547">
        <v>659</v>
      </c>
      <c r="E547" s="113">
        <v>59</v>
      </c>
      <c r="F547" s="113">
        <v>6</v>
      </c>
      <c r="I547">
        <v>34</v>
      </c>
      <c r="K547" s="320">
        <v>9</v>
      </c>
      <c r="L547" s="320"/>
      <c r="M547">
        <v>2.29</v>
      </c>
      <c r="N547" s="320"/>
      <c r="O547"/>
      <c r="P547"/>
      <c r="Q547"/>
      <c r="S547" s="320" t="s">
        <v>8361</v>
      </c>
      <c r="T547" s="320"/>
      <c r="U547">
        <v>10.8</v>
      </c>
      <c r="V547"/>
      <c r="W547"/>
      <c r="X547"/>
      <c r="Y547" s="321">
        <v>0</v>
      </c>
      <c r="Z547" s="320"/>
      <c r="AA547" s="322">
        <v>45550.755939524839</v>
      </c>
      <c r="AB547" s="320"/>
      <c r="AC547" s="321" t="s">
        <v>8361</v>
      </c>
      <c r="AD547" s="320"/>
      <c r="AE547" s="320">
        <v>21.09</v>
      </c>
      <c r="AF547" s="320"/>
      <c r="AG547">
        <v>4.63</v>
      </c>
      <c r="AH547"/>
      <c r="AI547">
        <v>110</v>
      </c>
      <c r="AJ547"/>
      <c r="AK547"/>
      <c r="AL547"/>
      <c r="AM547"/>
      <c r="AN547"/>
      <c r="AO547">
        <v>80</v>
      </c>
      <c r="AP547"/>
      <c r="AQ547" s="323"/>
      <c r="AR547" s="323"/>
      <c r="AS547">
        <v>114</v>
      </c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>
        <v>-3.3858999999999999</v>
      </c>
      <c r="BH547"/>
      <c r="BI547">
        <v>4.9294000000000002</v>
      </c>
      <c r="BJ547"/>
      <c r="BK547">
        <v>1.6972</v>
      </c>
      <c r="BL547"/>
      <c r="BM547">
        <v>69.417000000000002</v>
      </c>
      <c r="BN547"/>
      <c r="BO547">
        <v>17.777000000000001</v>
      </c>
      <c r="BP547"/>
      <c r="BQ547">
        <v>8.0250000000000004</v>
      </c>
      <c r="BR547"/>
      <c r="BS547">
        <v>42.978999999999999</v>
      </c>
      <c r="BT547"/>
      <c r="BU547">
        <v>20.675000000000001</v>
      </c>
      <c r="BV547"/>
      <c r="BW547" s="325">
        <v>2.92</v>
      </c>
      <c r="BX547"/>
      <c r="BY547">
        <v>7.8490000000000038</v>
      </c>
      <c r="BZ547"/>
      <c r="CA547"/>
      <c r="CC547">
        <v>9.5</v>
      </c>
      <c r="CD547"/>
      <c r="CE547"/>
      <c r="CF547"/>
      <c r="CG547"/>
      <c r="CH547"/>
      <c r="CI547"/>
      <c r="CJ547"/>
      <c r="CK547"/>
      <c r="CL547"/>
      <c r="CM547"/>
    </row>
    <row r="548" spans="1:91">
      <c r="A548" s="154" t="s">
        <v>7762</v>
      </c>
      <c r="B548" t="s">
        <v>8287</v>
      </c>
      <c r="C548">
        <v>2</v>
      </c>
      <c r="D548">
        <v>1071</v>
      </c>
      <c r="E548" s="113">
        <v>71</v>
      </c>
      <c r="F548" s="113">
        <v>10</v>
      </c>
      <c r="I548">
        <v>29.999999999999996</v>
      </c>
      <c r="K548" s="320">
        <v>9</v>
      </c>
      <c r="L548" s="320"/>
      <c r="M548">
        <v>3.22</v>
      </c>
      <c r="N548" s="320"/>
      <c r="O548"/>
      <c r="P548"/>
      <c r="Q548"/>
      <c r="S548" s="320">
        <v>14.013666951025</v>
      </c>
      <c r="T548" s="320"/>
      <c r="U548">
        <v>10.8</v>
      </c>
      <c r="V548"/>
      <c r="W548"/>
      <c r="X548"/>
      <c r="Y548" s="321">
        <v>5.568524</v>
      </c>
      <c r="Z548" s="320"/>
      <c r="AA548" s="322">
        <v>74578.313253012049</v>
      </c>
      <c r="AB548" s="320"/>
      <c r="AC548" s="321">
        <v>28.8673745</v>
      </c>
      <c r="AD548" s="320"/>
      <c r="AE548" s="320">
        <v>30.95</v>
      </c>
      <c r="AF548" s="320"/>
      <c r="AG548">
        <v>4.1500000000000004</v>
      </c>
      <c r="AH548"/>
      <c r="AI548">
        <v>115</v>
      </c>
      <c r="AJ548"/>
      <c r="AK548"/>
      <c r="AL548"/>
      <c r="AM548"/>
      <c r="AN548"/>
      <c r="AO548">
        <v>79</v>
      </c>
      <c r="AP548"/>
      <c r="AQ548" s="323"/>
      <c r="AR548" s="323"/>
      <c r="AS548">
        <v>112</v>
      </c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>
        <v>5.1121999999999996</v>
      </c>
      <c r="BH548"/>
      <c r="BI548">
        <v>4.3734999999999999</v>
      </c>
      <c r="BJ548"/>
      <c r="BK548">
        <v>1.5951</v>
      </c>
      <c r="BL548"/>
      <c r="BM548">
        <v>68.671999999999997</v>
      </c>
      <c r="BN548"/>
      <c r="BO548">
        <v>18.241</v>
      </c>
      <c r="BP548"/>
      <c r="BQ548">
        <v>8.3361999999999998</v>
      </c>
      <c r="BR548"/>
      <c r="BS548">
        <v>48.545000000000002</v>
      </c>
      <c r="BT548"/>
      <c r="BU548">
        <v>17.718</v>
      </c>
      <c r="BV548"/>
      <c r="BW548">
        <v>4</v>
      </c>
      <c r="BX548"/>
      <c r="BY548">
        <v>6.7990000000000066</v>
      </c>
      <c r="BZ548"/>
      <c r="CA548"/>
      <c r="CC548">
        <v>5.54</v>
      </c>
      <c r="CD548"/>
      <c r="CE548"/>
      <c r="CF548"/>
      <c r="CG548"/>
      <c r="CH548"/>
      <c r="CI548"/>
      <c r="CJ548"/>
      <c r="CK548"/>
      <c r="CL548"/>
      <c r="CM548"/>
    </row>
    <row r="549" spans="1:91">
      <c r="A549" s="154" t="s">
        <v>7762</v>
      </c>
      <c r="B549" t="s">
        <v>8289</v>
      </c>
      <c r="C549">
        <v>1</v>
      </c>
      <c r="D549">
        <v>1724</v>
      </c>
      <c r="E549" s="113">
        <v>24</v>
      </c>
      <c r="F549" s="113">
        <v>17</v>
      </c>
      <c r="I549">
        <v>29.999999999999996</v>
      </c>
      <c r="K549" s="320">
        <v>8</v>
      </c>
      <c r="L549" s="320"/>
      <c r="M549">
        <v>3.29</v>
      </c>
      <c r="N549" s="320"/>
      <c r="O549"/>
      <c r="P549"/>
      <c r="Q549"/>
      <c r="S549" s="320">
        <v>13.566145584096001</v>
      </c>
      <c r="T549" s="320"/>
      <c r="U549">
        <v>10.8</v>
      </c>
      <c r="V549"/>
      <c r="W549"/>
      <c r="X549"/>
      <c r="Y549" s="321">
        <v>6.6189312000000005</v>
      </c>
      <c r="Z549" s="320"/>
      <c r="AA549" s="322">
        <v>68883.826879271073</v>
      </c>
      <c r="AB549" s="320"/>
      <c r="AC549" s="321">
        <v>28.2375072</v>
      </c>
      <c r="AD549" s="320"/>
      <c r="AE549" s="320">
        <v>30.24</v>
      </c>
      <c r="AF549" s="320"/>
      <c r="AG549">
        <v>4.3899999999999997</v>
      </c>
      <c r="AH549"/>
      <c r="AI549">
        <v>118</v>
      </c>
      <c r="AJ549"/>
      <c r="AK549"/>
      <c r="AL549"/>
      <c r="AM549"/>
      <c r="AN549"/>
      <c r="AO549">
        <v>79</v>
      </c>
      <c r="AP549"/>
      <c r="AQ549" s="323"/>
      <c r="AR549" s="323"/>
      <c r="AS549">
        <v>114</v>
      </c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>
        <v>-4.7500999999999998</v>
      </c>
      <c r="BH549"/>
      <c r="BI549">
        <v>4.5536000000000003</v>
      </c>
      <c r="BJ549"/>
      <c r="BK549">
        <v>1.6138999999999999</v>
      </c>
      <c r="BL549"/>
      <c r="BM549">
        <v>72.027000000000001</v>
      </c>
      <c r="BN549"/>
      <c r="BO549">
        <v>19.812000000000001</v>
      </c>
      <c r="BP549"/>
      <c r="BQ549">
        <v>7.5529999999999999</v>
      </c>
      <c r="BR549"/>
      <c r="BS549">
        <v>48.042999999999999</v>
      </c>
      <c r="BT549"/>
      <c r="BU549">
        <v>18.239999999999998</v>
      </c>
      <c r="BV549"/>
      <c r="BW549" s="325">
        <v>6.09</v>
      </c>
      <c r="BX549"/>
      <c r="BY549">
        <v>7.0130000000000052</v>
      </c>
      <c r="BZ549"/>
      <c r="CA549"/>
      <c r="CC549">
        <v>9.67</v>
      </c>
      <c r="CD549"/>
      <c r="CE549"/>
      <c r="CF549"/>
      <c r="CG549"/>
      <c r="CH549"/>
      <c r="CI549"/>
      <c r="CJ549"/>
      <c r="CK549"/>
      <c r="CL549"/>
      <c r="CM549"/>
    </row>
    <row r="550" spans="1:91">
      <c r="A550" s="154" t="s">
        <v>7763</v>
      </c>
      <c r="B550" t="s">
        <v>8289</v>
      </c>
      <c r="C550">
        <v>2</v>
      </c>
      <c r="D550">
        <v>661</v>
      </c>
      <c r="E550" s="113">
        <v>61</v>
      </c>
      <c r="F550" s="113">
        <v>6</v>
      </c>
      <c r="I550">
        <v>27</v>
      </c>
      <c r="K550" s="320">
        <v>9</v>
      </c>
      <c r="L550" s="320"/>
      <c r="M550">
        <v>2.23</v>
      </c>
      <c r="N550" s="320"/>
      <c r="O550"/>
      <c r="P550"/>
      <c r="Q550"/>
      <c r="S550" s="320">
        <v>7.7535116687000007</v>
      </c>
      <c r="T550" s="320"/>
      <c r="U550">
        <v>10.8</v>
      </c>
      <c r="V550"/>
      <c r="W550"/>
      <c r="X550"/>
      <c r="Y550" s="321">
        <v>4.1225500000000004</v>
      </c>
      <c r="Z550" s="320"/>
      <c r="AA550" s="322">
        <v>52162.849872773528</v>
      </c>
      <c r="AB550" s="320"/>
      <c r="AC550" s="321">
        <v>19.00883</v>
      </c>
      <c r="AD550" s="320"/>
      <c r="AE550" s="320">
        <v>20.5</v>
      </c>
      <c r="AF550" s="320"/>
      <c r="AG550">
        <v>3.93</v>
      </c>
      <c r="AH550"/>
      <c r="AI550">
        <v>108</v>
      </c>
      <c r="AJ550"/>
      <c r="AK550"/>
      <c r="AL550"/>
      <c r="AM550"/>
      <c r="AN550"/>
      <c r="AO550">
        <v>77</v>
      </c>
      <c r="AP550"/>
      <c r="AQ550" s="323"/>
      <c r="AR550" s="323"/>
      <c r="AS550">
        <v>112</v>
      </c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>
        <v>-4.2180999999999997</v>
      </c>
      <c r="BH550"/>
      <c r="BI550">
        <v>5.7023999999999999</v>
      </c>
      <c r="BJ550"/>
      <c r="BK550">
        <v>1.8186</v>
      </c>
      <c r="BL550"/>
      <c r="BM550">
        <v>67.206999999999994</v>
      </c>
      <c r="BN550"/>
      <c r="BO550">
        <v>20.413</v>
      </c>
      <c r="BP550"/>
      <c r="BQ550">
        <v>5.7891000000000004</v>
      </c>
      <c r="BR550"/>
      <c r="BS550">
        <v>40.789000000000001</v>
      </c>
      <c r="BT550"/>
      <c r="BU550">
        <v>20.831</v>
      </c>
      <c r="BV550"/>
      <c r="BW550" s="325">
        <v>2.69</v>
      </c>
      <c r="BX550"/>
      <c r="BY550">
        <v>6.1370000000000005</v>
      </c>
      <c r="BZ550"/>
      <c r="CA550"/>
      <c r="CC550">
        <v>9.64</v>
      </c>
      <c r="CD550"/>
      <c r="CE550"/>
      <c r="CF550"/>
      <c r="CG550"/>
      <c r="CH550"/>
      <c r="CI550"/>
      <c r="CJ550"/>
      <c r="CK550"/>
      <c r="CL550"/>
      <c r="CM550"/>
    </row>
    <row r="551" spans="1:91">
      <c r="A551" s="154" t="s">
        <v>7763</v>
      </c>
      <c r="B551" t="s">
        <v>8287</v>
      </c>
      <c r="C551">
        <v>1</v>
      </c>
      <c r="D551">
        <v>708</v>
      </c>
      <c r="E551" s="113">
        <v>8</v>
      </c>
      <c r="F551" s="113">
        <v>7</v>
      </c>
      <c r="I551">
        <v>21</v>
      </c>
      <c r="K551" s="320">
        <v>9</v>
      </c>
      <c r="L551" s="320"/>
      <c r="M551">
        <v>3.62</v>
      </c>
      <c r="N551" s="320"/>
      <c r="O551"/>
      <c r="P551"/>
      <c r="Q551"/>
      <c r="S551" s="320">
        <v>16.470816281970002</v>
      </c>
      <c r="T551" s="320"/>
      <c r="U551">
        <v>10.8</v>
      </c>
      <c r="V551"/>
      <c r="W551"/>
      <c r="X551"/>
      <c r="Y551" s="321">
        <v>6.494211</v>
      </c>
      <c r="Z551" s="320"/>
      <c r="AA551" s="322">
        <v>85235.732009925545</v>
      </c>
      <c r="AB551" s="320"/>
      <c r="AC551" s="321">
        <v>32.040649500000001</v>
      </c>
      <c r="AD551" s="320"/>
      <c r="AE551" s="320">
        <v>34.35</v>
      </c>
      <c r="AF551" s="320"/>
      <c r="AG551">
        <v>4.03</v>
      </c>
      <c r="AH551"/>
      <c r="AI551">
        <v>128</v>
      </c>
      <c r="AJ551"/>
      <c r="AK551"/>
      <c r="AL551"/>
      <c r="AM551"/>
      <c r="AN551"/>
      <c r="AO551">
        <v>77</v>
      </c>
      <c r="AP551"/>
      <c r="AQ551" s="323"/>
      <c r="AR551" s="323"/>
      <c r="AS551">
        <v>112</v>
      </c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>
        <v>2.4710000000000001</v>
      </c>
      <c r="BH551"/>
      <c r="BI551">
        <v>4.3278999999999996</v>
      </c>
      <c r="BJ551"/>
      <c r="BK551">
        <v>1.5399</v>
      </c>
      <c r="BL551"/>
      <c r="BM551">
        <v>61.088999999999999</v>
      </c>
      <c r="BN551"/>
      <c r="BO551">
        <v>19.821999999999999</v>
      </c>
      <c r="BP551"/>
      <c r="BQ551">
        <v>8.6090999999999998</v>
      </c>
      <c r="BR551"/>
      <c r="BS551">
        <v>51.405999999999999</v>
      </c>
      <c r="BT551"/>
      <c r="BU551">
        <v>17.494</v>
      </c>
      <c r="BV551"/>
      <c r="BW551" s="325">
        <v>8.5</v>
      </c>
      <c r="BX551"/>
      <c r="BY551">
        <v>6.2750000000000057</v>
      </c>
      <c r="BZ551"/>
      <c r="CA551"/>
      <c r="CC551">
        <v>6.75</v>
      </c>
      <c r="CD551"/>
      <c r="CE551"/>
      <c r="CF551"/>
      <c r="CG551"/>
      <c r="CH551"/>
      <c r="CI551"/>
      <c r="CJ551"/>
      <c r="CK551"/>
      <c r="CL551"/>
      <c r="CM551"/>
    </row>
    <row r="552" spans="1:91">
      <c r="A552" s="154" t="s">
        <v>7763</v>
      </c>
      <c r="B552" t="s">
        <v>8287</v>
      </c>
      <c r="C552">
        <v>2</v>
      </c>
      <c r="D552">
        <v>1173</v>
      </c>
      <c r="E552" s="113">
        <v>73</v>
      </c>
      <c r="F552" s="113">
        <v>11</v>
      </c>
      <c r="I552">
        <v>33.5</v>
      </c>
      <c r="K552" s="320">
        <v>9</v>
      </c>
      <c r="L552" s="320"/>
      <c r="M552">
        <v>3.14</v>
      </c>
      <c r="N552" s="320"/>
      <c r="O552"/>
      <c r="P552"/>
      <c r="Q552"/>
      <c r="S552" s="320">
        <v>14.189027371776</v>
      </c>
      <c r="T552" s="320"/>
      <c r="U552">
        <v>10.8</v>
      </c>
      <c r="V552"/>
      <c r="W552"/>
      <c r="X552"/>
      <c r="Y552" s="321">
        <v>5.1998799999999994</v>
      </c>
      <c r="Z552" s="320"/>
      <c r="AA552" s="322">
        <v>74864.1975308642</v>
      </c>
      <c r="AB552" s="320"/>
      <c r="AC552" s="321">
        <v>28.274006399999998</v>
      </c>
      <c r="AD552" s="320"/>
      <c r="AE552" s="320">
        <v>30.32</v>
      </c>
      <c r="AF552" s="320"/>
      <c r="AG552">
        <v>4.05</v>
      </c>
      <c r="AH552"/>
      <c r="AI552">
        <v>118</v>
      </c>
      <c r="AJ552"/>
      <c r="AK552"/>
      <c r="AL552"/>
      <c r="AM552"/>
      <c r="AN552"/>
      <c r="AO552">
        <v>77</v>
      </c>
      <c r="AP552"/>
      <c r="AQ552" s="323"/>
      <c r="AR552" s="323"/>
      <c r="AS552">
        <v>112</v>
      </c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>
        <v>-0.66066000000000003</v>
      </c>
      <c r="BH552"/>
      <c r="BI552">
        <v>4.6464999999999996</v>
      </c>
      <c r="BJ552"/>
      <c r="BK552">
        <v>1.6207</v>
      </c>
      <c r="BL552"/>
      <c r="BM552">
        <v>64.957999999999998</v>
      </c>
      <c r="BN552"/>
      <c r="BO552">
        <v>21.401</v>
      </c>
      <c r="BP552"/>
      <c r="BQ552">
        <v>7.7755999999999998</v>
      </c>
      <c r="BR552"/>
      <c r="BS552">
        <v>50.183999999999997</v>
      </c>
      <c r="BT552"/>
      <c r="BU552">
        <v>17.422999999999998</v>
      </c>
      <c r="BV552"/>
      <c r="BW552" s="325">
        <v>6.33</v>
      </c>
      <c r="BX552"/>
      <c r="BY552">
        <v>6.5550000000000068</v>
      </c>
      <c r="BZ552"/>
      <c r="CA552"/>
      <c r="CC552">
        <v>5.0999999999999996</v>
      </c>
      <c r="CD552"/>
      <c r="CE552"/>
      <c r="CF552"/>
      <c r="CG552"/>
      <c r="CH552"/>
      <c r="CI552"/>
      <c r="CJ552"/>
      <c r="CK552"/>
      <c r="CL552"/>
      <c r="CM552"/>
    </row>
    <row r="553" spans="1:91">
      <c r="A553" s="154" t="s">
        <v>7763</v>
      </c>
      <c r="B553" t="s">
        <v>8289</v>
      </c>
      <c r="C553">
        <v>1</v>
      </c>
      <c r="D553">
        <v>1512</v>
      </c>
      <c r="E553" s="113">
        <v>12</v>
      </c>
      <c r="F553" s="113">
        <v>15</v>
      </c>
      <c r="I553">
        <v>27.499999999999996</v>
      </c>
      <c r="K553" s="320">
        <v>8</v>
      </c>
      <c r="L553" s="320"/>
      <c r="M553">
        <v>4.66</v>
      </c>
      <c r="N553" s="320"/>
      <c r="O553"/>
      <c r="P553"/>
      <c r="Q553"/>
      <c r="S553" s="320">
        <v>20.677901917302002</v>
      </c>
      <c r="T553" s="320"/>
      <c r="U553">
        <v>10.8</v>
      </c>
      <c r="V553"/>
      <c r="W553"/>
      <c r="X553"/>
      <c r="Y553" s="321">
        <v>9.3899588999999999</v>
      </c>
      <c r="Z553" s="320"/>
      <c r="AA553" s="322">
        <v>108014.52784503631</v>
      </c>
      <c r="AB553" s="320"/>
      <c r="AC553" s="321">
        <v>41.7786033</v>
      </c>
      <c r="AD553" s="320"/>
      <c r="AE553" s="320">
        <v>44.61</v>
      </c>
      <c r="AF553" s="320"/>
      <c r="AG553">
        <v>4.13</v>
      </c>
      <c r="AH553"/>
      <c r="AI553">
        <v>118</v>
      </c>
      <c r="AJ553"/>
      <c r="AK553"/>
      <c r="AL553"/>
      <c r="AM553"/>
      <c r="AN553"/>
      <c r="AO553">
        <v>77</v>
      </c>
      <c r="AP553"/>
      <c r="AQ553" s="323"/>
      <c r="AR553" s="323"/>
      <c r="AS553">
        <v>114</v>
      </c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>
        <v>1.6705000000000001</v>
      </c>
      <c r="BH553"/>
      <c r="BI553">
        <v>4.7545999999999999</v>
      </c>
      <c r="BJ553"/>
      <c r="BK553">
        <v>1.5113000000000001</v>
      </c>
      <c r="BL553"/>
      <c r="BM553">
        <v>59.088999999999999</v>
      </c>
      <c r="BN553"/>
      <c r="BO553">
        <v>21.666</v>
      </c>
      <c r="BP553"/>
      <c r="BQ553">
        <v>8.2691999999999997</v>
      </c>
      <c r="BR553"/>
      <c r="BS553">
        <v>49.494</v>
      </c>
      <c r="BT553"/>
      <c r="BU553">
        <v>18.23</v>
      </c>
      <c r="BV553"/>
      <c r="BW553" s="325">
        <v>7.71</v>
      </c>
      <c r="BX553"/>
      <c r="BY553">
        <v>6.179000000000002</v>
      </c>
      <c r="BZ553"/>
      <c r="CA553"/>
      <c r="CC553">
        <v>5.92</v>
      </c>
      <c r="CD553"/>
      <c r="CE553"/>
      <c r="CF553"/>
      <c r="CG553"/>
      <c r="CH553"/>
      <c r="CI553"/>
      <c r="CJ553"/>
      <c r="CK553"/>
      <c r="CL553"/>
      <c r="CM553"/>
    </row>
    <row r="554" spans="1:91">
      <c r="A554" s="154" t="s">
        <v>7764</v>
      </c>
      <c r="B554" t="s">
        <v>8287</v>
      </c>
      <c r="C554">
        <v>1</v>
      </c>
      <c r="D554">
        <v>417</v>
      </c>
      <c r="E554" s="113">
        <v>17</v>
      </c>
      <c r="F554" s="113">
        <v>4</v>
      </c>
      <c r="I554">
        <v>29.5</v>
      </c>
      <c r="K554" s="320">
        <v>8</v>
      </c>
      <c r="L554" s="320"/>
      <c r="M554">
        <v>3.13</v>
      </c>
      <c r="N554" s="320"/>
      <c r="O554"/>
      <c r="P554"/>
      <c r="Q554"/>
      <c r="S554" s="320">
        <v>14.325213450240001</v>
      </c>
      <c r="T554" s="320"/>
      <c r="U554">
        <v>10.8</v>
      </c>
      <c r="V554"/>
      <c r="W554"/>
      <c r="X554"/>
      <c r="Y554" s="321">
        <v>5.3664512000000002</v>
      </c>
      <c r="Z554" s="320"/>
      <c r="AA554" s="322">
        <v>65470.459518599557</v>
      </c>
      <c r="AB554" s="320"/>
      <c r="AC554" s="321">
        <v>28.0721408</v>
      </c>
      <c r="AD554" s="320"/>
      <c r="AE554" s="320">
        <v>29.92</v>
      </c>
      <c r="AF554" s="320"/>
      <c r="AG554">
        <v>4.57</v>
      </c>
      <c r="AH554"/>
      <c r="AI554">
        <v>108</v>
      </c>
      <c r="AJ554"/>
      <c r="AK554"/>
      <c r="AL554"/>
      <c r="AM554"/>
      <c r="AN554"/>
      <c r="AO554">
        <v>72</v>
      </c>
      <c r="AP554"/>
      <c r="AQ554" s="323"/>
      <c r="AR554" s="323"/>
      <c r="AS554">
        <v>112</v>
      </c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>
        <v>0.92676999999999998</v>
      </c>
      <c r="BH554"/>
      <c r="BI554">
        <v>4.9752999999999998</v>
      </c>
      <c r="BJ554"/>
      <c r="BK554">
        <v>1.5501</v>
      </c>
      <c r="BL554"/>
      <c r="BM554">
        <v>63.457999999999998</v>
      </c>
      <c r="BN554"/>
      <c r="BO554">
        <v>20.248000000000001</v>
      </c>
      <c r="BP554"/>
      <c r="BQ554">
        <v>9.2373999999999992</v>
      </c>
      <c r="BR554"/>
      <c r="BS554">
        <v>51.03</v>
      </c>
      <c r="BT554"/>
      <c r="BU554">
        <v>16.439</v>
      </c>
      <c r="BV554"/>
      <c r="BW554" s="325">
        <v>10.09</v>
      </c>
      <c r="BX554"/>
      <c r="BY554">
        <v>6.0100000000000051</v>
      </c>
      <c r="BZ554"/>
      <c r="CA554"/>
      <c r="CC554">
        <v>6.06</v>
      </c>
      <c r="CD554"/>
      <c r="CE554"/>
      <c r="CF554"/>
      <c r="CG554"/>
      <c r="CH554"/>
      <c r="CI554"/>
      <c r="CJ554"/>
      <c r="CK554"/>
      <c r="CL554"/>
      <c r="CM554"/>
    </row>
    <row r="555" spans="1:91">
      <c r="A555" s="154" t="s">
        <v>7764</v>
      </c>
      <c r="B555" t="s">
        <v>8289</v>
      </c>
      <c r="C555">
        <v>2</v>
      </c>
      <c r="D555">
        <v>562</v>
      </c>
      <c r="E555" s="113">
        <v>62</v>
      </c>
      <c r="F555" s="113">
        <v>5</v>
      </c>
      <c r="I555">
        <v>20</v>
      </c>
      <c r="K555" s="320">
        <v>8</v>
      </c>
      <c r="L555" s="320"/>
      <c r="M555">
        <v>2.5499999999999998</v>
      </c>
      <c r="N555" s="320"/>
      <c r="O555"/>
      <c r="P555"/>
      <c r="Q555"/>
      <c r="S555" s="320">
        <v>9.225257259288</v>
      </c>
      <c r="T555" s="320"/>
      <c r="U555">
        <v>10.8</v>
      </c>
      <c r="V555"/>
      <c r="W555"/>
      <c r="X555"/>
      <c r="Y555" s="321">
        <v>5.3075967999999989</v>
      </c>
      <c r="Z555" s="320"/>
      <c r="AA555" s="322">
        <v>50127.659574468082</v>
      </c>
      <c r="AB555" s="320"/>
      <c r="AC555" s="321">
        <v>21.8535492</v>
      </c>
      <c r="AD555" s="320"/>
      <c r="AE555" s="320">
        <v>23.56</v>
      </c>
      <c r="AF555" s="320"/>
      <c r="AG555">
        <v>4.7</v>
      </c>
      <c r="AH555"/>
      <c r="AI555">
        <v>103</v>
      </c>
      <c r="AJ555"/>
      <c r="AK555"/>
      <c r="AL555"/>
      <c r="AM555"/>
      <c r="AN555"/>
      <c r="AO555">
        <v>72</v>
      </c>
      <c r="AP555"/>
      <c r="AQ555" s="323"/>
      <c r="AR555" s="323"/>
      <c r="AS555">
        <v>114</v>
      </c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>
        <v>-5.4935999999999998</v>
      </c>
      <c r="BH555"/>
      <c r="BI555">
        <v>5.0507999999999997</v>
      </c>
      <c r="BJ555"/>
      <c r="BK555">
        <v>1.8371999999999999</v>
      </c>
      <c r="BL555"/>
      <c r="BM555">
        <v>66.45</v>
      </c>
      <c r="BN555"/>
      <c r="BO555">
        <v>20.51</v>
      </c>
      <c r="BP555"/>
      <c r="BQ555">
        <v>8.2140000000000004</v>
      </c>
      <c r="BR555"/>
      <c r="BS555">
        <v>42.213999999999999</v>
      </c>
      <c r="BT555"/>
      <c r="BU555">
        <v>20.791</v>
      </c>
      <c r="BV555"/>
      <c r="BW555" s="325">
        <v>6.97</v>
      </c>
      <c r="BX555"/>
      <c r="BY555">
        <v>7.027000000000001</v>
      </c>
      <c r="BZ555"/>
      <c r="CA555"/>
      <c r="CC555">
        <v>9.2100000000000009</v>
      </c>
      <c r="CD555"/>
      <c r="CE555"/>
      <c r="CF555"/>
      <c r="CG555"/>
      <c r="CH555"/>
      <c r="CI555"/>
      <c r="CJ555"/>
      <c r="CK555"/>
      <c r="CL555"/>
      <c r="CM555"/>
    </row>
    <row r="556" spans="1:91">
      <c r="A556" s="154" t="s">
        <v>7764</v>
      </c>
      <c r="B556" t="s">
        <v>8289</v>
      </c>
      <c r="C556">
        <v>1</v>
      </c>
      <c r="D556">
        <v>1324</v>
      </c>
      <c r="E556" s="113">
        <v>24</v>
      </c>
      <c r="F556" s="113">
        <v>13</v>
      </c>
      <c r="I556">
        <v>22.5</v>
      </c>
      <c r="K556" s="320">
        <v>9</v>
      </c>
      <c r="L556" s="320"/>
      <c r="M556">
        <v>3.28</v>
      </c>
      <c r="N556" s="320"/>
      <c r="O556"/>
      <c r="P556"/>
      <c r="Q556"/>
      <c r="S556" s="320">
        <v>12.89732570082</v>
      </c>
      <c r="T556" s="320"/>
      <c r="U556">
        <v>10.8</v>
      </c>
      <c r="V556"/>
      <c r="W556"/>
      <c r="X556"/>
      <c r="Y556" s="321">
        <v>5.7101220000000001</v>
      </c>
      <c r="Z556" s="320"/>
      <c r="AA556" s="322">
        <v>63597.430406852247</v>
      </c>
      <c r="AB556" s="320"/>
      <c r="AC556" s="321">
        <v>27.609714</v>
      </c>
      <c r="AD556" s="320"/>
      <c r="AE556" s="320">
        <v>29.7</v>
      </c>
      <c r="AF556" s="320"/>
      <c r="AG556">
        <v>4.67</v>
      </c>
      <c r="AH556"/>
      <c r="AI556">
        <v>110</v>
      </c>
      <c r="AJ556"/>
      <c r="AK556"/>
      <c r="AL556"/>
      <c r="AM556"/>
      <c r="AN556"/>
      <c r="AO556">
        <v>72</v>
      </c>
      <c r="AP556"/>
      <c r="AQ556" s="323"/>
      <c r="AR556" s="323"/>
      <c r="AS556">
        <v>112</v>
      </c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>
        <v>-6.4084000000000003</v>
      </c>
      <c r="BH556"/>
      <c r="BI556">
        <v>5.1744000000000003</v>
      </c>
      <c r="BJ556"/>
      <c r="BK556">
        <v>1.5268999999999999</v>
      </c>
      <c r="BL556"/>
      <c r="BM556">
        <v>62.369</v>
      </c>
      <c r="BN556"/>
      <c r="BO556">
        <v>21.838000000000001</v>
      </c>
      <c r="BP556"/>
      <c r="BQ556">
        <v>9.1165000000000003</v>
      </c>
      <c r="BR556"/>
      <c r="BS556">
        <v>46.713000000000001</v>
      </c>
      <c r="BT556"/>
      <c r="BU556">
        <v>19.277999999999999</v>
      </c>
      <c r="BV556"/>
      <c r="BW556" s="325">
        <v>8.0500000000000007</v>
      </c>
      <c r="BX556"/>
      <c r="BY556">
        <v>6.534000000000006</v>
      </c>
      <c r="BZ556"/>
      <c r="CA556"/>
      <c r="CC556">
        <v>11.02</v>
      </c>
      <c r="CD556"/>
      <c r="CE556"/>
      <c r="CF556"/>
      <c r="CG556"/>
      <c r="CH556"/>
      <c r="CI556"/>
      <c r="CJ556"/>
      <c r="CK556"/>
      <c r="CL556"/>
      <c r="CM556"/>
    </row>
    <row r="557" spans="1:91">
      <c r="A557" s="154" t="s">
        <v>7764</v>
      </c>
      <c r="B557" t="s">
        <v>8287</v>
      </c>
      <c r="C557">
        <v>2</v>
      </c>
      <c r="D557">
        <v>1775</v>
      </c>
      <c r="E557" s="113">
        <v>75</v>
      </c>
      <c r="F557" s="113">
        <v>17</v>
      </c>
      <c r="I557">
        <v>27.999999999999996</v>
      </c>
      <c r="K557" s="320">
        <v>8</v>
      </c>
      <c r="L557" s="320"/>
      <c r="M557">
        <v>3.75</v>
      </c>
      <c r="N557" s="320"/>
      <c r="O557"/>
      <c r="P557"/>
      <c r="Q557"/>
      <c r="S557" s="320">
        <v>16.897617806784002</v>
      </c>
      <c r="T557" s="320"/>
      <c r="U557">
        <v>10.8</v>
      </c>
      <c r="V557"/>
      <c r="W557"/>
      <c r="X557"/>
      <c r="Y557" s="321">
        <v>7.1481088000000002</v>
      </c>
      <c r="Z557" s="320"/>
      <c r="AA557" s="322">
        <v>87342.995169082118</v>
      </c>
      <c r="AB557" s="320"/>
      <c r="AC557" s="321">
        <v>33.817555200000001</v>
      </c>
      <c r="AD557" s="320"/>
      <c r="AE557" s="320">
        <v>36.159999999999997</v>
      </c>
      <c r="AF557" s="320"/>
      <c r="AG557">
        <v>4.1399999999999997</v>
      </c>
      <c r="AH557"/>
      <c r="AI557">
        <v>113</v>
      </c>
      <c r="AJ557"/>
      <c r="AK557"/>
      <c r="AL557"/>
      <c r="AM557"/>
      <c r="AN557"/>
      <c r="AO557">
        <v>72</v>
      </c>
      <c r="AP557"/>
      <c r="AQ557" s="323"/>
      <c r="AR557" s="323"/>
      <c r="AS557">
        <v>112</v>
      </c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>
        <v>-1.9375</v>
      </c>
      <c r="BH557"/>
      <c r="BI557">
        <v>5.2321999999999997</v>
      </c>
      <c r="BJ557"/>
      <c r="BK557">
        <v>1.4708000000000001</v>
      </c>
      <c r="BL557"/>
      <c r="BM557">
        <v>58.113</v>
      </c>
      <c r="BN557"/>
      <c r="BO557">
        <v>22.149000000000001</v>
      </c>
      <c r="BP557"/>
      <c r="BQ557">
        <v>8.7101000000000006</v>
      </c>
      <c r="BR557"/>
      <c r="BS557">
        <v>49.966999999999999</v>
      </c>
      <c r="BT557"/>
      <c r="BU557">
        <v>16.329999999999998</v>
      </c>
      <c r="BV557"/>
      <c r="BW557" s="325">
        <v>15.18</v>
      </c>
      <c r="BX557"/>
      <c r="BY557">
        <v>6.186000000000007</v>
      </c>
      <c r="BZ557"/>
      <c r="CA557"/>
      <c r="CC557">
        <v>5.23</v>
      </c>
      <c r="CD557"/>
      <c r="CE557"/>
      <c r="CF557"/>
      <c r="CG557"/>
      <c r="CH557"/>
      <c r="CI557"/>
      <c r="CJ557"/>
      <c r="CK557"/>
      <c r="CL557"/>
      <c r="CM557"/>
    </row>
    <row r="558" spans="1:91" s="338" customFormat="1">
      <c r="A558" s="154" t="s">
        <v>7765</v>
      </c>
      <c r="B558" t="s">
        <v>8287</v>
      </c>
      <c r="C558">
        <v>1</v>
      </c>
      <c r="D558">
        <v>408</v>
      </c>
      <c r="E558" s="113">
        <v>8</v>
      </c>
      <c r="F558" s="113">
        <v>4</v>
      </c>
      <c r="G558" s="113"/>
      <c r="H558" s="113"/>
      <c r="I558">
        <v>25.499999999999996</v>
      </c>
      <c r="J558" s="112"/>
      <c r="K558" s="320">
        <v>7</v>
      </c>
      <c r="L558" s="320"/>
      <c r="M558">
        <v>3.54</v>
      </c>
      <c r="N558" s="320"/>
      <c r="O558"/>
      <c r="P558"/>
      <c r="Q558"/>
      <c r="R558" s="153"/>
      <c r="S558" s="320">
        <v>16.530549668863998</v>
      </c>
      <c r="T558" s="320"/>
      <c r="U558">
        <v>10.8</v>
      </c>
      <c r="V558"/>
      <c r="W558"/>
      <c r="X558"/>
      <c r="Y558" s="321">
        <v>5.8411224000000006</v>
      </c>
      <c r="Z558" s="320"/>
      <c r="AA558" s="322">
        <v>76719.81776765376</v>
      </c>
      <c r="AB558" s="320"/>
      <c r="AC558" s="321">
        <v>31.730938399999999</v>
      </c>
      <c r="AD558" s="320"/>
      <c r="AE558" s="320">
        <v>33.68</v>
      </c>
      <c r="AF558" s="320"/>
      <c r="AG558">
        <v>4.3899999999999997</v>
      </c>
      <c r="AH558"/>
      <c r="AI558">
        <v>130</v>
      </c>
      <c r="AJ558"/>
      <c r="AK558"/>
      <c r="AL558"/>
      <c r="AM558"/>
      <c r="AN558"/>
      <c r="AO558">
        <v>77</v>
      </c>
      <c r="AP558"/>
      <c r="AQ558" s="323"/>
      <c r="AR558" s="323"/>
      <c r="AS558">
        <v>112</v>
      </c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>
        <v>-3.7343999999999999</v>
      </c>
      <c r="BH558"/>
      <c r="BI558">
        <v>4.4668999999999999</v>
      </c>
      <c r="BJ558"/>
      <c r="BK558">
        <v>1.5644</v>
      </c>
      <c r="BL558"/>
      <c r="BM558">
        <v>66.02</v>
      </c>
      <c r="BN558"/>
      <c r="BO558">
        <v>20.132000000000001</v>
      </c>
      <c r="BP558"/>
      <c r="BQ558">
        <v>8.2684999999999995</v>
      </c>
      <c r="BR558"/>
      <c r="BS558">
        <v>52.095999999999997</v>
      </c>
      <c r="BT558"/>
      <c r="BU558">
        <v>16.526</v>
      </c>
      <c r="BV558"/>
      <c r="BW558" s="325">
        <v>8.39</v>
      </c>
      <c r="BX558"/>
      <c r="BY558">
        <v>6.1580000000000013</v>
      </c>
      <c r="BZ558"/>
      <c r="CA558"/>
      <c r="CB558" s="136"/>
      <c r="CC558">
        <v>6.5</v>
      </c>
      <c r="CD558"/>
      <c r="CE558"/>
      <c r="CF558"/>
      <c r="CG558"/>
      <c r="CH558"/>
      <c r="CI558"/>
      <c r="CJ558"/>
      <c r="CK558"/>
      <c r="CL558"/>
      <c r="CM558"/>
    </row>
    <row r="559" spans="1:91" s="338" customFormat="1">
      <c r="A559" s="327" t="s">
        <v>7765</v>
      </c>
      <c r="B559" s="328" t="s">
        <v>8289</v>
      </c>
      <c r="C559" s="328">
        <v>2</v>
      </c>
      <c r="D559" s="328">
        <v>867</v>
      </c>
      <c r="E559" s="113">
        <v>67</v>
      </c>
      <c r="F559" s="113">
        <v>8</v>
      </c>
      <c r="G559" s="329"/>
      <c r="H559" s="329"/>
      <c r="I559" s="328">
        <v>31</v>
      </c>
      <c r="J559" s="330"/>
      <c r="K559" s="331">
        <v>8</v>
      </c>
      <c r="L559" s="331"/>
      <c r="M559" s="328">
        <v>3.19</v>
      </c>
      <c r="N559" s="331"/>
      <c r="O559" s="328"/>
      <c r="P559" s="328"/>
      <c r="Q559" s="328"/>
      <c r="R559" s="332"/>
      <c r="S559" s="331">
        <v>12.242206817855999</v>
      </c>
      <c r="T559" s="331"/>
      <c r="U559" s="328">
        <v>10.8</v>
      </c>
      <c r="V559" s="328"/>
      <c r="W559" s="328"/>
      <c r="X559" s="328"/>
      <c r="Y559" s="333">
        <v>5.7025991999999999</v>
      </c>
      <c r="Z559" s="331"/>
      <c r="AA559" s="334">
        <v>71818.181818181823</v>
      </c>
      <c r="AB559" s="331"/>
      <c r="AC559" s="333">
        <v>27.868166399999996</v>
      </c>
      <c r="AD559" s="331"/>
      <c r="AE559" s="331">
        <v>30.02</v>
      </c>
      <c r="AF559" s="331"/>
      <c r="AG559" s="328">
        <v>4.18</v>
      </c>
      <c r="AH559" s="328"/>
      <c r="AI559" s="328">
        <v>120</v>
      </c>
      <c r="AJ559" s="328"/>
      <c r="AK559" s="328"/>
      <c r="AL559" s="328"/>
      <c r="AM559" s="328"/>
      <c r="AN559" s="328"/>
      <c r="AO559" s="328">
        <v>77</v>
      </c>
      <c r="AP559" s="328"/>
      <c r="AQ559" s="335"/>
      <c r="AR559" s="335"/>
      <c r="AS559" s="328">
        <v>112</v>
      </c>
      <c r="AT559" s="328"/>
      <c r="AU559" s="328"/>
      <c r="AV559" s="328"/>
      <c r="AW559" s="328"/>
      <c r="AX559" s="328"/>
      <c r="AY559" s="328"/>
      <c r="AZ559" s="328"/>
      <c r="BA559" s="328"/>
      <c r="BB559" s="328"/>
      <c r="BC559" s="328"/>
      <c r="BD559" s="328"/>
      <c r="BE559" s="328"/>
      <c r="BF559" s="328"/>
      <c r="BG559" s="328">
        <v>-2.2311999999999999</v>
      </c>
      <c r="BH559" s="328"/>
      <c r="BI559" s="328">
        <v>5.4002999999999997</v>
      </c>
      <c r="BJ559" s="328"/>
      <c r="BK559" s="328">
        <v>1.7181999999999999</v>
      </c>
      <c r="BL559" s="328"/>
      <c r="BM559" s="328">
        <v>62.273000000000003</v>
      </c>
      <c r="BN559" s="328"/>
      <c r="BO559" s="328">
        <v>19.260000000000002</v>
      </c>
      <c r="BP559" s="328"/>
      <c r="BQ559" s="328">
        <v>7.9828000000000001</v>
      </c>
      <c r="BR559" s="328"/>
      <c r="BS559" s="328">
        <v>43.929000000000002</v>
      </c>
      <c r="BT559" s="328"/>
      <c r="BU559" s="328">
        <v>18.948</v>
      </c>
      <c r="BV559" s="328"/>
      <c r="BW559" s="336">
        <v>2.39</v>
      </c>
      <c r="BX559" s="328"/>
      <c r="BY559" s="328">
        <v>7.3430000000000035</v>
      </c>
      <c r="BZ559" s="328"/>
      <c r="CA559" s="328"/>
      <c r="CB559" s="337"/>
      <c r="CC559" s="328">
        <v>7.51</v>
      </c>
      <c r="CD559" s="328"/>
      <c r="CE559" s="328"/>
      <c r="CF559" s="328"/>
      <c r="CG559" s="328"/>
      <c r="CH559" s="328"/>
      <c r="CI559" s="328"/>
      <c r="CJ559" s="328"/>
      <c r="CK559" s="328" t="s">
        <v>8377</v>
      </c>
      <c r="CL559" s="328"/>
      <c r="CM559" s="328"/>
    </row>
    <row r="560" spans="1:91" s="338" customFormat="1">
      <c r="A560" s="154" t="s">
        <v>7765</v>
      </c>
      <c r="B560" t="s">
        <v>8287</v>
      </c>
      <c r="C560">
        <v>2</v>
      </c>
      <c r="D560">
        <v>1573</v>
      </c>
      <c r="E560" s="113">
        <v>73</v>
      </c>
      <c r="F560" s="113">
        <v>15</v>
      </c>
      <c r="G560" s="113"/>
      <c r="H560" s="113"/>
      <c r="I560">
        <v>31.499999999999996</v>
      </c>
      <c r="J560" s="112"/>
      <c r="K560" s="320">
        <v>8</v>
      </c>
      <c r="L560" s="320"/>
      <c r="M560">
        <v>3.09</v>
      </c>
      <c r="N560" s="320"/>
      <c r="O560"/>
      <c r="P560"/>
      <c r="Q560"/>
      <c r="R560" s="153"/>
      <c r="S560" s="320">
        <v>14.164902110744004</v>
      </c>
      <c r="T560" s="320"/>
      <c r="U560">
        <v>10.8</v>
      </c>
      <c r="V560"/>
      <c r="W560"/>
      <c r="X560"/>
      <c r="Y560" s="321">
        <v>5.461652</v>
      </c>
      <c r="Z560" s="320"/>
      <c r="AA560" s="322">
        <v>75012.594458438281</v>
      </c>
      <c r="AB560" s="320"/>
      <c r="AC560" s="321">
        <v>27.758533600000003</v>
      </c>
      <c r="AD560" s="320"/>
      <c r="AE560" s="320">
        <v>29.78</v>
      </c>
      <c r="AF560" s="320"/>
      <c r="AG560">
        <v>3.97</v>
      </c>
      <c r="AH560"/>
      <c r="AI560">
        <v>123</v>
      </c>
      <c r="AJ560"/>
      <c r="AK560"/>
      <c r="AL560"/>
      <c r="AM560"/>
      <c r="AN560"/>
      <c r="AO560">
        <v>77</v>
      </c>
      <c r="AP560"/>
      <c r="AQ560" s="323"/>
      <c r="AR560" s="323"/>
      <c r="AS560">
        <v>112</v>
      </c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>
        <v>1.1420999999999999</v>
      </c>
      <c r="BH560"/>
      <c r="BI560">
        <v>4.6786000000000003</v>
      </c>
      <c r="BJ560"/>
      <c r="BK560">
        <v>1.5806</v>
      </c>
      <c r="BL560"/>
      <c r="BM560">
        <v>66.656000000000006</v>
      </c>
      <c r="BN560"/>
      <c r="BO560">
        <v>19.553000000000001</v>
      </c>
      <c r="BP560"/>
      <c r="BQ560">
        <v>7.8315999999999999</v>
      </c>
      <c r="BR560"/>
      <c r="BS560">
        <v>51.029000000000003</v>
      </c>
      <c r="BT560"/>
      <c r="BU560">
        <v>16.228999999999999</v>
      </c>
      <c r="BV560"/>
      <c r="BW560" s="325">
        <v>8.8000000000000007</v>
      </c>
      <c r="BX560"/>
      <c r="BY560">
        <v>6.3199999999999932</v>
      </c>
      <c r="BZ560"/>
      <c r="CA560"/>
      <c r="CB560" s="136"/>
      <c r="CC560">
        <v>5.29</v>
      </c>
      <c r="CD560"/>
      <c r="CE560"/>
      <c r="CF560"/>
      <c r="CG560"/>
      <c r="CH560"/>
      <c r="CI560"/>
      <c r="CJ560"/>
      <c r="CK560"/>
      <c r="CL560"/>
      <c r="CM560"/>
    </row>
    <row r="561" spans="1:91" s="338" customFormat="1">
      <c r="A561" s="154" t="s">
        <v>7765</v>
      </c>
      <c r="B561" t="s">
        <v>8289</v>
      </c>
      <c r="C561">
        <v>1</v>
      </c>
      <c r="D561">
        <v>1623</v>
      </c>
      <c r="E561" s="113">
        <v>23</v>
      </c>
      <c r="F561" s="113">
        <v>16</v>
      </c>
      <c r="G561" s="113"/>
      <c r="H561" s="113"/>
      <c r="I561">
        <v>31.499999999999996</v>
      </c>
      <c r="J561" s="112"/>
      <c r="K561" s="320">
        <v>8</v>
      </c>
      <c r="L561" s="320"/>
      <c r="M561">
        <v>3.3</v>
      </c>
      <c r="N561" s="320"/>
      <c r="O561"/>
      <c r="P561"/>
      <c r="Q561"/>
      <c r="R561" s="153"/>
      <c r="S561" s="320">
        <v>14.518809300059999</v>
      </c>
      <c r="T561" s="320"/>
      <c r="U561">
        <v>10.8</v>
      </c>
      <c r="V561"/>
      <c r="W561"/>
      <c r="X561"/>
      <c r="Y561" s="321">
        <v>6.2194391999999992</v>
      </c>
      <c r="Z561" s="320"/>
      <c r="AA561" s="322">
        <v>75035.629453681715</v>
      </c>
      <c r="AB561" s="320"/>
      <c r="AC561" s="321">
        <v>29.491792200000003</v>
      </c>
      <c r="AD561" s="320"/>
      <c r="AE561" s="320">
        <v>31.59</v>
      </c>
      <c r="AF561" s="320"/>
      <c r="AG561">
        <v>4.21</v>
      </c>
      <c r="AH561"/>
      <c r="AI561">
        <v>108</v>
      </c>
      <c r="AJ561"/>
      <c r="AK561"/>
      <c r="AL561"/>
      <c r="AM561"/>
      <c r="AN561"/>
      <c r="AO561">
        <v>79</v>
      </c>
      <c r="AP561"/>
      <c r="AQ561" s="323"/>
      <c r="AR561" s="323"/>
      <c r="AS561">
        <v>112</v>
      </c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>
        <v>7.1254</v>
      </c>
      <c r="BH561"/>
      <c r="BI561">
        <v>4.1543999999999999</v>
      </c>
      <c r="BJ561"/>
      <c r="BK561">
        <v>1.5143</v>
      </c>
      <c r="BL561"/>
      <c r="BM561">
        <v>59.884</v>
      </c>
      <c r="BN561"/>
      <c r="BO561">
        <v>18.669</v>
      </c>
      <c r="BP561"/>
      <c r="BQ561">
        <v>9.9638000000000009</v>
      </c>
      <c r="BR561"/>
      <c r="BS561">
        <v>49.23</v>
      </c>
      <c r="BT561"/>
      <c r="BU561">
        <v>19.204000000000001</v>
      </c>
      <c r="BV561"/>
      <c r="BW561" s="325">
        <v>12.24</v>
      </c>
      <c r="BX561"/>
      <c r="BY561">
        <v>6.1880000000000024</v>
      </c>
      <c r="BZ561"/>
      <c r="CA561"/>
      <c r="CB561" s="136"/>
      <c r="CC561">
        <v>5.91</v>
      </c>
      <c r="CD561"/>
      <c r="CE561"/>
      <c r="CF561"/>
      <c r="CG561"/>
      <c r="CH561"/>
      <c r="CI561"/>
      <c r="CJ561"/>
      <c r="CK561"/>
      <c r="CL561"/>
      <c r="CM561"/>
    </row>
    <row r="562" spans="1:91">
      <c r="A562" s="327" t="s">
        <v>7766</v>
      </c>
      <c r="B562" s="328" t="s">
        <v>8289</v>
      </c>
      <c r="C562" s="328">
        <v>2</v>
      </c>
      <c r="D562" s="328">
        <v>855</v>
      </c>
      <c r="E562" s="113">
        <v>55</v>
      </c>
      <c r="F562" s="113">
        <v>8</v>
      </c>
      <c r="G562" s="329"/>
      <c r="H562" s="329"/>
      <c r="I562" s="328">
        <v>38.5</v>
      </c>
      <c r="J562" s="330"/>
      <c r="K562" s="331">
        <v>8</v>
      </c>
      <c r="L562" s="331"/>
      <c r="M562" s="328">
        <v>3.13</v>
      </c>
      <c r="N562" s="331"/>
      <c r="O562" s="328"/>
      <c r="P562" s="328"/>
      <c r="Q562" s="328"/>
      <c r="R562" s="332"/>
      <c r="S562" s="331">
        <v>12.93308995584</v>
      </c>
      <c r="T562" s="331"/>
      <c r="U562" s="328">
        <v>10.8</v>
      </c>
      <c r="V562" s="328"/>
      <c r="W562" s="328"/>
      <c r="X562" s="328"/>
      <c r="Y562" s="333">
        <v>5.8177728000000002</v>
      </c>
      <c r="Z562" s="331"/>
      <c r="AA562" s="334">
        <v>65964.912280701756</v>
      </c>
      <c r="AB562" s="331"/>
      <c r="AC562" s="333">
        <v>27.986432000000001</v>
      </c>
      <c r="AD562" s="331"/>
      <c r="AE562" s="331">
        <v>30.08</v>
      </c>
      <c r="AF562" s="331"/>
      <c r="AG562" s="328">
        <v>4.5599999999999996</v>
      </c>
      <c r="AH562" s="328"/>
      <c r="AI562" s="328"/>
      <c r="AJ562" s="328"/>
      <c r="AK562" s="328"/>
      <c r="AL562" s="328"/>
      <c r="AM562" s="328"/>
      <c r="AN562" s="328"/>
      <c r="AO562" s="328">
        <v>77</v>
      </c>
      <c r="AP562" s="328"/>
      <c r="AQ562" s="335"/>
      <c r="AR562" s="335"/>
      <c r="AS562" s="328">
        <v>114</v>
      </c>
      <c r="AT562" s="328"/>
      <c r="AU562" s="328"/>
      <c r="AV562" s="328"/>
      <c r="AW562" s="328"/>
      <c r="AX562" s="328"/>
      <c r="AY562" s="328"/>
      <c r="AZ562" s="328"/>
      <c r="BA562" s="328"/>
      <c r="BB562" s="328"/>
      <c r="BC562" s="328"/>
      <c r="BD562" s="328"/>
      <c r="BE562" s="328"/>
      <c r="BF562" s="328"/>
      <c r="BG562" s="328">
        <v>-3.9483000000000001</v>
      </c>
      <c r="BH562" s="328"/>
      <c r="BI562" s="328">
        <v>4.6722999999999999</v>
      </c>
      <c r="BJ562" s="328"/>
      <c r="BK562" s="328">
        <v>1.6632</v>
      </c>
      <c r="BL562" s="328"/>
      <c r="BM562" s="328">
        <v>65.811000000000007</v>
      </c>
      <c r="BN562" s="328"/>
      <c r="BO562" s="328">
        <v>21.158000000000001</v>
      </c>
      <c r="BP562" s="328"/>
      <c r="BQ562" s="328">
        <v>10.314</v>
      </c>
      <c r="BR562" s="328"/>
      <c r="BS562" s="328">
        <v>46.212000000000003</v>
      </c>
      <c r="BT562" s="328"/>
      <c r="BU562" s="328">
        <v>20.452999999999999</v>
      </c>
      <c r="BV562" s="328"/>
      <c r="BW562" s="336">
        <v>2.1800000000000002</v>
      </c>
      <c r="BX562" s="328"/>
      <c r="BY562" s="328">
        <v>6.7009999999999934</v>
      </c>
      <c r="BZ562" s="328"/>
      <c r="CA562" s="328"/>
      <c r="CB562" s="337"/>
      <c r="CC562" s="328">
        <v>5.54</v>
      </c>
      <c r="CD562" s="328"/>
      <c r="CE562" s="328"/>
      <c r="CF562" s="328"/>
      <c r="CG562" s="328"/>
      <c r="CH562" s="328"/>
      <c r="CI562" s="328"/>
      <c r="CJ562" s="328"/>
      <c r="CK562" s="328" t="s">
        <v>8377</v>
      </c>
      <c r="CL562" s="328"/>
      <c r="CM562" s="328"/>
    </row>
    <row r="563" spans="1:91">
      <c r="A563" s="327" t="s">
        <v>7766</v>
      </c>
      <c r="B563" s="328" t="s">
        <v>8287</v>
      </c>
      <c r="C563" s="328">
        <v>1</v>
      </c>
      <c r="D563" s="328">
        <v>916</v>
      </c>
      <c r="E563" s="113">
        <v>16</v>
      </c>
      <c r="F563" s="113">
        <v>9</v>
      </c>
      <c r="G563" s="329"/>
      <c r="H563" s="329"/>
      <c r="I563" s="328">
        <v>23.999999999999996</v>
      </c>
      <c r="J563" s="330"/>
      <c r="K563" s="331">
        <v>7</v>
      </c>
      <c r="L563" s="331"/>
      <c r="M563" s="328">
        <v>1.19</v>
      </c>
      <c r="N563" s="331"/>
      <c r="O563" s="328"/>
      <c r="P563" s="328"/>
      <c r="Q563" s="328"/>
      <c r="R563" s="332"/>
      <c r="S563" s="331" t="s">
        <v>8361</v>
      </c>
      <c r="T563" s="331"/>
      <c r="U563" s="328">
        <v>10.8</v>
      </c>
      <c r="V563" s="328"/>
      <c r="W563" s="328"/>
      <c r="X563" s="328"/>
      <c r="Y563" s="333">
        <v>0</v>
      </c>
      <c r="Z563" s="331"/>
      <c r="AA563" s="334">
        <v>26188.23529411765</v>
      </c>
      <c r="AB563" s="331"/>
      <c r="AC563" s="333" t="s">
        <v>8361</v>
      </c>
      <c r="AD563" s="331"/>
      <c r="AE563" s="331">
        <v>11.13</v>
      </c>
      <c r="AF563" s="331"/>
      <c r="AG563" s="328">
        <v>4.25</v>
      </c>
      <c r="AH563" s="328"/>
      <c r="AI563" s="328"/>
      <c r="AJ563" s="328"/>
      <c r="AK563" s="328"/>
      <c r="AL563" s="328"/>
      <c r="AM563" s="328"/>
      <c r="AN563" s="328"/>
      <c r="AO563" s="328">
        <v>81</v>
      </c>
      <c r="AP563" s="328"/>
      <c r="AQ563" s="335"/>
      <c r="AR563" s="335"/>
      <c r="AS563" s="328">
        <v>116</v>
      </c>
      <c r="AT563" s="328"/>
      <c r="AU563" s="328"/>
      <c r="AV563" s="328"/>
      <c r="AW563" s="328"/>
      <c r="AX563" s="328"/>
      <c r="AY563" s="328"/>
      <c r="AZ563" s="328"/>
      <c r="BA563" s="328"/>
      <c r="BB563" s="328"/>
      <c r="BC563" s="328"/>
      <c r="BD563" s="328"/>
      <c r="BE563" s="328"/>
      <c r="BF563" s="328"/>
      <c r="BG563" s="328">
        <v>2.65</v>
      </c>
      <c r="BH563" s="328"/>
      <c r="BI563" s="328">
        <v>4.8396999999999997</v>
      </c>
      <c r="BJ563" s="328"/>
      <c r="BK563" s="328">
        <v>1.5792999999999999</v>
      </c>
      <c r="BL563" s="328"/>
      <c r="BM563" s="328">
        <v>61.259</v>
      </c>
      <c r="BN563" s="328"/>
      <c r="BO563" s="328">
        <v>19.516999999999999</v>
      </c>
      <c r="BP563" s="328"/>
      <c r="BQ563" s="328">
        <v>10.260999999999999</v>
      </c>
      <c r="BR563" s="328"/>
      <c r="BS563" s="328">
        <v>48.917000000000002</v>
      </c>
      <c r="BT563" s="328"/>
      <c r="BU563" s="328">
        <v>18.323</v>
      </c>
      <c r="BV563" s="328"/>
      <c r="BW563" s="336">
        <v>3.44</v>
      </c>
      <c r="BX563" s="328"/>
      <c r="BY563" s="328">
        <v>6.3970000000000056</v>
      </c>
      <c r="BZ563" s="328"/>
      <c r="CA563" s="328"/>
      <c r="CB563" s="337"/>
      <c r="CC563" s="328">
        <v>8.11</v>
      </c>
      <c r="CD563" s="328"/>
      <c r="CE563" s="328"/>
      <c r="CF563" s="328"/>
      <c r="CG563" s="328"/>
      <c r="CH563" s="328"/>
      <c r="CI563" s="328"/>
      <c r="CJ563" s="328"/>
      <c r="CK563" s="328" t="s">
        <v>8377</v>
      </c>
      <c r="CL563" s="328"/>
      <c r="CM563" s="328"/>
    </row>
    <row r="564" spans="1:91">
      <c r="A564" s="154" t="s">
        <v>7766</v>
      </c>
      <c r="B564" t="s">
        <v>8289</v>
      </c>
      <c r="C564">
        <v>1</v>
      </c>
      <c r="D564">
        <v>1129</v>
      </c>
      <c r="E564" s="113">
        <v>29</v>
      </c>
      <c r="F564" s="113">
        <v>11</v>
      </c>
      <c r="I564">
        <v>26.499999999999996</v>
      </c>
      <c r="K564" s="320">
        <v>9</v>
      </c>
      <c r="L564" s="320"/>
      <c r="M564">
        <v>3.86</v>
      </c>
      <c r="N564" s="320"/>
      <c r="O564"/>
      <c r="P564"/>
      <c r="Q564"/>
      <c r="S564" s="320">
        <v>15.725615538445</v>
      </c>
      <c r="T564" s="320"/>
      <c r="U564">
        <v>10.8</v>
      </c>
      <c r="V564"/>
      <c r="W564"/>
      <c r="X564"/>
      <c r="Y564" s="321">
        <v>6.5702949999999998</v>
      </c>
      <c r="Z564" s="320"/>
      <c r="AA564" s="322">
        <v>85491.606714628288</v>
      </c>
      <c r="AB564" s="320"/>
      <c r="AC564" s="321">
        <v>32.980884500000002</v>
      </c>
      <c r="AD564" s="320"/>
      <c r="AE564" s="320">
        <v>35.65</v>
      </c>
      <c r="AF564" s="320"/>
      <c r="AG564">
        <v>4.17</v>
      </c>
      <c r="AH564"/>
      <c r="AI564">
        <v>115</v>
      </c>
      <c r="AJ564"/>
      <c r="AK564"/>
      <c r="AL564"/>
      <c r="AM564"/>
      <c r="AN564"/>
      <c r="AO564">
        <v>77</v>
      </c>
      <c r="AP564"/>
      <c r="AQ564" s="323"/>
      <c r="AR564" s="323"/>
      <c r="AS564">
        <v>112</v>
      </c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>
        <v>-1.0414000000000001</v>
      </c>
      <c r="BH564"/>
      <c r="BI564">
        <v>4.4436</v>
      </c>
      <c r="BJ564"/>
      <c r="BK564">
        <v>1.4964</v>
      </c>
      <c r="BL564"/>
      <c r="BM564">
        <v>62.75</v>
      </c>
      <c r="BN564"/>
      <c r="BO564">
        <v>21.507000000000001</v>
      </c>
      <c r="BP564"/>
      <c r="BQ564">
        <v>11.331</v>
      </c>
      <c r="BR564"/>
      <c r="BS564">
        <v>47.680999999999997</v>
      </c>
      <c r="BT564"/>
      <c r="BU564">
        <v>20.21</v>
      </c>
      <c r="BV564"/>
      <c r="BW564" s="325">
        <v>9.02</v>
      </c>
      <c r="BX564"/>
      <c r="BY564">
        <v>6.7049999999999983</v>
      </c>
      <c r="BZ564"/>
      <c r="CA564"/>
      <c r="CC564">
        <v>9.24</v>
      </c>
      <c r="CD564"/>
      <c r="CE564"/>
      <c r="CF564"/>
      <c r="CG564"/>
      <c r="CH564"/>
      <c r="CI564"/>
      <c r="CJ564"/>
      <c r="CK564"/>
      <c r="CL564"/>
      <c r="CM564"/>
    </row>
    <row r="565" spans="1:91">
      <c r="A565" s="154" t="s">
        <v>7766</v>
      </c>
      <c r="B565" t="s">
        <v>8287</v>
      </c>
      <c r="C565">
        <v>2</v>
      </c>
      <c r="D565">
        <v>1441</v>
      </c>
      <c r="E565" s="113">
        <v>41</v>
      </c>
      <c r="F565" s="113">
        <v>14</v>
      </c>
      <c r="I565">
        <v>26.499999999999996</v>
      </c>
      <c r="K565" s="320">
        <v>9</v>
      </c>
      <c r="L565" s="320"/>
      <c r="M565">
        <v>4.0199999999999996</v>
      </c>
      <c r="N565" s="320"/>
      <c r="O565"/>
      <c r="P565"/>
      <c r="Q565"/>
      <c r="S565" s="320">
        <v>18.107742587905001</v>
      </c>
      <c r="T565" s="320"/>
      <c r="U565">
        <v>10.8</v>
      </c>
      <c r="V565"/>
      <c r="W565"/>
      <c r="X565"/>
      <c r="Y565" s="321">
        <v>6.8661725000000002</v>
      </c>
      <c r="Z565" s="320"/>
      <c r="AA565" s="322">
        <v>99102.564102564109</v>
      </c>
      <c r="AB565" s="320"/>
      <c r="AC565" s="321">
        <v>36.216209499999998</v>
      </c>
      <c r="AD565" s="320"/>
      <c r="AE565" s="320">
        <v>38.65</v>
      </c>
      <c r="AF565" s="320"/>
      <c r="AG565">
        <v>3.9</v>
      </c>
      <c r="AH565"/>
      <c r="AI565">
        <v>123</v>
      </c>
      <c r="AJ565"/>
      <c r="AK565"/>
      <c r="AL565"/>
      <c r="AM565"/>
      <c r="AN565"/>
      <c r="AO565">
        <v>77</v>
      </c>
      <c r="AP565"/>
      <c r="AQ565" s="323"/>
      <c r="AR565" s="323"/>
      <c r="AS565">
        <v>112</v>
      </c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>
        <v>-4.0267999999999997</v>
      </c>
      <c r="BH565"/>
      <c r="BI565">
        <v>4.6108000000000002</v>
      </c>
      <c r="BJ565"/>
      <c r="BK565">
        <v>1.5206999999999999</v>
      </c>
      <c r="BL565"/>
      <c r="BM565">
        <v>66.308000000000007</v>
      </c>
      <c r="BN565"/>
      <c r="BO565">
        <v>21.140999999999998</v>
      </c>
      <c r="BP565"/>
      <c r="BQ565">
        <v>9.7826000000000004</v>
      </c>
      <c r="BR565"/>
      <c r="BS565">
        <v>49.999000000000002</v>
      </c>
      <c r="BT565"/>
      <c r="BU565">
        <v>17.713999999999999</v>
      </c>
      <c r="BV565"/>
      <c r="BW565" s="325">
        <v>2.6</v>
      </c>
      <c r="BX565"/>
      <c r="BY565">
        <v>6.3649999999999949</v>
      </c>
      <c r="BZ565"/>
      <c r="CA565"/>
      <c r="CC565">
        <v>5.5</v>
      </c>
      <c r="CD565"/>
      <c r="CE565"/>
      <c r="CF565"/>
      <c r="CG565"/>
      <c r="CH565"/>
      <c r="CI565"/>
      <c r="CJ565"/>
      <c r="CK565"/>
      <c r="CL565"/>
      <c r="CM565"/>
    </row>
    <row r="566" spans="1:91">
      <c r="A566" s="154" t="s">
        <v>7767</v>
      </c>
      <c r="B566" t="s">
        <v>8287</v>
      </c>
      <c r="C566">
        <v>1</v>
      </c>
      <c r="D566">
        <v>517</v>
      </c>
      <c r="E566" s="113">
        <v>17</v>
      </c>
      <c r="F566" s="113">
        <v>5</v>
      </c>
      <c r="I566">
        <v>37.999999999999993</v>
      </c>
      <c r="K566" s="320">
        <v>8</v>
      </c>
      <c r="L566" s="320"/>
      <c r="M566">
        <v>3.75</v>
      </c>
      <c r="N566" s="320"/>
      <c r="O566"/>
      <c r="P566"/>
      <c r="Q566"/>
      <c r="S566" s="320">
        <v>17.5353368058</v>
      </c>
      <c r="T566" s="320"/>
      <c r="U566">
        <v>10.8</v>
      </c>
      <c r="V566"/>
      <c r="W566"/>
      <c r="X566"/>
      <c r="Y566" s="321">
        <v>5.4233615999999998</v>
      </c>
      <c r="Z566" s="320"/>
      <c r="AA566" s="322">
        <v>93368.146214099208</v>
      </c>
      <c r="AB566" s="320"/>
      <c r="AC566" s="321">
        <v>33.3529944</v>
      </c>
      <c r="AD566" s="320"/>
      <c r="AE566" s="320">
        <v>35.76</v>
      </c>
      <c r="AF566" s="320"/>
      <c r="AG566">
        <v>3.83</v>
      </c>
      <c r="AH566"/>
      <c r="AI566">
        <v>135</v>
      </c>
      <c r="AJ566"/>
      <c r="AK566"/>
      <c r="AL566"/>
      <c r="AM566"/>
      <c r="AN566"/>
      <c r="AO566">
        <v>82</v>
      </c>
      <c r="AP566"/>
      <c r="AQ566" s="323"/>
      <c r="AR566" s="323"/>
      <c r="AS566">
        <v>112</v>
      </c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>
        <v>1.1211</v>
      </c>
      <c r="BH566"/>
      <c r="BI566">
        <v>4.6321000000000003</v>
      </c>
      <c r="BJ566"/>
      <c r="BK566">
        <v>1.6432</v>
      </c>
      <c r="BL566"/>
      <c r="BM566">
        <v>66.864000000000004</v>
      </c>
      <c r="BN566"/>
      <c r="BO566">
        <v>19.292000000000002</v>
      </c>
      <c r="BP566"/>
      <c r="BQ566">
        <v>8.0884999999999998</v>
      </c>
      <c r="BR566"/>
      <c r="BS566">
        <v>52.575000000000003</v>
      </c>
      <c r="BT566"/>
      <c r="BU566">
        <v>16.010999999999999</v>
      </c>
      <c r="BV566"/>
      <c r="BW566" s="325">
        <v>5.69</v>
      </c>
      <c r="BX566"/>
      <c r="BY566">
        <v>6.2710000000000008</v>
      </c>
      <c r="BZ566"/>
      <c r="CA566"/>
      <c r="CC566">
        <v>6.28</v>
      </c>
      <c r="CD566"/>
      <c r="CE566"/>
      <c r="CF566"/>
      <c r="CG566"/>
      <c r="CH566"/>
      <c r="CI566"/>
      <c r="CJ566"/>
      <c r="CK566"/>
      <c r="CL566"/>
      <c r="CM566"/>
    </row>
    <row r="567" spans="1:91">
      <c r="A567" s="327" t="s">
        <v>7767</v>
      </c>
      <c r="B567" s="328" t="s">
        <v>8289</v>
      </c>
      <c r="C567" s="328">
        <v>2</v>
      </c>
      <c r="D567" s="328">
        <v>845</v>
      </c>
      <c r="E567" s="113">
        <v>45</v>
      </c>
      <c r="F567" s="113">
        <v>8</v>
      </c>
      <c r="G567" s="329"/>
      <c r="H567" s="329"/>
      <c r="I567" s="328">
        <v>26.499999999999996</v>
      </c>
      <c r="J567" s="330"/>
      <c r="K567" s="331">
        <v>9</v>
      </c>
      <c r="L567" s="331"/>
      <c r="M567" s="328">
        <v>3.43</v>
      </c>
      <c r="N567" s="331"/>
      <c r="O567" s="328"/>
      <c r="P567" s="328"/>
      <c r="Q567" s="328"/>
      <c r="R567" s="332"/>
      <c r="S567" s="331">
        <v>15.242930649799998</v>
      </c>
      <c r="T567" s="331"/>
      <c r="U567" s="328">
        <v>10.8</v>
      </c>
      <c r="V567" s="328"/>
      <c r="W567" s="328"/>
      <c r="X567" s="328"/>
      <c r="Y567" s="333">
        <v>6.2486969999999999</v>
      </c>
      <c r="Z567" s="331"/>
      <c r="AA567" s="334">
        <v>79277.108433734931</v>
      </c>
      <c r="AB567" s="331"/>
      <c r="AC567" s="333">
        <v>30.750313999999996</v>
      </c>
      <c r="AD567" s="331"/>
      <c r="AE567" s="331">
        <v>32.9</v>
      </c>
      <c r="AF567" s="331"/>
      <c r="AG567" s="328">
        <v>4.1500000000000004</v>
      </c>
      <c r="AH567" s="328"/>
      <c r="AI567" s="328">
        <v>115</v>
      </c>
      <c r="AJ567" s="328"/>
      <c r="AK567" s="328"/>
      <c r="AL567" s="328"/>
      <c r="AM567" s="328"/>
      <c r="AN567" s="328"/>
      <c r="AO567" s="328">
        <v>81</v>
      </c>
      <c r="AP567" s="328"/>
      <c r="AQ567" s="335"/>
      <c r="AR567" s="335"/>
      <c r="AS567" s="328">
        <v>112</v>
      </c>
      <c r="AT567" s="328"/>
      <c r="AU567" s="328"/>
      <c r="AV567" s="328"/>
      <c r="AW567" s="328"/>
      <c r="AX567" s="328"/>
      <c r="AY567" s="328"/>
      <c r="AZ567" s="328"/>
      <c r="BA567" s="328"/>
      <c r="BB567" s="328"/>
      <c r="BC567" s="328"/>
      <c r="BD567" s="328"/>
      <c r="BE567" s="328"/>
      <c r="BF567" s="328"/>
      <c r="BG567" s="328">
        <v>-3.4908000000000001</v>
      </c>
      <c r="BH567" s="328"/>
      <c r="BI567" s="328">
        <v>5.3455000000000004</v>
      </c>
      <c r="BJ567" s="328"/>
      <c r="BK567" s="328">
        <v>1.6428</v>
      </c>
      <c r="BL567" s="328"/>
      <c r="BM567" s="328">
        <v>63.722000000000001</v>
      </c>
      <c r="BN567" s="328"/>
      <c r="BO567" s="328">
        <v>20.716000000000001</v>
      </c>
      <c r="BP567" s="328"/>
      <c r="BQ567" s="328">
        <v>8.5284999999999993</v>
      </c>
      <c r="BR567" s="328"/>
      <c r="BS567" s="328">
        <v>49.57</v>
      </c>
      <c r="BT567" s="328"/>
      <c r="BU567" s="328">
        <v>17.196999999999999</v>
      </c>
      <c r="BV567" s="328"/>
      <c r="BW567" s="336">
        <v>4.58</v>
      </c>
      <c r="BX567" s="328"/>
      <c r="BY567" s="328">
        <v>6.7750000000000057</v>
      </c>
      <c r="BZ567" s="328"/>
      <c r="CA567" s="328"/>
      <c r="CB567" s="337"/>
      <c r="CC567" s="328">
        <v>5.72</v>
      </c>
      <c r="CD567" s="328"/>
      <c r="CE567" s="328"/>
      <c r="CF567" s="328"/>
      <c r="CG567" s="328"/>
      <c r="CH567" s="328"/>
      <c r="CI567" s="328"/>
      <c r="CJ567" s="328"/>
      <c r="CK567" s="328" t="s">
        <v>8377</v>
      </c>
      <c r="CL567" s="328"/>
      <c r="CM567" s="328"/>
    </row>
    <row r="568" spans="1:91">
      <c r="A568" s="154" t="s">
        <v>7767</v>
      </c>
      <c r="B568" t="s">
        <v>8289</v>
      </c>
      <c r="C568">
        <v>1</v>
      </c>
      <c r="D568">
        <v>1330</v>
      </c>
      <c r="E568" s="113">
        <v>30</v>
      </c>
      <c r="F568" s="113">
        <v>13</v>
      </c>
      <c r="I568">
        <v>29.999999999999996</v>
      </c>
      <c r="K568" s="320">
        <v>9</v>
      </c>
      <c r="L568" s="320"/>
      <c r="M568">
        <v>3.07</v>
      </c>
      <c r="N568" s="320"/>
      <c r="O568"/>
      <c r="P568"/>
      <c r="Q568"/>
      <c r="S568" s="320">
        <v>12.25773748224</v>
      </c>
      <c r="T568" s="320"/>
      <c r="U568">
        <v>10.8</v>
      </c>
      <c r="V568"/>
      <c r="W568"/>
      <c r="X568"/>
      <c r="Y568" s="321">
        <v>5.6504484000000001</v>
      </c>
      <c r="Z568" s="320"/>
      <c r="AA568" s="322">
        <v>73350.515463917531</v>
      </c>
      <c r="AB568" s="320"/>
      <c r="AC568" s="321">
        <v>26.6009928</v>
      </c>
      <c r="AD568" s="320"/>
      <c r="AE568" s="320">
        <v>28.46</v>
      </c>
      <c r="AF568" s="320"/>
      <c r="AG568">
        <v>3.88</v>
      </c>
      <c r="AH568"/>
      <c r="AI568">
        <v>118</v>
      </c>
      <c r="AJ568"/>
      <c r="AK568"/>
      <c r="AL568"/>
      <c r="AM568"/>
      <c r="AN568"/>
      <c r="AO568">
        <v>83</v>
      </c>
      <c r="AP568"/>
      <c r="AQ568" s="323"/>
      <c r="AR568" s="323"/>
      <c r="AS568">
        <v>112</v>
      </c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>
        <v>-3.161</v>
      </c>
      <c r="BH568"/>
      <c r="BI568">
        <v>5.2594000000000003</v>
      </c>
      <c r="BJ568"/>
      <c r="BK568">
        <v>1.5649999999999999</v>
      </c>
      <c r="BL568"/>
      <c r="BM568">
        <v>59.71</v>
      </c>
      <c r="BN568"/>
      <c r="BO568">
        <v>20.96</v>
      </c>
      <c r="BP568"/>
      <c r="BQ568">
        <v>9.1617999999999995</v>
      </c>
      <c r="BR568"/>
      <c r="BS568">
        <v>46.08</v>
      </c>
      <c r="BT568"/>
      <c r="BU568">
        <v>18.812000000000001</v>
      </c>
      <c r="BV568"/>
      <c r="BW568" s="325">
        <v>6.35</v>
      </c>
      <c r="BX568"/>
      <c r="BY568">
        <v>7.1880000000000024</v>
      </c>
      <c r="BZ568"/>
      <c r="CA568"/>
      <c r="CC568">
        <v>8.8800000000000008</v>
      </c>
      <c r="CD568"/>
      <c r="CE568"/>
      <c r="CF568"/>
      <c r="CG568"/>
      <c r="CH568"/>
      <c r="CI568"/>
      <c r="CJ568"/>
      <c r="CK568"/>
      <c r="CL568"/>
      <c r="CM568"/>
    </row>
    <row r="569" spans="1:91">
      <c r="A569" s="154" t="s">
        <v>7767</v>
      </c>
      <c r="B569" t="s">
        <v>8287</v>
      </c>
      <c r="C569">
        <v>2</v>
      </c>
      <c r="D569">
        <v>1652</v>
      </c>
      <c r="E569" s="113">
        <v>52</v>
      </c>
      <c r="F569" s="113">
        <v>16</v>
      </c>
      <c r="I569">
        <v>34</v>
      </c>
      <c r="K569" s="320">
        <v>8</v>
      </c>
      <c r="L569" s="320"/>
      <c r="M569">
        <v>3.39</v>
      </c>
      <c r="N569" s="320"/>
      <c r="O569"/>
      <c r="P569"/>
      <c r="Q569"/>
      <c r="S569" s="320">
        <v>16.223060057952001</v>
      </c>
      <c r="T569" s="320"/>
      <c r="U569">
        <v>10.8</v>
      </c>
      <c r="V569"/>
      <c r="W569"/>
      <c r="X569"/>
      <c r="Y569" s="321">
        <v>5.388278399999999</v>
      </c>
      <c r="Z569" s="320"/>
      <c r="AA569" s="322">
        <v>86684.350132625987</v>
      </c>
      <c r="AB569" s="320"/>
      <c r="AC569" s="321">
        <v>30.610702400000001</v>
      </c>
      <c r="AD569" s="320"/>
      <c r="AE569" s="320">
        <v>32.68</v>
      </c>
      <c r="AF569" s="320"/>
      <c r="AG569">
        <v>3.77</v>
      </c>
      <c r="AH569"/>
      <c r="AI569">
        <v>120</v>
      </c>
      <c r="AJ569"/>
      <c r="AK569"/>
      <c r="AL569"/>
      <c r="AM569"/>
      <c r="AN569"/>
      <c r="AO569">
        <v>84</v>
      </c>
      <c r="AP569"/>
      <c r="AQ569" s="323"/>
      <c r="AR569" s="323"/>
      <c r="AS569">
        <v>112</v>
      </c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>
        <v>3.5068999999999999</v>
      </c>
      <c r="BH569"/>
      <c r="BI569">
        <v>5.0595999999999997</v>
      </c>
      <c r="BJ569"/>
      <c r="BK569">
        <v>1.5477000000000001</v>
      </c>
      <c r="BL569"/>
      <c r="BM569">
        <v>64.085999999999999</v>
      </c>
      <c r="BN569"/>
      <c r="BO569">
        <v>20.010000000000002</v>
      </c>
      <c r="BP569"/>
      <c r="BQ569">
        <v>8.0779999999999994</v>
      </c>
      <c r="BR569"/>
      <c r="BS569">
        <v>52.997999999999998</v>
      </c>
      <c r="BT569"/>
      <c r="BU569">
        <v>15.193</v>
      </c>
      <c r="BV569"/>
      <c r="BW569" s="325">
        <v>10.32</v>
      </c>
      <c r="BX569"/>
      <c r="BY569">
        <v>6.3940000000000055</v>
      </c>
      <c r="BZ569"/>
      <c r="CA569"/>
      <c r="CC569">
        <v>5.25</v>
      </c>
      <c r="CD569"/>
      <c r="CE569"/>
      <c r="CF569"/>
      <c r="CG569"/>
      <c r="CH569"/>
      <c r="CI569"/>
      <c r="CJ569"/>
      <c r="CK569"/>
      <c r="CL569"/>
      <c r="CM569"/>
    </row>
    <row r="570" spans="1:91">
      <c r="A570" s="154" t="s">
        <v>7768</v>
      </c>
      <c r="B570" t="s">
        <v>8287</v>
      </c>
      <c r="C570">
        <v>1</v>
      </c>
      <c r="D570">
        <v>527</v>
      </c>
      <c r="E570" s="113">
        <v>27</v>
      </c>
      <c r="F570" s="113">
        <v>5</v>
      </c>
      <c r="I570">
        <v>36.5</v>
      </c>
      <c r="K570" s="320">
        <v>9</v>
      </c>
      <c r="L570" s="320"/>
      <c r="M570">
        <v>4.0199999999999996</v>
      </c>
      <c r="N570" s="320"/>
      <c r="O570"/>
      <c r="P570"/>
      <c r="Q570"/>
      <c r="S570" s="320">
        <v>18.642001091432</v>
      </c>
      <c r="T570" s="320"/>
      <c r="U570">
        <v>10.8</v>
      </c>
      <c r="V570"/>
      <c r="W570"/>
      <c r="X570"/>
      <c r="Y570" s="321">
        <v>6.1548389999999991</v>
      </c>
      <c r="Z570" s="320"/>
      <c r="AA570" s="322">
        <v>85514.874141876426</v>
      </c>
      <c r="AB570" s="320"/>
      <c r="AC570" s="321">
        <v>35.0571707</v>
      </c>
      <c r="AD570" s="320"/>
      <c r="AE570" s="320">
        <v>37.369999999999997</v>
      </c>
      <c r="AF570" s="320"/>
      <c r="AG570">
        <v>4.37</v>
      </c>
      <c r="AH570"/>
      <c r="AI570">
        <v>130</v>
      </c>
      <c r="AJ570"/>
      <c r="AK570"/>
      <c r="AL570"/>
      <c r="AM570"/>
      <c r="AN570"/>
      <c r="AO570">
        <v>77</v>
      </c>
      <c r="AP570"/>
      <c r="AQ570" s="323"/>
      <c r="AR570" s="323"/>
      <c r="AS570">
        <v>112</v>
      </c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>
        <v>3.4508000000000001</v>
      </c>
      <c r="BH570"/>
      <c r="BI570">
        <v>4.7591999999999999</v>
      </c>
      <c r="BJ570"/>
      <c r="BK570">
        <v>1.3838999999999999</v>
      </c>
      <c r="BL570"/>
      <c r="BM570">
        <v>60.353999999999999</v>
      </c>
      <c r="BN570"/>
      <c r="BO570">
        <v>20.942</v>
      </c>
      <c r="BP570"/>
      <c r="BQ570">
        <v>10.226000000000001</v>
      </c>
      <c r="BR570"/>
      <c r="BS570">
        <v>53.176000000000002</v>
      </c>
      <c r="BT570"/>
      <c r="BU570">
        <v>15.933</v>
      </c>
      <c r="BV570"/>
      <c r="BW570" s="325">
        <v>5.85</v>
      </c>
      <c r="BX570"/>
      <c r="BY570">
        <v>6.4560000000000031</v>
      </c>
      <c r="BZ570"/>
      <c r="CA570"/>
      <c r="CC570">
        <v>8.64</v>
      </c>
      <c r="CD570"/>
      <c r="CE570"/>
      <c r="CF570"/>
      <c r="CG570"/>
      <c r="CH570"/>
      <c r="CI570"/>
      <c r="CJ570"/>
      <c r="CK570"/>
      <c r="CL570"/>
      <c r="CM570"/>
    </row>
    <row r="571" spans="1:91">
      <c r="A571" s="154" t="s">
        <v>7768</v>
      </c>
      <c r="B571" t="s">
        <v>8289</v>
      </c>
      <c r="C571">
        <v>2</v>
      </c>
      <c r="D571">
        <v>675</v>
      </c>
      <c r="E571" s="113">
        <v>75</v>
      </c>
      <c r="F571" s="113">
        <v>6</v>
      </c>
      <c r="I571">
        <v>32.5</v>
      </c>
      <c r="K571" s="320">
        <v>9</v>
      </c>
      <c r="L571" s="320"/>
      <c r="M571">
        <v>3.67</v>
      </c>
      <c r="N571" s="320"/>
      <c r="O571"/>
      <c r="P571"/>
      <c r="Q571"/>
      <c r="S571" s="320">
        <v>16.032246556184997</v>
      </c>
      <c r="T571" s="320"/>
      <c r="U571">
        <v>10.8</v>
      </c>
      <c r="V571"/>
      <c r="W571"/>
      <c r="X571"/>
      <c r="Y571" s="321">
        <v>6.8044352999999997</v>
      </c>
      <c r="Z571" s="320"/>
      <c r="AA571" s="322">
        <v>92402.088772845964</v>
      </c>
      <c r="AB571" s="320"/>
      <c r="AC571" s="321">
        <v>32.957645299999996</v>
      </c>
      <c r="AD571" s="320"/>
      <c r="AE571" s="320">
        <v>35.39</v>
      </c>
      <c r="AF571" s="320"/>
      <c r="AG571">
        <v>3.83</v>
      </c>
      <c r="AH571"/>
      <c r="AI571">
        <v>133</v>
      </c>
      <c r="AJ571"/>
      <c r="AK571"/>
      <c r="AL571"/>
      <c r="AM571"/>
      <c r="AN571"/>
      <c r="AO571">
        <v>72</v>
      </c>
      <c r="AP571"/>
      <c r="AQ571" s="323"/>
      <c r="AR571" s="323"/>
      <c r="AS571">
        <v>112</v>
      </c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>
        <v>1.8268</v>
      </c>
      <c r="BH571"/>
      <c r="BI571">
        <v>4.7652000000000001</v>
      </c>
      <c r="BJ571"/>
      <c r="BK571">
        <v>1.3822000000000001</v>
      </c>
      <c r="BL571"/>
      <c r="BM571">
        <v>58.011000000000003</v>
      </c>
      <c r="BN571"/>
      <c r="BO571">
        <v>21.088000000000001</v>
      </c>
      <c r="BP571"/>
      <c r="BQ571">
        <v>10.879</v>
      </c>
      <c r="BR571"/>
      <c r="BS571">
        <v>48.645000000000003</v>
      </c>
      <c r="BT571"/>
      <c r="BU571">
        <v>18.876000000000001</v>
      </c>
      <c r="BV571"/>
      <c r="BW571" s="325">
        <v>12.78</v>
      </c>
      <c r="BX571"/>
      <c r="BY571">
        <v>6.6620000000000061</v>
      </c>
      <c r="BZ571"/>
      <c r="CA571"/>
      <c r="CC571">
        <v>5.23</v>
      </c>
      <c r="CD571"/>
      <c r="CE571"/>
      <c r="CF571"/>
      <c r="CG571"/>
      <c r="CH571"/>
      <c r="CI571"/>
      <c r="CJ571"/>
      <c r="CK571"/>
      <c r="CL571"/>
      <c r="CM571"/>
    </row>
    <row r="572" spans="1:91">
      <c r="A572" s="154" t="s">
        <v>7768</v>
      </c>
      <c r="B572" t="s">
        <v>8287</v>
      </c>
      <c r="C572">
        <v>2</v>
      </c>
      <c r="D572">
        <v>1566</v>
      </c>
      <c r="E572" s="113">
        <v>66</v>
      </c>
      <c r="F572" s="113">
        <v>15</v>
      </c>
      <c r="I572">
        <v>35.499999999999993</v>
      </c>
      <c r="K572" s="320">
        <v>8</v>
      </c>
      <c r="L572" s="320"/>
      <c r="M572">
        <v>4.2</v>
      </c>
      <c r="N572" s="320"/>
      <c r="O572"/>
      <c r="P572"/>
      <c r="Q572"/>
      <c r="S572" s="320">
        <v>19.688406579391998</v>
      </c>
      <c r="T572" s="320"/>
      <c r="U572">
        <v>10.8</v>
      </c>
      <c r="V572"/>
      <c r="W572"/>
      <c r="X572"/>
      <c r="Y572" s="321">
        <v>6.8842040000000004</v>
      </c>
      <c r="Z572" s="320"/>
      <c r="AA572" s="322">
        <v>97128.95377128954</v>
      </c>
      <c r="AB572" s="320"/>
      <c r="AC572" s="321">
        <v>37.308433600000001</v>
      </c>
      <c r="AD572" s="320"/>
      <c r="AE572" s="320">
        <v>39.92</v>
      </c>
      <c r="AF572" s="320"/>
      <c r="AG572">
        <v>4.1100000000000003</v>
      </c>
      <c r="AH572"/>
      <c r="AI572">
        <v>123</v>
      </c>
      <c r="AJ572"/>
      <c r="AK572"/>
      <c r="AL572"/>
      <c r="AM572"/>
      <c r="AN572"/>
      <c r="AO572">
        <v>79</v>
      </c>
      <c r="AP572"/>
      <c r="AQ572" s="323"/>
      <c r="AR572" s="323"/>
      <c r="AS572">
        <v>112</v>
      </c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>
        <v>3.9817</v>
      </c>
      <c r="BH572"/>
      <c r="BI572">
        <v>4.9965999999999999</v>
      </c>
      <c r="BJ572"/>
      <c r="BK572">
        <v>1.3091999999999999</v>
      </c>
      <c r="BL572"/>
      <c r="BM572">
        <v>58.469000000000001</v>
      </c>
      <c r="BN572"/>
      <c r="BO572">
        <v>21.916</v>
      </c>
      <c r="BP572"/>
      <c r="BQ572">
        <v>10.391999999999999</v>
      </c>
      <c r="BR572"/>
      <c r="BS572">
        <v>52.771999999999998</v>
      </c>
      <c r="BT572"/>
      <c r="BU572">
        <v>15.927</v>
      </c>
      <c r="BV572"/>
      <c r="BW572" s="325">
        <v>11.65</v>
      </c>
      <c r="BX572"/>
      <c r="BY572">
        <v>6.3220000000000027</v>
      </c>
      <c r="BZ572"/>
      <c r="CA572"/>
      <c r="CC572">
        <v>6.58</v>
      </c>
      <c r="CD572"/>
      <c r="CE572"/>
      <c r="CF572"/>
      <c r="CG572"/>
      <c r="CH572"/>
      <c r="CI572"/>
      <c r="CJ572"/>
      <c r="CK572"/>
      <c r="CL572"/>
      <c r="CM572"/>
    </row>
    <row r="573" spans="1:91">
      <c r="A573" s="154" t="s">
        <v>7768</v>
      </c>
      <c r="B573" t="s">
        <v>8289</v>
      </c>
      <c r="C573">
        <v>1</v>
      </c>
      <c r="D573">
        <v>1619</v>
      </c>
      <c r="E573" s="113">
        <v>19</v>
      </c>
      <c r="F573" s="113">
        <v>16</v>
      </c>
      <c r="I573">
        <v>31.499999999999996</v>
      </c>
      <c r="K573" s="320">
        <v>8</v>
      </c>
      <c r="L573" s="320"/>
      <c r="M573">
        <v>3.71</v>
      </c>
      <c r="N573" s="320"/>
      <c r="O573"/>
      <c r="P573"/>
      <c r="Q573"/>
      <c r="S573" s="320">
        <v>16.707333393575997</v>
      </c>
      <c r="T573" s="320"/>
      <c r="U573">
        <v>10.8</v>
      </c>
      <c r="V573"/>
      <c r="W573"/>
      <c r="X573"/>
      <c r="Y573" s="321">
        <v>7.6803190999999993</v>
      </c>
      <c r="Z573" s="320"/>
      <c r="AA573" s="322">
        <v>88897.243107769405</v>
      </c>
      <c r="AB573" s="320"/>
      <c r="AC573" s="321">
        <v>33.232552399999996</v>
      </c>
      <c r="AD573" s="320"/>
      <c r="AE573" s="320">
        <v>35.47</v>
      </c>
      <c r="AF573" s="320"/>
      <c r="AG573">
        <v>3.99</v>
      </c>
      <c r="AH573"/>
      <c r="AI573">
        <v>120</v>
      </c>
      <c r="AJ573"/>
      <c r="AK573"/>
      <c r="AL573"/>
      <c r="AM573"/>
      <c r="AN573"/>
      <c r="AO573">
        <v>79</v>
      </c>
      <c r="AP573"/>
      <c r="AQ573" s="323"/>
      <c r="AR573" s="323"/>
      <c r="AS573">
        <v>112</v>
      </c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>
        <v>10.233000000000001</v>
      </c>
      <c r="BH573"/>
      <c r="BI573">
        <v>4.6433999999999997</v>
      </c>
      <c r="BJ573"/>
      <c r="BK573">
        <v>1.3136000000000001</v>
      </c>
      <c r="BL573"/>
      <c r="BM573">
        <v>47.378999999999998</v>
      </c>
      <c r="BN573"/>
      <c r="BO573">
        <v>20.242999999999999</v>
      </c>
      <c r="BP573"/>
      <c r="BQ573">
        <v>11.625999999999999</v>
      </c>
      <c r="BR573"/>
      <c r="BS573">
        <v>50.274000000000001</v>
      </c>
      <c r="BT573"/>
      <c r="BU573">
        <v>18.152999999999999</v>
      </c>
      <c r="BV573"/>
      <c r="BW573" s="325">
        <v>9.34</v>
      </c>
      <c r="BX573"/>
      <c r="BY573">
        <v>6.3100000000000023</v>
      </c>
      <c r="BZ573"/>
      <c r="CA573"/>
      <c r="CC573">
        <v>6.03</v>
      </c>
      <c r="CD573"/>
      <c r="CE573"/>
      <c r="CF573"/>
      <c r="CG573"/>
      <c r="CH573"/>
      <c r="CI573"/>
      <c r="CJ573"/>
      <c r="CK573"/>
      <c r="CL573"/>
      <c r="CM573"/>
    </row>
    <row r="574" spans="1:91">
      <c r="A574" s="154" t="s">
        <v>7769</v>
      </c>
      <c r="B574" t="s">
        <v>8287</v>
      </c>
      <c r="C574">
        <v>1</v>
      </c>
      <c r="D574">
        <v>712</v>
      </c>
      <c r="E574" s="113">
        <v>12</v>
      </c>
      <c r="F574" s="113">
        <v>7</v>
      </c>
      <c r="I574">
        <v>23.5</v>
      </c>
      <c r="K574" s="320">
        <v>9</v>
      </c>
      <c r="L574" s="320"/>
      <c r="M574">
        <v>2.88</v>
      </c>
      <c r="N574" s="320"/>
      <c r="O574"/>
      <c r="P574"/>
      <c r="Q574"/>
      <c r="S574" s="320">
        <v>12.590506162080001</v>
      </c>
      <c r="T574" s="320"/>
      <c r="U574">
        <v>10.8</v>
      </c>
      <c r="V574"/>
      <c r="W574"/>
      <c r="X574"/>
      <c r="Y574" s="321">
        <v>5.0291415000000006</v>
      </c>
      <c r="Z574" s="320"/>
      <c r="AA574" s="322">
        <v>81017.441860465115</v>
      </c>
      <c r="AB574" s="320"/>
      <c r="AC574" s="321">
        <v>26.073778500000003</v>
      </c>
      <c r="AD574" s="320"/>
      <c r="AE574" s="320">
        <v>27.87</v>
      </c>
      <c r="AF574" s="320"/>
      <c r="AG574">
        <v>3.44</v>
      </c>
      <c r="AH574"/>
      <c r="AI574">
        <v>128</v>
      </c>
      <c r="AJ574"/>
      <c r="AK574"/>
      <c r="AL574"/>
      <c r="AM574"/>
      <c r="AN574"/>
      <c r="AO574">
        <v>77</v>
      </c>
      <c r="AP574"/>
      <c r="AQ574" s="323"/>
      <c r="AR574" s="323"/>
      <c r="AS574">
        <v>112</v>
      </c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>
        <v>-0.71226</v>
      </c>
      <c r="BH574"/>
      <c r="BI574">
        <v>3.7768999999999999</v>
      </c>
      <c r="BJ574"/>
      <c r="BK574">
        <v>1.6114999999999999</v>
      </c>
      <c r="BL574"/>
      <c r="BM574">
        <v>69.164000000000001</v>
      </c>
      <c r="BN574"/>
      <c r="BO574">
        <v>17.3</v>
      </c>
      <c r="BP574"/>
      <c r="BQ574">
        <v>7.5025000000000004</v>
      </c>
      <c r="BR574"/>
      <c r="BS574">
        <v>48.287999999999997</v>
      </c>
      <c r="BT574"/>
      <c r="BU574">
        <v>18.704999999999998</v>
      </c>
      <c r="BV574"/>
      <c r="BW574" s="325">
        <v>9.24</v>
      </c>
      <c r="BX574"/>
      <c r="BY574">
        <v>6.8900000000000006</v>
      </c>
      <c r="BZ574"/>
      <c r="CA574"/>
      <c r="CC574">
        <v>4.88</v>
      </c>
      <c r="CD574"/>
      <c r="CE574"/>
      <c r="CF574"/>
      <c r="CG574"/>
      <c r="CH574"/>
      <c r="CI574"/>
      <c r="CJ574"/>
      <c r="CK574"/>
      <c r="CL574"/>
      <c r="CM574"/>
    </row>
    <row r="575" spans="1:91">
      <c r="A575" s="327" t="s">
        <v>7769</v>
      </c>
      <c r="B575" s="328" t="s">
        <v>8289</v>
      </c>
      <c r="C575" s="328">
        <v>2</v>
      </c>
      <c r="D575" s="328">
        <v>856</v>
      </c>
      <c r="E575" s="113">
        <v>56</v>
      </c>
      <c r="F575" s="113">
        <v>8</v>
      </c>
      <c r="G575" s="329"/>
      <c r="H575" s="329"/>
      <c r="I575" s="328">
        <v>29.999999999999996</v>
      </c>
      <c r="J575" s="330"/>
      <c r="K575" s="331">
        <v>8</v>
      </c>
      <c r="L575" s="331"/>
      <c r="M575" s="328">
        <v>2.12</v>
      </c>
      <c r="N575" s="331"/>
      <c r="O575" s="328"/>
      <c r="P575" s="328"/>
      <c r="Q575" s="328"/>
      <c r="R575" s="332"/>
      <c r="S575" s="331">
        <v>8.6350152569459997</v>
      </c>
      <c r="T575" s="331"/>
      <c r="U575" s="328">
        <v>10.8</v>
      </c>
      <c r="V575" s="328"/>
      <c r="W575" s="328"/>
      <c r="X575" s="328"/>
      <c r="Y575" s="333">
        <v>4.1620071999999997</v>
      </c>
      <c r="Z575" s="331"/>
      <c r="AA575" s="334">
        <v>52603.092783505155</v>
      </c>
      <c r="AB575" s="331"/>
      <c r="AC575" s="333">
        <v>18.967217099999999</v>
      </c>
      <c r="AD575" s="331"/>
      <c r="AE575" s="331">
        <v>20.41</v>
      </c>
      <c r="AF575" s="331"/>
      <c r="AG575" s="328">
        <v>3.88</v>
      </c>
      <c r="AH575" s="328"/>
      <c r="AI575" s="328"/>
      <c r="AJ575" s="328"/>
      <c r="AK575" s="328"/>
      <c r="AL575" s="328"/>
      <c r="AM575" s="328"/>
      <c r="AN575" s="328"/>
      <c r="AO575" s="328">
        <v>77</v>
      </c>
      <c r="AP575" s="328"/>
      <c r="AQ575" s="335"/>
      <c r="AR575" s="335"/>
      <c r="AS575" s="328">
        <v>114</v>
      </c>
      <c r="AT575" s="328"/>
      <c r="AU575" s="328"/>
      <c r="AV575" s="328"/>
      <c r="AW575" s="328"/>
      <c r="AX575" s="328"/>
      <c r="AY575" s="328"/>
      <c r="AZ575" s="328"/>
      <c r="BA575" s="328"/>
      <c r="BB575" s="328"/>
      <c r="BC575" s="328"/>
      <c r="BD575" s="328"/>
      <c r="BE575" s="328"/>
      <c r="BF575" s="328"/>
      <c r="BG575" s="328">
        <v>-3.6625000000000001</v>
      </c>
      <c r="BH575" s="328"/>
      <c r="BI575" s="328">
        <v>4.5575999999999999</v>
      </c>
      <c r="BJ575" s="328"/>
      <c r="BK575" s="328">
        <v>1.6972</v>
      </c>
      <c r="BL575" s="328"/>
      <c r="BM575" s="328">
        <v>70.141999999999996</v>
      </c>
      <c r="BN575" s="328"/>
      <c r="BO575" s="328">
        <v>18.314</v>
      </c>
      <c r="BP575" s="328"/>
      <c r="BQ575" s="328">
        <v>7.7977999999999996</v>
      </c>
      <c r="BR575" s="328"/>
      <c r="BS575" s="328">
        <v>45.526000000000003</v>
      </c>
      <c r="BT575" s="328"/>
      <c r="BU575" s="328">
        <v>19.341000000000001</v>
      </c>
      <c r="BV575" s="328"/>
      <c r="BW575" s="336">
        <v>7.52</v>
      </c>
      <c r="BX575" s="328"/>
      <c r="BY575" s="328">
        <v>6.9599999999999937</v>
      </c>
      <c r="BZ575" s="328"/>
      <c r="CA575" s="328"/>
      <c r="CB575" s="337"/>
      <c r="CC575" s="328">
        <v>5.4</v>
      </c>
      <c r="CD575" s="328"/>
      <c r="CE575" s="328"/>
      <c r="CF575" s="328"/>
      <c r="CG575" s="328"/>
      <c r="CH575" s="328"/>
      <c r="CI575" s="328"/>
      <c r="CJ575" s="328"/>
      <c r="CK575" s="328" t="s">
        <v>8377</v>
      </c>
      <c r="CL575" s="328"/>
      <c r="CM575" s="328"/>
    </row>
    <row r="576" spans="1:91">
      <c r="A576" s="154" t="s">
        <v>7769</v>
      </c>
      <c r="B576" t="s">
        <v>8289</v>
      </c>
      <c r="C576">
        <v>1</v>
      </c>
      <c r="D576">
        <v>1332</v>
      </c>
      <c r="E576" s="113">
        <v>32</v>
      </c>
      <c r="F576" s="113">
        <v>13</v>
      </c>
      <c r="I576">
        <v>25.499999999999996</v>
      </c>
      <c r="K576" s="320">
        <v>9</v>
      </c>
      <c r="L576" s="320"/>
      <c r="M576">
        <v>3.08</v>
      </c>
      <c r="N576" s="320"/>
      <c r="O576"/>
      <c r="P576"/>
      <c r="Q576"/>
      <c r="S576" s="320">
        <v>12.7417393514</v>
      </c>
      <c r="T576" s="320"/>
      <c r="U576">
        <v>10.8</v>
      </c>
      <c r="V576"/>
      <c r="W576"/>
      <c r="X576"/>
      <c r="Y576" s="321">
        <v>5.6288977999999998</v>
      </c>
      <c r="Z576" s="320"/>
      <c r="AA576" s="322">
        <v>78931.506849315061</v>
      </c>
      <c r="AB576" s="320"/>
      <c r="AC576" s="321">
        <v>26.909692399999997</v>
      </c>
      <c r="AD576" s="320"/>
      <c r="AE576" s="320">
        <v>28.81</v>
      </c>
      <c r="AF576" s="320"/>
      <c r="AG576">
        <v>3.65</v>
      </c>
      <c r="AH576"/>
      <c r="AI576">
        <v>100</v>
      </c>
      <c r="AJ576"/>
      <c r="AK576"/>
      <c r="AL576"/>
      <c r="AM576"/>
      <c r="AN576"/>
      <c r="AO576">
        <v>77</v>
      </c>
      <c r="AP576"/>
      <c r="AQ576" s="323"/>
      <c r="AR576" s="323"/>
      <c r="AS576">
        <v>112</v>
      </c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>
        <v>0.82894000000000001</v>
      </c>
      <c r="BH576"/>
      <c r="BI576">
        <v>4.1219000000000001</v>
      </c>
      <c r="BJ576"/>
      <c r="BK576">
        <v>1.5664</v>
      </c>
      <c r="BL576"/>
      <c r="BM576">
        <v>71.117999999999995</v>
      </c>
      <c r="BN576"/>
      <c r="BO576">
        <v>18.949000000000002</v>
      </c>
      <c r="BP576"/>
      <c r="BQ576">
        <v>7.3360000000000003</v>
      </c>
      <c r="BR576"/>
      <c r="BS576">
        <v>47.35</v>
      </c>
      <c r="BT576"/>
      <c r="BU576">
        <v>18.869</v>
      </c>
      <c r="BV576"/>
      <c r="BW576" s="325">
        <v>4.0599999999999996</v>
      </c>
      <c r="BX576"/>
      <c r="BY576">
        <v>6.8259999999999934</v>
      </c>
      <c r="BZ576"/>
      <c r="CA576"/>
      <c r="CC576">
        <v>8.06</v>
      </c>
      <c r="CD576"/>
      <c r="CE576"/>
      <c r="CF576"/>
      <c r="CG576"/>
      <c r="CH576"/>
      <c r="CI576"/>
      <c r="CJ576"/>
      <c r="CK576"/>
      <c r="CL576"/>
      <c r="CM576"/>
    </row>
    <row r="577" spans="1:91">
      <c r="A577" s="154" t="s">
        <v>7769</v>
      </c>
      <c r="B577" t="s">
        <v>8287</v>
      </c>
      <c r="C577">
        <v>2</v>
      </c>
      <c r="D577">
        <v>1575</v>
      </c>
      <c r="E577" s="113">
        <v>75</v>
      </c>
      <c r="F577" s="113">
        <v>15</v>
      </c>
      <c r="I577">
        <v>29.999999999999996</v>
      </c>
      <c r="K577" s="320">
        <v>8</v>
      </c>
      <c r="L577" s="320"/>
      <c r="M577">
        <v>2.29</v>
      </c>
      <c r="N577" s="320"/>
      <c r="O577"/>
      <c r="P577"/>
      <c r="Q577"/>
      <c r="S577" s="320">
        <v>9.6979219227359987</v>
      </c>
      <c r="T577" s="320"/>
      <c r="U577">
        <v>10.8</v>
      </c>
      <c r="V577"/>
      <c r="W577"/>
      <c r="X577"/>
      <c r="Y577" s="321">
        <v>3.4544695000000001</v>
      </c>
      <c r="Z577" s="320"/>
      <c r="AA577" s="322">
        <v>70544.871794871797</v>
      </c>
      <c r="AB577" s="320"/>
      <c r="AC577" s="321">
        <v>20.617207199999999</v>
      </c>
      <c r="AD577" s="320"/>
      <c r="AE577" s="320">
        <v>22.01</v>
      </c>
      <c r="AF577" s="320"/>
      <c r="AG577">
        <v>3.12</v>
      </c>
      <c r="AH577"/>
      <c r="AI577">
        <v>100</v>
      </c>
      <c r="AJ577"/>
      <c r="AK577"/>
      <c r="AL577"/>
      <c r="AM577"/>
      <c r="AN577"/>
      <c r="AO577">
        <v>79</v>
      </c>
      <c r="AP577"/>
      <c r="AQ577" s="323"/>
      <c r="AR577" s="323"/>
      <c r="AS577">
        <v>112</v>
      </c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>
        <v>-2.3818999999999999</v>
      </c>
      <c r="BH577"/>
      <c r="BI577">
        <v>4.1669</v>
      </c>
      <c r="BJ577"/>
      <c r="BK577">
        <v>1.6407</v>
      </c>
      <c r="BL577"/>
      <c r="BM577">
        <v>76.727999999999994</v>
      </c>
      <c r="BN577"/>
      <c r="BO577">
        <v>18.013000000000002</v>
      </c>
      <c r="BP577"/>
      <c r="BQ577">
        <v>7.0913000000000004</v>
      </c>
      <c r="BR577"/>
      <c r="BS577">
        <v>47.037999999999997</v>
      </c>
      <c r="BT577"/>
      <c r="BU577">
        <v>18.222000000000001</v>
      </c>
      <c r="BV577"/>
      <c r="BW577" s="325">
        <v>7.53</v>
      </c>
      <c r="BX577"/>
      <c r="BY577">
        <v>6.9770000000000039</v>
      </c>
      <c r="BZ577"/>
      <c r="CA577"/>
      <c r="CC577">
        <v>5.55</v>
      </c>
      <c r="CD577"/>
      <c r="CE577"/>
      <c r="CF577"/>
      <c r="CG577"/>
      <c r="CH577"/>
      <c r="CI577"/>
      <c r="CJ577"/>
      <c r="CK577"/>
      <c r="CL577"/>
      <c r="CM577"/>
    </row>
    <row r="578" spans="1:91">
      <c r="A578" s="154" t="s">
        <v>7770</v>
      </c>
      <c r="B578" t="s">
        <v>8287</v>
      </c>
      <c r="C578">
        <v>1</v>
      </c>
      <c r="D578">
        <v>226</v>
      </c>
      <c r="E578" s="113">
        <v>26</v>
      </c>
      <c r="F578" s="113">
        <v>2</v>
      </c>
      <c r="I578">
        <v>32</v>
      </c>
      <c r="K578" s="320">
        <v>8</v>
      </c>
      <c r="L578" s="320"/>
      <c r="M578">
        <v>4.1100000000000003</v>
      </c>
      <c r="N578" s="320"/>
      <c r="O578"/>
      <c r="P578"/>
      <c r="Q578"/>
      <c r="S578" s="320">
        <v>18.153757115169</v>
      </c>
      <c r="T578" s="320"/>
      <c r="U578">
        <v>10.8</v>
      </c>
      <c r="V578"/>
      <c r="W578"/>
      <c r="X578"/>
      <c r="Y578" s="321">
        <v>6.5803308999999999</v>
      </c>
      <c r="Z578" s="320"/>
      <c r="AA578" s="322">
        <v>85653.153153153151</v>
      </c>
      <c r="AB578" s="320"/>
      <c r="AC578" s="321">
        <v>35.6999019</v>
      </c>
      <c r="AD578" s="320"/>
      <c r="AE578" s="320">
        <v>38.03</v>
      </c>
      <c r="AF578" s="320"/>
      <c r="AG578">
        <v>4.4400000000000004</v>
      </c>
      <c r="AH578"/>
      <c r="AI578">
        <v>135</v>
      </c>
      <c r="AJ578"/>
      <c r="AK578"/>
      <c r="AL578"/>
      <c r="AM578"/>
      <c r="AN578"/>
      <c r="AO578">
        <v>81</v>
      </c>
      <c r="AP578"/>
      <c r="AQ578" s="323"/>
      <c r="AR578" s="323"/>
      <c r="AS578">
        <v>112</v>
      </c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>
        <v>1.7511000000000001</v>
      </c>
      <c r="BH578"/>
      <c r="BI578">
        <v>4.6581000000000001</v>
      </c>
      <c r="BJ578"/>
      <c r="BK578">
        <v>1.5017</v>
      </c>
      <c r="BL578"/>
      <c r="BM578">
        <v>60.613</v>
      </c>
      <c r="BN578"/>
      <c r="BO578">
        <v>20.372</v>
      </c>
      <c r="BP578"/>
      <c r="BQ578">
        <v>9.1062999999999992</v>
      </c>
      <c r="BR578"/>
      <c r="BS578">
        <v>50.850999999999999</v>
      </c>
      <c r="BT578"/>
      <c r="BU578">
        <v>17.613</v>
      </c>
      <c r="BV578"/>
      <c r="BW578" s="325">
        <v>13.83</v>
      </c>
      <c r="BX578"/>
      <c r="BY578">
        <v>6.6979999999999933</v>
      </c>
      <c r="BZ578"/>
      <c r="CA578"/>
      <c r="CC578">
        <v>9.06</v>
      </c>
      <c r="CD578"/>
      <c r="CE578"/>
      <c r="CF578"/>
      <c r="CG578"/>
      <c r="CH578"/>
      <c r="CI578"/>
      <c r="CJ578"/>
      <c r="CK578"/>
      <c r="CL578"/>
      <c r="CM578"/>
    </row>
    <row r="579" spans="1:91">
      <c r="A579" s="154" t="s">
        <v>7770</v>
      </c>
      <c r="B579" t="s">
        <v>8289</v>
      </c>
      <c r="C579">
        <v>2</v>
      </c>
      <c r="D579">
        <v>450</v>
      </c>
      <c r="E579" s="113">
        <v>50</v>
      </c>
      <c r="F579" s="113">
        <v>4</v>
      </c>
      <c r="I579">
        <v>34.5</v>
      </c>
      <c r="K579" s="320">
        <v>8</v>
      </c>
      <c r="L579" s="320"/>
      <c r="M579">
        <v>4.83</v>
      </c>
      <c r="N579" s="320"/>
      <c r="O579"/>
      <c r="P579"/>
      <c r="Q579"/>
      <c r="S579" s="320">
        <v>21.30553979295</v>
      </c>
      <c r="T579" s="320"/>
      <c r="U579">
        <v>10.8</v>
      </c>
      <c r="V579"/>
      <c r="W579"/>
      <c r="X579"/>
      <c r="Y579" s="321">
        <v>8.9567349999999983</v>
      </c>
      <c r="Z579" s="320"/>
      <c r="AA579" s="322">
        <v>93914.807302231246</v>
      </c>
      <c r="AB579" s="320"/>
      <c r="AC579" s="321">
        <v>43.218734999999995</v>
      </c>
      <c r="AD579" s="320"/>
      <c r="AE579" s="320">
        <v>46.3</v>
      </c>
      <c r="AF579" s="320"/>
      <c r="AG579">
        <v>4.93</v>
      </c>
      <c r="AH579"/>
      <c r="AI579">
        <v>130</v>
      </c>
      <c r="AJ579"/>
      <c r="AK579"/>
      <c r="AL579"/>
      <c r="AM579"/>
      <c r="AN579"/>
      <c r="AO579">
        <v>80</v>
      </c>
      <c r="AP579"/>
      <c r="AQ579" s="323"/>
      <c r="AR579" s="323"/>
      <c r="AS579">
        <v>112</v>
      </c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>
        <v>-3.6855000000000002</v>
      </c>
      <c r="BH579"/>
      <c r="BI579">
        <v>4.8185000000000002</v>
      </c>
      <c r="BJ579"/>
      <c r="BK579">
        <v>1.5729</v>
      </c>
      <c r="BL579"/>
      <c r="BM579">
        <v>64.984999999999999</v>
      </c>
      <c r="BN579"/>
      <c r="BO579">
        <v>20.225000000000001</v>
      </c>
      <c r="BP579"/>
      <c r="BQ579">
        <v>9.1736000000000004</v>
      </c>
      <c r="BR579"/>
      <c r="BS579">
        <v>49.296999999999997</v>
      </c>
      <c r="BT579"/>
      <c r="BU579">
        <v>18.841000000000001</v>
      </c>
      <c r="BV579"/>
      <c r="BW579" s="325">
        <v>12.88</v>
      </c>
      <c r="BX579"/>
      <c r="BY579">
        <v>6.8509999999999991</v>
      </c>
      <c r="BZ579"/>
      <c r="CA579"/>
      <c r="CC579">
        <v>5.79</v>
      </c>
      <c r="CD579"/>
      <c r="CE579"/>
      <c r="CF579"/>
      <c r="CG579"/>
      <c r="CH579"/>
      <c r="CI579"/>
      <c r="CJ579"/>
      <c r="CK579"/>
      <c r="CL579"/>
      <c r="CM579"/>
    </row>
    <row r="580" spans="1:91">
      <c r="A580" s="154" t="s">
        <v>7770</v>
      </c>
      <c r="B580" t="s">
        <v>8289</v>
      </c>
      <c r="C580">
        <v>1</v>
      </c>
      <c r="D580">
        <v>1232</v>
      </c>
      <c r="E580" s="113">
        <v>32</v>
      </c>
      <c r="F580" s="113">
        <v>12</v>
      </c>
      <c r="I580">
        <v>31</v>
      </c>
      <c r="K580" s="320">
        <v>9</v>
      </c>
      <c r="L580" s="320"/>
      <c r="M580">
        <v>4.75</v>
      </c>
      <c r="N580" s="320"/>
      <c r="O580"/>
      <c r="P580"/>
      <c r="Q580"/>
      <c r="S580" s="320">
        <v>20.601313295681997</v>
      </c>
      <c r="T580" s="320"/>
      <c r="U580">
        <v>10.8</v>
      </c>
      <c r="V580"/>
      <c r="W580"/>
      <c r="X580"/>
      <c r="Y580" s="321">
        <v>8.689533599999999</v>
      </c>
      <c r="Z580" s="320"/>
      <c r="AA580" s="322">
        <v>105890.73634204276</v>
      </c>
      <c r="AB580" s="320"/>
      <c r="AC580" s="321">
        <v>41.668480199999998</v>
      </c>
      <c r="AD580" s="320"/>
      <c r="AE580" s="320">
        <v>44.58</v>
      </c>
      <c r="AF580" s="320"/>
      <c r="AG580">
        <v>4.21</v>
      </c>
      <c r="AH580"/>
      <c r="AI580">
        <v>120</v>
      </c>
      <c r="AJ580"/>
      <c r="AK580"/>
      <c r="AL580"/>
      <c r="AM580"/>
      <c r="AN580"/>
      <c r="AO580">
        <v>81</v>
      </c>
      <c r="AP580"/>
      <c r="AQ580" s="323"/>
      <c r="AR580" s="323"/>
      <c r="AS580">
        <v>112</v>
      </c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>
        <v>0.68</v>
      </c>
      <c r="BH580"/>
      <c r="BI580">
        <v>4.8616999999999999</v>
      </c>
      <c r="BJ580"/>
      <c r="BK580">
        <v>1.5034000000000001</v>
      </c>
      <c r="BL580"/>
      <c r="BM580">
        <v>64.197000000000003</v>
      </c>
      <c r="BN580"/>
      <c r="BO580">
        <v>20.827000000000002</v>
      </c>
      <c r="BP580"/>
      <c r="BQ580">
        <v>8.8539999999999992</v>
      </c>
      <c r="BR580"/>
      <c r="BS580">
        <v>49.441000000000003</v>
      </c>
      <c r="BT580"/>
      <c r="BU580">
        <v>18.251999999999999</v>
      </c>
      <c r="BV580"/>
      <c r="BW580" s="325">
        <v>9.17</v>
      </c>
      <c r="BX580"/>
      <c r="BY580">
        <v>6.5400000000000063</v>
      </c>
      <c r="BZ580"/>
      <c r="CA580"/>
      <c r="CC580">
        <v>7.76</v>
      </c>
      <c r="CD580"/>
      <c r="CE580"/>
      <c r="CF580"/>
      <c r="CG580"/>
      <c r="CH580"/>
      <c r="CI580"/>
      <c r="CJ580"/>
      <c r="CK580"/>
      <c r="CL580"/>
      <c r="CM580"/>
    </row>
    <row r="581" spans="1:91">
      <c r="A581" s="154" t="s">
        <v>7770</v>
      </c>
      <c r="B581" t="s">
        <v>8287</v>
      </c>
      <c r="C581">
        <v>2</v>
      </c>
      <c r="D581">
        <v>1570</v>
      </c>
      <c r="E581" s="113">
        <v>70</v>
      </c>
      <c r="F581" s="113">
        <v>15</v>
      </c>
      <c r="I581">
        <v>30.499999999999996</v>
      </c>
      <c r="K581" s="320">
        <v>8</v>
      </c>
      <c r="L581" s="320"/>
      <c r="M581">
        <v>4.0999999999999996</v>
      </c>
      <c r="N581" s="320"/>
      <c r="O581"/>
      <c r="P581"/>
      <c r="Q581"/>
      <c r="S581" s="320">
        <v>19.267837043598</v>
      </c>
      <c r="T581" s="320"/>
      <c r="U581">
        <v>10.8</v>
      </c>
      <c r="V581"/>
      <c r="W581"/>
      <c r="X581"/>
      <c r="Y581" s="321">
        <v>6.2137725000000001</v>
      </c>
      <c r="Z581" s="320"/>
      <c r="AA581" s="322">
        <v>90137.299771167061</v>
      </c>
      <c r="AB581" s="320"/>
      <c r="AC581" s="321">
        <v>36.884008200000004</v>
      </c>
      <c r="AD581" s="320"/>
      <c r="AE581" s="320">
        <v>39.39</v>
      </c>
      <c r="AF581" s="320"/>
      <c r="AG581">
        <v>4.37</v>
      </c>
      <c r="AH581"/>
      <c r="AI581">
        <v>130</v>
      </c>
      <c r="AJ581"/>
      <c r="AK581"/>
      <c r="AL581"/>
      <c r="AM581"/>
      <c r="AN581"/>
      <c r="AO581">
        <v>79</v>
      </c>
      <c r="AP581"/>
      <c r="AQ581" s="323"/>
      <c r="AR581" s="323"/>
      <c r="AS581">
        <v>112</v>
      </c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>
        <v>0.69291000000000003</v>
      </c>
      <c r="BH581"/>
      <c r="BI581">
        <v>5.0118</v>
      </c>
      <c r="BJ581"/>
      <c r="BK581">
        <v>1.4951000000000001</v>
      </c>
      <c r="BL581"/>
      <c r="BM581">
        <v>63.204999999999998</v>
      </c>
      <c r="BN581"/>
      <c r="BO581">
        <v>20.765000000000001</v>
      </c>
      <c r="BP581"/>
      <c r="BQ581">
        <v>8.6980000000000004</v>
      </c>
      <c r="BR581"/>
      <c r="BS581">
        <v>52.238999999999997</v>
      </c>
      <c r="BT581"/>
      <c r="BU581">
        <v>16</v>
      </c>
      <c r="BV581"/>
      <c r="BW581" s="325">
        <v>12.08</v>
      </c>
      <c r="BX581"/>
      <c r="BY581">
        <v>6.6020000000000039</v>
      </c>
      <c r="BZ581"/>
      <c r="CA581"/>
      <c r="CC581">
        <v>5.57</v>
      </c>
      <c r="CD581"/>
      <c r="CE581"/>
      <c r="CF581"/>
      <c r="CG581"/>
      <c r="CH581"/>
      <c r="CI581"/>
      <c r="CJ581"/>
      <c r="CK581"/>
      <c r="CL581"/>
      <c r="CM581"/>
    </row>
    <row r="582" spans="1:91" s="338" customFormat="1">
      <c r="A582" s="327" t="s">
        <v>7771</v>
      </c>
      <c r="B582" s="328" t="s">
        <v>8289</v>
      </c>
      <c r="C582" s="328">
        <v>2</v>
      </c>
      <c r="D582" s="328">
        <v>352</v>
      </c>
      <c r="E582" s="113">
        <v>52</v>
      </c>
      <c r="F582" s="113">
        <v>3</v>
      </c>
      <c r="G582" s="329"/>
      <c r="H582" s="329"/>
      <c r="I582" s="328">
        <v>27</v>
      </c>
      <c r="J582" s="330"/>
      <c r="K582" s="331">
        <v>7</v>
      </c>
      <c r="L582" s="331"/>
      <c r="M582" s="328">
        <v>2.15</v>
      </c>
      <c r="N582" s="331"/>
      <c r="O582" s="328"/>
      <c r="P582" s="328"/>
      <c r="Q582" s="328"/>
      <c r="R582" s="332"/>
      <c r="S582" s="331">
        <v>8.9602414062999998</v>
      </c>
      <c r="T582" s="331"/>
      <c r="U582" s="328">
        <v>10.8</v>
      </c>
      <c r="V582" s="328"/>
      <c r="W582" s="328"/>
      <c r="X582" s="328"/>
      <c r="Y582" s="333">
        <v>3.8544160000000001</v>
      </c>
      <c r="Z582" s="331"/>
      <c r="AA582" s="334">
        <v>41649.694501018326</v>
      </c>
      <c r="AB582" s="331"/>
      <c r="AC582" s="333">
        <v>19.027906999999999</v>
      </c>
      <c r="AD582" s="331"/>
      <c r="AE582" s="331">
        <v>20.45</v>
      </c>
      <c r="AF582" s="331"/>
      <c r="AG582" s="328">
        <v>4.91</v>
      </c>
      <c r="AH582" s="328"/>
      <c r="AI582" s="328">
        <v>100</v>
      </c>
      <c r="AJ582" s="328"/>
      <c r="AK582" s="328"/>
      <c r="AL582" s="328"/>
      <c r="AM582" s="328"/>
      <c r="AN582" s="328"/>
      <c r="AO582" s="328">
        <v>77</v>
      </c>
      <c r="AP582" s="328"/>
      <c r="AQ582" s="335"/>
      <c r="AR582" s="335"/>
      <c r="AS582" s="328">
        <v>112</v>
      </c>
      <c r="AT582" s="328"/>
      <c r="AU582" s="328"/>
      <c r="AV582" s="328"/>
      <c r="AW582" s="328"/>
      <c r="AX582" s="328"/>
      <c r="AY582" s="328"/>
      <c r="AZ582" s="328"/>
      <c r="BA582" s="328"/>
      <c r="BB582" s="328"/>
      <c r="BC582" s="328"/>
      <c r="BD582" s="328"/>
      <c r="BE582" s="328"/>
      <c r="BF582" s="328"/>
      <c r="BG582" s="328">
        <v>2.1080999999999999</v>
      </c>
      <c r="BH582" s="328"/>
      <c r="BI582" s="328">
        <v>4.6113999999999997</v>
      </c>
      <c r="BJ582" s="328"/>
      <c r="BK582" s="328">
        <v>1.5556000000000001</v>
      </c>
      <c r="BL582" s="328"/>
      <c r="BM582" s="328">
        <v>61.52</v>
      </c>
      <c r="BN582" s="328"/>
      <c r="BO582" s="328">
        <v>19.832999999999998</v>
      </c>
      <c r="BP582" s="328"/>
      <c r="BQ582" s="328">
        <v>11.677</v>
      </c>
      <c r="BR582" s="328"/>
      <c r="BS582" s="328">
        <v>47.09</v>
      </c>
      <c r="BT582" s="328"/>
      <c r="BU582" s="328">
        <v>18.907</v>
      </c>
      <c r="BV582" s="328"/>
      <c r="BW582" s="328" t="s">
        <v>8361</v>
      </c>
      <c r="BX582" s="339"/>
      <c r="BY582" s="328">
        <v>6.8850000000000051</v>
      </c>
      <c r="BZ582" s="328"/>
      <c r="CA582" s="328"/>
      <c r="CB582" s="337"/>
      <c r="CC582" s="328">
        <v>6.53</v>
      </c>
      <c r="CD582" s="328"/>
      <c r="CE582" s="328"/>
      <c r="CF582" s="328"/>
      <c r="CG582" s="328"/>
      <c r="CH582" s="328"/>
      <c r="CI582" s="328"/>
      <c r="CJ582" s="328"/>
      <c r="CK582" s="328" t="s">
        <v>8377</v>
      </c>
      <c r="CL582" s="328"/>
      <c r="CM582" s="328"/>
    </row>
    <row r="583" spans="1:91" s="338" customFormat="1">
      <c r="A583" s="154" t="s">
        <v>7771</v>
      </c>
      <c r="B583" t="s">
        <v>8287</v>
      </c>
      <c r="C583">
        <v>1</v>
      </c>
      <c r="D583">
        <v>404</v>
      </c>
      <c r="E583" s="113">
        <v>4</v>
      </c>
      <c r="F583" s="113">
        <v>4</v>
      </c>
      <c r="G583" s="113"/>
      <c r="H583" s="113"/>
      <c r="I583">
        <v>30.499999999999996</v>
      </c>
      <c r="J583" s="112"/>
      <c r="K583" s="320">
        <v>8</v>
      </c>
      <c r="L583" s="320"/>
      <c r="M583">
        <v>3.54</v>
      </c>
      <c r="N583" s="320"/>
      <c r="O583"/>
      <c r="P583"/>
      <c r="Q583"/>
      <c r="R583" s="153"/>
      <c r="S583" s="320">
        <v>15.561043058000003</v>
      </c>
      <c r="T583" s="320"/>
      <c r="U583">
        <v>10.8</v>
      </c>
      <c r="V583"/>
      <c r="W583"/>
      <c r="X583"/>
      <c r="Y583" s="321">
        <v>5.569375</v>
      </c>
      <c r="Z583" s="320"/>
      <c r="AA583" s="322">
        <v>73464.91228070177</v>
      </c>
      <c r="AB583" s="320"/>
      <c r="AC583" s="321">
        <v>31.401560000000003</v>
      </c>
      <c r="AD583" s="320"/>
      <c r="AE583" s="320">
        <v>33.5</v>
      </c>
      <c r="AF583" s="320"/>
      <c r="AG583">
        <v>4.5599999999999996</v>
      </c>
      <c r="AH583"/>
      <c r="AI583">
        <v>118</v>
      </c>
      <c r="AJ583"/>
      <c r="AK583"/>
      <c r="AL583"/>
      <c r="AM583"/>
      <c r="AN583"/>
      <c r="AO583">
        <v>77</v>
      </c>
      <c r="AP583"/>
      <c r="AQ583" s="323"/>
      <c r="AR583" s="323"/>
      <c r="AS583">
        <v>112</v>
      </c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>
        <v>1.4208000000000001</v>
      </c>
      <c r="BH583"/>
      <c r="BI583">
        <v>4.4400000000000004</v>
      </c>
      <c r="BJ583"/>
      <c r="BK583">
        <v>1.4419</v>
      </c>
      <c r="BL583"/>
      <c r="BM583">
        <v>62.161999999999999</v>
      </c>
      <c r="BN583"/>
      <c r="BO583">
        <v>20.010000000000002</v>
      </c>
      <c r="BP583"/>
      <c r="BQ583">
        <v>11.355</v>
      </c>
      <c r="BR583"/>
      <c r="BS583">
        <v>49.555</v>
      </c>
      <c r="BT583"/>
      <c r="BU583">
        <v>18.367000000000001</v>
      </c>
      <c r="BV583"/>
      <c r="BW583" s="325">
        <v>10.050000000000001</v>
      </c>
      <c r="BX583"/>
      <c r="BY583">
        <v>6.4830000000000041</v>
      </c>
      <c r="BZ583"/>
      <c r="CA583"/>
      <c r="CB583" s="136"/>
      <c r="CC583">
        <v>7</v>
      </c>
      <c r="CD583"/>
      <c r="CE583"/>
      <c r="CF583"/>
      <c r="CG583"/>
      <c r="CH583"/>
      <c r="CI583"/>
      <c r="CJ583"/>
      <c r="CK583"/>
      <c r="CL583"/>
      <c r="CM583"/>
    </row>
    <row r="584" spans="1:91" s="338" customFormat="1">
      <c r="A584" s="154" t="s">
        <v>7771</v>
      </c>
      <c r="B584" t="s">
        <v>8289</v>
      </c>
      <c r="C584">
        <v>1</v>
      </c>
      <c r="D584">
        <v>1013</v>
      </c>
      <c r="E584" s="113">
        <v>13</v>
      </c>
      <c r="F584" s="113">
        <v>10</v>
      </c>
      <c r="G584" s="113"/>
      <c r="H584" s="113"/>
      <c r="I584">
        <v>21.999999999999996</v>
      </c>
      <c r="J584" s="112"/>
      <c r="K584" s="320">
        <v>8</v>
      </c>
      <c r="L584" s="320"/>
      <c r="M584">
        <v>3.31</v>
      </c>
      <c r="N584" s="320"/>
      <c r="O584"/>
      <c r="P584"/>
      <c r="Q584"/>
      <c r="R584" s="153"/>
      <c r="S584" s="320">
        <v>14.091716759305998</v>
      </c>
      <c r="T584" s="320"/>
      <c r="U584">
        <v>10.8</v>
      </c>
      <c r="V584"/>
      <c r="W584"/>
      <c r="X584"/>
      <c r="Y584" s="321">
        <v>5.9865579000000002</v>
      </c>
      <c r="Z584" s="320"/>
      <c r="AA584" s="322">
        <v>71859.410430839009</v>
      </c>
      <c r="AB584" s="320"/>
      <c r="AC584" s="321">
        <v>29.469481699999999</v>
      </c>
      <c r="AD584" s="320"/>
      <c r="AE584" s="320">
        <v>31.69</v>
      </c>
      <c r="AF584" s="320"/>
      <c r="AG584">
        <v>4.41</v>
      </c>
      <c r="AH584"/>
      <c r="AI584">
        <v>108</v>
      </c>
      <c r="AJ584"/>
      <c r="AK584"/>
      <c r="AL584"/>
      <c r="AM584"/>
      <c r="AN584"/>
      <c r="AO584">
        <v>77</v>
      </c>
      <c r="AP584"/>
      <c r="AQ584" s="323"/>
      <c r="AR584" s="323"/>
      <c r="AS584">
        <v>112</v>
      </c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>
        <v>3.7671000000000001</v>
      </c>
      <c r="BH584"/>
      <c r="BI584">
        <v>4.5050999999999997</v>
      </c>
      <c r="BJ584"/>
      <c r="BK584">
        <v>1.4513</v>
      </c>
      <c r="BL584"/>
      <c r="BM584">
        <v>62.082000000000001</v>
      </c>
      <c r="BN584"/>
      <c r="BO584">
        <v>20.524999999999999</v>
      </c>
      <c r="BP584"/>
      <c r="BQ584">
        <v>11.91</v>
      </c>
      <c r="BR584"/>
      <c r="BS584">
        <v>47.817999999999998</v>
      </c>
      <c r="BT584"/>
      <c r="BU584">
        <v>18.945</v>
      </c>
      <c r="BV584"/>
      <c r="BW584" s="325">
        <v>5.66</v>
      </c>
      <c r="BX584"/>
      <c r="BY584">
        <v>6.7369999999999948</v>
      </c>
      <c r="BZ584"/>
      <c r="CA584"/>
      <c r="CB584" s="136"/>
      <c r="CC584">
        <v>5.9</v>
      </c>
      <c r="CD584"/>
      <c r="CE584"/>
      <c r="CF584"/>
      <c r="CG584"/>
      <c r="CH584"/>
      <c r="CI584"/>
      <c r="CJ584"/>
      <c r="CK584"/>
      <c r="CL584"/>
      <c r="CM584"/>
    </row>
    <row r="585" spans="1:91" s="338" customFormat="1">
      <c r="A585" s="154" t="s">
        <v>7771</v>
      </c>
      <c r="B585" t="s">
        <v>8287</v>
      </c>
      <c r="C585">
        <v>2</v>
      </c>
      <c r="D585">
        <v>1243</v>
      </c>
      <c r="E585" s="113">
        <v>43</v>
      </c>
      <c r="F585" s="113">
        <v>12</v>
      </c>
      <c r="G585" s="113"/>
      <c r="H585" s="113"/>
      <c r="I585">
        <v>27.999999999999996</v>
      </c>
      <c r="J585" s="112"/>
      <c r="K585" s="320">
        <v>9</v>
      </c>
      <c r="L585" s="320"/>
      <c r="M585">
        <v>3.56</v>
      </c>
      <c r="N585" s="320"/>
      <c r="O585"/>
      <c r="P585"/>
      <c r="Q585"/>
      <c r="R585" s="153"/>
      <c r="S585" s="320">
        <v>15.620302898075002</v>
      </c>
      <c r="T585" s="320"/>
      <c r="U585">
        <v>10.8</v>
      </c>
      <c r="V585"/>
      <c r="W585"/>
      <c r="X585"/>
      <c r="Y585" s="321">
        <v>6.2396649999999996</v>
      </c>
      <c r="Z585" s="320"/>
      <c r="AA585" s="322">
        <v>75774.336283185854</v>
      </c>
      <c r="AB585" s="320"/>
      <c r="AC585" s="321">
        <v>32.068617500000002</v>
      </c>
      <c r="AD585" s="320"/>
      <c r="AE585" s="320">
        <v>34.25</v>
      </c>
      <c r="AF585" s="320"/>
      <c r="AG585">
        <v>4.5199999999999996</v>
      </c>
      <c r="AH585"/>
      <c r="AI585">
        <v>110</v>
      </c>
      <c r="AJ585"/>
      <c r="AK585"/>
      <c r="AL585"/>
      <c r="AM585"/>
      <c r="AN585"/>
      <c r="AO585">
        <v>77</v>
      </c>
      <c r="AP585"/>
      <c r="AQ585" s="323"/>
      <c r="AR585" s="323"/>
      <c r="AS585">
        <v>112</v>
      </c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>
        <v>4.4592000000000001</v>
      </c>
      <c r="BH585"/>
      <c r="BI585">
        <v>4.7640000000000002</v>
      </c>
      <c r="BJ585"/>
      <c r="BK585">
        <v>1.4133</v>
      </c>
      <c r="BL585"/>
      <c r="BM585">
        <v>59.753999999999998</v>
      </c>
      <c r="BN585"/>
      <c r="BO585">
        <v>21.042999999999999</v>
      </c>
      <c r="BP585"/>
      <c r="BQ585">
        <v>10.904</v>
      </c>
      <c r="BR585"/>
      <c r="BS585">
        <v>48.709000000000003</v>
      </c>
      <c r="BT585"/>
      <c r="BU585">
        <v>18.074000000000002</v>
      </c>
      <c r="BV585"/>
      <c r="BW585" s="325">
        <v>5.72</v>
      </c>
      <c r="BX585"/>
      <c r="BY585">
        <v>6.742999999999995</v>
      </c>
      <c r="BZ585"/>
      <c r="CA585"/>
      <c r="CB585" s="136"/>
      <c r="CC585">
        <v>5.44</v>
      </c>
      <c r="CD585"/>
      <c r="CE585"/>
      <c r="CF585"/>
      <c r="CG585"/>
      <c r="CH585"/>
      <c r="CI585"/>
      <c r="CJ585"/>
      <c r="CK585"/>
      <c r="CL585"/>
      <c r="CM585"/>
    </row>
    <row r="586" spans="1:91">
      <c r="A586" s="154" t="s">
        <v>7772</v>
      </c>
      <c r="B586" t="s">
        <v>8289</v>
      </c>
      <c r="C586">
        <v>2</v>
      </c>
      <c r="D586">
        <v>544</v>
      </c>
      <c r="E586" s="113">
        <v>44</v>
      </c>
      <c r="F586" s="113">
        <v>5</v>
      </c>
      <c r="I586">
        <v>27.499999999999996</v>
      </c>
      <c r="K586" s="320">
        <v>8</v>
      </c>
      <c r="L586" s="320"/>
      <c r="M586">
        <v>4.1100000000000003</v>
      </c>
      <c r="N586" s="320"/>
      <c r="O586"/>
      <c r="P586"/>
      <c r="Q586"/>
      <c r="S586" s="320">
        <v>18.558721826172</v>
      </c>
      <c r="T586" s="320"/>
      <c r="U586">
        <v>10.8</v>
      </c>
      <c r="V586"/>
      <c r="W586"/>
      <c r="X586"/>
      <c r="Y586" s="321">
        <v>7.3722329999999996</v>
      </c>
      <c r="Z586" s="320"/>
      <c r="AA586" s="322">
        <v>89863.636363636368</v>
      </c>
      <c r="AB586" s="320"/>
      <c r="AC586" s="321">
        <v>37.030791600000001</v>
      </c>
      <c r="AD586" s="320"/>
      <c r="AE586" s="320">
        <v>39.54</v>
      </c>
      <c r="AF586" s="320"/>
      <c r="AG586">
        <v>4.4000000000000004</v>
      </c>
      <c r="AH586"/>
      <c r="AI586">
        <v>130</v>
      </c>
      <c r="AJ586"/>
      <c r="AK586"/>
      <c r="AL586"/>
      <c r="AM586"/>
      <c r="AN586"/>
      <c r="AO586">
        <v>77</v>
      </c>
      <c r="AP586"/>
      <c r="AQ586" s="323"/>
      <c r="AR586" s="323"/>
      <c r="AS586">
        <v>112</v>
      </c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>
        <v>-3.0859999999999999E-2</v>
      </c>
      <c r="BH586"/>
      <c r="BI586">
        <v>4.9763000000000002</v>
      </c>
      <c r="BJ586"/>
      <c r="BK586">
        <v>1.5595000000000001</v>
      </c>
      <c r="BL586"/>
      <c r="BM586">
        <v>60.851999999999997</v>
      </c>
      <c r="BN586"/>
      <c r="BO586">
        <v>21.622</v>
      </c>
      <c r="BP586"/>
      <c r="BQ586">
        <v>8.6687999999999992</v>
      </c>
      <c r="BR586"/>
      <c r="BS586">
        <v>50.116999999999997</v>
      </c>
      <c r="BT586"/>
      <c r="BU586">
        <v>18.498000000000001</v>
      </c>
      <c r="BV586"/>
      <c r="BW586" s="325">
        <v>8.16</v>
      </c>
      <c r="BX586"/>
      <c r="BY586">
        <v>6.0859999999999985</v>
      </c>
      <c r="BZ586"/>
      <c r="CA586"/>
      <c r="CC586">
        <v>5.44</v>
      </c>
      <c r="CD586"/>
      <c r="CE586"/>
      <c r="CF586"/>
      <c r="CG586"/>
      <c r="CH586"/>
      <c r="CI586"/>
      <c r="CJ586"/>
      <c r="CK586"/>
      <c r="CL586"/>
      <c r="CM586"/>
    </row>
    <row r="587" spans="1:91">
      <c r="A587" s="154" t="s">
        <v>7772</v>
      </c>
      <c r="B587" t="s">
        <v>8287</v>
      </c>
      <c r="C587">
        <v>1</v>
      </c>
      <c r="D587">
        <v>723</v>
      </c>
      <c r="E587" s="113">
        <v>23</v>
      </c>
      <c r="F587" s="113">
        <v>7</v>
      </c>
      <c r="I587">
        <v>31</v>
      </c>
      <c r="K587" s="320">
        <v>9</v>
      </c>
      <c r="L587" s="320"/>
      <c r="M587">
        <v>3.31</v>
      </c>
      <c r="N587" s="320"/>
      <c r="O587"/>
      <c r="P587"/>
      <c r="Q587"/>
      <c r="S587" s="320">
        <v>15.42442102443</v>
      </c>
      <c r="T587" s="320"/>
      <c r="U587">
        <v>10.8</v>
      </c>
      <c r="V587"/>
      <c r="W587"/>
      <c r="X587"/>
      <c r="Y587" s="321">
        <v>5.5606931999999993</v>
      </c>
      <c r="Z587" s="320"/>
      <c r="AA587" s="322">
        <v>74400</v>
      </c>
      <c r="AB587" s="320"/>
      <c r="AC587" s="321">
        <v>29.721219000000001</v>
      </c>
      <c r="AD587" s="320"/>
      <c r="AE587" s="320">
        <v>31.62</v>
      </c>
      <c r="AF587" s="320"/>
      <c r="AG587">
        <v>4.25</v>
      </c>
      <c r="AH587"/>
      <c r="AI587">
        <v>135</v>
      </c>
      <c r="AJ587"/>
      <c r="AK587"/>
      <c r="AL587"/>
      <c r="AM587"/>
      <c r="AN587"/>
      <c r="AO587">
        <v>79</v>
      </c>
      <c r="AP587"/>
      <c r="AQ587" s="323"/>
      <c r="AR587" s="323"/>
      <c r="AS587">
        <v>112</v>
      </c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>
        <v>0.47449000000000002</v>
      </c>
      <c r="BH587"/>
      <c r="BI587">
        <v>4.7207999999999997</v>
      </c>
      <c r="BJ587"/>
      <c r="BK587">
        <v>1.6238999999999999</v>
      </c>
      <c r="BL587"/>
      <c r="BM587">
        <v>65.555000000000007</v>
      </c>
      <c r="BN587"/>
      <c r="BO587">
        <v>19.757000000000001</v>
      </c>
      <c r="BP587"/>
      <c r="BQ587">
        <v>8.5324000000000009</v>
      </c>
      <c r="BR587"/>
      <c r="BS587">
        <v>51.896999999999998</v>
      </c>
      <c r="BT587"/>
      <c r="BU587">
        <v>17.477</v>
      </c>
      <c r="BV587"/>
      <c r="BW587" s="325">
        <v>5.37</v>
      </c>
      <c r="BX587"/>
      <c r="BY587">
        <v>5.9230000000000018</v>
      </c>
      <c r="BZ587"/>
      <c r="CA587"/>
      <c r="CC587">
        <v>6.12</v>
      </c>
      <c r="CD587"/>
      <c r="CE587"/>
      <c r="CF587"/>
      <c r="CG587"/>
      <c r="CH587"/>
      <c r="CI587"/>
      <c r="CJ587"/>
      <c r="CK587"/>
      <c r="CL587"/>
      <c r="CM587"/>
    </row>
    <row r="588" spans="1:91">
      <c r="A588" s="154" t="s">
        <v>7772</v>
      </c>
      <c r="B588" t="s">
        <v>8287</v>
      </c>
      <c r="C588">
        <v>2</v>
      </c>
      <c r="D588">
        <v>1469</v>
      </c>
      <c r="E588" s="113">
        <v>69</v>
      </c>
      <c r="F588" s="113">
        <v>14</v>
      </c>
      <c r="I588">
        <v>33.5</v>
      </c>
      <c r="K588" s="320">
        <v>9</v>
      </c>
      <c r="L588" s="320"/>
      <c r="M588">
        <v>4.34</v>
      </c>
      <c r="N588" s="320"/>
      <c r="O588"/>
      <c r="P588"/>
      <c r="Q588"/>
      <c r="S588" s="320">
        <v>20.346994161222003</v>
      </c>
      <c r="T588" s="320"/>
      <c r="U588">
        <v>10.8</v>
      </c>
      <c r="V588"/>
      <c r="W588"/>
      <c r="X588"/>
      <c r="Y588" s="321">
        <v>7.4390358000000001</v>
      </c>
      <c r="Z588" s="320"/>
      <c r="AA588" s="322">
        <v>94568.181818181809</v>
      </c>
      <c r="AB588" s="320"/>
      <c r="AC588" s="321">
        <v>39.022274100000004</v>
      </c>
      <c r="AD588" s="320"/>
      <c r="AE588" s="320">
        <v>41.61</v>
      </c>
      <c r="AF588" s="320"/>
      <c r="AG588">
        <v>4.4000000000000004</v>
      </c>
      <c r="AH588"/>
      <c r="AI588">
        <v>130</v>
      </c>
      <c r="AJ588"/>
      <c r="AK588"/>
      <c r="AL588"/>
      <c r="AM588"/>
      <c r="AN588"/>
      <c r="AO588">
        <v>79</v>
      </c>
      <c r="AP588"/>
      <c r="AQ588" s="323"/>
      <c r="AR588" s="323"/>
      <c r="AS588">
        <v>112</v>
      </c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>
        <v>0.22625000000000001</v>
      </c>
      <c r="BH588"/>
      <c r="BI588">
        <v>5.0016999999999996</v>
      </c>
      <c r="BJ588"/>
      <c r="BK588">
        <v>1.4976</v>
      </c>
      <c r="BL588"/>
      <c r="BM588">
        <v>62.009</v>
      </c>
      <c r="BN588"/>
      <c r="BO588">
        <v>21.706</v>
      </c>
      <c r="BP588"/>
      <c r="BQ588">
        <v>7.8112000000000004</v>
      </c>
      <c r="BR588"/>
      <c r="BS588">
        <v>52.142000000000003</v>
      </c>
      <c r="BT588"/>
      <c r="BU588">
        <v>16.574999999999999</v>
      </c>
      <c r="BV588"/>
      <c r="BW588" s="325">
        <v>7.83</v>
      </c>
      <c r="BX588"/>
      <c r="BY588">
        <v>6.0220000000000056</v>
      </c>
      <c r="BZ588"/>
      <c r="CA588"/>
      <c r="CC588">
        <v>5.77</v>
      </c>
      <c r="CD588"/>
      <c r="CE588"/>
      <c r="CF588"/>
      <c r="CG588"/>
      <c r="CH588"/>
      <c r="CI588"/>
      <c r="CJ588"/>
      <c r="CK588"/>
      <c r="CL588"/>
      <c r="CM588"/>
    </row>
    <row r="589" spans="1:91">
      <c r="A589" s="154" t="s">
        <v>7772</v>
      </c>
      <c r="B589" t="s">
        <v>8289</v>
      </c>
      <c r="C589">
        <v>1</v>
      </c>
      <c r="D589">
        <v>1505</v>
      </c>
      <c r="E589" s="113">
        <v>5</v>
      </c>
      <c r="F589" s="113">
        <v>15</v>
      </c>
      <c r="I589">
        <v>36</v>
      </c>
      <c r="K589" s="320">
        <v>9</v>
      </c>
      <c r="L589" s="320"/>
      <c r="M589">
        <v>3.42</v>
      </c>
      <c r="N589" s="320"/>
      <c r="O589"/>
      <c r="P589"/>
      <c r="Q589"/>
      <c r="S589" s="320">
        <v>15.154750756877997</v>
      </c>
      <c r="T589" s="320"/>
      <c r="U589">
        <v>10.8</v>
      </c>
      <c r="V589"/>
      <c r="W589"/>
      <c r="X589"/>
      <c r="Y589" s="321">
        <v>5.1808824999999992</v>
      </c>
      <c r="Z589" s="320"/>
      <c r="AA589" s="322">
        <v>73644.646924829169</v>
      </c>
      <c r="AB589" s="320"/>
      <c r="AC589" s="321">
        <v>30.250211099999994</v>
      </c>
      <c r="AD589" s="320"/>
      <c r="AE589" s="320">
        <v>32.33</v>
      </c>
      <c r="AF589" s="320"/>
      <c r="AG589">
        <v>4.3899999999999997</v>
      </c>
      <c r="AH589"/>
      <c r="AI589">
        <v>123</v>
      </c>
      <c r="AJ589"/>
      <c r="AK589"/>
      <c r="AL589"/>
      <c r="AM589"/>
      <c r="AN589"/>
      <c r="AO589">
        <v>79</v>
      </c>
      <c r="AP589"/>
      <c r="AQ589" s="323"/>
      <c r="AR589" s="323"/>
      <c r="AS589">
        <v>112</v>
      </c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>
        <v>-0.84536999999999995</v>
      </c>
      <c r="BH589"/>
      <c r="BI589">
        <v>4.7667000000000002</v>
      </c>
      <c r="BJ589"/>
      <c r="BK589">
        <v>1.6617</v>
      </c>
      <c r="BL589"/>
      <c r="BM589">
        <v>63.100999999999999</v>
      </c>
      <c r="BN589"/>
      <c r="BO589">
        <v>21.206</v>
      </c>
      <c r="BP589"/>
      <c r="BQ589">
        <v>8.0975999999999999</v>
      </c>
      <c r="BR589"/>
      <c r="BS589">
        <v>50.097999999999999</v>
      </c>
      <c r="BT589"/>
      <c r="BU589">
        <v>18.673999999999999</v>
      </c>
      <c r="BV589"/>
      <c r="BW589" s="325">
        <v>3.47</v>
      </c>
      <c r="BX589"/>
      <c r="BY589">
        <v>6.1080000000000041</v>
      </c>
      <c r="BZ589"/>
      <c r="CA589"/>
      <c r="CC589">
        <v>7.09</v>
      </c>
      <c r="CD589"/>
      <c r="CE589"/>
      <c r="CF589"/>
      <c r="CG589"/>
      <c r="CH589"/>
      <c r="CI589"/>
      <c r="CJ589"/>
      <c r="CK589"/>
      <c r="CL589"/>
      <c r="CM589"/>
    </row>
    <row r="590" spans="1:91">
      <c r="A590" s="154" t="s">
        <v>7773</v>
      </c>
      <c r="B590" t="s">
        <v>8289</v>
      </c>
      <c r="C590">
        <v>2</v>
      </c>
      <c r="D590">
        <v>571</v>
      </c>
      <c r="E590" s="113">
        <v>71</v>
      </c>
      <c r="F590" s="113">
        <v>5</v>
      </c>
      <c r="I590">
        <v>26</v>
      </c>
      <c r="K590" s="320">
        <v>9</v>
      </c>
      <c r="L590" s="320"/>
      <c r="M590">
        <v>3.53</v>
      </c>
      <c r="N590" s="320"/>
      <c r="O590"/>
      <c r="P590"/>
      <c r="Q590"/>
      <c r="S590" s="320">
        <v>15.181662547392001</v>
      </c>
      <c r="T590" s="320"/>
      <c r="U590">
        <v>10.8</v>
      </c>
      <c r="V590"/>
      <c r="W590"/>
      <c r="X590"/>
      <c r="Y590" s="321">
        <v>7.3296744</v>
      </c>
      <c r="Z590" s="320"/>
      <c r="AA590" s="322">
        <v>78635.294117647063</v>
      </c>
      <c r="AB590" s="320"/>
      <c r="AC590" s="321">
        <v>31.181528400000005</v>
      </c>
      <c r="AD590" s="320"/>
      <c r="AE590" s="320">
        <v>33.42</v>
      </c>
      <c r="AF590" s="320"/>
      <c r="AG590">
        <v>4.25</v>
      </c>
      <c r="AH590"/>
      <c r="AI590">
        <v>123</v>
      </c>
      <c r="AJ590"/>
      <c r="AK590"/>
      <c r="AL590"/>
      <c r="AM590"/>
      <c r="AN590"/>
      <c r="AO590">
        <v>79</v>
      </c>
      <c r="AP590"/>
      <c r="AQ590" s="323"/>
      <c r="AR590" s="323"/>
      <c r="AS590">
        <v>112</v>
      </c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>
        <v>-1.7064999999999999</v>
      </c>
      <c r="BH590"/>
      <c r="BI590">
        <v>4.6689999999999996</v>
      </c>
      <c r="BJ590"/>
      <c r="BK590">
        <v>1.5328999999999999</v>
      </c>
      <c r="BL590"/>
      <c r="BM590">
        <v>60.808999999999997</v>
      </c>
      <c r="BN590"/>
      <c r="BO590">
        <v>19.701000000000001</v>
      </c>
      <c r="BP590"/>
      <c r="BQ590">
        <v>9.9275000000000002</v>
      </c>
      <c r="BR590"/>
      <c r="BS590">
        <v>48.688000000000002</v>
      </c>
      <c r="BT590"/>
      <c r="BU590">
        <v>18.338999999999999</v>
      </c>
      <c r="BV590"/>
      <c r="BW590" s="325">
        <v>4.67</v>
      </c>
      <c r="BX590"/>
      <c r="BY590">
        <v>6.7420000000000044</v>
      </c>
      <c r="BZ590"/>
      <c r="CA590"/>
      <c r="CC590">
        <v>6.95</v>
      </c>
      <c r="CD590"/>
      <c r="CE590"/>
      <c r="CF590"/>
      <c r="CG590"/>
      <c r="CH590"/>
      <c r="CI590"/>
      <c r="CJ590"/>
      <c r="CK590"/>
      <c r="CL590"/>
      <c r="CM590"/>
    </row>
    <row r="591" spans="1:91">
      <c r="A591" s="327" t="s">
        <v>7773</v>
      </c>
      <c r="B591" s="328" t="s">
        <v>8287</v>
      </c>
      <c r="C591" s="328">
        <v>1</v>
      </c>
      <c r="D591" s="328">
        <v>934</v>
      </c>
      <c r="E591" s="113">
        <v>34</v>
      </c>
      <c r="F591" s="113">
        <v>9</v>
      </c>
      <c r="G591" s="329"/>
      <c r="H591" s="329"/>
      <c r="I591" s="328">
        <v>26</v>
      </c>
      <c r="J591" s="330"/>
      <c r="K591" s="331">
        <v>7</v>
      </c>
      <c r="L591" s="331"/>
      <c r="M591" s="328">
        <v>1.1000000000000001</v>
      </c>
      <c r="N591" s="331"/>
      <c r="O591" s="328"/>
      <c r="P591" s="328"/>
      <c r="Q591" s="328"/>
      <c r="R591" s="332"/>
      <c r="S591" s="331">
        <v>4.9055948550899995</v>
      </c>
      <c r="T591" s="331"/>
      <c r="U591" s="328">
        <v>10.8</v>
      </c>
      <c r="V591" s="328"/>
      <c r="W591" s="328"/>
      <c r="X591" s="328"/>
      <c r="Y591" s="333">
        <v>1.7725499999999998</v>
      </c>
      <c r="Z591" s="331"/>
      <c r="AA591" s="334">
        <v>25062.034739454095</v>
      </c>
      <c r="AB591" s="331"/>
      <c r="AC591" s="333">
        <v>9.4569329999999994</v>
      </c>
      <c r="AD591" s="331"/>
      <c r="AE591" s="331">
        <v>10.1</v>
      </c>
      <c r="AF591" s="331"/>
      <c r="AG591" s="328">
        <v>4.03</v>
      </c>
      <c r="AH591" s="328"/>
      <c r="AI591" s="328"/>
      <c r="AJ591" s="328"/>
      <c r="AK591" s="328"/>
      <c r="AL591" s="328"/>
      <c r="AM591" s="328"/>
      <c r="AN591" s="328"/>
      <c r="AO591" s="328">
        <v>81</v>
      </c>
      <c r="AP591" s="328"/>
      <c r="AQ591" s="335"/>
      <c r="AR591" s="335"/>
      <c r="AS591" s="328">
        <v>116</v>
      </c>
      <c r="AT591" s="328"/>
      <c r="AU591" s="328"/>
      <c r="AV591" s="328"/>
      <c r="AW591" s="328"/>
      <c r="AX591" s="328"/>
      <c r="AY591" s="328"/>
      <c r="AZ591" s="328"/>
      <c r="BA591" s="328"/>
      <c r="BB591" s="328"/>
      <c r="BC591" s="328"/>
      <c r="BD591" s="328"/>
      <c r="BE591" s="328"/>
      <c r="BF591" s="328"/>
      <c r="BG591" s="328">
        <v>-0.52154999999999996</v>
      </c>
      <c r="BH591" s="328"/>
      <c r="BI591" s="328">
        <v>4.6593999999999998</v>
      </c>
      <c r="BJ591" s="328"/>
      <c r="BK591" s="328">
        <v>1.5653999999999999</v>
      </c>
      <c r="BL591" s="328"/>
      <c r="BM591" s="328">
        <v>61.609000000000002</v>
      </c>
      <c r="BN591" s="328"/>
      <c r="BO591" s="328">
        <v>20.21</v>
      </c>
      <c r="BP591" s="328"/>
      <c r="BQ591" s="328">
        <v>8.8729999999999993</v>
      </c>
      <c r="BR591" s="328"/>
      <c r="BS591" s="328">
        <v>51.872999999999998</v>
      </c>
      <c r="BT591" s="328"/>
      <c r="BU591" s="328">
        <v>16.727</v>
      </c>
      <c r="BV591" s="328"/>
      <c r="BW591" s="336">
        <v>5.98</v>
      </c>
      <c r="BX591" s="328"/>
      <c r="BY591" s="328">
        <v>6.5939999999999941</v>
      </c>
      <c r="BZ591" s="328"/>
      <c r="CA591" s="328"/>
      <c r="CB591" s="337"/>
      <c r="CC591" s="328">
        <v>9.74</v>
      </c>
      <c r="CD591" s="328"/>
      <c r="CE591" s="328"/>
      <c r="CF591" s="328"/>
      <c r="CG591" s="328"/>
      <c r="CH591" s="328"/>
      <c r="CI591" s="328"/>
      <c r="CJ591" s="328"/>
      <c r="CK591" s="328" t="s">
        <v>8377</v>
      </c>
      <c r="CL591" s="328"/>
      <c r="CM591" s="328"/>
    </row>
    <row r="592" spans="1:91">
      <c r="A592" s="154" t="s">
        <v>7773</v>
      </c>
      <c r="B592" t="s">
        <v>8287</v>
      </c>
      <c r="C592">
        <v>2</v>
      </c>
      <c r="D592">
        <v>1260</v>
      </c>
      <c r="E592" s="113">
        <v>60</v>
      </c>
      <c r="F592" s="113">
        <v>12</v>
      </c>
      <c r="I592">
        <v>34</v>
      </c>
      <c r="K592" s="320">
        <v>9</v>
      </c>
      <c r="L592" s="320"/>
      <c r="M592">
        <v>3.84</v>
      </c>
      <c r="N592" s="320"/>
      <c r="O592"/>
      <c r="P592"/>
      <c r="Q592"/>
      <c r="S592" s="320">
        <v>18.113830447104</v>
      </c>
      <c r="T592" s="320"/>
      <c r="U592">
        <v>10.8</v>
      </c>
      <c r="V592"/>
      <c r="W592"/>
      <c r="X592"/>
      <c r="Y592" s="321">
        <v>5.5682045999999987</v>
      </c>
      <c r="Z592" s="320"/>
      <c r="AA592" s="322">
        <v>95251.989389920403</v>
      </c>
      <c r="AB592" s="320"/>
      <c r="AC592" s="321">
        <v>33.534194399999997</v>
      </c>
      <c r="AD592" s="320"/>
      <c r="AE592" s="320">
        <v>35.909999999999997</v>
      </c>
      <c r="AF592" s="320"/>
      <c r="AG592">
        <v>3.77</v>
      </c>
      <c r="AH592"/>
      <c r="AI592">
        <v>135</v>
      </c>
      <c r="AJ592"/>
      <c r="AK592"/>
      <c r="AL592"/>
      <c r="AM592"/>
      <c r="AN592"/>
      <c r="AO592">
        <v>77</v>
      </c>
      <c r="AP592"/>
      <c r="AQ592" s="323"/>
      <c r="AR592" s="323"/>
      <c r="AS592">
        <v>112</v>
      </c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>
        <v>-0.99180999999999997</v>
      </c>
      <c r="BH592"/>
      <c r="BI592">
        <v>5.0465999999999998</v>
      </c>
      <c r="BJ592"/>
      <c r="BK592">
        <v>1.5133000000000001</v>
      </c>
      <c r="BL592"/>
      <c r="BM592">
        <v>67.805000000000007</v>
      </c>
      <c r="BN592"/>
      <c r="BO592">
        <v>20.215</v>
      </c>
      <c r="BP592"/>
      <c r="BQ592">
        <v>9.0557999999999996</v>
      </c>
      <c r="BR592"/>
      <c r="BS592">
        <v>54.015999999999998</v>
      </c>
      <c r="BT592"/>
      <c r="BU592">
        <v>15.404</v>
      </c>
      <c r="BV592"/>
      <c r="BW592" s="325">
        <v>11.83</v>
      </c>
      <c r="BX592"/>
      <c r="BY592">
        <v>6.5259999999999962</v>
      </c>
      <c r="BZ592"/>
      <c r="CA592"/>
      <c r="CC592">
        <v>8.1</v>
      </c>
      <c r="CD592"/>
      <c r="CE592"/>
      <c r="CF592"/>
      <c r="CG592"/>
      <c r="CH592"/>
      <c r="CI592"/>
      <c r="CJ592"/>
      <c r="CK592"/>
      <c r="CL592"/>
      <c r="CM592"/>
    </row>
    <row r="593" spans="1:91">
      <c r="A593" s="154" t="s">
        <v>7773</v>
      </c>
      <c r="B593" t="s">
        <v>8289</v>
      </c>
      <c r="C593">
        <v>1</v>
      </c>
      <c r="D593">
        <v>1413</v>
      </c>
      <c r="E593" s="113">
        <v>13</v>
      </c>
      <c r="F593" s="113">
        <v>14</v>
      </c>
      <c r="I593">
        <v>21.999999999999996</v>
      </c>
      <c r="K593" s="320">
        <v>9</v>
      </c>
      <c r="L593" s="320"/>
      <c r="M593">
        <v>3.76</v>
      </c>
      <c r="N593" s="320"/>
      <c r="O593"/>
      <c r="P593"/>
      <c r="Q593"/>
      <c r="S593" s="320">
        <v>16.940665716510001</v>
      </c>
      <c r="T593" s="320"/>
      <c r="U593">
        <v>10.8</v>
      </c>
      <c r="V593"/>
      <c r="W593"/>
      <c r="X593"/>
      <c r="Y593" s="321">
        <v>6.9085960000000002</v>
      </c>
      <c r="Z593" s="320"/>
      <c r="AA593" s="322">
        <v>95989.30481283422</v>
      </c>
      <c r="AB593" s="320"/>
      <c r="AC593" s="321">
        <v>33.694662999999998</v>
      </c>
      <c r="AD593" s="320"/>
      <c r="AE593" s="320">
        <v>35.9</v>
      </c>
      <c r="AF593" s="320"/>
      <c r="AG593">
        <v>3.74</v>
      </c>
      <c r="AH593"/>
      <c r="AI593">
        <v>128</v>
      </c>
      <c r="AJ593"/>
      <c r="AK593"/>
      <c r="AL593"/>
      <c r="AM593"/>
      <c r="AN593"/>
      <c r="AO593">
        <v>77</v>
      </c>
      <c r="AP593"/>
      <c r="AQ593" s="323"/>
      <c r="AR593" s="323"/>
      <c r="AS593">
        <v>112</v>
      </c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>
        <v>0.93418999999999996</v>
      </c>
      <c r="BH593"/>
      <c r="BI593">
        <v>4.6417000000000002</v>
      </c>
      <c r="BJ593"/>
      <c r="BK593">
        <v>1.4773000000000001</v>
      </c>
      <c r="BL593"/>
      <c r="BM593">
        <v>59.954000000000001</v>
      </c>
      <c r="BN593"/>
      <c r="BO593">
        <v>20.067</v>
      </c>
      <c r="BP593"/>
      <c r="BQ593">
        <v>10.178000000000001</v>
      </c>
      <c r="BR593"/>
      <c r="BS593">
        <v>50.277000000000001</v>
      </c>
      <c r="BT593"/>
      <c r="BU593">
        <v>18.311</v>
      </c>
      <c r="BV593"/>
      <c r="BW593" s="325">
        <v>6.97</v>
      </c>
      <c r="BX593"/>
      <c r="BY593">
        <v>6.5669999999999931</v>
      </c>
      <c r="BZ593"/>
      <c r="CA593"/>
      <c r="CC593">
        <v>6.16</v>
      </c>
      <c r="CD593"/>
      <c r="CE593"/>
      <c r="CF593"/>
      <c r="CG593"/>
      <c r="CH593"/>
      <c r="CI593"/>
      <c r="CJ593"/>
      <c r="CK593"/>
      <c r="CL593"/>
      <c r="CM593"/>
    </row>
    <row r="594" spans="1:91">
      <c r="A594" s="154" t="s">
        <v>7774</v>
      </c>
      <c r="B594" t="s">
        <v>8287</v>
      </c>
      <c r="C594">
        <v>1</v>
      </c>
      <c r="D594">
        <v>711</v>
      </c>
      <c r="E594" s="113">
        <v>11</v>
      </c>
      <c r="F594" s="113">
        <v>7</v>
      </c>
      <c r="I594">
        <v>20.5</v>
      </c>
      <c r="K594" s="320">
        <v>9</v>
      </c>
      <c r="L594" s="320"/>
      <c r="M594">
        <v>3.27</v>
      </c>
      <c r="N594" s="320"/>
      <c r="O594"/>
      <c r="P594"/>
      <c r="Q594"/>
      <c r="S594" s="320">
        <v>14.819150514294002</v>
      </c>
      <c r="T594" s="320"/>
      <c r="U594">
        <v>10.8</v>
      </c>
      <c r="V594"/>
      <c r="W594"/>
      <c r="X594"/>
      <c r="Y594" s="321">
        <v>5.2932558000000007</v>
      </c>
      <c r="Z594" s="320"/>
      <c r="AA594" s="322">
        <v>78939.393939393951</v>
      </c>
      <c r="AB594" s="320"/>
      <c r="AC594" s="321">
        <v>29.244667800000002</v>
      </c>
      <c r="AD594" s="320"/>
      <c r="AE594" s="320">
        <v>31.26</v>
      </c>
      <c r="AF594" s="320"/>
      <c r="AG594">
        <v>3.96</v>
      </c>
      <c r="AH594"/>
      <c r="AI594">
        <v>135</v>
      </c>
      <c r="AJ594"/>
      <c r="AK594"/>
      <c r="AL594"/>
      <c r="AM594"/>
      <c r="AN594"/>
      <c r="AO594">
        <v>77</v>
      </c>
      <c r="AP594"/>
      <c r="AQ594" s="323"/>
      <c r="AR594" s="323"/>
      <c r="AS594">
        <v>112</v>
      </c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>
        <v>10.497999999999999</v>
      </c>
      <c r="BH594"/>
      <c r="BI594">
        <v>4.3799000000000001</v>
      </c>
      <c r="BJ594"/>
      <c r="BK594">
        <v>1.3228</v>
      </c>
      <c r="BL594"/>
      <c r="BM594">
        <v>47.482999999999997</v>
      </c>
      <c r="BN594"/>
      <c r="BO594">
        <v>19.481000000000002</v>
      </c>
      <c r="BP594"/>
      <c r="BQ594">
        <v>10.429</v>
      </c>
      <c r="BR594"/>
      <c r="BS594">
        <v>50.673000000000002</v>
      </c>
      <c r="BT594"/>
      <c r="BU594">
        <v>18.045000000000002</v>
      </c>
      <c r="BV594"/>
      <c r="BW594" s="325">
        <v>13.43</v>
      </c>
      <c r="BX594"/>
      <c r="BY594">
        <v>6.4449999999999932</v>
      </c>
      <c r="BZ594"/>
      <c r="CA594"/>
      <c r="CC594">
        <v>6.04</v>
      </c>
      <c r="CD594"/>
      <c r="CE594"/>
      <c r="CF594"/>
      <c r="CG594"/>
      <c r="CH594"/>
      <c r="CI594"/>
      <c r="CJ594"/>
      <c r="CK594"/>
      <c r="CL594"/>
      <c r="CM594"/>
    </row>
    <row r="595" spans="1:91">
      <c r="A595" s="154" t="s">
        <v>7774</v>
      </c>
      <c r="B595" t="s">
        <v>8289</v>
      </c>
      <c r="C595">
        <v>2</v>
      </c>
      <c r="D595">
        <v>765</v>
      </c>
      <c r="E595" s="113">
        <v>65</v>
      </c>
      <c r="F595" s="113">
        <v>7</v>
      </c>
      <c r="I595">
        <v>27</v>
      </c>
      <c r="K595" s="320">
        <v>9</v>
      </c>
      <c r="L595" s="320"/>
      <c r="M595">
        <v>1.56</v>
      </c>
      <c r="N595" s="320"/>
      <c r="O595"/>
      <c r="P595"/>
      <c r="Q595"/>
      <c r="S595" s="320">
        <v>5.6139487013240004</v>
      </c>
      <c r="T595" s="320"/>
      <c r="U595">
        <v>10.8</v>
      </c>
      <c r="V595"/>
      <c r="W595"/>
      <c r="X595"/>
      <c r="Y595" s="321">
        <v>2.8300081000000001</v>
      </c>
      <c r="Z595" s="320"/>
      <c r="AA595" s="322">
        <v>36054.5905707196</v>
      </c>
      <c r="AB595" s="320"/>
      <c r="AC595" s="321">
        <v>13.512609400000001</v>
      </c>
      <c r="AD595" s="320"/>
      <c r="AE595" s="320">
        <v>14.53</v>
      </c>
      <c r="AF595" s="320"/>
      <c r="AG595">
        <v>4.03</v>
      </c>
      <c r="AH595"/>
      <c r="AI595">
        <v>115</v>
      </c>
      <c r="AJ595"/>
      <c r="AK595"/>
      <c r="AL595"/>
      <c r="AM595"/>
      <c r="AN595"/>
      <c r="AO595">
        <v>77</v>
      </c>
      <c r="AP595"/>
      <c r="AQ595" s="323"/>
      <c r="AR595" s="323"/>
      <c r="AS595">
        <v>112</v>
      </c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>
        <v>-5.1310000000000002</v>
      </c>
      <c r="BH595"/>
      <c r="BI595">
        <v>5.5415000000000001</v>
      </c>
      <c r="BJ595"/>
      <c r="BK595">
        <v>1.7910999999999999</v>
      </c>
      <c r="BL595"/>
      <c r="BM595">
        <v>66.513999999999996</v>
      </c>
      <c r="BN595"/>
      <c r="BO595">
        <v>19.282</v>
      </c>
      <c r="BP595"/>
      <c r="BQ595">
        <v>8.0922000000000001</v>
      </c>
      <c r="BR595"/>
      <c r="BS595">
        <v>41.545999999999999</v>
      </c>
      <c r="BT595"/>
      <c r="BU595">
        <v>20.225999999999999</v>
      </c>
      <c r="BV595"/>
      <c r="BW595" s="325">
        <v>5.82</v>
      </c>
      <c r="BX595"/>
      <c r="BY595">
        <v>6.2439999999999998</v>
      </c>
      <c r="BZ595"/>
      <c r="CA595"/>
      <c r="CC595">
        <v>8.4600000000000009</v>
      </c>
      <c r="CD595"/>
      <c r="CE595"/>
      <c r="CF595"/>
      <c r="CG595"/>
      <c r="CH595"/>
      <c r="CI595"/>
      <c r="CJ595"/>
      <c r="CK595"/>
      <c r="CL595"/>
      <c r="CM595"/>
    </row>
    <row r="596" spans="1:91">
      <c r="A596" s="154" t="s">
        <v>7774</v>
      </c>
      <c r="B596" t="s">
        <v>8287</v>
      </c>
      <c r="C596">
        <v>2</v>
      </c>
      <c r="D596">
        <v>1072</v>
      </c>
      <c r="E596" s="113">
        <v>72</v>
      </c>
      <c r="F596" s="113">
        <v>10</v>
      </c>
      <c r="I596">
        <v>29.999999999999996</v>
      </c>
      <c r="K596" s="320">
        <v>9</v>
      </c>
      <c r="L596" s="320"/>
      <c r="M596">
        <v>2.63</v>
      </c>
      <c r="N596" s="320"/>
      <c r="O596"/>
      <c r="P596"/>
      <c r="Q596"/>
      <c r="S596" s="320">
        <v>11.483556914004</v>
      </c>
      <c r="T596" s="320"/>
      <c r="U596">
        <v>10.8</v>
      </c>
      <c r="V596"/>
      <c r="W596"/>
      <c r="X596"/>
      <c r="Y596" s="321">
        <v>4.6261788999999993</v>
      </c>
      <c r="Z596" s="320"/>
      <c r="AA596" s="322">
        <v>67747.989276139415</v>
      </c>
      <c r="AB596" s="320"/>
      <c r="AC596" s="321">
        <v>23.495287900000001</v>
      </c>
      <c r="AD596" s="320"/>
      <c r="AE596" s="320">
        <v>25.27</v>
      </c>
      <c r="AF596" s="320"/>
      <c r="AG596">
        <v>3.73</v>
      </c>
      <c r="AH596"/>
      <c r="AI596">
        <v>118</v>
      </c>
      <c r="AJ596"/>
      <c r="AK596"/>
      <c r="AL596"/>
      <c r="AM596"/>
      <c r="AN596"/>
      <c r="AO596">
        <v>79</v>
      </c>
      <c r="AP596"/>
      <c r="AQ596" s="323"/>
      <c r="AR596" s="323"/>
      <c r="AS596">
        <v>112</v>
      </c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>
        <v>3.9561999999999999</v>
      </c>
      <c r="BH596"/>
      <c r="BI596">
        <v>4.7923</v>
      </c>
      <c r="BJ596"/>
      <c r="BK596">
        <v>1.4562999999999999</v>
      </c>
      <c r="BL596"/>
      <c r="BM596">
        <v>56.73</v>
      </c>
      <c r="BN596"/>
      <c r="BO596">
        <v>21.658000000000001</v>
      </c>
      <c r="BP596"/>
      <c r="BQ596">
        <v>9.5504999999999995</v>
      </c>
      <c r="BR596"/>
      <c r="BS596">
        <v>48.875999999999998</v>
      </c>
      <c r="BT596"/>
      <c r="BU596">
        <v>17.992000000000001</v>
      </c>
      <c r="BV596"/>
      <c r="BW596" s="325">
        <v>12.43</v>
      </c>
      <c r="BX596"/>
      <c r="BY596">
        <v>6.7289999999999992</v>
      </c>
      <c r="BZ596"/>
      <c r="CA596"/>
      <c r="CC596">
        <v>5.58</v>
      </c>
      <c r="CD596"/>
      <c r="CE596"/>
      <c r="CF596"/>
      <c r="CG596"/>
      <c r="CH596"/>
      <c r="CI596"/>
      <c r="CJ596"/>
      <c r="CK596"/>
      <c r="CL596"/>
      <c r="CM596"/>
    </row>
    <row r="597" spans="1:91">
      <c r="A597" s="154" t="s">
        <v>7774</v>
      </c>
      <c r="B597" t="s">
        <v>8289</v>
      </c>
      <c r="C597">
        <v>1</v>
      </c>
      <c r="D597">
        <v>1720</v>
      </c>
      <c r="E597" s="113">
        <v>20</v>
      </c>
      <c r="F597" s="113">
        <v>17</v>
      </c>
      <c r="I597">
        <v>31</v>
      </c>
      <c r="K597" s="320">
        <v>8</v>
      </c>
      <c r="L597" s="320"/>
      <c r="M597">
        <v>3.06</v>
      </c>
      <c r="N597" s="320"/>
      <c r="O597"/>
      <c r="P597"/>
      <c r="Q597"/>
      <c r="S597" s="320">
        <v>13.379022254071996</v>
      </c>
      <c r="T597" s="320"/>
      <c r="U597">
        <v>10.8</v>
      </c>
      <c r="V597"/>
      <c r="W597"/>
      <c r="X597"/>
      <c r="Y597" s="321">
        <v>6.0680092999999999</v>
      </c>
      <c r="Z597" s="320"/>
      <c r="AA597" s="322">
        <v>71965.601965601949</v>
      </c>
      <c r="AB597" s="320"/>
      <c r="AC597" s="321">
        <v>27.249072799999997</v>
      </c>
      <c r="AD597" s="320"/>
      <c r="AE597" s="320">
        <v>29.29</v>
      </c>
      <c r="AF597" s="320"/>
      <c r="AG597">
        <v>4.07</v>
      </c>
      <c r="AH597"/>
      <c r="AI597">
        <v>120</v>
      </c>
      <c r="AJ597"/>
      <c r="AK597"/>
      <c r="AL597"/>
      <c r="AM597"/>
      <c r="AN597"/>
      <c r="AO597">
        <v>79</v>
      </c>
      <c r="AP597"/>
      <c r="AQ597" s="323"/>
      <c r="AR597" s="323"/>
      <c r="AS597">
        <v>114</v>
      </c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>
        <v>2.3685999999999998</v>
      </c>
      <c r="BH597"/>
      <c r="BI597">
        <v>4.9282000000000004</v>
      </c>
      <c r="BJ597"/>
      <c r="BK597">
        <v>1.4314</v>
      </c>
      <c r="BL597"/>
      <c r="BM597">
        <v>59.747</v>
      </c>
      <c r="BN597"/>
      <c r="BO597">
        <v>20.387</v>
      </c>
      <c r="BP597"/>
      <c r="BQ597">
        <v>9.5868000000000002</v>
      </c>
      <c r="BR597"/>
      <c r="BS597">
        <v>49.098999999999997</v>
      </c>
      <c r="BT597"/>
      <c r="BU597">
        <v>18.372</v>
      </c>
      <c r="BV597"/>
      <c r="BW597" s="325">
        <v>11.91</v>
      </c>
      <c r="BX597"/>
      <c r="BY597">
        <v>6.6260000000000048</v>
      </c>
      <c r="BZ597"/>
      <c r="CA597"/>
      <c r="CC597">
        <v>5.94</v>
      </c>
      <c r="CD597"/>
      <c r="CE597"/>
      <c r="CF597"/>
      <c r="CG597"/>
      <c r="CH597"/>
      <c r="CI597"/>
      <c r="CJ597"/>
      <c r="CK597"/>
      <c r="CL597"/>
      <c r="CM597"/>
    </row>
    <row r="598" spans="1:91">
      <c r="A598" s="154" t="s">
        <v>7775</v>
      </c>
      <c r="B598" t="s">
        <v>8289</v>
      </c>
      <c r="C598">
        <v>2</v>
      </c>
      <c r="D598">
        <v>552</v>
      </c>
      <c r="E598" s="113">
        <v>52</v>
      </c>
      <c r="F598" s="113">
        <v>5</v>
      </c>
      <c r="I598">
        <v>26.499999999999996</v>
      </c>
      <c r="K598" s="320">
        <v>8</v>
      </c>
      <c r="L598" s="320"/>
      <c r="M598">
        <v>3.41</v>
      </c>
      <c r="N598" s="320"/>
      <c r="O598"/>
      <c r="P598"/>
      <c r="Q598"/>
      <c r="S598" s="320">
        <v>13.844431534895998</v>
      </c>
      <c r="T598" s="320"/>
      <c r="U598">
        <v>10.8</v>
      </c>
      <c r="V598"/>
      <c r="W598"/>
      <c r="X598"/>
      <c r="Y598" s="321">
        <v>6.4798361999999994</v>
      </c>
      <c r="Z598" s="320"/>
      <c r="AA598" s="322">
        <v>76839.622641509428</v>
      </c>
      <c r="AB598" s="320"/>
      <c r="AC598" s="321">
        <v>30.331328399999997</v>
      </c>
      <c r="AD598" s="320"/>
      <c r="AE598" s="320">
        <v>32.58</v>
      </c>
      <c r="AF598" s="320"/>
      <c r="AG598">
        <v>4.24</v>
      </c>
      <c r="AH598"/>
      <c r="AI598">
        <v>120</v>
      </c>
      <c r="AJ598"/>
      <c r="AK598"/>
      <c r="AL598"/>
      <c r="AM598"/>
      <c r="AN598"/>
      <c r="AO598">
        <v>79</v>
      </c>
      <c r="AP598"/>
      <c r="AQ598" s="323"/>
      <c r="AR598" s="323"/>
      <c r="AS598">
        <v>114</v>
      </c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>
        <v>-4.5034999999999998</v>
      </c>
      <c r="BH598"/>
      <c r="BI598">
        <v>4.7811000000000003</v>
      </c>
      <c r="BJ598"/>
      <c r="BK598">
        <v>1.6500999999999999</v>
      </c>
      <c r="BL598"/>
      <c r="BM598">
        <v>62.506</v>
      </c>
      <c r="BN598"/>
      <c r="BO598">
        <v>20.704000000000001</v>
      </c>
      <c r="BP598"/>
      <c r="BQ598">
        <v>9.3686000000000007</v>
      </c>
      <c r="BR598"/>
      <c r="BS598">
        <v>45.643999999999998</v>
      </c>
      <c r="BT598"/>
      <c r="BU598">
        <v>20.335000000000001</v>
      </c>
      <c r="BV598"/>
      <c r="BW598" s="325">
        <v>7.12</v>
      </c>
      <c r="BX598"/>
      <c r="BY598">
        <v>6.7060000000000031</v>
      </c>
      <c r="BZ598"/>
      <c r="CA598"/>
      <c r="CC598">
        <v>6.11</v>
      </c>
      <c r="CD598"/>
      <c r="CE598"/>
      <c r="CF598"/>
      <c r="CG598"/>
      <c r="CH598"/>
      <c r="CI598"/>
      <c r="CJ598"/>
      <c r="CK598"/>
      <c r="CL598"/>
      <c r="CM598"/>
    </row>
    <row r="599" spans="1:91">
      <c r="A599" s="154" t="s">
        <v>7775</v>
      </c>
      <c r="B599" t="s">
        <v>8287</v>
      </c>
      <c r="C599">
        <v>1</v>
      </c>
      <c r="D599">
        <v>721</v>
      </c>
      <c r="E599" s="113">
        <v>21</v>
      </c>
      <c r="F599" s="113">
        <v>7</v>
      </c>
      <c r="I599">
        <v>21.999999999999996</v>
      </c>
      <c r="K599" s="320">
        <v>9</v>
      </c>
      <c r="L599" s="320"/>
      <c r="M599">
        <v>3.24</v>
      </c>
      <c r="N599" s="320"/>
      <c r="O599"/>
      <c r="P599"/>
      <c r="Q599"/>
      <c r="S599" s="320">
        <v>14.743315705200001</v>
      </c>
      <c r="T599" s="320"/>
      <c r="U599">
        <v>10.8</v>
      </c>
      <c r="V599"/>
      <c r="W599"/>
      <c r="X599"/>
      <c r="Y599" s="321">
        <v>5.87636</v>
      </c>
      <c r="Z599" s="320"/>
      <c r="AA599" s="322">
        <v>76167.076167076171</v>
      </c>
      <c r="AB599" s="320"/>
      <c r="AC599" s="321">
        <v>28.969809999999999</v>
      </c>
      <c r="AD599" s="320"/>
      <c r="AE599" s="320">
        <v>31</v>
      </c>
      <c r="AF599" s="320"/>
      <c r="AG599">
        <v>4.07</v>
      </c>
      <c r="AH599"/>
      <c r="AI599">
        <v>130</v>
      </c>
      <c r="AJ599"/>
      <c r="AK599"/>
      <c r="AL599"/>
      <c r="AM599"/>
      <c r="AN599"/>
      <c r="AO599">
        <v>77</v>
      </c>
      <c r="AP599"/>
      <c r="AQ599" s="323"/>
      <c r="AR599" s="323"/>
      <c r="AS599">
        <v>112</v>
      </c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>
        <v>1.6634</v>
      </c>
      <c r="BH599"/>
      <c r="BI599">
        <v>4.5201000000000002</v>
      </c>
      <c r="BJ599"/>
      <c r="BK599">
        <v>1.5074000000000001</v>
      </c>
      <c r="BL599"/>
      <c r="BM599">
        <v>59.359000000000002</v>
      </c>
      <c r="BN599"/>
      <c r="BO599">
        <v>20.834</v>
      </c>
      <c r="BP599"/>
      <c r="BQ599">
        <v>10.393000000000001</v>
      </c>
      <c r="BR599"/>
      <c r="BS599">
        <v>50.892000000000003</v>
      </c>
      <c r="BT599"/>
      <c r="BU599">
        <v>17.742999999999999</v>
      </c>
      <c r="BV599"/>
      <c r="BW599" s="325">
        <v>8.82</v>
      </c>
      <c r="BX599"/>
      <c r="BY599">
        <v>6.25</v>
      </c>
      <c r="BZ599"/>
      <c r="CA599"/>
      <c r="CC599">
        <v>5.96</v>
      </c>
      <c r="CD599"/>
      <c r="CE599"/>
      <c r="CF599"/>
      <c r="CG599"/>
      <c r="CH599"/>
      <c r="CI599"/>
      <c r="CJ599"/>
      <c r="CK599"/>
      <c r="CL599"/>
      <c r="CM599"/>
    </row>
    <row r="600" spans="1:91">
      <c r="A600" s="154" t="s">
        <v>7775</v>
      </c>
      <c r="B600" t="s">
        <v>8289</v>
      </c>
      <c r="C600">
        <v>1</v>
      </c>
      <c r="D600">
        <v>1205</v>
      </c>
      <c r="E600" s="113">
        <v>5</v>
      </c>
      <c r="F600" s="113">
        <v>12</v>
      </c>
      <c r="I600">
        <v>30.499999999999996</v>
      </c>
      <c r="K600" s="320">
        <v>9</v>
      </c>
      <c r="L600" s="320"/>
      <c r="M600">
        <v>3.55</v>
      </c>
      <c r="N600" s="320"/>
      <c r="O600"/>
      <c r="P600"/>
      <c r="Q600"/>
      <c r="S600" s="320">
        <v>15.127754500031998</v>
      </c>
      <c r="T600" s="320"/>
      <c r="U600">
        <v>10.8</v>
      </c>
      <c r="V600"/>
      <c r="W600"/>
      <c r="X600"/>
      <c r="Y600" s="321">
        <v>6.3252667999999996</v>
      </c>
      <c r="Z600" s="320"/>
      <c r="AA600" s="322">
        <v>82000</v>
      </c>
      <c r="AB600" s="320"/>
      <c r="AC600" s="321">
        <v>31.339219199999995</v>
      </c>
      <c r="AD600" s="320"/>
      <c r="AE600" s="320">
        <v>33.619999999999997</v>
      </c>
      <c r="AF600" s="320"/>
      <c r="AG600">
        <v>4.0999999999999996</v>
      </c>
      <c r="AH600"/>
      <c r="AI600">
        <v>130</v>
      </c>
      <c r="AJ600"/>
      <c r="AK600"/>
      <c r="AL600"/>
      <c r="AM600"/>
      <c r="AN600"/>
      <c r="AO600">
        <v>79</v>
      </c>
      <c r="AP600"/>
      <c r="AQ600" s="323"/>
      <c r="AR600" s="323"/>
      <c r="AS600">
        <v>112</v>
      </c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>
        <v>9.077</v>
      </c>
      <c r="BH600"/>
      <c r="BI600">
        <v>4.8226000000000004</v>
      </c>
      <c r="BJ600"/>
      <c r="BK600">
        <v>1.4638</v>
      </c>
      <c r="BL600"/>
      <c r="BM600">
        <v>53.843000000000004</v>
      </c>
      <c r="BN600"/>
      <c r="BO600">
        <v>20.638000000000002</v>
      </c>
      <c r="BP600"/>
      <c r="BQ600">
        <v>10.515000000000001</v>
      </c>
      <c r="BR600"/>
      <c r="BS600">
        <v>48.271000000000001</v>
      </c>
      <c r="BT600"/>
      <c r="BU600">
        <v>19.058</v>
      </c>
      <c r="BV600"/>
      <c r="BW600" s="325">
        <v>11.92</v>
      </c>
      <c r="BX600"/>
      <c r="BY600">
        <v>6.7060000000000031</v>
      </c>
      <c r="BZ600"/>
      <c r="CA600"/>
      <c r="CC600">
        <v>6.92</v>
      </c>
      <c r="CD600"/>
      <c r="CE600"/>
      <c r="CF600"/>
      <c r="CG600"/>
      <c r="CH600"/>
      <c r="CI600"/>
      <c r="CJ600"/>
      <c r="CK600"/>
      <c r="CL600"/>
      <c r="CM600"/>
    </row>
    <row r="601" spans="1:91">
      <c r="A601" s="154" t="s">
        <v>7775</v>
      </c>
      <c r="B601" t="s">
        <v>8287</v>
      </c>
      <c r="C601">
        <v>2</v>
      </c>
      <c r="D601">
        <v>1669</v>
      </c>
      <c r="E601" s="113">
        <v>69</v>
      </c>
      <c r="F601" s="113">
        <v>16</v>
      </c>
      <c r="I601">
        <v>31</v>
      </c>
      <c r="K601" s="320">
        <v>8</v>
      </c>
      <c r="L601" s="320"/>
      <c r="M601">
        <v>3.3</v>
      </c>
      <c r="N601" s="320"/>
      <c r="O601"/>
      <c r="P601"/>
      <c r="Q601"/>
      <c r="S601" s="320">
        <v>15.498417205984001</v>
      </c>
      <c r="T601" s="320"/>
      <c r="U601">
        <v>10.8</v>
      </c>
      <c r="V601"/>
      <c r="W601"/>
      <c r="X601"/>
      <c r="Y601" s="321">
        <v>4.9329632000000005</v>
      </c>
      <c r="Z601" s="320"/>
      <c r="AA601" s="322">
        <v>77652.81173594133</v>
      </c>
      <c r="AB601" s="320"/>
      <c r="AC601" s="321">
        <v>29.773729599999999</v>
      </c>
      <c r="AD601" s="320"/>
      <c r="AE601" s="320">
        <v>31.76</v>
      </c>
      <c r="AF601" s="320"/>
      <c r="AG601">
        <v>4.09</v>
      </c>
      <c r="AH601"/>
      <c r="AI601">
        <v>120</v>
      </c>
      <c r="AJ601"/>
      <c r="AK601"/>
      <c r="AL601"/>
      <c r="AM601"/>
      <c r="AN601"/>
      <c r="AO601">
        <v>79</v>
      </c>
      <c r="AP601"/>
      <c r="AQ601" s="323"/>
      <c r="AR601" s="323"/>
      <c r="AS601">
        <v>112</v>
      </c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>
        <v>3.0179</v>
      </c>
      <c r="BH601"/>
      <c r="BI601">
        <v>4.5129000000000001</v>
      </c>
      <c r="BJ601"/>
      <c r="BK601">
        <v>1.5602</v>
      </c>
      <c r="BL601"/>
      <c r="BM601">
        <v>64.936999999999998</v>
      </c>
      <c r="BN601"/>
      <c r="BO601">
        <v>20.608000000000001</v>
      </c>
      <c r="BP601"/>
      <c r="BQ601">
        <v>9.1350999999999996</v>
      </c>
      <c r="BR601"/>
      <c r="BS601">
        <v>52.054000000000002</v>
      </c>
      <c r="BT601"/>
      <c r="BU601">
        <v>16.190000000000001</v>
      </c>
      <c r="BV601"/>
      <c r="BW601" s="325">
        <v>2.93</v>
      </c>
      <c r="BX601"/>
      <c r="BY601">
        <v>6.320999999999998</v>
      </c>
      <c r="BZ601"/>
      <c r="CA601"/>
      <c r="CC601">
        <v>5.42</v>
      </c>
      <c r="CD601"/>
      <c r="CE601"/>
      <c r="CF601"/>
      <c r="CG601"/>
      <c r="CH601"/>
      <c r="CI601"/>
      <c r="CJ601"/>
      <c r="CK601"/>
      <c r="CL601"/>
      <c r="CM601"/>
    </row>
    <row r="602" spans="1:91">
      <c r="A602" s="154" t="s">
        <v>7776</v>
      </c>
      <c r="B602" t="s">
        <v>8287</v>
      </c>
      <c r="C602">
        <v>1</v>
      </c>
      <c r="D602">
        <v>223</v>
      </c>
      <c r="E602" s="113">
        <v>23</v>
      </c>
      <c r="F602" s="113">
        <v>2</v>
      </c>
      <c r="I602">
        <v>29.999999999999996</v>
      </c>
      <c r="K602" s="320">
        <v>8</v>
      </c>
      <c r="L602" s="320"/>
      <c r="M602">
        <v>2.87</v>
      </c>
      <c r="N602" s="320"/>
      <c r="O602"/>
      <c r="P602"/>
      <c r="Q602"/>
      <c r="S602" s="320">
        <v>13.20708389688</v>
      </c>
      <c r="T602" s="320"/>
      <c r="U602">
        <v>10.8</v>
      </c>
      <c r="V602"/>
      <c r="W602"/>
      <c r="X602"/>
      <c r="Y602" s="321">
        <v>5.3596124999999999</v>
      </c>
      <c r="Z602" s="320"/>
      <c r="AA602" s="322">
        <v>61963.882618510164</v>
      </c>
      <c r="AB602" s="320"/>
      <c r="AC602" s="321">
        <v>25.638849</v>
      </c>
      <c r="AD602" s="320"/>
      <c r="AE602" s="320">
        <v>27.45</v>
      </c>
      <c r="AF602" s="320"/>
      <c r="AG602">
        <v>4.43</v>
      </c>
      <c r="AH602"/>
      <c r="AI602">
        <v>125</v>
      </c>
      <c r="AJ602"/>
      <c r="AK602"/>
      <c r="AL602"/>
      <c r="AM602"/>
      <c r="AN602"/>
      <c r="AO602">
        <v>82</v>
      </c>
      <c r="AP602"/>
      <c r="AQ602" s="323"/>
      <c r="AR602" s="323"/>
      <c r="AS602">
        <v>114</v>
      </c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>
        <v>-2.6638999999999999</v>
      </c>
      <c r="BH602"/>
      <c r="BI602">
        <v>4.7053000000000003</v>
      </c>
      <c r="BJ602"/>
      <c r="BK602">
        <v>1.5452999999999999</v>
      </c>
      <c r="BL602"/>
      <c r="BM602">
        <v>63.292000000000002</v>
      </c>
      <c r="BN602"/>
      <c r="BO602">
        <v>20.805</v>
      </c>
      <c r="BP602"/>
      <c r="BQ602">
        <v>10.105</v>
      </c>
      <c r="BR602"/>
      <c r="BS602">
        <v>51.512</v>
      </c>
      <c r="BT602"/>
      <c r="BU602">
        <v>17.192</v>
      </c>
      <c r="BV602"/>
      <c r="BW602" s="325">
        <v>5.73</v>
      </c>
      <c r="BX602"/>
      <c r="BY602">
        <v>5.9260000000000019</v>
      </c>
      <c r="BZ602"/>
      <c r="CA602"/>
      <c r="CC602">
        <v>6.01</v>
      </c>
      <c r="CD602"/>
      <c r="CE602"/>
      <c r="CF602"/>
      <c r="CG602"/>
      <c r="CH602"/>
      <c r="CI602"/>
      <c r="CJ602"/>
      <c r="CK602"/>
      <c r="CL602"/>
      <c r="CM602"/>
    </row>
    <row r="603" spans="1:91">
      <c r="A603" s="154" t="s">
        <v>7776</v>
      </c>
      <c r="B603" t="s">
        <v>8289</v>
      </c>
      <c r="C603">
        <v>2</v>
      </c>
      <c r="D603">
        <v>755</v>
      </c>
      <c r="E603" s="113">
        <v>55</v>
      </c>
      <c r="F603" s="113">
        <v>7</v>
      </c>
      <c r="I603">
        <v>25.499999999999996</v>
      </c>
      <c r="K603" s="320">
        <v>8</v>
      </c>
      <c r="L603" s="320"/>
      <c r="M603">
        <v>1.77</v>
      </c>
      <c r="N603" s="320"/>
      <c r="O603"/>
      <c r="P603"/>
      <c r="Q603"/>
      <c r="S603" s="320">
        <v>7.2375774598400016</v>
      </c>
      <c r="T603" s="320"/>
      <c r="U603">
        <v>10.8</v>
      </c>
      <c r="V603"/>
      <c r="W603"/>
      <c r="X603"/>
      <c r="Y603" s="321">
        <v>3.3623200000000004</v>
      </c>
      <c r="Z603" s="320"/>
      <c r="AA603" s="322">
        <v>37192.982456140358</v>
      </c>
      <c r="AB603" s="320"/>
      <c r="AC603" s="321">
        <v>15.825376000000002</v>
      </c>
      <c r="AD603" s="320"/>
      <c r="AE603" s="320">
        <v>16.96</v>
      </c>
      <c r="AF603" s="320"/>
      <c r="AG603">
        <v>4.5599999999999996</v>
      </c>
      <c r="AH603"/>
      <c r="AI603">
        <v>105</v>
      </c>
      <c r="AJ603"/>
      <c r="AK603"/>
      <c r="AL603"/>
      <c r="AM603"/>
      <c r="AN603"/>
      <c r="AO603">
        <v>71</v>
      </c>
      <c r="AP603"/>
      <c r="AQ603" s="323"/>
      <c r="AR603" s="323"/>
      <c r="AS603">
        <v>112</v>
      </c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>
        <v>-2.6030000000000002</v>
      </c>
      <c r="BH603"/>
      <c r="BI603">
        <v>4.9054000000000002</v>
      </c>
      <c r="BJ603"/>
      <c r="BK603">
        <v>1.6655</v>
      </c>
      <c r="BL603"/>
      <c r="BM603">
        <v>59.558</v>
      </c>
      <c r="BN603"/>
      <c r="BO603">
        <v>21.201000000000001</v>
      </c>
      <c r="BP603"/>
      <c r="BQ603">
        <v>9.9939999999999998</v>
      </c>
      <c r="BR603"/>
      <c r="BS603">
        <v>45.734000000000002</v>
      </c>
      <c r="BT603"/>
      <c r="BU603">
        <v>18.712</v>
      </c>
      <c r="BV603"/>
      <c r="BW603" s="325">
        <v>0.86</v>
      </c>
      <c r="BX603"/>
      <c r="BY603">
        <v>6.6820000000000022</v>
      </c>
      <c r="BZ603"/>
      <c r="CA603"/>
      <c r="CC603">
        <v>5.83</v>
      </c>
      <c r="CD603"/>
      <c r="CE603"/>
      <c r="CF603"/>
      <c r="CG603"/>
      <c r="CH603"/>
      <c r="CI603"/>
      <c r="CJ603"/>
      <c r="CK603"/>
      <c r="CL603"/>
      <c r="CM603"/>
    </row>
    <row r="604" spans="1:91">
      <c r="A604" s="154" t="s">
        <v>7776</v>
      </c>
      <c r="B604" t="s">
        <v>8289</v>
      </c>
      <c r="C604">
        <v>1</v>
      </c>
      <c r="D604">
        <v>1002</v>
      </c>
      <c r="E604" s="113">
        <v>2</v>
      </c>
      <c r="F604" s="113">
        <v>10</v>
      </c>
      <c r="I604">
        <v>24.5</v>
      </c>
      <c r="K604" s="320">
        <v>9</v>
      </c>
      <c r="L604" s="320"/>
      <c r="M604">
        <v>3.42</v>
      </c>
      <c r="N604" s="320"/>
      <c r="O604"/>
      <c r="P604"/>
      <c r="Q604"/>
      <c r="S604" s="320">
        <v>14.76256429062</v>
      </c>
      <c r="T604" s="320"/>
      <c r="U604">
        <v>10.8</v>
      </c>
      <c r="V604"/>
      <c r="W604"/>
      <c r="X604"/>
      <c r="Y604" s="321">
        <v>7.0931442999999987</v>
      </c>
      <c r="Z604" s="320"/>
      <c r="AA604" s="322">
        <v>81130.653266331661</v>
      </c>
      <c r="AB604" s="320"/>
      <c r="AC604" s="321">
        <v>30.281562000000001</v>
      </c>
      <c r="AD604" s="320"/>
      <c r="AE604" s="320">
        <v>32.29</v>
      </c>
      <c r="AF604" s="320"/>
      <c r="AG604">
        <v>3.98</v>
      </c>
      <c r="AH604"/>
      <c r="AI604">
        <v>125</v>
      </c>
      <c r="AJ604"/>
      <c r="AK604"/>
      <c r="AL604"/>
      <c r="AM604"/>
      <c r="AN604"/>
      <c r="AO604">
        <v>77</v>
      </c>
      <c r="AP604"/>
      <c r="AQ604" s="323"/>
      <c r="AR604" s="323"/>
      <c r="AS604">
        <v>112</v>
      </c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>
        <v>-4.6275000000000004</v>
      </c>
      <c r="BH604"/>
      <c r="BI604">
        <v>4.6820000000000004</v>
      </c>
      <c r="BJ604"/>
      <c r="BK604">
        <v>1.5373000000000001</v>
      </c>
      <c r="BL604"/>
      <c r="BM604">
        <v>63.055</v>
      </c>
      <c r="BN604"/>
      <c r="BO604">
        <v>21.984999999999999</v>
      </c>
      <c r="BP604"/>
      <c r="BQ604">
        <v>10.754</v>
      </c>
      <c r="BR604"/>
      <c r="BS604">
        <v>48.750999999999998</v>
      </c>
      <c r="BT604"/>
      <c r="BU604">
        <v>18.084</v>
      </c>
      <c r="BV604"/>
      <c r="BW604" s="325">
        <v>11.52</v>
      </c>
      <c r="BX604"/>
      <c r="BY604">
        <v>6.2590000000000003</v>
      </c>
      <c r="BZ604"/>
      <c r="CA604"/>
      <c r="CC604">
        <v>7.21</v>
      </c>
      <c r="CD604"/>
      <c r="CE604"/>
      <c r="CF604"/>
      <c r="CG604"/>
      <c r="CH604"/>
      <c r="CI604"/>
      <c r="CJ604"/>
      <c r="CK604"/>
      <c r="CL604"/>
      <c r="CM604"/>
    </row>
    <row r="605" spans="1:91">
      <c r="A605" s="154" t="s">
        <v>7776</v>
      </c>
      <c r="B605" t="s">
        <v>8287</v>
      </c>
      <c r="C605">
        <v>2</v>
      </c>
      <c r="D605">
        <v>1674</v>
      </c>
      <c r="E605" s="113">
        <v>74</v>
      </c>
      <c r="F605" s="113">
        <v>16</v>
      </c>
      <c r="I605">
        <v>32.5</v>
      </c>
      <c r="K605" s="320">
        <v>8</v>
      </c>
      <c r="L605" s="320"/>
      <c r="M605">
        <v>2.93</v>
      </c>
      <c r="N605" s="320"/>
      <c r="O605"/>
      <c r="P605"/>
      <c r="Q605"/>
      <c r="S605" s="320">
        <v>14.167266558101998</v>
      </c>
      <c r="T605" s="320"/>
      <c r="U605">
        <v>10.8</v>
      </c>
      <c r="V605"/>
      <c r="W605"/>
      <c r="X605"/>
      <c r="Y605" s="321">
        <v>4.3407153000000003</v>
      </c>
      <c r="Z605" s="320"/>
      <c r="AA605" s="322">
        <v>68373.786407766995</v>
      </c>
      <c r="AB605" s="320"/>
      <c r="AC605" s="321">
        <v>26.5792401</v>
      </c>
      <c r="AD605" s="320"/>
      <c r="AE605" s="320">
        <v>28.17</v>
      </c>
      <c r="AF605" s="320"/>
      <c r="AG605">
        <v>4.12</v>
      </c>
      <c r="AH605"/>
      <c r="AI605">
        <v>123</v>
      </c>
      <c r="AJ605"/>
      <c r="AK605"/>
      <c r="AL605"/>
      <c r="AM605"/>
      <c r="AN605"/>
      <c r="AO605">
        <v>77</v>
      </c>
      <c r="AP605"/>
      <c r="AQ605" s="323"/>
      <c r="AR605" s="323"/>
      <c r="AS605">
        <v>112</v>
      </c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>
        <v>-2.6880999999999999</v>
      </c>
      <c r="BH605"/>
      <c r="BI605">
        <v>4.9386000000000001</v>
      </c>
      <c r="BJ605"/>
      <c r="BK605">
        <v>1.5293000000000001</v>
      </c>
      <c r="BL605"/>
      <c r="BM605">
        <v>63.834000000000003</v>
      </c>
      <c r="BN605"/>
      <c r="BO605">
        <v>21.835999999999999</v>
      </c>
      <c r="BP605"/>
      <c r="BQ605">
        <v>8.9574999999999996</v>
      </c>
      <c r="BR605"/>
      <c r="BS605">
        <v>53.302</v>
      </c>
      <c r="BT605"/>
      <c r="BU605">
        <v>14.874000000000001</v>
      </c>
      <c r="BV605"/>
      <c r="BW605" s="325">
        <v>8.01</v>
      </c>
      <c r="BX605"/>
      <c r="BY605">
        <v>6.1119999999999948</v>
      </c>
      <c r="BZ605"/>
      <c r="CA605"/>
      <c r="CC605">
        <v>5.52</v>
      </c>
      <c r="CD605"/>
      <c r="CE605"/>
      <c r="CF605"/>
      <c r="CG605"/>
      <c r="CH605"/>
      <c r="CI605"/>
      <c r="CJ605"/>
      <c r="CK605"/>
      <c r="CL605"/>
      <c r="CM605"/>
    </row>
    <row r="606" spans="1:91">
      <c r="A606" s="154" t="s">
        <v>7777</v>
      </c>
      <c r="B606" t="s">
        <v>8289</v>
      </c>
      <c r="C606">
        <v>2</v>
      </c>
      <c r="D606">
        <v>751</v>
      </c>
      <c r="E606" s="113">
        <v>51</v>
      </c>
      <c r="F606" s="113">
        <v>7</v>
      </c>
      <c r="I606">
        <v>28.999999999999996</v>
      </c>
      <c r="K606" s="320">
        <v>8</v>
      </c>
      <c r="L606" s="320"/>
      <c r="M606">
        <v>2.46</v>
      </c>
      <c r="N606" s="320"/>
      <c r="O606"/>
      <c r="P606"/>
      <c r="Q606"/>
      <c r="S606" s="320">
        <v>10.312774019963999</v>
      </c>
      <c r="T606" s="320"/>
      <c r="U606">
        <v>10.8</v>
      </c>
      <c r="V606"/>
      <c r="W606"/>
      <c r="X606"/>
      <c r="Y606" s="321">
        <v>4.4191693000000001</v>
      </c>
      <c r="Z606" s="320"/>
      <c r="AA606" s="322">
        <v>47439.516129032258</v>
      </c>
      <c r="AB606" s="320"/>
      <c r="AC606" s="321">
        <v>22.040080400000001</v>
      </c>
      <c r="AD606" s="320"/>
      <c r="AE606" s="320">
        <v>23.53</v>
      </c>
      <c r="AF606" s="320"/>
      <c r="AG606">
        <v>4.96</v>
      </c>
      <c r="AH606"/>
      <c r="AI606">
        <v>128</v>
      </c>
      <c r="AJ606"/>
      <c r="AK606"/>
      <c r="AL606"/>
      <c r="AM606"/>
      <c r="AN606"/>
      <c r="AO606">
        <v>77</v>
      </c>
      <c r="AP606"/>
      <c r="AQ606" s="323"/>
      <c r="AR606" s="323"/>
      <c r="AS606">
        <v>112</v>
      </c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>
        <v>-1.1264000000000001</v>
      </c>
      <c r="BH606"/>
      <c r="BI606">
        <v>4.8886000000000003</v>
      </c>
      <c r="BJ606"/>
      <c r="BK606">
        <v>1.6976</v>
      </c>
      <c r="BL606"/>
      <c r="BM606">
        <v>67.171000000000006</v>
      </c>
      <c r="BN606"/>
      <c r="BO606">
        <v>19.381</v>
      </c>
      <c r="BP606"/>
      <c r="BQ606">
        <v>8.2487999999999992</v>
      </c>
      <c r="BR606"/>
      <c r="BS606">
        <v>46.790999999999997</v>
      </c>
      <c r="BT606"/>
      <c r="BU606">
        <v>18.408999999999999</v>
      </c>
      <c r="BV606"/>
      <c r="BW606" t="s">
        <v>8361</v>
      </c>
      <c r="BX606" s="324"/>
      <c r="BY606">
        <v>6.8430000000000035</v>
      </c>
      <c r="BZ606"/>
      <c r="CA606"/>
      <c r="CC606">
        <v>6.01</v>
      </c>
      <c r="CD606"/>
      <c r="CE606"/>
      <c r="CF606"/>
      <c r="CG606"/>
      <c r="CH606"/>
      <c r="CI606"/>
      <c r="CJ606"/>
      <c r="CK606"/>
      <c r="CL606"/>
      <c r="CM606"/>
    </row>
    <row r="607" spans="1:91">
      <c r="A607" s="327" t="s">
        <v>7777</v>
      </c>
      <c r="B607" s="328" t="s">
        <v>8287</v>
      </c>
      <c r="C607" s="328">
        <v>1</v>
      </c>
      <c r="D607" s="328">
        <v>927</v>
      </c>
      <c r="E607" s="113">
        <v>27</v>
      </c>
      <c r="F607" s="113">
        <v>9</v>
      </c>
      <c r="G607" s="329"/>
      <c r="H607" s="329"/>
      <c r="I607" s="328">
        <v>21</v>
      </c>
      <c r="J607" s="330"/>
      <c r="K607" s="331">
        <v>7</v>
      </c>
      <c r="L607" s="331"/>
      <c r="M607" s="328">
        <v>1.41</v>
      </c>
      <c r="N607" s="331"/>
      <c r="O607" s="328"/>
      <c r="P607" s="328"/>
      <c r="Q607" s="328"/>
      <c r="R607" s="332"/>
      <c r="S607" s="331">
        <v>5.5842215919350009</v>
      </c>
      <c r="T607" s="331"/>
      <c r="U607" s="328">
        <v>10.8</v>
      </c>
      <c r="V607" s="328"/>
      <c r="W607" s="328"/>
      <c r="X607" s="328"/>
      <c r="Y607" s="333">
        <v>2.3104760999999998</v>
      </c>
      <c r="Z607" s="331"/>
      <c r="AA607" s="334">
        <v>27112.526539278133</v>
      </c>
      <c r="AB607" s="331"/>
      <c r="AC607" s="333">
        <v>11.880058700000001</v>
      </c>
      <c r="AD607" s="331"/>
      <c r="AE607" s="331">
        <v>12.77</v>
      </c>
      <c r="AF607" s="331"/>
      <c r="AG607" s="328">
        <v>4.71</v>
      </c>
      <c r="AH607" s="328"/>
      <c r="AI607" s="328"/>
      <c r="AJ607" s="328"/>
      <c r="AK607" s="328"/>
      <c r="AL607" s="328"/>
      <c r="AM607" s="328"/>
      <c r="AN607" s="328"/>
      <c r="AO607" s="328">
        <v>83</v>
      </c>
      <c r="AP607" s="328"/>
      <c r="AQ607" s="335"/>
      <c r="AR607" s="335"/>
      <c r="AS607" s="328">
        <v>116</v>
      </c>
      <c r="AT607" s="328"/>
      <c r="AU607" s="328"/>
      <c r="AV607" s="328"/>
      <c r="AW607" s="328"/>
      <c r="AX607" s="328"/>
      <c r="AY607" s="328"/>
      <c r="AZ607" s="328"/>
      <c r="BA607" s="328"/>
      <c r="BB607" s="328"/>
      <c r="BC607" s="328"/>
      <c r="BD607" s="328"/>
      <c r="BE607" s="328"/>
      <c r="BF607" s="328"/>
      <c r="BG607" s="328">
        <v>-0.69496000000000002</v>
      </c>
      <c r="BH607" s="328"/>
      <c r="BI607" s="328">
        <v>4.8448000000000002</v>
      </c>
      <c r="BJ607" s="328"/>
      <c r="BK607" s="328">
        <v>1.6386000000000001</v>
      </c>
      <c r="BL607" s="328"/>
      <c r="BM607" s="328">
        <v>63.585000000000001</v>
      </c>
      <c r="BN607" s="328"/>
      <c r="BO607" s="328">
        <v>20.28</v>
      </c>
      <c r="BP607" s="328"/>
      <c r="BQ607" s="328">
        <v>7.8384999999999998</v>
      </c>
      <c r="BR607" s="328"/>
      <c r="BS607" s="328">
        <v>47.005000000000003</v>
      </c>
      <c r="BT607" s="328"/>
      <c r="BU607" s="328">
        <v>18.204000000000001</v>
      </c>
      <c r="BV607" s="328"/>
      <c r="BW607" s="336">
        <v>4.95</v>
      </c>
      <c r="BX607" s="328"/>
      <c r="BY607" s="328">
        <v>6.7849999999999966</v>
      </c>
      <c r="BZ607" s="328"/>
      <c r="CA607" s="328"/>
      <c r="CB607" s="337"/>
      <c r="CC607" s="328">
        <v>10.97</v>
      </c>
      <c r="CD607" s="328"/>
      <c r="CE607" s="328"/>
      <c r="CF607" s="328"/>
      <c r="CG607" s="328"/>
      <c r="CH607" s="328"/>
      <c r="CI607" s="328"/>
      <c r="CJ607" s="328"/>
      <c r="CK607" s="328" t="s">
        <v>8377</v>
      </c>
      <c r="CL607" s="328"/>
      <c r="CM607" s="328"/>
    </row>
    <row r="608" spans="1:91">
      <c r="A608" s="154" t="s">
        <v>7777</v>
      </c>
      <c r="B608" t="s">
        <v>8287</v>
      </c>
      <c r="C608">
        <v>2</v>
      </c>
      <c r="D608">
        <v>1073</v>
      </c>
      <c r="E608" s="113">
        <v>73</v>
      </c>
      <c r="F608" s="113">
        <v>10</v>
      </c>
      <c r="I608">
        <v>29.999999999999996</v>
      </c>
      <c r="K608" s="320">
        <v>9</v>
      </c>
      <c r="L608" s="320"/>
      <c r="M608">
        <v>2.2400000000000002</v>
      </c>
      <c r="N608" s="320"/>
      <c r="O608"/>
      <c r="P608"/>
      <c r="Q608"/>
      <c r="S608" s="320">
        <v>9.1337211977900008</v>
      </c>
      <c r="T608" s="320"/>
      <c r="U608">
        <v>10.8</v>
      </c>
      <c r="V608"/>
      <c r="W608"/>
      <c r="X608"/>
      <c r="Y608" s="321">
        <v>4.0906600000000006</v>
      </c>
      <c r="Z608" s="320"/>
      <c r="AA608" s="322">
        <v>50000.000000000007</v>
      </c>
      <c r="AB608" s="320"/>
      <c r="AC608" s="321">
        <v>19.890941000000002</v>
      </c>
      <c r="AD608" s="320"/>
      <c r="AE608" s="320">
        <v>21.35</v>
      </c>
      <c r="AF608" s="320"/>
      <c r="AG608">
        <v>4.2699999999999996</v>
      </c>
      <c r="AH608"/>
      <c r="AI608">
        <v>118</v>
      </c>
      <c r="AJ608"/>
      <c r="AK608"/>
      <c r="AL608"/>
      <c r="AM608"/>
      <c r="AN608"/>
      <c r="AO608">
        <v>79</v>
      </c>
      <c r="AP608"/>
      <c r="AQ608" s="323"/>
      <c r="AR608" s="323"/>
      <c r="AS608">
        <v>112</v>
      </c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>
        <v>0.75331000000000004</v>
      </c>
      <c r="BH608"/>
      <c r="BI608">
        <v>4.9848999999999997</v>
      </c>
      <c r="BJ608"/>
      <c r="BK608">
        <v>1.6022000000000001</v>
      </c>
      <c r="BL608"/>
      <c r="BM608">
        <v>62.531999999999996</v>
      </c>
      <c r="BN608"/>
      <c r="BO608">
        <v>21.053999999999998</v>
      </c>
      <c r="BP608"/>
      <c r="BQ608">
        <v>8.7139000000000006</v>
      </c>
      <c r="BR608"/>
      <c r="BS608">
        <v>45.918999999999997</v>
      </c>
      <c r="BT608"/>
      <c r="BU608">
        <v>18.306999999999999</v>
      </c>
      <c r="BV608"/>
      <c r="BW608" s="325">
        <v>3.1</v>
      </c>
      <c r="BX608"/>
      <c r="BY608">
        <v>7.0229999999999961</v>
      </c>
      <c r="BZ608"/>
      <c r="CA608"/>
      <c r="CC608">
        <v>6.33</v>
      </c>
      <c r="CD608"/>
      <c r="CE608"/>
      <c r="CF608"/>
      <c r="CG608"/>
      <c r="CH608"/>
      <c r="CI608"/>
      <c r="CJ608"/>
      <c r="CK608"/>
      <c r="CL608"/>
      <c r="CM608"/>
    </row>
    <row r="609" spans="1:91">
      <c r="A609" s="154" t="s">
        <v>7777</v>
      </c>
      <c r="B609" t="s">
        <v>8289</v>
      </c>
      <c r="C609">
        <v>1</v>
      </c>
      <c r="D609">
        <v>1708</v>
      </c>
      <c r="E609" s="113">
        <v>8</v>
      </c>
      <c r="F609" s="113">
        <v>17</v>
      </c>
      <c r="I609">
        <v>25.499999999999996</v>
      </c>
      <c r="K609" s="320">
        <v>8</v>
      </c>
      <c r="L609" s="320"/>
      <c r="M609">
        <v>4</v>
      </c>
      <c r="N609" s="320"/>
      <c r="O609"/>
      <c r="P609"/>
      <c r="Q609"/>
      <c r="S609" s="320">
        <v>17.527234635239996</v>
      </c>
      <c r="T609" s="320"/>
      <c r="U609">
        <v>10.8</v>
      </c>
      <c r="V609"/>
      <c r="W609"/>
      <c r="X609"/>
      <c r="Y609" s="321">
        <v>6.9711213000000001</v>
      </c>
      <c r="Z609" s="320"/>
      <c r="AA609" s="322">
        <v>84921.34831460673</v>
      </c>
      <c r="AB609" s="320"/>
      <c r="AC609" s="321">
        <v>35.377108499999999</v>
      </c>
      <c r="AD609" s="320"/>
      <c r="AE609" s="320">
        <v>37.79</v>
      </c>
      <c r="AF609" s="320"/>
      <c r="AG609">
        <v>4.45</v>
      </c>
      <c r="AH609"/>
      <c r="AI609">
        <v>128</v>
      </c>
      <c r="AJ609"/>
      <c r="AK609"/>
      <c r="AL609"/>
      <c r="AM609"/>
      <c r="AN609"/>
      <c r="AO609">
        <v>79</v>
      </c>
      <c r="AP609"/>
      <c r="AQ609" s="323"/>
      <c r="AR609" s="323"/>
      <c r="AS609">
        <v>112</v>
      </c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>
        <v>5.9964000000000004</v>
      </c>
      <c r="BH609"/>
      <c r="BI609">
        <v>4.6536999999999997</v>
      </c>
      <c r="BJ609"/>
      <c r="BK609">
        <v>1.4475</v>
      </c>
      <c r="BL609"/>
      <c r="BM609">
        <v>59.197000000000003</v>
      </c>
      <c r="BN609"/>
      <c r="BO609">
        <v>19.876999999999999</v>
      </c>
      <c r="BP609"/>
      <c r="BQ609">
        <v>8.6617999999999995</v>
      </c>
      <c r="BR609"/>
      <c r="BS609">
        <v>49.543999999999997</v>
      </c>
      <c r="BT609"/>
      <c r="BU609">
        <v>17.63</v>
      </c>
      <c r="BV609"/>
      <c r="BW609" s="325">
        <v>15.32</v>
      </c>
      <c r="BX609"/>
      <c r="BY609">
        <v>6.4150000000000063</v>
      </c>
      <c r="BZ609"/>
      <c r="CA609"/>
      <c r="CC609">
        <v>7.16</v>
      </c>
      <c r="CD609"/>
      <c r="CE609"/>
      <c r="CF609"/>
      <c r="CG609"/>
      <c r="CH609"/>
      <c r="CI609"/>
      <c r="CJ609"/>
      <c r="CK609"/>
      <c r="CL609"/>
      <c r="CM609"/>
    </row>
    <row r="610" spans="1:91">
      <c r="A610" s="154" t="s">
        <v>7778</v>
      </c>
      <c r="B610" t="s">
        <v>8289</v>
      </c>
      <c r="C610">
        <v>2</v>
      </c>
      <c r="D610">
        <v>666</v>
      </c>
      <c r="E610" s="113">
        <v>66</v>
      </c>
      <c r="F610" s="113">
        <v>6</v>
      </c>
      <c r="I610">
        <v>23.5</v>
      </c>
      <c r="K610" s="320">
        <v>9</v>
      </c>
      <c r="L610" s="320"/>
      <c r="M610">
        <v>2.79</v>
      </c>
      <c r="N610" s="320"/>
      <c r="O610"/>
      <c r="P610"/>
      <c r="Q610"/>
      <c r="S610" s="320">
        <v>11.5997419872</v>
      </c>
      <c r="T610" s="320"/>
      <c r="U610">
        <v>10.8</v>
      </c>
      <c r="V610"/>
      <c r="W610"/>
      <c r="X610"/>
      <c r="Y610" s="321">
        <v>5.3623296000000007</v>
      </c>
      <c r="Z610" s="320"/>
      <c r="AA610" s="322">
        <v>57600.000000000007</v>
      </c>
      <c r="AB610" s="320"/>
      <c r="AC610" s="321">
        <v>24.228719999999999</v>
      </c>
      <c r="AD610" s="320"/>
      <c r="AE610" s="320">
        <v>25.92</v>
      </c>
      <c r="AF610" s="320"/>
      <c r="AG610">
        <v>4.5</v>
      </c>
      <c r="AH610"/>
      <c r="AI610">
        <v>125</v>
      </c>
      <c r="AJ610"/>
      <c r="AK610"/>
      <c r="AL610"/>
      <c r="AM610"/>
      <c r="AN610"/>
      <c r="AO610">
        <v>79</v>
      </c>
      <c r="AP610"/>
      <c r="AQ610" s="323"/>
      <c r="AR610" s="323"/>
      <c r="AS610">
        <v>112</v>
      </c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>
        <v>-0.24142</v>
      </c>
      <c r="BH610"/>
      <c r="BI610">
        <v>4.6052999999999997</v>
      </c>
      <c r="BJ610"/>
      <c r="BK610">
        <v>1.5377000000000001</v>
      </c>
      <c r="BL610"/>
      <c r="BM610">
        <v>58.277999999999999</v>
      </c>
      <c r="BN610"/>
      <c r="BO610">
        <v>20.257000000000001</v>
      </c>
      <c r="BP610"/>
      <c r="BQ610">
        <v>8.5497999999999994</v>
      </c>
      <c r="BR610"/>
      <c r="BS610">
        <v>47.875999999999998</v>
      </c>
      <c r="BT610"/>
      <c r="BU610">
        <v>19.504999999999999</v>
      </c>
      <c r="BV610"/>
      <c r="BW610" s="325">
        <v>8.14</v>
      </c>
      <c r="BX610"/>
      <c r="BY610">
        <v>7.1560000000000059</v>
      </c>
      <c r="BZ610"/>
      <c r="CA610"/>
      <c r="CC610">
        <v>8.69</v>
      </c>
      <c r="CD610"/>
      <c r="CE610"/>
      <c r="CF610"/>
      <c r="CG610"/>
      <c r="CH610"/>
      <c r="CI610"/>
      <c r="CJ610"/>
      <c r="CK610"/>
      <c r="CL610"/>
      <c r="CM610"/>
    </row>
    <row r="611" spans="1:91">
      <c r="A611" s="327" t="s">
        <v>7778</v>
      </c>
      <c r="B611" s="328" t="s">
        <v>8287</v>
      </c>
      <c r="C611" s="328">
        <v>1</v>
      </c>
      <c r="D611" s="328">
        <v>829</v>
      </c>
      <c r="E611" s="113">
        <v>29</v>
      </c>
      <c r="F611" s="113">
        <v>8</v>
      </c>
      <c r="G611" s="329"/>
      <c r="H611" s="329"/>
      <c r="I611" s="328">
        <v>26</v>
      </c>
      <c r="J611" s="330"/>
      <c r="K611" s="331">
        <v>7</v>
      </c>
      <c r="L611" s="331"/>
      <c r="M611" s="328">
        <v>2.81</v>
      </c>
      <c r="N611" s="331"/>
      <c r="O611" s="328"/>
      <c r="P611" s="328"/>
      <c r="Q611" s="328"/>
      <c r="R611" s="332"/>
      <c r="S611" s="331">
        <v>12.6640345488</v>
      </c>
      <c r="T611" s="331"/>
      <c r="U611" s="328">
        <v>10.8</v>
      </c>
      <c r="V611" s="328"/>
      <c r="W611" s="328"/>
      <c r="X611" s="328"/>
      <c r="Y611" s="333">
        <v>4.3501535999999996</v>
      </c>
      <c r="Z611" s="331"/>
      <c r="AA611" s="334">
        <v>53903.966597077248</v>
      </c>
      <c r="AB611" s="331"/>
      <c r="AC611" s="333">
        <v>24.204959000000002</v>
      </c>
      <c r="AD611" s="331"/>
      <c r="AE611" s="331">
        <v>25.82</v>
      </c>
      <c r="AF611" s="331"/>
      <c r="AG611" s="328">
        <v>4.79</v>
      </c>
      <c r="AH611" s="328"/>
      <c r="AI611" s="328">
        <v>108</v>
      </c>
      <c r="AJ611" s="328"/>
      <c r="AK611" s="328"/>
      <c r="AL611" s="328"/>
      <c r="AM611" s="328"/>
      <c r="AN611" s="328"/>
      <c r="AO611" s="328">
        <v>79</v>
      </c>
      <c r="AP611" s="328"/>
      <c r="AQ611" s="335"/>
      <c r="AR611" s="335"/>
      <c r="AS611" s="328">
        <v>112</v>
      </c>
      <c r="AT611" s="328"/>
      <c r="AU611" s="328"/>
      <c r="AV611" s="328"/>
      <c r="AW611" s="328"/>
      <c r="AX611" s="328"/>
      <c r="AY611" s="328"/>
      <c r="AZ611" s="328"/>
      <c r="BA611" s="328"/>
      <c r="BB611" s="328"/>
      <c r="BC611" s="328"/>
      <c r="BD611" s="328"/>
      <c r="BE611" s="328"/>
      <c r="BF611" s="328"/>
      <c r="BG611" s="328">
        <v>-1.5637000000000001</v>
      </c>
      <c r="BH611" s="328"/>
      <c r="BI611" s="328">
        <v>4.7506000000000004</v>
      </c>
      <c r="BJ611" s="328"/>
      <c r="BK611" s="328">
        <v>1.5402</v>
      </c>
      <c r="BL611" s="328"/>
      <c r="BM611" s="328">
        <v>66.876999999999995</v>
      </c>
      <c r="BN611" s="328"/>
      <c r="BO611" s="328">
        <v>20.771000000000001</v>
      </c>
      <c r="BP611" s="328"/>
      <c r="BQ611" s="328">
        <v>8.6349</v>
      </c>
      <c r="BR611" s="328"/>
      <c r="BS611" s="328">
        <v>52.32</v>
      </c>
      <c r="BT611" s="328"/>
      <c r="BU611" s="328">
        <v>16.75</v>
      </c>
      <c r="BV611" s="328"/>
      <c r="BW611" s="336">
        <v>8.59</v>
      </c>
      <c r="BX611" s="328"/>
      <c r="BY611" s="328">
        <v>6.8389999999999986</v>
      </c>
      <c r="BZ611" s="328"/>
      <c r="CA611" s="328"/>
      <c r="CB611" s="337"/>
      <c r="CC611" s="328">
        <v>9.68</v>
      </c>
      <c r="CD611" s="328"/>
      <c r="CE611" s="328"/>
      <c r="CF611" s="328"/>
      <c r="CG611" s="328"/>
      <c r="CH611" s="328"/>
      <c r="CI611" s="328"/>
      <c r="CJ611" s="328"/>
      <c r="CK611" s="328" t="s">
        <v>8377</v>
      </c>
      <c r="CL611" s="328"/>
      <c r="CM611" s="328"/>
    </row>
    <row r="612" spans="1:91">
      <c r="A612" s="154" t="s">
        <v>7778</v>
      </c>
      <c r="B612" t="s">
        <v>8289</v>
      </c>
      <c r="C612">
        <v>1</v>
      </c>
      <c r="D612">
        <v>1204</v>
      </c>
      <c r="E612" s="113">
        <v>4</v>
      </c>
      <c r="F612" s="113">
        <v>12</v>
      </c>
      <c r="I612">
        <v>30.499999999999996</v>
      </c>
      <c r="K612" s="320">
        <v>9</v>
      </c>
      <c r="L612" s="320"/>
      <c r="M612">
        <v>3.9</v>
      </c>
      <c r="N612" s="320"/>
      <c r="O612"/>
      <c r="P612"/>
      <c r="Q612"/>
      <c r="S612" s="320">
        <v>16.648684490592</v>
      </c>
      <c r="T612" s="320"/>
      <c r="U612">
        <v>10.8</v>
      </c>
      <c r="V612"/>
      <c r="W612"/>
      <c r="X612"/>
      <c r="Y612" s="321">
        <v>7.0438368000000002</v>
      </c>
      <c r="Z612" s="320"/>
      <c r="AA612" s="322" t="e">
        <v>#DIV/0!</v>
      </c>
      <c r="AB612" s="320"/>
      <c r="AC612" s="321">
        <v>34.481462399999998</v>
      </c>
      <c r="AD612" s="320"/>
      <c r="AE612" s="320">
        <v>36.96</v>
      </c>
      <c r="AF612" s="320"/>
      <c r="AG612"/>
      <c r="AH612"/>
      <c r="AI612">
        <v>130</v>
      </c>
      <c r="AJ612"/>
      <c r="AK612"/>
      <c r="AL612"/>
      <c r="AM612"/>
      <c r="AN612"/>
      <c r="AO612">
        <v>79</v>
      </c>
      <c r="AP612"/>
      <c r="AQ612" s="323"/>
      <c r="AR612" s="323"/>
      <c r="AS612">
        <v>112</v>
      </c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>
        <v>-4.7903000000000002</v>
      </c>
      <c r="BH612"/>
      <c r="BI612">
        <v>4.8442999999999996</v>
      </c>
      <c r="BJ612"/>
      <c r="BK612">
        <v>1.6143000000000001</v>
      </c>
      <c r="BL612"/>
      <c r="BM612">
        <v>65.540000000000006</v>
      </c>
      <c r="BN612"/>
      <c r="BO612">
        <v>19.873000000000001</v>
      </c>
      <c r="BP612"/>
      <c r="BQ612">
        <v>9.0631000000000004</v>
      </c>
      <c r="BR612"/>
      <c r="BS612">
        <v>48.283000000000001</v>
      </c>
      <c r="BT612"/>
      <c r="BU612">
        <v>18.827999999999999</v>
      </c>
      <c r="BV612"/>
      <c r="BW612" s="325">
        <v>10.06</v>
      </c>
      <c r="BX612"/>
      <c r="BY612">
        <v>6.9950000000000045</v>
      </c>
      <c r="BZ612"/>
      <c r="CA612"/>
      <c r="CC612">
        <v>6.85</v>
      </c>
      <c r="CD612"/>
      <c r="CE612"/>
      <c r="CF612"/>
      <c r="CG612"/>
      <c r="CH612"/>
      <c r="CI612"/>
      <c r="CJ612"/>
      <c r="CK612"/>
      <c r="CL612"/>
      <c r="CM612"/>
    </row>
    <row r="613" spans="1:91">
      <c r="A613" s="154" t="s">
        <v>7778</v>
      </c>
      <c r="B613" t="s">
        <v>8287</v>
      </c>
      <c r="C613">
        <v>2</v>
      </c>
      <c r="D613">
        <v>1357</v>
      </c>
      <c r="E613" s="113">
        <v>57</v>
      </c>
      <c r="F613" s="113">
        <v>13</v>
      </c>
      <c r="I613">
        <v>28.5</v>
      </c>
      <c r="K613" s="320">
        <v>9</v>
      </c>
      <c r="L613" s="320"/>
      <c r="M613">
        <v>3.14</v>
      </c>
      <c r="N613" s="320"/>
      <c r="O613"/>
      <c r="P613"/>
      <c r="Q613"/>
      <c r="S613" s="320">
        <v>14.108779985615</v>
      </c>
      <c r="T613" s="320"/>
      <c r="U613">
        <v>10.8</v>
      </c>
      <c r="V613"/>
      <c r="W613"/>
      <c r="X613"/>
      <c r="Y613" s="321">
        <v>4.7906326999999997</v>
      </c>
      <c r="Z613" s="320"/>
      <c r="AA613" s="322">
        <v>70827.250608272501</v>
      </c>
      <c r="AB613" s="320"/>
      <c r="AC613" s="321">
        <v>27.359033499999999</v>
      </c>
      <c r="AD613" s="320"/>
      <c r="AE613" s="320">
        <v>29.11</v>
      </c>
      <c r="AF613" s="320"/>
      <c r="AG613">
        <v>4.1100000000000003</v>
      </c>
      <c r="AH613"/>
      <c r="AI613">
        <v>130</v>
      </c>
      <c r="AJ613"/>
      <c r="AK613"/>
      <c r="AL613"/>
      <c r="AM613"/>
      <c r="AN613"/>
      <c r="AO613">
        <v>77</v>
      </c>
      <c r="AP613"/>
      <c r="AQ613" s="323"/>
      <c r="AR613" s="323"/>
      <c r="AS613">
        <v>112</v>
      </c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>
        <v>1.4393</v>
      </c>
      <c r="BH613"/>
      <c r="BI613">
        <v>4.8345000000000002</v>
      </c>
      <c r="BJ613"/>
      <c r="BK613">
        <v>1.5336000000000001</v>
      </c>
      <c r="BL613"/>
      <c r="BM613">
        <v>66.606999999999999</v>
      </c>
      <c r="BN613"/>
      <c r="BO613">
        <v>20.722999999999999</v>
      </c>
      <c r="BP613"/>
      <c r="BQ613">
        <v>7.7968000000000002</v>
      </c>
      <c r="BR613"/>
      <c r="BS613">
        <v>51.569000000000003</v>
      </c>
      <c r="BT613"/>
      <c r="BU613">
        <v>16.241</v>
      </c>
      <c r="BV613"/>
      <c r="BW613" s="325">
        <v>10.89</v>
      </c>
      <c r="BX613"/>
      <c r="BY613">
        <v>6.8160000000000025</v>
      </c>
      <c r="BZ613"/>
      <c r="CA613"/>
      <c r="CC613">
        <v>8.9</v>
      </c>
      <c r="CD613"/>
      <c r="CE613"/>
      <c r="CF613"/>
      <c r="CG613"/>
      <c r="CH613"/>
      <c r="CI613"/>
      <c r="CJ613"/>
      <c r="CK613"/>
      <c r="CL613"/>
      <c r="CM613"/>
    </row>
    <row r="614" spans="1:91">
      <c r="A614" s="154" t="s">
        <v>7779</v>
      </c>
      <c r="B614" t="s">
        <v>8289</v>
      </c>
      <c r="C614">
        <v>2</v>
      </c>
      <c r="D614">
        <v>250</v>
      </c>
      <c r="E614" s="113">
        <v>50</v>
      </c>
      <c r="F614" s="113">
        <v>2</v>
      </c>
      <c r="I614">
        <v>28.999999999999996</v>
      </c>
      <c r="K614" s="320">
        <v>9</v>
      </c>
      <c r="L614" s="320"/>
      <c r="M614">
        <v>3.4</v>
      </c>
      <c r="N614" s="320"/>
      <c r="O614"/>
      <c r="P614"/>
      <c r="Q614"/>
      <c r="S614" s="320">
        <v>14.454662162724</v>
      </c>
      <c r="T614" s="320"/>
      <c r="U614">
        <v>10.8</v>
      </c>
      <c r="V614"/>
      <c r="W614"/>
      <c r="X614"/>
      <c r="Y614" s="321">
        <v>6.9642775999999991</v>
      </c>
      <c r="Z614" s="320"/>
      <c r="AA614" s="322">
        <v>76557.37704918033</v>
      </c>
      <c r="AB614" s="320"/>
      <c r="AC614" s="321">
        <v>30.584110200000001</v>
      </c>
      <c r="AD614" s="320"/>
      <c r="AE614" s="320">
        <v>32.69</v>
      </c>
      <c r="AF614" s="320"/>
      <c r="AG614">
        <v>4.2699999999999996</v>
      </c>
      <c r="AH614"/>
      <c r="AI614">
        <v>128</v>
      </c>
      <c r="AJ614"/>
      <c r="AK614"/>
      <c r="AL614"/>
      <c r="AM614"/>
      <c r="AN614"/>
      <c r="AO614">
        <v>80</v>
      </c>
      <c r="AP614"/>
      <c r="AQ614" s="323"/>
      <c r="AR614" s="323"/>
      <c r="AS614">
        <v>118</v>
      </c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>
        <v>-0.92756000000000005</v>
      </c>
      <c r="BH614"/>
      <c r="BI614">
        <v>4.5564999999999998</v>
      </c>
      <c r="BJ614"/>
      <c r="BK614">
        <v>1.5507</v>
      </c>
      <c r="BL614"/>
      <c r="BM614">
        <v>65.924999999999997</v>
      </c>
      <c r="BN614"/>
      <c r="BO614">
        <v>18.962</v>
      </c>
      <c r="BP614"/>
      <c r="BQ614">
        <v>8.9283000000000001</v>
      </c>
      <c r="BR614"/>
      <c r="BS614">
        <v>47.262</v>
      </c>
      <c r="BT614"/>
      <c r="BU614">
        <v>19.422000000000001</v>
      </c>
      <c r="BV614"/>
      <c r="BW614" s="325">
        <v>4.91</v>
      </c>
      <c r="BX614"/>
      <c r="BY614">
        <v>6.4159999999999968</v>
      </c>
      <c r="BZ614"/>
      <c r="CA614"/>
      <c r="CC614">
        <v>5.51</v>
      </c>
      <c r="CD614"/>
      <c r="CE614"/>
      <c r="CF614"/>
      <c r="CG614"/>
      <c r="CH614"/>
      <c r="CI614"/>
      <c r="CJ614"/>
      <c r="CK614"/>
      <c r="CL614"/>
      <c r="CM614"/>
    </row>
    <row r="615" spans="1:91">
      <c r="A615" s="154" t="s">
        <v>7779</v>
      </c>
      <c r="B615" t="s">
        <v>8287</v>
      </c>
      <c r="C615">
        <v>1</v>
      </c>
      <c r="D615">
        <v>518</v>
      </c>
      <c r="E615" s="113">
        <v>18</v>
      </c>
      <c r="F615" s="113">
        <v>5</v>
      </c>
      <c r="I615">
        <v>32</v>
      </c>
      <c r="K615" s="320">
        <v>7</v>
      </c>
      <c r="L615" s="320"/>
      <c r="M615">
        <v>2.62</v>
      </c>
      <c r="N615" s="320"/>
      <c r="O615"/>
      <c r="P615"/>
      <c r="Q615"/>
      <c r="S615" s="320">
        <v>11.96319558129</v>
      </c>
      <c r="T615" s="320"/>
      <c r="U615">
        <v>10.8</v>
      </c>
      <c r="V615"/>
      <c r="W615"/>
      <c r="X615"/>
      <c r="Y615" s="321">
        <v>4.0187610000000005</v>
      </c>
      <c r="Z615" s="320"/>
      <c r="AA615" s="322">
        <v>58644.859813084113</v>
      </c>
      <c r="AB615" s="320"/>
      <c r="AC615" s="321">
        <v>23.525979</v>
      </c>
      <c r="AD615" s="320"/>
      <c r="AE615" s="320">
        <v>25.1</v>
      </c>
      <c r="AF615" s="320"/>
      <c r="AG615">
        <v>4.28</v>
      </c>
      <c r="AH615"/>
      <c r="AI615">
        <v>128</v>
      </c>
      <c r="AJ615"/>
      <c r="AK615"/>
      <c r="AL615"/>
      <c r="AM615"/>
      <c r="AN615"/>
      <c r="AO615">
        <v>79</v>
      </c>
      <c r="AP615"/>
      <c r="AQ615" s="323"/>
      <c r="AR615" s="323"/>
      <c r="AS615">
        <v>112</v>
      </c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>
        <v>7.5106999999999999</v>
      </c>
      <c r="BH615"/>
      <c r="BI615">
        <v>4.3837000000000002</v>
      </c>
      <c r="BJ615"/>
      <c r="BK615">
        <v>1.4530000000000001</v>
      </c>
      <c r="BL615"/>
      <c r="BM615">
        <v>60.363999999999997</v>
      </c>
      <c r="BN615"/>
      <c r="BO615">
        <v>19.975000000000001</v>
      </c>
      <c r="BP615"/>
      <c r="BQ615">
        <v>8.5466999999999995</v>
      </c>
      <c r="BR615"/>
      <c r="BS615">
        <v>50.850999999999999</v>
      </c>
      <c r="BT615"/>
      <c r="BU615">
        <v>16.957000000000001</v>
      </c>
      <c r="BV615"/>
      <c r="BW615" s="325">
        <v>11.34</v>
      </c>
      <c r="BX615"/>
      <c r="BY615">
        <v>6.5300000000000011</v>
      </c>
      <c r="BZ615"/>
      <c r="CA615"/>
      <c r="CC615">
        <v>5.86</v>
      </c>
      <c r="CD615"/>
      <c r="CE615"/>
      <c r="CF615"/>
      <c r="CG615"/>
      <c r="CH615"/>
      <c r="CI615"/>
      <c r="CJ615"/>
      <c r="CK615"/>
      <c r="CL615"/>
      <c r="CM615"/>
    </row>
    <row r="616" spans="1:91">
      <c r="A616" s="154" t="s">
        <v>7779</v>
      </c>
      <c r="B616" t="s">
        <v>8287</v>
      </c>
      <c r="C616">
        <v>2</v>
      </c>
      <c r="D616">
        <v>1473</v>
      </c>
      <c r="E616" s="113">
        <v>73</v>
      </c>
      <c r="F616" s="113">
        <v>14</v>
      </c>
      <c r="I616">
        <v>31.499999999999996</v>
      </c>
      <c r="K616" s="320">
        <v>9</v>
      </c>
      <c r="L616" s="320"/>
      <c r="M616">
        <v>3.31</v>
      </c>
      <c r="N616" s="320"/>
      <c r="O616"/>
      <c r="P616"/>
      <c r="Q616"/>
      <c r="S616" s="320">
        <v>14.50683831255</v>
      </c>
      <c r="T616" s="320"/>
      <c r="U616">
        <v>10.8</v>
      </c>
      <c r="V616"/>
      <c r="W616"/>
      <c r="X616"/>
      <c r="Y616" s="321">
        <v>5.5144059999999993</v>
      </c>
      <c r="Z616" s="320"/>
      <c r="AA616" s="322">
        <v>78762.376237623772</v>
      </c>
      <c r="AB616" s="320"/>
      <c r="AC616" s="321">
        <v>29.785111000000001</v>
      </c>
      <c r="AD616" s="320"/>
      <c r="AE616" s="320">
        <v>31.82</v>
      </c>
      <c r="AF616" s="320"/>
      <c r="AG616">
        <v>4.04</v>
      </c>
      <c r="AH616"/>
      <c r="AI616">
        <v>123</v>
      </c>
      <c r="AJ616"/>
      <c r="AK616"/>
      <c r="AL616"/>
      <c r="AM616"/>
      <c r="AN616"/>
      <c r="AO616">
        <v>77</v>
      </c>
      <c r="AP616"/>
      <c r="AQ616" s="323"/>
      <c r="AR616" s="323"/>
      <c r="AS616">
        <v>112</v>
      </c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>
        <v>3.6751</v>
      </c>
      <c r="BH616"/>
      <c r="BI616">
        <v>4.4570999999999996</v>
      </c>
      <c r="BJ616"/>
      <c r="BK616">
        <v>1.4619</v>
      </c>
      <c r="BL616"/>
      <c r="BM616">
        <v>58.604999999999997</v>
      </c>
      <c r="BN616"/>
      <c r="BO616">
        <v>20.446999999999999</v>
      </c>
      <c r="BP616"/>
      <c r="BQ616">
        <v>8.6361000000000008</v>
      </c>
      <c r="BR616"/>
      <c r="BS616">
        <v>48.704999999999998</v>
      </c>
      <c r="BT616"/>
      <c r="BU616">
        <v>18.542999999999999</v>
      </c>
      <c r="BV616"/>
      <c r="BW616" s="325">
        <v>9.9499999999999993</v>
      </c>
      <c r="BX616"/>
      <c r="BY616">
        <v>6.5210000000000008</v>
      </c>
      <c r="BZ616"/>
      <c r="CA616"/>
      <c r="CC616">
        <v>5.52</v>
      </c>
      <c r="CD616"/>
      <c r="CE616"/>
      <c r="CF616"/>
      <c r="CG616"/>
      <c r="CH616"/>
      <c r="CI616"/>
      <c r="CJ616"/>
      <c r="CK616"/>
      <c r="CL616"/>
      <c r="CM616"/>
    </row>
    <row r="617" spans="1:91">
      <c r="A617" s="154" t="s">
        <v>7779</v>
      </c>
      <c r="B617" t="s">
        <v>8289</v>
      </c>
      <c r="C617">
        <v>1</v>
      </c>
      <c r="D617">
        <v>1522</v>
      </c>
      <c r="E617" s="113">
        <v>22</v>
      </c>
      <c r="F617" s="113">
        <v>15</v>
      </c>
      <c r="I617">
        <v>29.5</v>
      </c>
      <c r="K617" s="320">
        <v>8</v>
      </c>
      <c r="L617" s="320"/>
      <c r="M617">
        <v>3</v>
      </c>
      <c r="N617" s="320"/>
      <c r="O617"/>
      <c r="P617"/>
      <c r="Q617"/>
      <c r="S617" s="320">
        <v>13.146410571264001</v>
      </c>
      <c r="T617" s="320"/>
      <c r="U617">
        <v>10.8</v>
      </c>
      <c r="V617"/>
      <c r="W617"/>
      <c r="X617"/>
      <c r="Y617" s="321">
        <v>5.8699740000000009</v>
      </c>
      <c r="Z617" s="320"/>
      <c r="AA617" s="322">
        <v>71546.134663341654</v>
      </c>
      <c r="AB617" s="320"/>
      <c r="AC617" s="321">
        <v>27.0190944</v>
      </c>
      <c r="AD617" s="320"/>
      <c r="AE617" s="320">
        <v>28.69</v>
      </c>
      <c r="AF617" s="320"/>
      <c r="AG617">
        <v>4.01</v>
      </c>
      <c r="AH617"/>
      <c r="AI617">
        <v>118</v>
      </c>
      <c r="AJ617"/>
      <c r="AK617"/>
      <c r="AL617"/>
      <c r="AM617"/>
      <c r="AN617"/>
      <c r="AO617">
        <v>79</v>
      </c>
      <c r="AP617"/>
      <c r="AQ617" s="323"/>
      <c r="AR617" s="323"/>
      <c r="AS617">
        <v>112</v>
      </c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>
        <v>-0.10149</v>
      </c>
      <c r="BH617"/>
      <c r="BI617">
        <v>4.4733000000000001</v>
      </c>
      <c r="BJ617"/>
      <c r="BK617">
        <v>1.5968</v>
      </c>
      <c r="BL617"/>
      <c r="BM617">
        <v>66.962999999999994</v>
      </c>
      <c r="BN617"/>
      <c r="BO617">
        <v>19.902000000000001</v>
      </c>
      <c r="BP617"/>
      <c r="BQ617">
        <v>7.9081000000000001</v>
      </c>
      <c r="BR617"/>
      <c r="BS617">
        <v>48.655999999999999</v>
      </c>
      <c r="BT617"/>
      <c r="BU617">
        <v>18.484999999999999</v>
      </c>
      <c r="BV617"/>
      <c r="BW617" s="325">
        <v>14.78</v>
      </c>
      <c r="BX617"/>
      <c r="BY617">
        <v>6.3059999999999974</v>
      </c>
      <c r="BZ617"/>
      <c r="CA617"/>
      <c r="CC617">
        <v>6</v>
      </c>
      <c r="CD617"/>
      <c r="CE617"/>
      <c r="CF617"/>
      <c r="CG617"/>
      <c r="CH617"/>
      <c r="CI617"/>
      <c r="CJ617"/>
      <c r="CK617"/>
      <c r="CL617"/>
      <c r="CM617"/>
    </row>
    <row r="618" spans="1:91">
      <c r="A618" s="154" t="s">
        <v>7780</v>
      </c>
      <c r="B618" t="s">
        <v>8287</v>
      </c>
      <c r="C618">
        <v>1</v>
      </c>
      <c r="D618">
        <v>732</v>
      </c>
      <c r="E618" s="113">
        <v>32</v>
      </c>
      <c r="F618" s="113">
        <v>7</v>
      </c>
      <c r="I618">
        <v>26</v>
      </c>
      <c r="K618" s="320">
        <v>9</v>
      </c>
      <c r="L618" s="320"/>
      <c r="M618">
        <v>4.22</v>
      </c>
      <c r="N618" s="320"/>
      <c r="O618"/>
      <c r="P618"/>
      <c r="Q618"/>
      <c r="S618" s="320">
        <v>18.954751818119</v>
      </c>
      <c r="T618" s="320"/>
      <c r="U618">
        <v>10.8</v>
      </c>
      <c r="V618"/>
      <c r="W618"/>
      <c r="X618"/>
      <c r="Y618" s="321">
        <v>6.2571790999999992</v>
      </c>
      <c r="Z618" s="320"/>
      <c r="AA618" s="322">
        <v>82920.168067226885</v>
      </c>
      <c r="AB618" s="320"/>
      <c r="AC618" s="321">
        <v>37.092721900000001</v>
      </c>
      <c r="AD618" s="320"/>
      <c r="AE618" s="320">
        <v>39.47</v>
      </c>
      <c r="AF618" s="320"/>
      <c r="AG618">
        <v>4.76</v>
      </c>
      <c r="AH618"/>
      <c r="AI618">
        <v>128</v>
      </c>
      <c r="AJ618"/>
      <c r="AK618"/>
      <c r="AL618"/>
      <c r="AM618"/>
      <c r="AN618"/>
      <c r="AO618">
        <v>79</v>
      </c>
      <c r="AP618"/>
      <c r="AQ618" s="323"/>
      <c r="AR618" s="323"/>
      <c r="AS618">
        <v>112</v>
      </c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>
        <v>-0.31086000000000003</v>
      </c>
      <c r="BH618"/>
      <c r="BI618">
        <v>4.5978000000000003</v>
      </c>
      <c r="BJ618"/>
      <c r="BK618">
        <v>1.4414</v>
      </c>
      <c r="BL618"/>
      <c r="BM618">
        <v>63.305999999999997</v>
      </c>
      <c r="BN618"/>
      <c r="BO618">
        <v>20.242000000000001</v>
      </c>
      <c r="BP618"/>
      <c r="BQ618">
        <v>8.5541999999999998</v>
      </c>
      <c r="BR618"/>
      <c r="BS618">
        <v>51.100999999999999</v>
      </c>
      <c r="BT618"/>
      <c r="BU618">
        <v>16.997</v>
      </c>
      <c r="BV618"/>
      <c r="BW618" s="325">
        <v>11.72</v>
      </c>
      <c r="BX618"/>
      <c r="BY618">
        <v>6.8119999999999976</v>
      </c>
      <c r="BZ618"/>
      <c r="CA618"/>
      <c r="CC618">
        <v>8.07</v>
      </c>
      <c r="CD618"/>
      <c r="CE618"/>
      <c r="CF618"/>
      <c r="CG618"/>
      <c r="CH618"/>
      <c r="CI618"/>
      <c r="CJ618"/>
      <c r="CK618"/>
      <c r="CL618"/>
      <c r="CM618"/>
    </row>
    <row r="619" spans="1:91">
      <c r="A619" s="327" t="s">
        <v>7780</v>
      </c>
      <c r="B619" s="328" t="s">
        <v>8289</v>
      </c>
      <c r="C619" s="328">
        <v>2</v>
      </c>
      <c r="D619" s="328">
        <v>859</v>
      </c>
      <c r="E619" s="113">
        <v>59</v>
      </c>
      <c r="F619" s="113">
        <v>8</v>
      </c>
      <c r="G619" s="329"/>
      <c r="H619" s="329"/>
      <c r="I619" s="328">
        <v>34.5</v>
      </c>
      <c r="J619" s="330"/>
      <c r="K619" s="331">
        <v>8</v>
      </c>
      <c r="L619" s="331"/>
      <c r="M619" s="328">
        <v>2.69</v>
      </c>
      <c r="N619" s="331"/>
      <c r="O619" s="328"/>
      <c r="P619" s="328"/>
      <c r="Q619" s="328"/>
      <c r="R619" s="332"/>
      <c r="S619" s="331">
        <v>11.107349137665</v>
      </c>
      <c r="T619" s="331"/>
      <c r="U619" s="328">
        <v>10.8</v>
      </c>
      <c r="V619" s="328"/>
      <c r="W619" s="328"/>
      <c r="X619" s="328"/>
      <c r="Y619" s="333">
        <v>5.1753777000000003</v>
      </c>
      <c r="Z619" s="331"/>
      <c r="AA619" s="334">
        <v>50384.615384615383</v>
      </c>
      <c r="AB619" s="331"/>
      <c r="AC619" s="333">
        <v>23.2201299</v>
      </c>
      <c r="AD619" s="331"/>
      <c r="AE619" s="331">
        <v>24.89</v>
      </c>
      <c r="AF619" s="331"/>
      <c r="AG619" s="328">
        <v>4.9400000000000004</v>
      </c>
      <c r="AH619" s="328"/>
      <c r="AI619" s="328">
        <v>100</v>
      </c>
      <c r="AJ619" s="328"/>
      <c r="AK619" s="328"/>
      <c r="AL619" s="328"/>
      <c r="AM619" s="328"/>
      <c r="AN619" s="328"/>
      <c r="AO619" s="328">
        <v>81</v>
      </c>
      <c r="AP619" s="328"/>
      <c r="AQ619" s="335"/>
      <c r="AR619" s="335"/>
      <c r="AS619" s="328">
        <v>114</v>
      </c>
      <c r="AT619" s="328"/>
      <c r="AU619" s="328"/>
      <c r="AV619" s="328"/>
      <c r="AW619" s="328"/>
      <c r="AX619" s="328"/>
      <c r="AY619" s="328"/>
      <c r="AZ619" s="328"/>
      <c r="BA619" s="328"/>
      <c r="BB619" s="328"/>
      <c r="BC619" s="328"/>
      <c r="BD619" s="328"/>
      <c r="BE619" s="328"/>
      <c r="BF619" s="328"/>
      <c r="BG619" s="328">
        <v>-6.3772999999999996E-2</v>
      </c>
      <c r="BH619" s="328"/>
      <c r="BI619" s="328">
        <v>4.4451999999999998</v>
      </c>
      <c r="BJ619" s="328"/>
      <c r="BK619" s="328">
        <v>1.6138999999999999</v>
      </c>
      <c r="BL619" s="328"/>
      <c r="BM619" s="328">
        <v>66.588999999999999</v>
      </c>
      <c r="BN619" s="328"/>
      <c r="BO619" s="328">
        <v>19.204999999999998</v>
      </c>
      <c r="BP619" s="328"/>
      <c r="BQ619" s="328">
        <v>8.1300000000000008</v>
      </c>
      <c r="BR619" s="328"/>
      <c r="BS619" s="328">
        <v>47.835000000000001</v>
      </c>
      <c r="BT619" s="328"/>
      <c r="BU619" s="328">
        <v>19.265999999999998</v>
      </c>
      <c r="BV619" s="328"/>
      <c r="BW619" s="336">
        <v>3.96</v>
      </c>
      <c r="BX619" s="328"/>
      <c r="BY619" s="328">
        <v>7.2189999999999941</v>
      </c>
      <c r="BZ619" s="328"/>
      <c r="CA619" s="328"/>
      <c r="CB619" s="337"/>
      <c r="CC619" s="328">
        <v>9.06</v>
      </c>
      <c r="CD619" s="328"/>
      <c r="CE619" s="328"/>
      <c r="CF619" s="328"/>
      <c r="CG619" s="328"/>
      <c r="CH619" s="328"/>
      <c r="CI619" s="328"/>
      <c r="CJ619" s="328"/>
      <c r="CK619" s="328" t="s">
        <v>8377</v>
      </c>
      <c r="CL619" s="328"/>
      <c r="CM619" s="328"/>
    </row>
    <row r="620" spans="1:91">
      <c r="A620" s="154" t="s">
        <v>7780</v>
      </c>
      <c r="B620" t="s">
        <v>8289</v>
      </c>
      <c r="C620">
        <v>1</v>
      </c>
      <c r="D620">
        <v>1102</v>
      </c>
      <c r="E620" s="113">
        <v>2</v>
      </c>
      <c r="F620" s="113">
        <v>11</v>
      </c>
      <c r="I620">
        <v>32</v>
      </c>
      <c r="K620" s="320">
        <v>9</v>
      </c>
      <c r="L620" s="320"/>
      <c r="M620">
        <v>4.41</v>
      </c>
      <c r="N620" s="320"/>
      <c r="O620"/>
      <c r="P620"/>
      <c r="Q620"/>
      <c r="S620" s="320" t="s">
        <v>8361</v>
      </c>
      <c r="T620" s="320"/>
      <c r="U620">
        <v>10.8</v>
      </c>
      <c r="V620"/>
      <c r="W620"/>
      <c r="X620"/>
      <c r="Y620" s="321">
        <v>0</v>
      </c>
      <c r="Z620" s="320"/>
      <c r="AA620" s="322">
        <v>90851.52838427946</v>
      </c>
      <c r="AB620" s="320"/>
      <c r="AC620" s="321" t="s">
        <v>8361</v>
      </c>
      <c r="AD620" s="320"/>
      <c r="AE620" s="320">
        <v>41.61</v>
      </c>
      <c r="AF620" s="320"/>
      <c r="AG620">
        <v>4.58</v>
      </c>
      <c r="AH620"/>
      <c r="AI620">
        <v>130</v>
      </c>
      <c r="AJ620"/>
      <c r="AK620"/>
      <c r="AL620"/>
      <c r="AM620"/>
      <c r="AN620"/>
      <c r="AO620">
        <v>79</v>
      </c>
      <c r="AP620"/>
      <c r="AQ620" s="323"/>
      <c r="AR620" s="323"/>
      <c r="AS620">
        <v>112</v>
      </c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>
        <v>1.2131000000000001</v>
      </c>
      <c r="BH620"/>
      <c r="BI620">
        <v>4.3975</v>
      </c>
      <c r="BJ620"/>
      <c r="BK620">
        <v>1.4941</v>
      </c>
      <c r="BL620"/>
      <c r="BM620">
        <v>65.03</v>
      </c>
      <c r="BN620"/>
      <c r="BO620">
        <v>19.571999999999999</v>
      </c>
      <c r="BP620"/>
      <c r="BQ620">
        <v>8.2628000000000004</v>
      </c>
      <c r="BR620"/>
      <c r="BS620">
        <v>50.61</v>
      </c>
      <c r="BT620"/>
      <c r="BU620">
        <v>18.021999999999998</v>
      </c>
      <c r="BV620"/>
      <c r="BW620" s="325">
        <v>14.54</v>
      </c>
      <c r="BX620"/>
      <c r="BY620">
        <v>6.804000000000002</v>
      </c>
      <c r="BZ620"/>
      <c r="CA620"/>
      <c r="CC620">
        <v>7.28</v>
      </c>
      <c r="CD620"/>
      <c r="CE620"/>
      <c r="CF620"/>
      <c r="CG620"/>
      <c r="CH620"/>
      <c r="CI620"/>
      <c r="CJ620"/>
      <c r="CK620"/>
      <c r="CL620"/>
      <c r="CM620"/>
    </row>
    <row r="621" spans="1:91">
      <c r="A621" s="154" t="s">
        <v>7780</v>
      </c>
      <c r="B621" t="s">
        <v>8287</v>
      </c>
      <c r="C621">
        <v>2</v>
      </c>
      <c r="D621">
        <v>1450</v>
      </c>
      <c r="E621" s="113">
        <v>50</v>
      </c>
      <c r="F621" s="113">
        <v>14</v>
      </c>
      <c r="I621">
        <v>25</v>
      </c>
      <c r="K621" s="320">
        <v>9</v>
      </c>
      <c r="L621" s="320"/>
      <c r="M621">
        <v>3.84</v>
      </c>
      <c r="N621" s="320"/>
      <c r="O621"/>
      <c r="P621"/>
      <c r="Q621"/>
      <c r="S621" s="320">
        <v>17.587070049472</v>
      </c>
      <c r="T621" s="320"/>
      <c r="U621">
        <v>10.8</v>
      </c>
      <c r="V621"/>
      <c r="W621"/>
      <c r="X621"/>
      <c r="Y621" s="321">
        <v>7.1914791999999998</v>
      </c>
      <c r="Z621" s="320"/>
      <c r="AA621" s="322">
        <v>85707.656612529012</v>
      </c>
      <c r="AB621" s="320"/>
      <c r="AC621" s="321">
        <v>34.711779200000002</v>
      </c>
      <c r="AD621" s="320"/>
      <c r="AE621" s="320">
        <v>36.94</v>
      </c>
      <c r="AF621" s="320"/>
      <c r="AG621">
        <v>4.3099999999999996</v>
      </c>
      <c r="AH621"/>
      <c r="AI621">
        <v>125</v>
      </c>
      <c r="AJ621"/>
      <c r="AK621"/>
      <c r="AL621"/>
      <c r="AM621"/>
      <c r="AN621"/>
      <c r="AO621">
        <v>77</v>
      </c>
      <c r="AP621"/>
      <c r="AQ621" s="323"/>
      <c r="AR621" s="323"/>
      <c r="AS621">
        <v>112</v>
      </c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>
        <v>2.6198999999999999</v>
      </c>
      <c r="BH621"/>
      <c r="BI621">
        <v>4.2801999999999998</v>
      </c>
      <c r="BJ621"/>
      <c r="BK621">
        <v>1.4742999999999999</v>
      </c>
      <c r="BL621"/>
      <c r="BM621">
        <v>62.997</v>
      </c>
      <c r="BN621"/>
      <c r="BO621">
        <v>20.491</v>
      </c>
      <c r="BP621"/>
      <c r="BQ621">
        <v>7.7020999999999997</v>
      </c>
      <c r="BR621"/>
      <c r="BS621">
        <v>50.665999999999997</v>
      </c>
      <c r="BT621"/>
      <c r="BU621">
        <v>17.268000000000001</v>
      </c>
      <c r="BV621"/>
      <c r="BW621" s="325">
        <v>6.87</v>
      </c>
      <c r="BX621"/>
      <c r="BY621">
        <v>6.4150000000000063</v>
      </c>
      <c r="BZ621"/>
      <c r="CA621"/>
      <c r="CC621">
        <v>5.45</v>
      </c>
      <c r="CD621"/>
      <c r="CE621"/>
      <c r="CF621"/>
      <c r="CG621"/>
      <c r="CH621"/>
      <c r="CI621"/>
      <c r="CJ621"/>
      <c r="CK621"/>
      <c r="CL621"/>
      <c r="CM621"/>
    </row>
    <row r="622" spans="1:91">
      <c r="A622" s="154" t="s">
        <v>7781</v>
      </c>
      <c r="B622" t="s">
        <v>8289</v>
      </c>
      <c r="C622">
        <v>2</v>
      </c>
      <c r="D622">
        <v>445</v>
      </c>
      <c r="E622" s="113">
        <v>45</v>
      </c>
      <c r="F622" s="113">
        <v>4</v>
      </c>
      <c r="I622">
        <v>26.499999999999996</v>
      </c>
      <c r="K622" s="320">
        <v>8</v>
      </c>
      <c r="L622" s="320"/>
      <c r="M622">
        <v>4.33</v>
      </c>
      <c r="N622" s="320"/>
      <c r="O622"/>
      <c r="P622"/>
      <c r="Q622"/>
      <c r="S622" s="320">
        <v>20.157605945160004</v>
      </c>
      <c r="T622" s="320"/>
      <c r="U622">
        <v>10.8</v>
      </c>
      <c r="V622"/>
      <c r="W622"/>
      <c r="X622"/>
      <c r="Y622" s="321">
        <v>7.6738074000000003</v>
      </c>
      <c r="Z622" s="320"/>
      <c r="AA622" s="322">
        <v>99785.202863961807</v>
      </c>
      <c r="AB622" s="320"/>
      <c r="AC622" s="321">
        <v>39.117436000000005</v>
      </c>
      <c r="AD622" s="320"/>
      <c r="AE622" s="320">
        <v>41.81</v>
      </c>
      <c r="AF622" s="320"/>
      <c r="AG622">
        <v>4.1900000000000004</v>
      </c>
      <c r="AH622"/>
      <c r="AI622">
        <v>125</v>
      </c>
      <c r="AJ622"/>
      <c r="AK622"/>
      <c r="AL622"/>
      <c r="AM622"/>
      <c r="AN622"/>
      <c r="AO622">
        <v>77</v>
      </c>
      <c r="AP622"/>
      <c r="AQ622" s="323"/>
      <c r="AR622" s="323"/>
      <c r="AS622">
        <v>112</v>
      </c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>
        <v>-1.4665999999999999</v>
      </c>
      <c r="BH622"/>
      <c r="BI622">
        <v>4.7465000000000002</v>
      </c>
      <c r="BJ622"/>
      <c r="BK622">
        <v>1.5358000000000001</v>
      </c>
      <c r="BL622"/>
      <c r="BM622">
        <v>62.072000000000003</v>
      </c>
      <c r="BN622"/>
      <c r="BO622">
        <v>20.474</v>
      </c>
      <c r="BP622"/>
      <c r="BQ622">
        <v>10.172000000000001</v>
      </c>
      <c r="BR622"/>
      <c r="BS622">
        <v>51.530999999999999</v>
      </c>
      <c r="BT622"/>
      <c r="BU622">
        <v>17.620999999999999</v>
      </c>
      <c r="BV622"/>
      <c r="BW622" s="325">
        <v>6.11</v>
      </c>
      <c r="BX622"/>
      <c r="BY622">
        <v>6.215999999999994</v>
      </c>
      <c r="BZ622"/>
      <c r="CA622"/>
      <c r="CC622">
        <v>5.0999999999999996</v>
      </c>
      <c r="CD622"/>
      <c r="CE622"/>
      <c r="CF622"/>
      <c r="CG622"/>
      <c r="CH622"/>
      <c r="CI622"/>
      <c r="CJ622"/>
      <c r="CK622"/>
      <c r="CL622"/>
      <c r="CM622"/>
    </row>
    <row r="623" spans="1:91">
      <c r="A623" s="154" t="s">
        <v>7781</v>
      </c>
      <c r="B623" t="s">
        <v>8287</v>
      </c>
      <c r="C623">
        <v>1</v>
      </c>
      <c r="D623">
        <v>528</v>
      </c>
      <c r="E623" s="113">
        <v>28</v>
      </c>
      <c r="F623" s="113">
        <v>5</v>
      </c>
      <c r="I623">
        <v>27.999999999999996</v>
      </c>
      <c r="K623" s="320">
        <v>8</v>
      </c>
      <c r="L623" s="320"/>
      <c r="M623">
        <v>3.6</v>
      </c>
      <c r="N623" s="320"/>
      <c r="O623"/>
      <c r="P623"/>
      <c r="Q623"/>
      <c r="S623" s="320">
        <v>16.749071908799998</v>
      </c>
      <c r="T623" s="320"/>
      <c r="U623">
        <v>10.8</v>
      </c>
      <c r="V623"/>
      <c r="W623"/>
      <c r="X623"/>
      <c r="Y623" s="321">
        <v>5.3423349</v>
      </c>
      <c r="Z623" s="320"/>
      <c r="AA623" s="322">
        <v>78524.590163934437</v>
      </c>
      <c r="AB623" s="320"/>
      <c r="AC623" s="321">
        <v>31.3653032</v>
      </c>
      <c r="AD623" s="320"/>
      <c r="AE623" s="320">
        <v>33.53</v>
      </c>
      <c r="AF623" s="320"/>
      <c r="AG623">
        <v>4.2699999999999996</v>
      </c>
      <c r="AH623"/>
      <c r="AI623">
        <v>135</v>
      </c>
      <c r="AJ623"/>
      <c r="AK623"/>
      <c r="AL623"/>
      <c r="AM623"/>
      <c r="AN623"/>
      <c r="AO623">
        <v>77</v>
      </c>
      <c r="AP623"/>
      <c r="AQ623" s="323"/>
      <c r="AR623" s="323"/>
      <c r="AS623">
        <v>112</v>
      </c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>
        <v>-1.2684</v>
      </c>
      <c r="BH623"/>
      <c r="BI623">
        <v>4.4997999999999996</v>
      </c>
      <c r="BJ623"/>
      <c r="BK623">
        <v>1.5463</v>
      </c>
      <c r="BL623"/>
      <c r="BM623">
        <v>65.551000000000002</v>
      </c>
      <c r="BN623"/>
      <c r="BO623">
        <v>19.934999999999999</v>
      </c>
      <c r="BP623"/>
      <c r="BQ623">
        <v>9.3986999999999998</v>
      </c>
      <c r="BR623"/>
      <c r="BS623">
        <v>53.4</v>
      </c>
      <c r="BT623"/>
      <c r="BU623">
        <v>16.289000000000001</v>
      </c>
      <c r="BV623"/>
      <c r="BW623" s="325">
        <v>4.5599999999999996</v>
      </c>
      <c r="BX623"/>
      <c r="BY623">
        <v>6.3810000000000002</v>
      </c>
      <c r="BZ623"/>
      <c r="CA623"/>
      <c r="CC623">
        <v>8.4499999999999993</v>
      </c>
      <c r="CD623"/>
      <c r="CE623"/>
      <c r="CF623"/>
      <c r="CG623"/>
      <c r="CH623"/>
      <c r="CI623"/>
      <c r="CJ623"/>
      <c r="CK623"/>
      <c r="CL623"/>
      <c r="CM623"/>
    </row>
    <row r="624" spans="1:91">
      <c r="A624" s="154" t="s">
        <v>7781</v>
      </c>
      <c r="B624" t="s">
        <v>8287</v>
      </c>
      <c r="C624">
        <v>2</v>
      </c>
      <c r="D624">
        <v>1167</v>
      </c>
      <c r="E624" s="113">
        <v>67</v>
      </c>
      <c r="F624" s="113">
        <v>11</v>
      </c>
      <c r="I624">
        <v>32</v>
      </c>
      <c r="K624" s="320">
        <v>9</v>
      </c>
      <c r="L624" s="320"/>
      <c r="M624">
        <v>3.31</v>
      </c>
      <c r="N624" s="320"/>
      <c r="O624"/>
      <c r="P624"/>
      <c r="Q624"/>
      <c r="S624" s="320">
        <v>15.321368422880001</v>
      </c>
      <c r="T624" s="320"/>
      <c r="U624">
        <v>10.8</v>
      </c>
      <c r="V624"/>
      <c r="W624"/>
      <c r="X624"/>
      <c r="Y624" s="321">
        <v>5.1957225999999999</v>
      </c>
      <c r="Z624" s="320"/>
      <c r="AA624" s="322">
        <v>78172.839506172837</v>
      </c>
      <c r="AB624" s="320"/>
      <c r="AC624" s="321">
        <v>29.6122312</v>
      </c>
      <c r="AD624" s="320"/>
      <c r="AE624" s="320">
        <v>31.66</v>
      </c>
      <c r="AF624" s="320"/>
      <c r="AG624">
        <v>4.05</v>
      </c>
      <c r="AH624"/>
      <c r="AI624">
        <v>125</v>
      </c>
      <c r="AJ624"/>
      <c r="AK624"/>
      <c r="AL624"/>
      <c r="AM624"/>
      <c r="AN624"/>
      <c r="AO624">
        <v>72</v>
      </c>
      <c r="AP624"/>
      <c r="AQ624" s="323"/>
      <c r="AR624" s="323"/>
      <c r="AS624">
        <v>112</v>
      </c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>
        <v>5.6070000000000002</v>
      </c>
      <c r="BH624"/>
      <c r="BI624">
        <v>4.6798999999999999</v>
      </c>
      <c r="BJ624"/>
      <c r="BK624">
        <v>1.5107999999999999</v>
      </c>
      <c r="BL624"/>
      <c r="BM624">
        <v>58.996000000000002</v>
      </c>
      <c r="BN624"/>
      <c r="BO624">
        <v>20.558</v>
      </c>
      <c r="BP624"/>
      <c r="BQ624">
        <v>10.348000000000001</v>
      </c>
      <c r="BR624"/>
      <c r="BS624">
        <v>51.74</v>
      </c>
      <c r="BT624"/>
      <c r="BU624">
        <v>16.952999999999999</v>
      </c>
      <c r="BV624"/>
      <c r="BW624" s="325">
        <v>3.5</v>
      </c>
      <c r="BX624"/>
      <c r="BY624">
        <v>6.5520000000000067</v>
      </c>
      <c r="BZ624"/>
      <c r="CA624"/>
      <c r="CC624">
        <v>5.99</v>
      </c>
      <c r="CD624"/>
      <c r="CE624"/>
      <c r="CF624"/>
      <c r="CG624"/>
      <c r="CH624"/>
      <c r="CI624"/>
      <c r="CJ624"/>
      <c r="CK624"/>
      <c r="CL624"/>
      <c r="CM624"/>
    </row>
    <row r="625" spans="1:91">
      <c r="A625" s="154" t="s">
        <v>7781</v>
      </c>
      <c r="B625" t="s">
        <v>8289</v>
      </c>
      <c r="C625">
        <v>1</v>
      </c>
      <c r="D625">
        <v>1406</v>
      </c>
      <c r="E625" s="113">
        <v>6</v>
      </c>
      <c r="F625" s="113">
        <v>14</v>
      </c>
      <c r="I625">
        <v>23.999999999999996</v>
      </c>
      <c r="K625" s="320">
        <v>9</v>
      </c>
      <c r="L625" s="320"/>
      <c r="M625">
        <v>3.73</v>
      </c>
      <c r="N625" s="320"/>
      <c r="O625"/>
      <c r="P625"/>
      <c r="Q625"/>
      <c r="S625" s="320">
        <v>16.567885907803998</v>
      </c>
      <c r="T625" s="320"/>
      <c r="U625">
        <v>10.8</v>
      </c>
      <c r="V625"/>
      <c r="W625"/>
      <c r="X625"/>
      <c r="Y625" s="321">
        <v>6.4864037999999997</v>
      </c>
      <c r="Z625" s="320"/>
      <c r="AA625" s="322">
        <v>87648.514851485132</v>
      </c>
      <c r="AB625" s="320"/>
      <c r="AC625" s="321">
        <v>33.153674799999997</v>
      </c>
      <c r="AD625" s="320"/>
      <c r="AE625" s="320">
        <v>35.409999999999997</v>
      </c>
      <c r="AF625" s="320"/>
      <c r="AG625">
        <v>4.04</v>
      </c>
      <c r="AH625"/>
      <c r="AI625">
        <v>125</v>
      </c>
      <c r="AJ625"/>
      <c r="AK625"/>
      <c r="AL625"/>
      <c r="AM625"/>
      <c r="AN625"/>
      <c r="AO625">
        <v>77</v>
      </c>
      <c r="AP625"/>
      <c r="AQ625" s="323"/>
      <c r="AR625" s="323"/>
      <c r="AS625">
        <v>112</v>
      </c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>
        <v>1.0377000000000001</v>
      </c>
      <c r="BH625"/>
      <c r="BI625">
        <v>4.5003000000000002</v>
      </c>
      <c r="BJ625"/>
      <c r="BK625">
        <v>1.5139</v>
      </c>
      <c r="BL625"/>
      <c r="BM625">
        <v>61.713000000000001</v>
      </c>
      <c r="BN625"/>
      <c r="BO625">
        <v>20.478999999999999</v>
      </c>
      <c r="BP625"/>
      <c r="BQ625">
        <v>10.66</v>
      </c>
      <c r="BR625"/>
      <c r="BS625">
        <v>49.972999999999999</v>
      </c>
      <c r="BT625"/>
      <c r="BU625">
        <v>18.654</v>
      </c>
      <c r="BV625"/>
      <c r="BW625" s="325">
        <v>4.28</v>
      </c>
      <c r="BX625"/>
      <c r="BY625">
        <v>6.2249999999999943</v>
      </c>
      <c r="BZ625"/>
      <c r="CA625"/>
      <c r="CC625">
        <v>6.7</v>
      </c>
      <c r="CD625"/>
      <c r="CE625"/>
      <c r="CF625"/>
      <c r="CG625"/>
      <c r="CH625"/>
      <c r="CI625"/>
      <c r="CJ625"/>
      <c r="CK625"/>
      <c r="CL625"/>
      <c r="CM625"/>
    </row>
    <row r="626" spans="1:91">
      <c r="A626" s="154" t="s">
        <v>7782</v>
      </c>
      <c r="B626" t="s">
        <v>8289</v>
      </c>
      <c r="C626">
        <v>2</v>
      </c>
      <c r="D626">
        <v>546</v>
      </c>
      <c r="E626" s="113">
        <v>46</v>
      </c>
      <c r="F626" s="113">
        <v>5</v>
      </c>
      <c r="I626">
        <v>31</v>
      </c>
      <c r="K626" s="320">
        <v>8</v>
      </c>
      <c r="L626" s="320"/>
      <c r="M626">
        <v>3.53</v>
      </c>
      <c r="N626" s="320"/>
      <c r="O626"/>
      <c r="P626"/>
      <c r="Q626"/>
      <c r="S626" s="320">
        <v>14.983068651408002</v>
      </c>
      <c r="T626" s="320"/>
      <c r="U626">
        <v>10.8</v>
      </c>
      <c r="V626"/>
      <c r="W626"/>
      <c r="X626"/>
      <c r="Y626" s="321">
        <v>6.543414900000001</v>
      </c>
      <c r="Z626" s="320"/>
      <c r="AA626" s="322">
        <v>80736.34204275535</v>
      </c>
      <c r="AB626" s="320"/>
      <c r="AC626" s="321">
        <v>31.803083400000002</v>
      </c>
      <c r="AD626" s="320"/>
      <c r="AE626" s="320">
        <v>33.99</v>
      </c>
      <c r="AF626" s="320"/>
      <c r="AG626">
        <v>4.21</v>
      </c>
      <c r="AH626"/>
      <c r="AI626">
        <v>128</v>
      </c>
      <c r="AJ626"/>
      <c r="AK626"/>
      <c r="AL626"/>
      <c r="AM626"/>
      <c r="AN626"/>
      <c r="AO626">
        <v>77</v>
      </c>
      <c r="AP626"/>
      <c r="AQ626" s="323"/>
      <c r="AR626" s="323"/>
      <c r="AS626">
        <v>114</v>
      </c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>
        <v>-0.83758999999999995</v>
      </c>
      <c r="BH626"/>
      <c r="BI626">
        <v>4.3703000000000003</v>
      </c>
      <c r="BJ626"/>
      <c r="BK626">
        <v>1.5156000000000001</v>
      </c>
      <c r="BL626"/>
      <c r="BM626">
        <v>66.162000000000006</v>
      </c>
      <c r="BN626"/>
      <c r="BO626">
        <v>19.050999999999998</v>
      </c>
      <c r="BP626"/>
      <c r="BQ626">
        <v>9.5526999999999997</v>
      </c>
      <c r="BR626"/>
      <c r="BS626">
        <v>47.112000000000002</v>
      </c>
      <c r="BT626"/>
      <c r="BU626">
        <v>20.523</v>
      </c>
      <c r="BV626"/>
      <c r="BW626" s="325">
        <v>9.36</v>
      </c>
      <c r="BX626"/>
      <c r="BY626">
        <v>6.3100000000000023</v>
      </c>
      <c r="BZ626"/>
      <c r="CA626"/>
      <c r="CC626">
        <v>5.38</v>
      </c>
      <c r="CD626"/>
      <c r="CE626"/>
      <c r="CF626"/>
      <c r="CG626"/>
      <c r="CH626"/>
      <c r="CI626"/>
      <c r="CJ626"/>
      <c r="CK626"/>
      <c r="CL626"/>
      <c r="CM626"/>
    </row>
    <row r="627" spans="1:91">
      <c r="A627" s="327" t="s">
        <v>7782</v>
      </c>
      <c r="B627" s="328" t="s">
        <v>8287</v>
      </c>
      <c r="C627" s="328">
        <v>1</v>
      </c>
      <c r="D627" s="328">
        <v>918</v>
      </c>
      <c r="E627" s="113">
        <v>18</v>
      </c>
      <c r="F627" s="113">
        <v>9</v>
      </c>
      <c r="G627" s="329"/>
      <c r="H627" s="329"/>
      <c r="I627" s="328">
        <v>23.5</v>
      </c>
      <c r="J627" s="330"/>
      <c r="K627" s="331">
        <v>7</v>
      </c>
      <c r="L627" s="331"/>
      <c r="M627" s="328">
        <v>1.64</v>
      </c>
      <c r="N627" s="331"/>
      <c r="O627" s="328"/>
      <c r="P627" s="328"/>
      <c r="Q627" s="328"/>
      <c r="R627" s="332"/>
      <c r="S627" s="331">
        <v>7.4015064385649998</v>
      </c>
      <c r="T627" s="331"/>
      <c r="U627" s="328">
        <v>10.8</v>
      </c>
      <c r="V627" s="328"/>
      <c r="W627" s="328"/>
      <c r="X627" s="328"/>
      <c r="Y627" s="333">
        <v>3.0691885999999999</v>
      </c>
      <c r="Z627" s="331"/>
      <c r="AA627" s="334">
        <v>38436.72456575682</v>
      </c>
      <c r="AB627" s="331"/>
      <c r="AC627" s="333">
        <v>14.4659561</v>
      </c>
      <c r="AD627" s="331"/>
      <c r="AE627" s="331">
        <v>15.49</v>
      </c>
      <c r="AF627" s="331"/>
      <c r="AG627" s="328">
        <v>4.03</v>
      </c>
      <c r="AH627" s="328"/>
      <c r="AI627" s="328"/>
      <c r="AJ627" s="328"/>
      <c r="AK627" s="328"/>
      <c r="AL627" s="328"/>
      <c r="AM627" s="328"/>
      <c r="AN627" s="328"/>
      <c r="AO627" s="328">
        <v>81</v>
      </c>
      <c r="AP627" s="328"/>
      <c r="AQ627" s="335"/>
      <c r="AR627" s="335"/>
      <c r="AS627" s="328">
        <v>116</v>
      </c>
      <c r="AT627" s="328"/>
      <c r="AU627" s="328"/>
      <c r="AV627" s="328"/>
      <c r="AW627" s="328"/>
      <c r="AX627" s="328"/>
      <c r="AY627" s="328"/>
      <c r="AZ627" s="328"/>
      <c r="BA627" s="328"/>
      <c r="BB627" s="328"/>
      <c r="BC627" s="328"/>
      <c r="BD627" s="328"/>
      <c r="BE627" s="328"/>
      <c r="BF627" s="328"/>
      <c r="BG627" s="328">
        <v>1.6639999999999999</v>
      </c>
      <c r="BH627" s="328"/>
      <c r="BI627" s="328">
        <v>4.6186999999999996</v>
      </c>
      <c r="BJ627" s="328"/>
      <c r="BK627" s="328">
        <v>1.5878000000000001</v>
      </c>
      <c r="BL627" s="328"/>
      <c r="BM627" s="328">
        <v>66.635000000000005</v>
      </c>
      <c r="BN627" s="328"/>
      <c r="BO627" s="328">
        <v>19.818000000000001</v>
      </c>
      <c r="BP627" s="328"/>
      <c r="BQ627" s="328">
        <v>7.4795999999999996</v>
      </c>
      <c r="BR627" s="328"/>
      <c r="BS627" s="328">
        <v>51.164999999999999</v>
      </c>
      <c r="BT627" s="328"/>
      <c r="BU627" s="328">
        <v>17.024999999999999</v>
      </c>
      <c r="BV627" s="328"/>
      <c r="BW627" s="336">
        <v>3.26</v>
      </c>
      <c r="BX627" s="328"/>
      <c r="BY627" s="328">
        <v>6.1580000000000013</v>
      </c>
      <c r="BZ627" s="328"/>
      <c r="CA627" s="328"/>
      <c r="CB627" s="337"/>
      <c r="CC627" s="328">
        <v>7.2</v>
      </c>
      <c r="CD627" s="328"/>
      <c r="CE627" s="328"/>
      <c r="CF627" s="328"/>
      <c r="CG627" s="328"/>
      <c r="CH627" s="328"/>
      <c r="CI627" s="328"/>
      <c r="CJ627" s="328"/>
      <c r="CK627" s="328" t="s">
        <v>8377</v>
      </c>
      <c r="CL627" s="328"/>
      <c r="CM627" s="328"/>
    </row>
    <row r="628" spans="1:91">
      <c r="A628" s="154" t="s">
        <v>7782</v>
      </c>
      <c r="B628" t="s">
        <v>8287</v>
      </c>
      <c r="C628">
        <v>2</v>
      </c>
      <c r="D628">
        <v>1065</v>
      </c>
      <c r="E628" s="113">
        <v>65</v>
      </c>
      <c r="F628" s="113">
        <v>10</v>
      </c>
      <c r="I628">
        <v>32</v>
      </c>
      <c r="K628" s="320">
        <v>9</v>
      </c>
      <c r="L628" s="320"/>
      <c r="M628">
        <v>3.65</v>
      </c>
      <c r="N628" s="320"/>
      <c r="O628"/>
      <c r="P628"/>
      <c r="Q628"/>
      <c r="S628" s="320">
        <v>15.519945225599999</v>
      </c>
      <c r="T628" s="320"/>
      <c r="U628">
        <v>10.8</v>
      </c>
      <c r="V628"/>
      <c r="W628"/>
      <c r="X628"/>
      <c r="Y628" s="321">
        <v>6.6067499999999999</v>
      </c>
      <c r="Z628" s="320"/>
      <c r="AA628" s="322">
        <v>90551.181102362199</v>
      </c>
      <c r="AB628" s="320"/>
      <c r="AC628" s="321">
        <v>32.108460000000001</v>
      </c>
      <c r="AD628" s="320"/>
      <c r="AE628" s="320">
        <v>34.5</v>
      </c>
      <c r="AF628" s="320"/>
      <c r="AG628">
        <v>3.81</v>
      </c>
      <c r="AH628"/>
      <c r="AI628">
        <v>115</v>
      </c>
      <c r="AJ628"/>
      <c r="AK628"/>
      <c r="AL628"/>
      <c r="AM628"/>
      <c r="AN628"/>
      <c r="AO628">
        <v>79</v>
      </c>
      <c r="AP628"/>
      <c r="AQ628" s="323"/>
      <c r="AR628" s="323"/>
      <c r="AS628">
        <v>112</v>
      </c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>
        <v>2.2513000000000001</v>
      </c>
      <c r="BH628"/>
      <c r="BI628">
        <v>4.3795000000000002</v>
      </c>
      <c r="BJ628"/>
      <c r="BK628">
        <v>1.5152000000000001</v>
      </c>
      <c r="BL628"/>
      <c r="BM628">
        <v>64.876999999999995</v>
      </c>
      <c r="BN628"/>
      <c r="BO628">
        <v>19.449000000000002</v>
      </c>
      <c r="BP628"/>
      <c r="BQ628">
        <v>9.2591000000000001</v>
      </c>
      <c r="BR628"/>
      <c r="BS628">
        <v>48.335999999999999</v>
      </c>
      <c r="BT628"/>
      <c r="BU628">
        <v>19.091000000000001</v>
      </c>
      <c r="BV628"/>
      <c r="BW628" s="325">
        <v>11.03</v>
      </c>
      <c r="BX628"/>
      <c r="BY628">
        <v>6.409000000000006</v>
      </c>
      <c r="BZ628"/>
      <c r="CA628"/>
      <c r="CC628">
        <v>7.11</v>
      </c>
      <c r="CD628"/>
      <c r="CE628"/>
      <c r="CF628"/>
      <c r="CG628"/>
      <c r="CH628"/>
      <c r="CI628"/>
      <c r="CJ628"/>
      <c r="CK628"/>
      <c r="CL628"/>
      <c r="CM628"/>
    </row>
    <row r="629" spans="1:91">
      <c r="A629" s="154" t="s">
        <v>7782</v>
      </c>
      <c r="B629" t="s">
        <v>8289</v>
      </c>
      <c r="C629">
        <v>1</v>
      </c>
      <c r="D629">
        <v>1131</v>
      </c>
      <c r="E629" s="113">
        <v>31</v>
      </c>
      <c r="F629" s="113">
        <v>11</v>
      </c>
      <c r="I629">
        <v>30.499999999999996</v>
      </c>
      <c r="K629" s="320">
        <v>9</v>
      </c>
      <c r="L629" s="320"/>
      <c r="M629">
        <v>3.42</v>
      </c>
      <c r="N629" s="320"/>
      <c r="O629"/>
      <c r="P629"/>
      <c r="Q629"/>
      <c r="S629" s="320">
        <v>13.786662210300001</v>
      </c>
      <c r="T629" s="320"/>
      <c r="U629">
        <v>10.8</v>
      </c>
      <c r="V629"/>
      <c r="W629"/>
      <c r="X629"/>
      <c r="Y629" s="321">
        <v>6.5374016999999993</v>
      </c>
      <c r="Z629" s="320"/>
      <c r="AA629" s="322">
        <v>79576.059850374077</v>
      </c>
      <c r="AB629" s="320"/>
      <c r="AC629" s="321">
        <v>29.724165000000003</v>
      </c>
      <c r="AD629" s="320"/>
      <c r="AE629" s="320">
        <v>31.91</v>
      </c>
      <c r="AF629" s="320"/>
      <c r="AG629">
        <v>4.01</v>
      </c>
      <c r="AH629"/>
      <c r="AI629">
        <v>133</v>
      </c>
      <c r="AJ629"/>
      <c r="AK629"/>
      <c r="AL629"/>
      <c r="AM629"/>
      <c r="AN629"/>
      <c r="AO629">
        <v>79</v>
      </c>
      <c r="AP629"/>
      <c r="AQ629" s="323"/>
      <c r="AR629" s="323"/>
      <c r="AS629">
        <v>112</v>
      </c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>
        <v>-7.6755000000000004E-2</v>
      </c>
      <c r="BH629"/>
      <c r="BI629">
        <v>4.2077999999999998</v>
      </c>
      <c r="BJ629"/>
      <c r="BK629">
        <v>1.5658000000000001</v>
      </c>
      <c r="BL629"/>
      <c r="BM629">
        <v>63.533000000000001</v>
      </c>
      <c r="BN629"/>
      <c r="BO629">
        <v>18.876000000000001</v>
      </c>
      <c r="BP629"/>
      <c r="BQ629">
        <v>9.6007999999999996</v>
      </c>
      <c r="BR629"/>
      <c r="BS629">
        <v>46.381999999999998</v>
      </c>
      <c r="BT629"/>
      <c r="BU629">
        <v>20.800999999999998</v>
      </c>
      <c r="BV629"/>
      <c r="BW629" s="325">
        <v>4.03</v>
      </c>
      <c r="BX629"/>
      <c r="BY629">
        <v>6.6949999999999932</v>
      </c>
      <c r="BZ629"/>
      <c r="CA629"/>
      <c r="CC629">
        <v>8.2899999999999991</v>
      </c>
      <c r="CD629"/>
      <c r="CE629"/>
      <c r="CF629"/>
      <c r="CG629"/>
      <c r="CH629"/>
      <c r="CI629"/>
      <c r="CJ629"/>
      <c r="CK629"/>
      <c r="CL629"/>
      <c r="CM629"/>
    </row>
    <row r="630" spans="1:91">
      <c r="A630" s="154" t="s">
        <v>7783</v>
      </c>
      <c r="B630" t="s">
        <v>8289</v>
      </c>
      <c r="C630">
        <v>2</v>
      </c>
      <c r="D630">
        <v>259</v>
      </c>
      <c r="E630" s="113">
        <v>59</v>
      </c>
      <c r="F630" s="113">
        <v>2</v>
      </c>
      <c r="I630">
        <v>29.999999999999996</v>
      </c>
      <c r="K630" s="320">
        <v>7</v>
      </c>
      <c r="L630" s="320"/>
      <c r="M630">
        <v>2.56</v>
      </c>
      <c r="N630" s="320"/>
      <c r="O630"/>
      <c r="P630"/>
      <c r="Q630"/>
      <c r="S630" s="320">
        <v>9.8602799859540013</v>
      </c>
      <c r="T630" s="320"/>
      <c r="U630">
        <v>10.8</v>
      </c>
      <c r="V630"/>
      <c r="W630"/>
      <c r="X630"/>
      <c r="Y630" s="321">
        <v>4.5936720000000006</v>
      </c>
      <c r="Z630" s="320"/>
      <c r="AA630" s="322">
        <v>44584.905660377364</v>
      </c>
      <c r="AB630" s="320"/>
      <c r="AC630" s="321">
        <v>22.107755400000002</v>
      </c>
      <c r="AD630" s="320"/>
      <c r="AE630" s="320">
        <v>23.63</v>
      </c>
      <c r="AF630" s="320"/>
      <c r="AG630">
        <v>5.3</v>
      </c>
      <c r="AH630"/>
      <c r="AI630">
        <v>100</v>
      </c>
      <c r="AJ630"/>
      <c r="AK630"/>
      <c r="AL630"/>
      <c r="AM630"/>
      <c r="AN630"/>
      <c r="AO630">
        <v>77</v>
      </c>
      <c r="AP630"/>
      <c r="AQ630" s="323"/>
      <c r="AR630" s="323"/>
      <c r="AS630">
        <v>112</v>
      </c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>
        <v>1.0397000000000001</v>
      </c>
      <c r="BH630"/>
      <c r="BI630">
        <v>4.694</v>
      </c>
      <c r="BJ630"/>
      <c r="BK630">
        <v>1.6153</v>
      </c>
      <c r="BL630"/>
      <c r="BM630">
        <v>62.375</v>
      </c>
      <c r="BN630"/>
      <c r="BO630">
        <v>19.29</v>
      </c>
      <c r="BP630"/>
      <c r="BQ630">
        <v>10.337999999999999</v>
      </c>
      <c r="BR630"/>
      <c r="BS630">
        <v>44.600999999999999</v>
      </c>
      <c r="BT630"/>
      <c r="BU630">
        <v>21.475000000000001</v>
      </c>
      <c r="BV630"/>
      <c r="BW630" s="325">
        <v>5.03</v>
      </c>
      <c r="BX630"/>
      <c r="BY630">
        <v>7.2150000000000034</v>
      </c>
      <c r="BZ630"/>
      <c r="CA630"/>
      <c r="CC630">
        <v>9.27</v>
      </c>
      <c r="CD630"/>
      <c r="CE630"/>
      <c r="CF630"/>
      <c r="CG630"/>
      <c r="CH630"/>
      <c r="CI630"/>
      <c r="CJ630"/>
      <c r="CK630"/>
      <c r="CL630"/>
      <c r="CM630"/>
    </row>
    <row r="631" spans="1:91">
      <c r="A631" s="327" t="s">
        <v>7783</v>
      </c>
      <c r="B631" s="328" t="s">
        <v>8287</v>
      </c>
      <c r="C631" s="328">
        <v>1</v>
      </c>
      <c r="D631" s="328">
        <v>809</v>
      </c>
      <c r="E631" s="113">
        <v>9</v>
      </c>
      <c r="F631" s="113">
        <v>8</v>
      </c>
      <c r="G631" s="329"/>
      <c r="H631" s="329"/>
      <c r="I631" s="328">
        <v>28.999999999999996</v>
      </c>
      <c r="J631" s="330"/>
      <c r="K631" s="331">
        <v>8</v>
      </c>
      <c r="L631" s="331"/>
      <c r="M631" s="328">
        <v>3.08</v>
      </c>
      <c r="N631" s="331"/>
      <c r="O631" s="328"/>
      <c r="P631" s="328"/>
      <c r="Q631" s="328"/>
      <c r="R631" s="332"/>
      <c r="S631" s="331">
        <v>14.165784711215998</v>
      </c>
      <c r="T631" s="331"/>
      <c r="U631" s="328">
        <v>10.8</v>
      </c>
      <c r="V631" s="328"/>
      <c r="W631" s="328"/>
      <c r="X631" s="328"/>
      <c r="Y631" s="333">
        <v>5.7112344000000004</v>
      </c>
      <c r="Z631" s="331"/>
      <c r="AA631" s="334">
        <v>61628.392484342374</v>
      </c>
      <c r="AB631" s="331"/>
      <c r="AC631" s="333">
        <v>27.494632799999998</v>
      </c>
      <c r="AD631" s="331"/>
      <c r="AE631" s="331">
        <v>29.52</v>
      </c>
      <c r="AF631" s="331"/>
      <c r="AG631" s="328">
        <v>4.79</v>
      </c>
      <c r="AH631" s="328"/>
      <c r="AI631" s="328">
        <v>115</v>
      </c>
      <c r="AJ631" s="328"/>
      <c r="AK631" s="328"/>
      <c r="AL631" s="328"/>
      <c r="AM631" s="328"/>
      <c r="AN631" s="328"/>
      <c r="AO631" s="328">
        <v>83</v>
      </c>
      <c r="AP631" s="328"/>
      <c r="AQ631" s="335"/>
      <c r="AR631" s="335"/>
      <c r="AS631" s="328">
        <v>112</v>
      </c>
      <c r="AT631" s="328"/>
      <c r="AU631" s="328"/>
      <c r="AV631" s="328"/>
      <c r="AW631" s="328"/>
      <c r="AX631" s="328"/>
      <c r="AY631" s="328"/>
      <c r="AZ631" s="328"/>
      <c r="BA631" s="328"/>
      <c r="BB631" s="328"/>
      <c r="BC631" s="328"/>
      <c r="BD631" s="328"/>
      <c r="BE631" s="328"/>
      <c r="BF631" s="328"/>
      <c r="BG631" s="328">
        <v>2.1791999999999998</v>
      </c>
      <c r="BH631" s="328"/>
      <c r="BI631" s="328">
        <v>4.3529999999999998</v>
      </c>
      <c r="BJ631" s="328"/>
      <c r="BK631" s="328">
        <v>1.5087999999999999</v>
      </c>
      <c r="BL631" s="328"/>
      <c r="BM631" s="328">
        <v>67.132000000000005</v>
      </c>
      <c r="BN631" s="328"/>
      <c r="BO631" s="328">
        <v>18.706</v>
      </c>
      <c r="BP631" s="328"/>
      <c r="BQ631" s="328">
        <v>9.7604000000000006</v>
      </c>
      <c r="BR631" s="328"/>
      <c r="BS631" s="328">
        <v>51.521999999999998</v>
      </c>
      <c r="BT631" s="328"/>
      <c r="BU631" s="328">
        <v>17.213999999999999</v>
      </c>
      <c r="BV631" s="328"/>
      <c r="BW631" s="336">
        <v>9.2100000000000009</v>
      </c>
      <c r="BX631" s="328"/>
      <c r="BY631" s="328">
        <v>6.7219999999999942</v>
      </c>
      <c r="BZ631" s="328"/>
      <c r="CA631" s="328"/>
      <c r="CB631" s="337"/>
      <c r="CC631" s="328">
        <v>5.79</v>
      </c>
      <c r="CD631" s="328"/>
      <c r="CE631" s="328"/>
      <c r="CF631" s="328"/>
      <c r="CG631" s="328"/>
      <c r="CH631" s="328"/>
      <c r="CI631" s="328"/>
      <c r="CJ631" s="328"/>
      <c r="CK631" s="328" t="s">
        <v>8377</v>
      </c>
      <c r="CL631" s="328"/>
      <c r="CM631" s="328"/>
    </row>
    <row r="632" spans="1:91">
      <c r="A632" s="154" t="s">
        <v>7783</v>
      </c>
      <c r="B632" t="s">
        <v>8287</v>
      </c>
      <c r="C632">
        <v>2</v>
      </c>
      <c r="D632">
        <v>1344</v>
      </c>
      <c r="E632" s="113">
        <v>44</v>
      </c>
      <c r="F632" s="113">
        <v>13</v>
      </c>
      <c r="I632">
        <v>27.499999999999996</v>
      </c>
      <c r="K632" s="320">
        <v>9</v>
      </c>
      <c r="L632" s="320"/>
      <c r="M632">
        <v>3.32</v>
      </c>
      <c r="N632" s="320"/>
      <c r="O632"/>
      <c r="P632"/>
      <c r="Q632"/>
      <c r="S632" s="320">
        <v>15.621200633776002</v>
      </c>
      <c r="T632" s="320"/>
      <c r="U632">
        <v>10.8</v>
      </c>
      <c r="V632"/>
      <c r="W632"/>
      <c r="X632"/>
      <c r="Y632" s="321">
        <v>6.4296159999999993</v>
      </c>
      <c r="Z632" s="320"/>
      <c r="AA632" s="322">
        <v>72443.438914027152</v>
      </c>
      <c r="AB632" s="320"/>
      <c r="AC632" s="321">
        <v>30.091115200000004</v>
      </c>
      <c r="AD632" s="320"/>
      <c r="AE632" s="320">
        <v>32.020000000000003</v>
      </c>
      <c r="AF632" s="320"/>
      <c r="AG632">
        <v>4.42</v>
      </c>
      <c r="AH632"/>
      <c r="AI632">
        <v>125</v>
      </c>
      <c r="AJ632"/>
      <c r="AK632"/>
      <c r="AL632"/>
      <c r="AM632"/>
      <c r="AN632"/>
      <c r="AO632">
        <v>77</v>
      </c>
      <c r="AP632"/>
      <c r="AQ632" s="323"/>
      <c r="AR632" s="323"/>
      <c r="AS632">
        <v>112</v>
      </c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>
        <v>-1.5698000000000001</v>
      </c>
      <c r="BH632"/>
      <c r="BI632">
        <v>4.5667</v>
      </c>
      <c r="BJ632"/>
      <c r="BK632">
        <v>1.4233</v>
      </c>
      <c r="BL632"/>
      <c r="BM632">
        <v>64.456999999999994</v>
      </c>
      <c r="BN632"/>
      <c r="BO632">
        <v>19.923999999999999</v>
      </c>
      <c r="BP632"/>
      <c r="BQ632">
        <v>10.279</v>
      </c>
      <c r="BR632"/>
      <c r="BS632">
        <v>51.912999999999997</v>
      </c>
      <c r="BT632"/>
      <c r="BU632">
        <v>16.588999999999999</v>
      </c>
      <c r="BV632"/>
      <c r="BW632" s="325">
        <v>5.79</v>
      </c>
      <c r="BX632"/>
      <c r="BY632">
        <v>6.3349999999999937</v>
      </c>
      <c r="BZ632"/>
      <c r="CA632"/>
      <c r="CC632">
        <v>5.22</v>
      </c>
      <c r="CD632"/>
      <c r="CE632"/>
      <c r="CF632"/>
      <c r="CG632"/>
      <c r="CH632"/>
      <c r="CI632"/>
      <c r="CJ632"/>
      <c r="CK632"/>
      <c r="CL632"/>
      <c r="CM632"/>
    </row>
    <row r="633" spans="1:91">
      <c r="A633" s="154" t="s">
        <v>7783</v>
      </c>
      <c r="B633" t="s">
        <v>8289</v>
      </c>
      <c r="C633">
        <v>1</v>
      </c>
      <c r="D633">
        <v>1626</v>
      </c>
      <c r="E633" s="113">
        <v>26</v>
      </c>
      <c r="F633" s="113">
        <v>16</v>
      </c>
      <c r="I633">
        <v>29.999999999999996</v>
      </c>
      <c r="K633" s="320">
        <v>8</v>
      </c>
      <c r="L633" s="320"/>
      <c r="M633">
        <v>4.08</v>
      </c>
      <c r="N633" s="320"/>
      <c r="O633"/>
      <c r="P633"/>
      <c r="Q633"/>
      <c r="S633" s="320">
        <v>16.096764010615999</v>
      </c>
      <c r="T633" s="320"/>
      <c r="U633">
        <v>10.8</v>
      </c>
      <c r="V633"/>
      <c r="W633"/>
      <c r="X633"/>
      <c r="Y633" s="321">
        <v>7.6417971999999983</v>
      </c>
      <c r="Z633" s="320"/>
      <c r="AA633" s="322">
        <v>82192.982456140366</v>
      </c>
      <c r="AB633" s="320"/>
      <c r="AC633" s="321">
        <v>34.828664799999999</v>
      </c>
      <c r="AD633" s="320"/>
      <c r="AE633" s="320">
        <v>37.479999999999997</v>
      </c>
      <c r="AF633" s="320"/>
      <c r="AG633">
        <v>4.5599999999999996</v>
      </c>
      <c r="AH633"/>
      <c r="AI633">
        <v>125</v>
      </c>
      <c r="AJ633"/>
      <c r="AK633"/>
      <c r="AL633"/>
      <c r="AM633"/>
      <c r="AN633"/>
      <c r="AO633">
        <v>77</v>
      </c>
      <c r="AP633"/>
      <c r="AQ633" s="323"/>
      <c r="AR633" s="323"/>
      <c r="AS633">
        <v>112</v>
      </c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>
        <v>0.55054000000000003</v>
      </c>
      <c r="BH633"/>
      <c r="BI633">
        <v>4.4766000000000004</v>
      </c>
      <c r="BJ633"/>
      <c r="BK633">
        <v>1.4904999999999999</v>
      </c>
      <c r="BL633"/>
      <c r="BM633">
        <v>60.365000000000002</v>
      </c>
      <c r="BN633"/>
      <c r="BO633">
        <v>20.802</v>
      </c>
      <c r="BP633"/>
      <c r="BQ633">
        <v>10.834</v>
      </c>
      <c r="BR633"/>
      <c r="BS633">
        <v>46.216999999999999</v>
      </c>
      <c r="BT633"/>
      <c r="BU633">
        <v>20.434000000000001</v>
      </c>
      <c r="BV633"/>
      <c r="BW633" s="325">
        <v>5.68</v>
      </c>
      <c r="BX633"/>
      <c r="BY633">
        <v>6.9759999999999991</v>
      </c>
      <c r="BZ633"/>
      <c r="CA633"/>
      <c r="CC633">
        <v>9.7100000000000009</v>
      </c>
      <c r="CD633"/>
      <c r="CE633"/>
      <c r="CF633"/>
      <c r="CG633"/>
      <c r="CH633"/>
      <c r="CI633"/>
      <c r="CJ633"/>
      <c r="CK633"/>
      <c r="CL633"/>
      <c r="CM633"/>
    </row>
    <row r="634" spans="1:91">
      <c r="A634" s="327" t="s">
        <v>7784</v>
      </c>
      <c r="B634" s="328" t="s">
        <v>8289</v>
      </c>
      <c r="C634" s="328">
        <v>2</v>
      </c>
      <c r="D634" s="328">
        <v>345</v>
      </c>
      <c r="E634" s="113">
        <v>45</v>
      </c>
      <c r="F634" s="113">
        <v>3</v>
      </c>
      <c r="G634" s="329"/>
      <c r="H634" s="329"/>
      <c r="I634" s="328">
        <v>30.499999999999996</v>
      </c>
      <c r="J634" s="330"/>
      <c r="K634" s="331">
        <v>8</v>
      </c>
      <c r="L634" s="331"/>
      <c r="M634" s="328">
        <v>3.92</v>
      </c>
      <c r="N634" s="331"/>
      <c r="O634" s="328"/>
      <c r="P634" s="328"/>
      <c r="Q634" s="328"/>
      <c r="R634" s="332"/>
      <c r="S634" s="331">
        <v>17.712011559984003</v>
      </c>
      <c r="T634" s="331"/>
      <c r="U634" s="328">
        <v>10.8</v>
      </c>
      <c r="V634" s="328"/>
      <c r="W634" s="328"/>
      <c r="X634" s="328"/>
      <c r="Y634" s="333">
        <v>6.6768678999999995</v>
      </c>
      <c r="Z634" s="331"/>
      <c r="AA634" s="334">
        <v>89597.156398104285</v>
      </c>
      <c r="AB634" s="331"/>
      <c r="AC634" s="333">
        <v>35.221149300000008</v>
      </c>
      <c r="AD634" s="331"/>
      <c r="AE634" s="331">
        <v>37.81</v>
      </c>
      <c r="AF634" s="331"/>
      <c r="AG634" s="328">
        <v>4.22</v>
      </c>
      <c r="AH634" s="328"/>
      <c r="AI634" s="328">
        <v>135</v>
      </c>
      <c r="AJ634" s="328"/>
      <c r="AK634" s="328"/>
      <c r="AL634" s="328"/>
      <c r="AM634" s="328"/>
      <c r="AN634" s="328"/>
      <c r="AO634" s="328">
        <v>72</v>
      </c>
      <c r="AP634" s="328"/>
      <c r="AQ634" s="335"/>
      <c r="AR634" s="335"/>
      <c r="AS634" s="328">
        <v>112</v>
      </c>
      <c r="AT634" s="328"/>
      <c r="AU634" s="328"/>
      <c r="AV634" s="328"/>
      <c r="AW634" s="328"/>
      <c r="AX634" s="328"/>
      <c r="AY634" s="328"/>
      <c r="AZ634" s="328"/>
      <c r="BA634" s="328"/>
      <c r="BB634" s="328"/>
      <c r="BC634" s="328"/>
      <c r="BD634" s="328"/>
      <c r="BE634" s="328"/>
      <c r="BF634" s="328"/>
      <c r="BG634" s="328">
        <v>2.4274E-2</v>
      </c>
      <c r="BH634" s="328"/>
      <c r="BI634" s="328">
        <v>4.5453999999999999</v>
      </c>
      <c r="BJ634" s="328"/>
      <c r="BK634" s="328">
        <v>1.5238</v>
      </c>
      <c r="BL634" s="328"/>
      <c r="BM634" s="328">
        <v>65.260000000000005</v>
      </c>
      <c r="BN634" s="328"/>
      <c r="BO634" s="328">
        <v>20.149999999999999</v>
      </c>
      <c r="BP634" s="328"/>
      <c r="BQ634" s="328">
        <v>9.9484999999999992</v>
      </c>
      <c r="BR634" s="328"/>
      <c r="BS634" s="328">
        <v>50.287999999999997</v>
      </c>
      <c r="BT634" s="328"/>
      <c r="BU634" s="328">
        <v>17.805</v>
      </c>
      <c r="BV634" s="328"/>
      <c r="BW634" s="336">
        <v>9.18</v>
      </c>
      <c r="BX634" s="328"/>
      <c r="BY634" s="328">
        <v>6.6099999999999994</v>
      </c>
      <c r="BZ634" s="328"/>
      <c r="CA634" s="328"/>
      <c r="CB634" s="337"/>
      <c r="CC634" s="328">
        <v>5.2</v>
      </c>
      <c r="CD634" s="328"/>
      <c r="CE634" s="328"/>
      <c r="CF634" s="328"/>
      <c r="CG634" s="328"/>
      <c r="CH634" s="328"/>
      <c r="CI634" s="328"/>
      <c r="CJ634" s="328"/>
      <c r="CK634" s="328" t="s">
        <v>8377</v>
      </c>
      <c r="CL634" s="328"/>
      <c r="CM634" s="328"/>
    </row>
    <row r="635" spans="1:91">
      <c r="A635" s="154" t="s">
        <v>7784</v>
      </c>
      <c r="B635" t="s">
        <v>8287</v>
      </c>
      <c r="C635">
        <v>1</v>
      </c>
      <c r="D635">
        <v>614</v>
      </c>
      <c r="E635" s="113">
        <v>14</v>
      </c>
      <c r="F635" s="113">
        <v>6</v>
      </c>
      <c r="I635">
        <v>25.499999999999996</v>
      </c>
      <c r="K635" s="320">
        <v>8</v>
      </c>
      <c r="L635" s="320"/>
      <c r="M635">
        <v>3.82</v>
      </c>
      <c r="N635" s="320"/>
      <c r="O635"/>
      <c r="P635"/>
      <c r="Q635"/>
      <c r="S635" s="320">
        <v>17.381538131279999</v>
      </c>
      <c r="T635" s="320"/>
      <c r="U635">
        <v>10.8</v>
      </c>
      <c r="V635"/>
      <c r="W635"/>
      <c r="X635"/>
      <c r="Y635" s="321">
        <v>7.6898337999999988</v>
      </c>
      <c r="Z635" s="320"/>
      <c r="AA635" s="322">
        <v>88454.106280193228</v>
      </c>
      <c r="AB635" s="320"/>
      <c r="AC635" s="321">
        <v>34.250686000000002</v>
      </c>
      <c r="AD635" s="320"/>
      <c r="AE635" s="320">
        <v>36.619999999999997</v>
      </c>
      <c r="AF635" s="320"/>
      <c r="AG635">
        <v>4.1399999999999997</v>
      </c>
      <c r="AH635"/>
      <c r="AI635">
        <v>133</v>
      </c>
      <c r="AJ635"/>
      <c r="AK635"/>
      <c r="AL635"/>
      <c r="AM635"/>
      <c r="AN635"/>
      <c r="AO635">
        <v>72</v>
      </c>
      <c r="AP635"/>
      <c r="AQ635" s="323"/>
      <c r="AR635" s="323"/>
      <c r="AS635">
        <v>112</v>
      </c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>
        <v>0.96177000000000001</v>
      </c>
      <c r="BH635"/>
      <c r="BI635">
        <v>4.2081999999999997</v>
      </c>
      <c r="BJ635"/>
      <c r="BK635">
        <v>1.4305000000000001</v>
      </c>
      <c r="BL635"/>
      <c r="BM635">
        <v>61.945</v>
      </c>
      <c r="BN635"/>
      <c r="BO635">
        <v>20.352</v>
      </c>
      <c r="BP635"/>
      <c r="BQ635">
        <v>9.8106000000000009</v>
      </c>
      <c r="BR635"/>
      <c r="BS635">
        <v>50.747999999999998</v>
      </c>
      <c r="BT635"/>
      <c r="BU635">
        <v>17.588999999999999</v>
      </c>
      <c r="BV635"/>
      <c r="BW635" s="325">
        <v>13.76</v>
      </c>
      <c r="BX635"/>
      <c r="BY635">
        <v>6.6929999999999978</v>
      </c>
      <c r="BZ635"/>
      <c r="CA635"/>
      <c r="CC635">
        <v>5.78</v>
      </c>
      <c r="CD635"/>
      <c r="CE635"/>
      <c r="CF635"/>
      <c r="CG635"/>
      <c r="CH635"/>
      <c r="CI635"/>
      <c r="CJ635"/>
      <c r="CK635"/>
      <c r="CL635"/>
      <c r="CM635"/>
    </row>
    <row r="636" spans="1:91">
      <c r="A636" s="154" t="s">
        <v>7784</v>
      </c>
      <c r="B636" t="s">
        <v>8289</v>
      </c>
      <c r="C636">
        <v>1</v>
      </c>
      <c r="D636">
        <v>1225</v>
      </c>
      <c r="E636" s="113">
        <v>25</v>
      </c>
      <c r="F636" s="113">
        <v>12</v>
      </c>
      <c r="I636">
        <v>26.499999999999996</v>
      </c>
      <c r="K636" s="320">
        <v>9</v>
      </c>
      <c r="L636" s="320"/>
      <c r="M636">
        <v>3.85</v>
      </c>
      <c r="N636" s="320"/>
      <c r="O636"/>
      <c r="P636"/>
      <c r="Q636"/>
      <c r="S636" s="320">
        <v>16.345319945135994</v>
      </c>
      <c r="T636" s="320"/>
      <c r="U636">
        <v>10.8</v>
      </c>
      <c r="V636"/>
      <c r="W636"/>
      <c r="X636"/>
      <c r="Y636" s="321">
        <v>7.1439952000000009</v>
      </c>
      <c r="Z636" s="320"/>
      <c r="AA636" s="322">
        <v>81284.403669724765</v>
      </c>
      <c r="AB636" s="320"/>
      <c r="AC636" s="321">
        <v>33.078987199999993</v>
      </c>
      <c r="AD636" s="320"/>
      <c r="AE636" s="320">
        <v>35.44</v>
      </c>
      <c r="AF636" s="320"/>
      <c r="AG636">
        <v>4.3600000000000003</v>
      </c>
      <c r="AH636"/>
      <c r="AI636">
        <v>120</v>
      </c>
      <c r="AJ636"/>
      <c r="AK636"/>
      <c r="AL636"/>
      <c r="AM636"/>
      <c r="AN636"/>
      <c r="AO636">
        <v>72</v>
      </c>
      <c r="AP636"/>
      <c r="AQ636" s="323"/>
      <c r="AR636" s="323"/>
      <c r="AS636">
        <v>112</v>
      </c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>
        <v>-5.1817000000000002</v>
      </c>
      <c r="BH636"/>
      <c r="BI636">
        <v>4.6966000000000001</v>
      </c>
      <c r="BJ636"/>
      <c r="BK636">
        <v>1.5036</v>
      </c>
      <c r="BL636"/>
      <c r="BM636">
        <v>67.986000000000004</v>
      </c>
      <c r="BN636"/>
      <c r="BO636">
        <v>21.045000000000002</v>
      </c>
      <c r="BP636"/>
      <c r="BQ636">
        <v>9.1464999999999996</v>
      </c>
      <c r="BR636"/>
      <c r="BS636">
        <v>49.412999999999997</v>
      </c>
      <c r="BT636"/>
      <c r="BU636">
        <v>18.896999999999998</v>
      </c>
      <c r="BV636"/>
      <c r="BW636" s="325">
        <v>11.79</v>
      </c>
      <c r="BX636"/>
      <c r="BY636">
        <v>6.7399999999999949</v>
      </c>
      <c r="BZ636"/>
      <c r="CA636"/>
      <c r="CC636">
        <v>9.52</v>
      </c>
      <c r="CD636"/>
      <c r="CE636"/>
      <c r="CF636"/>
      <c r="CG636"/>
      <c r="CH636"/>
      <c r="CI636"/>
      <c r="CJ636"/>
      <c r="CK636"/>
      <c r="CL636"/>
      <c r="CM636"/>
    </row>
    <row r="637" spans="1:91">
      <c r="A637" s="154" t="s">
        <v>7784</v>
      </c>
      <c r="B637" t="s">
        <v>8287</v>
      </c>
      <c r="C637">
        <v>2</v>
      </c>
      <c r="D637">
        <v>1773</v>
      </c>
      <c r="E637" s="113">
        <v>73</v>
      </c>
      <c r="F637" s="113">
        <v>17</v>
      </c>
      <c r="I637">
        <v>31</v>
      </c>
      <c r="K637" s="320">
        <v>8</v>
      </c>
      <c r="L637" s="320"/>
      <c r="M637">
        <v>3.87</v>
      </c>
      <c r="N637" s="320"/>
      <c r="O637"/>
      <c r="P637"/>
      <c r="Q637"/>
      <c r="S637" s="320">
        <v>18.025172565120002</v>
      </c>
      <c r="T637" s="320"/>
      <c r="U637">
        <v>10.8</v>
      </c>
      <c r="V637"/>
      <c r="W637"/>
      <c r="X637"/>
      <c r="Y637" s="321">
        <v>7.2357720000000008</v>
      </c>
      <c r="Z637" s="320"/>
      <c r="AA637" s="322">
        <v>96124.031007751953</v>
      </c>
      <c r="AB637" s="320"/>
      <c r="AC637" s="321">
        <v>34.760052000000002</v>
      </c>
      <c r="AD637" s="320"/>
      <c r="AE637" s="320">
        <v>37.200000000000003</v>
      </c>
      <c r="AF637" s="320"/>
      <c r="AG637">
        <v>3.87</v>
      </c>
      <c r="AH637"/>
      <c r="AI637">
        <v>123</v>
      </c>
      <c r="AJ637"/>
      <c r="AK637"/>
      <c r="AL637"/>
      <c r="AM637"/>
      <c r="AN637"/>
      <c r="AO637">
        <v>72</v>
      </c>
      <c r="AP637"/>
      <c r="AQ637" s="323"/>
      <c r="AR637" s="323"/>
      <c r="AS637">
        <v>112</v>
      </c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>
        <v>0.24462999999999999</v>
      </c>
      <c r="BH637"/>
      <c r="BI637">
        <v>4.6395999999999997</v>
      </c>
      <c r="BJ637"/>
      <c r="BK637">
        <v>1.4167000000000001</v>
      </c>
      <c r="BL637"/>
      <c r="BM637">
        <v>64.688999999999993</v>
      </c>
      <c r="BN637"/>
      <c r="BO637">
        <v>19.757999999999999</v>
      </c>
      <c r="BP637"/>
      <c r="BQ637">
        <v>9.1220999999999997</v>
      </c>
      <c r="BR637"/>
      <c r="BS637">
        <v>51.856000000000002</v>
      </c>
      <c r="BT637"/>
      <c r="BU637">
        <v>16.041</v>
      </c>
      <c r="BV637"/>
      <c r="BW637" s="325">
        <v>12.3</v>
      </c>
      <c r="BX637"/>
      <c r="BY637">
        <v>6.6809999999999974</v>
      </c>
      <c r="BZ637"/>
      <c r="CA637"/>
      <c r="CC637">
        <v>5.52</v>
      </c>
      <c r="CD637"/>
      <c r="CE637"/>
      <c r="CF637"/>
      <c r="CG637"/>
      <c r="CH637"/>
      <c r="CI637"/>
      <c r="CJ637"/>
      <c r="CK637"/>
      <c r="CL637"/>
      <c r="CM637"/>
    </row>
    <row r="638" spans="1:91" s="338" customFormat="1">
      <c r="A638" s="154" t="s">
        <v>7785</v>
      </c>
      <c r="B638" t="s">
        <v>8287</v>
      </c>
      <c r="C638">
        <v>1</v>
      </c>
      <c r="D638">
        <v>312</v>
      </c>
      <c r="E638" s="113">
        <v>12</v>
      </c>
      <c r="F638" s="113">
        <v>3</v>
      </c>
      <c r="G638" s="113"/>
      <c r="H638" s="113"/>
      <c r="I638">
        <v>28.999999999999996</v>
      </c>
      <c r="J638" s="112"/>
      <c r="K638" s="320">
        <v>9</v>
      </c>
      <c r="L638" s="320"/>
      <c r="M638">
        <v>3.65</v>
      </c>
      <c r="N638" s="320"/>
      <c r="O638"/>
      <c r="P638"/>
      <c r="Q638"/>
      <c r="R638" s="153"/>
      <c r="S638" s="320">
        <v>16.598357398199997</v>
      </c>
      <c r="T638" s="320"/>
      <c r="U638">
        <v>10.8</v>
      </c>
      <c r="V638"/>
      <c r="W638"/>
      <c r="X638"/>
      <c r="Y638" s="321">
        <v>6.0641745</v>
      </c>
      <c r="Z638" s="320"/>
      <c r="AA638" s="322">
        <v>75161.290322580651</v>
      </c>
      <c r="AB638" s="320"/>
      <c r="AC638" s="321">
        <v>32.764226999999998</v>
      </c>
      <c r="AD638" s="320"/>
      <c r="AE638" s="320">
        <v>34.950000000000003</v>
      </c>
      <c r="AF638" s="320"/>
      <c r="AG638">
        <v>4.6500000000000004</v>
      </c>
      <c r="AH638"/>
      <c r="AI638">
        <v>135</v>
      </c>
      <c r="AJ638"/>
      <c r="AK638"/>
      <c r="AL638"/>
      <c r="AM638"/>
      <c r="AN638"/>
      <c r="AO638">
        <v>79</v>
      </c>
      <c r="AP638"/>
      <c r="AQ638" s="323"/>
      <c r="AR638" s="323"/>
      <c r="AS638">
        <v>112</v>
      </c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>
        <v>-2.3734000000000002</v>
      </c>
      <c r="BH638"/>
      <c r="BI638">
        <v>5.0148999999999999</v>
      </c>
      <c r="BJ638"/>
      <c r="BK638">
        <v>1.542</v>
      </c>
      <c r="BL638"/>
      <c r="BM638">
        <v>63.222999999999999</v>
      </c>
      <c r="BN638"/>
      <c r="BO638">
        <v>21.882000000000001</v>
      </c>
      <c r="BP638"/>
      <c r="BQ638">
        <v>9.9223999999999997</v>
      </c>
      <c r="BR638"/>
      <c r="BS638">
        <v>50.66</v>
      </c>
      <c r="BT638"/>
      <c r="BU638">
        <v>16.693999999999999</v>
      </c>
      <c r="BV638"/>
      <c r="BW638" s="325">
        <v>8.5399999999999991</v>
      </c>
      <c r="BX638"/>
      <c r="BY638">
        <v>6.2409999999999997</v>
      </c>
      <c r="BZ638"/>
      <c r="CA638"/>
      <c r="CB638" s="136"/>
      <c r="CC638">
        <v>5.9</v>
      </c>
      <c r="CD638"/>
      <c r="CE638"/>
      <c r="CF638"/>
      <c r="CG638"/>
      <c r="CH638"/>
      <c r="CI638"/>
      <c r="CJ638"/>
      <c r="CK638"/>
      <c r="CL638"/>
      <c r="CM638"/>
    </row>
    <row r="639" spans="1:91" s="338" customFormat="1">
      <c r="A639" s="154" t="s">
        <v>7785</v>
      </c>
      <c r="B639" t="s">
        <v>8289</v>
      </c>
      <c r="C639">
        <v>2</v>
      </c>
      <c r="D639">
        <v>758</v>
      </c>
      <c r="E639" s="113">
        <v>58</v>
      </c>
      <c r="F639" s="113">
        <v>7</v>
      </c>
      <c r="G639" s="113"/>
      <c r="H639" s="113"/>
      <c r="I639">
        <v>32.5</v>
      </c>
      <c r="J639" s="112"/>
      <c r="K639" s="320">
        <v>8</v>
      </c>
      <c r="L639" s="320"/>
      <c r="M639">
        <v>2.31</v>
      </c>
      <c r="N639" s="320"/>
      <c r="O639"/>
      <c r="P639"/>
      <c r="Q639"/>
      <c r="R639" s="153"/>
      <c r="S639" s="320">
        <v>9.1918218329999988</v>
      </c>
      <c r="T639" s="320"/>
      <c r="U639">
        <v>10.8</v>
      </c>
      <c r="V639"/>
      <c r="W639"/>
      <c r="X639"/>
      <c r="Y639" s="321">
        <v>4.7481143999999995</v>
      </c>
      <c r="Z639" s="320"/>
      <c r="AA639" s="322">
        <v>40841.30019120458</v>
      </c>
      <c r="AB639" s="320"/>
      <c r="AC639" s="321">
        <v>19.902179999999998</v>
      </c>
      <c r="AD639" s="320"/>
      <c r="AE639" s="320">
        <v>21.36</v>
      </c>
      <c r="AF639" s="320"/>
      <c r="AG639">
        <v>5.23</v>
      </c>
      <c r="AH639"/>
      <c r="AI639">
        <v>103</v>
      </c>
      <c r="AJ639"/>
      <c r="AK639"/>
      <c r="AL639"/>
      <c r="AM639"/>
      <c r="AN639"/>
      <c r="AO639">
        <v>77</v>
      </c>
      <c r="AP639"/>
      <c r="AQ639" s="323"/>
      <c r="AR639" s="323"/>
      <c r="AS639">
        <v>112</v>
      </c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>
        <v>-1.2551000000000001</v>
      </c>
      <c r="BH639"/>
      <c r="BI639">
        <v>4.5849000000000002</v>
      </c>
      <c r="BJ639"/>
      <c r="BK639">
        <v>1.6768000000000001</v>
      </c>
      <c r="BL639"/>
      <c r="BM639">
        <v>61.244</v>
      </c>
      <c r="BN639"/>
      <c r="BO639">
        <v>20.12</v>
      </c>
      <c r="BP639"/>
      <c r="BQ639">
        <v>9.5911000000000008</v>
      </c>
      <c r="BR639"/>
      <c r="BS639">
        <v>46.185000000000002</v>
      </c>
      <c r="BT639"/>
      <c r="BU639">
        <v>19.838000000000001</v>
      </c>
      <c r="BV639"/>
      <c r="BW639" s="325">
        <v>4.17</v>
      </c>
      <c r="BX639"/>
      <c r="BY639">
        <v>6.8509999999999991</v>
      </c>
      <c r="BZ639"/>
      <c r="CA639"/>
      <c r="CB639" s="136"/>
      <c r="CC639">
        <v>9.11</v>
      </c>
      <c r="CD639"/>
      <c r="CE639"/>
      <c r="CF639"/>
      <c r="CG639"/>
      <c r="CH639"/>
      <c r="CI639"/>
      <c r="CJ639"/>
      <c r="CK639"/>
      <c r="CL639"/>
      <c r="CM639"/>
    </row>
    <row r="640" spans="1:91" s="338" customFormat="1">
      <c r="A640" s="154" t="s">
        <v>7785</v>
      </c>
      <c r="B640" t="s">
        <v>8287</v>
      </c>
      <c r="C640">
        <v>2</v>
      </c>
      <c r="D640">
        <v>1063</v>
      </c>
      <c r="E640" s="113">
        <v>63</v>
      </c>
      <c r="F640" s="113">
        <v>10</v>
      </c>
      <c r="G640" s="113"/>
      <c r="H640" s="113"/>
      <c r="I640">
        <v>32</v>
      </c>
      <c r="J640" s="112"/>
      <c r="K640" s="320">
        <v>9</v>
      </c>
      <c r="L640" s="320"/>
      <c r="M640">
        <v>4.53</v>
      </c>
      <c r="N640" s="320"/>
      <c r="O640"/>
      <c r="P640"/>
      <c r="Q640"/>
      <c r="R640" s="153"/>
      <c r="S640" s="320">
        <v>20.065777422169997</v>
      </c>
      <c r="T640" s="320"/>
      <c r="U640">
        <v>10.8</v>
      </c>
      <c r="V640"/>
      <c r="W640"/>
      <c r="X640"/>
      <c r="Y640" s="321">
        <v>7.4539404999999999</v>
      </c>
      <c r="Z640" s="320"/>
      <c r="AA640" s="322">
        <v>96058.55855855855</v>
      </c>
      <c r="AB640" s="320"/>
      <c r="AC640" s="321">
        <v>39.767286499999997</v>
      </c>
      <c r="AD640" s="320"/>
      <c r="AE640" s="320">
        <v>42.65</v>
      </c>
      <c r="AF640" s="320"/>
      <c r="AG640">
        <v>4.4400000000000004</v>
      </c>
      <c r="AH640"/>
      <c r="AI640">
        <v>125</v>
      </c>
      <c r="AJ640"/>
      <c r="AK640"/>
      <c r="AL640"/>
      <c r="AM640"/>
      <c r="AN640"/>
      <c r="AO640">
        <v>79</v>
      </c>
      <c r="AP640"/>
      <c r="AQ640" s="323"/>
      <c r="AR640" s="323"/>
      <c r="AS640">
        <v>112</v>
      </c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>
        <v>1.0022</v>
      </c>
      <c r="BH640"/>
      <c r="BI640">
        <v>4.8952</v>
      </c>
      <c r="BJ640"/>
      <c r="BK640">
        <v>1.5786</v>
      </c>
      <c r="BL640"/>
      <c r="BM640">
        <v>64.966999999999999</v>
      </c>
      <c r="BN640"/>
      <c r="BO640">
        <v>21.323</v>
      </c>
      <c r="BP640"/>
      <c r="BQ640">
        <v>10.01</v>
      </c>
      <c r="BR640"/>
      <c r="BS640">
        <v>50.457999999999998</v>
      </c>
      <c r="BT640"/>
      <c r="BU640">
        <v>16.791</v>
      </c>
      <c r="BV640"/>
      <c r="BW640" s="325">
        <v>12.17</v>
      </c>
      <c r="BX640"/>
      <c r="BY640">
        <v>6.3460000000000036</v>
      </c>
      <c r="BZ640"/>
      <c r="CA640"/>
      <c r="CB640" s="136"/>
      <c r="CC640">
        <v>7.46</v>
      </c>
      <c r="CD640"/>
      <c r="CE640"/>
      <c r="CF640"/>
      <c r="CG640"/>
      <c r="CH640"/>
      <c r="CI640"/>
      <c r="CJ640"/>
      <c r="CK640"/>
      <c r="CL640"/>
      <c r="CM640"/>
    </row>
    <row r="641" spans="1:91" s="338" customFormat="1">
      <c r="A641" s="154" t="s">
        <v>7785</v>
      </c>
      <c r="B641" t="s">
        <v>8289</v>
      </c>
      <c r="C641">
        <v>1</v>
      </c>
      <c r="D641">
        <v>1221</v>
      </c>
      <c r="E641" s="113">
        <v>21</v>
      </c>
      <c r="F641" s="113">
        <v>12</v>
      </c>
      <c r="G641" s="113"/>
      <c r="H641" s="113"/>
      <c r="I641">
        <v>36</v>
      </c>
      <c r="J641" s="112"/>
      <c r="K641" s="320">
        <v>9</v>
      </c>
      <c r="L641" s="320"/>
      <c r="M641">
        <v>3.57</v>
      </c>
      <c r="N641" s="320"/>
      <c r="O641"/>
      <c r="P641"/>
      <c r="Q641"/>
      <c r="R641" s="153"/>
      <c r="S641" s="320">
        <v>15.113248082176002</v>
      </c>
      <c r="T641" s="320"/>
      <c r="U641">
        <v>10.8</v>
      </c>
      <c r="V641"/>
      <c r="W641"/>
      <c r="X641"/>
      <c r="Y641" s="321">
        <v>6.5414719999999997</v>
      </c>
      <c r="Z641" s="320"/>
      <c r="AA641" s="322">
        <v>81734.939759036148</v>
      </c>
      <c r="AB641" s="320"/>
      <c r="AC641" s="321">
        <v>31.550348800000002</v>
      </c>
      <c r="AD641" s="320"/>
      <c r="AE641" s="320">
        <v>33.92</v>
      </c>
      <c r="AF641" s="320"/>
      <c r="AG641">
        <v>4.1500000000000004</v>
      </c>
      <c r="AH641"/>
      <c r="AI641">
        <v>123</v>
      </c>
      <c r="AJ641"/>
      <c r="AK641"/>
      <c r="AL641"/>
      <c r="AM641"/>
      <c r="AN641"/>
      <c r="AO641">
        <v>81</v>
      </c>
      <c r="AP641"/>
      <c r="AQ641" s="323"/>
      <c r="AR641" s="323"/>
      <c r="AS641">
        <v>112</v>
      </c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>
        <v>-1.1083000000000001</v>
      </c>
      <c r="BH641"/>
      <c r="BI641">
        <v>5.2760999999999996</v>
      </c>
      <c r="BJ641"/>
      <c r="BK641">
        <v>1.5356000000000001</v>
      </c>
      <c r="BL641"/>
      <c r="BM641">
        <v>61.4</v>
      </c>
      <c r="BN641"/>
      <c r="BO641">
        <v>21.713999999999999</v>
      </c>
      <c r="BP641"/>
      <c r="BQ641">
        <v>10.106</v>
      </c>
      <c r="BR641"/>
      <c r="BS641">
        <v>47.902000000000001</v>
      </c>
      <c r="BT641"/>
      <c r="BU641">
        <v>18.189</v>
      </c>
      <c r="BV641"/>
      <c r="BW641" s="325">
        <v>9.18</v>
      </c>
      <c r="BX641"/>
      <c r="BY641">
        <v>6.8640000000000043</v>
      </c>
      <c r="BZ641"/>
      <c r="CA641"/>
      <c r="CB641" s="136"/>
      <c r="CC641">
        <v>6.61</v>
      </c>
      <c r="CD641"/>
      <c r="CE641"/>
      <c r="CF641"/>
      <c r="CG641"/>
      <c r="CH641"/>
      <c r="CI641"/>
      <c r="CJ641"/>
      <c r="CK641"/>
      <c r="CL641"/>
      <c r="CM641"/>
    </row>
    <row r="642" spans="1:91">
      <c r="A642" s="154" t="s">
        <v>7786</v>
      </c>
      <c r="B642" t="s">
        <v>8287</v>
      </c>
      <c r="C642">
        <v>1</v>
      </c>
      <c r="D642">
        <v>335</v>
      </c>
      <c r="E642" s="113">
        <v>35</v>
      </c>
      <c r="F642" s="113">
        <v>3</v>
      </c>
      <c r="I642">
        <v>31</v>
      </c>
      <c r="K642" s="320">
        <v>8</v>
      </c>
      <c r="L642" s="320"/>
      <c r="M642">
        <v>3.77</v>
      </c>
      <c r="N642" s="320"/>
      <c r="O642"/>
      <c r="P642"/>
      <c r="Q642"/>
      <c r="S642" s="320">
        <v>17.048889255383997</v>
      </c>
      <c r="T642" s="320"/>
      <c r="U642">
        <v>10.8</v>
      </c>
      <c r="V642"/>
      <c r="W642"/>
      <c r="X642"/>
      <c r="Y642" s="321">
        <v>6.0741575999999995</v>
      </c>
      <c r="Z642" s="320"/>
      <c r="AA642" s="322">
        <v>74904.458598726109</v>
      </c>
      <c r="AB642" s="320"/>
      <c r="AC642" s="321">
        <v>33.065474399999999</v>
      </c>
      <c r="AD642" s="320"/>
      <c r="AE642" s="320">
        <v>35.28</v>
      </c>
      <c r="AF642" s="320"/>
      <c r="AG642">
        <v>4.71</v>
      </c>
      <c r="AH642"/>
      <c r="AI642">
        <v>120</v>
      </c>
      <c r="AJ642"/>
      <c r="AK642"/>
      <c r="AL642"/>
      <c r="AM642"/>
      <c r="AN642"/>
      <c r="AO642">
        <v>79</v>
      </c>
      <c r="AP642"/>
      <c r="AQ642" s="323"/>
      <c r="AR642" s="323"/>
      <c r="AS642">
        <v>115</v>
      </c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>
        <v>0.71382999999999996</v>
      </c>
      <c r="BH642"/>
      <c r="BI642">
        <v>4.7876000000000003</v>
      </c>
      <c r="BJ642"/>
      <c r="BK642">
        <v>1.4736</v>
      </c>
      <c r="BL642"/>
      <c r="BM642">
        <v>62.853000000000002</v>
      </c>
      <c r="BN642"/>
      <c r="BO642">
        <v>20.114000000000001</v>
      </c>
      <c r="BP642"/>
      <c r="BQ642">
        <v>8.6609999999999996</v>
      </c>
      <c r="BR642"/>
      <c r="BS642">
        <v>51.561</v>
      </c>
      <c r="BT642"/>
      <c r="BU642">
        <v>17.132000000000001</v>
      </c>
      <c r="BV642"/>
      <c r="BW642" s="325">
        <v>6.8</v>
      </c>
      <c r="BX642"/>
      <c r="BY642">
        <v>6.5210000000000008</v>
      </c>
      <c r="BZ642"/>
      <c r="CA642"/>
      <c r="CC642">
        <v>8.0299999999999994</v>
      </c>
      <c r="CD642"/>
      <c r="CE642"/>
      <c r="CF642"/>
      <c r="CG642"/>
      <c r="CH642"/>
      <c r="CI642"/>
      <c r="CJ642"/>
      <c r="CK642"/>
      <c r="CL642"/>
      <c r="CM642"/>
    </row>
    <row r="643" spans="1:91">
      <c r="A643" s="154" t="s">
        <v>7786</v>
      </c>
      <c r="B643" t="s">
        <v>8289</v>
      </c>
      <c r="C643">
        <v>2</v>
      </c>
      <c r="D643">
        <v>743</v>
      </c>
      <c r="E643" s="113">
        <v>43</v>
      </c>
      <c r="F643" s="113">
        <v>7</v>
      </c>
      <c r="I643">
        <v>23.5</v>
      </c>
      <c r="K643" s="320">
        <v>9</v>
      </c>
      <c r="L643" s="320"/>
      <c r="M643">
        <v>4.22</v>
      </c>
      <c r="N643" s="320"/>
      <c r="O643"/>
      <c r="P643"/>
      <c r="Q643"/>
      <c r="S643" s="320">
        <v>19.495249872168003</v>
      </c>
      <c r="T643" s="320"/>
      <c r="U643">
        <v>10.8</v>
      </c>
      <c r="V643"/>
      <c r="W643"/>
      <c r="X643"/>
      <c r="Y643" s="321">
        <v>7.0344322999999997</v>
      </c>
      <c r="Z643" s="320"/>
      <c r="AA643" s="322">
        <v>89164.835164835167</v>
      </c>
      <c r="AB643" s="320"/>
      <c r="AC643" s="321">
        <v>37.860735400000003</v>
      </c>
      <c r="AD643" s="320"/>
      <c r="AE643" s="320">
        <v>40.57</v>
      </c>
      <c r="AF643" s="320"/>
      <c r="AG643">
        <v>4.55</v>
      </c>
      <c r="AH643"/>
      <c r="AI643">
        <v>133</v>
      </c>
      <c r="AJ643"/>
      <c r="AK643"/>
      <c r="AL643"/>
      <c r="AM643"/>
      <c r="AN643"/>
      <c r="AO643">
        <v>79</v>
      </c>
      <c r="AP643"/>
      <c r="AQ643" s="323"/>
      <c r="AR643" s="323"/>
      <c r="AS643">
        <v>112</v>
      </c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>
        <v>3.2374000000000001</v>
      </c>
      <c r="BH643"/>
      <c r="BI643">
        <v>4.5933000000000002</v>
      </c>
      <c r="BJ643"/>
      <c r="BK643">
        <v>1.4427000000000001</v>
      </c>
      <c r="BL643"/>
      <c r="BM643">
        <v>59.969000000000001</v>
      </c>
      <c r="BN643"/>
      <c r="BO643">
        <v>21.501999999999999</v>
      </c>
      <c r="BP643"/>
      <c r="BQ643">
        <v>9.1693999999999996</v>
      </c>
      <c r="BR643"/>
      <c r="BS643">
        <v>51.491999999999997</v>
      </c>
      <c r="BT643"/>
      <c r="BU643">
        <v>17.344000000000001</v>
      </c>
      <c r="BV643"/>
      <c r="BW643" s="325">
        <v>12.77</v>
      </c>
      <c r="BX643"/>
      <c r="BY643">
        <v>6.5049999999999955</v>
      </c>
      <c r="BZ643"/>
      <c r="CA643"/>
      <c r="CC643">
        <v>5.52</v>
      </c>
      <c r="CD643"/>
      <c r="CE643"/>
      <c r="CF643"/>
      <c r="CG643"/>
      <c r="CH643"/>
      <c r="CI643"/>
      <c r="CJ643"/>
      <c r="CK643"/>
      <c r="CL643"/>
      <c r="CM643"/>
    </row>
    <row r="644" spans="1:91">
      <c r="A644" s="154" t="s">
        <v>7786</v>
      </c>
      <c r="B644" t="s">
        <v>8287</v>
      </c>
      <c r="C644">
        <v>2</v>
      </c>
      <c r="D644">
        <v>1569</v>
      </c>
      <c r="E644" s="113">
        <v>69</v>
      </c>
      <c r="F644" s="113">
        <v>15</v>
      </c>
      <c r="I644">
        <v>31.499999999999996</v>
      </c>
      <c r="K644" s="320">
        <v>8</v>
      </c>
      <c r="L644" s="320"/>
      <c r="M644">
        <v>4.0999999999999996</v>
      </c>
      <c r="N644" s="320"/>
      <c r="O644"/>
      <c r="P644"/>
      <c r="Q644"/>
      <c r="S644" s="320">
        <v>19.454418198431998</v>
      </c>
      <c r="T644" s="320"/>
      <c r="U644">
        <v>10.8</v>
      </c>
      <c r="V644"/>
      <c r="W644"/>
      <c r="X644"/>
      <c r="Y644" s="321">
        <v>7.2414262999999996</v>
      </c>
      <c r="Z644" s="320"/>
      <c r="AA644" s="322">
        <v>89884.792626728115</v>
      </c>
      <c r="AB644" s="320"/>
      <c r="AC644" s="321">
        <v>36.645603899999998</v>
      </c>
      <c r="AD644" s="320"/>
      <c r="AE644" s="320">
        <v>39.01</v>
      </c>
      <c r="AF644" s="320"/>
      <c r="AG644">
        <v>4.34</v>
      </c>
      <c r="AH644"/>
      <c r="AI644">
        <v>120</v>
      </c>
      <c r="AJ644"/>
      <c r="AK644"/>
      <c r="AL644"/>
      <c r="AM644"/>
      <c r="AN644"/>
      <c r="AO644">
        <v>79</v>
      </c>
      <c r="AP644"/>
      <c r="AQ644" s="323"/>
      <c r="AR644" s="323"/>
      <c r="AS644">
        <v>112</v>
      </c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>
        <v>0.84519</v>
      </c>
      <c r="BH644"/>
      <c r="BI644">
        <v>4.7393999999999998</v>
      </c>
      <c r="BJ644"/>
      <c r="BK644">
        <v>1.4809000000000001</v>
      </c>
      <c r="BL644"/>
      <c r="BM644">
        <v>64.388000000000005</v>
      </c>
      <c r="BN644"/>
      <c r="BO644">
        <v>20.808</v>
      </c>
      <c r="BP644"/>
      <c r="BQ644">
        <v>8.1389999999999993</v>
      </c>
      <c r="BR644"/>
      <c r="BS644">
        <v>53.088000000000001</v>
      </c>
      <c r="BT644"/>
      <c r="BU644">
        <v>15.775</v>
      </c>
      <c r="BV644"/>
      <c r="BW644" s="325">
        <v>12.29</v>
      </c>
      <c r="BX644"/>
      <c r="BY644">
        <v>6.3619999999999948</v>
      </c>
      <c r="BZ644"/>
      <c r="CA644"/>
      <c r="CC644">
        <v>6.48</v>
      </c>
      <c r="CD644"/>
      <c r="CE644"/>
      <c r="CF644"/>
      <c r="CG644"/>
      <c r="CH644"/>
      <c r="CI644"/>
      <c r="CJ644"/>
      <c r="CK644"/>
      <c r="CL644"/>
      <c r="CM644"/>
    </row>
    <row r="645" spans="1:91">
      <c r="A645" s="154" t="s">
        <v>7786</v>
      </c>
      <c r="B645" t="s">
        <v>8289</v>
      </c>
      <c r="C645">
        <v>1</v>
      </c>
      <c r="D645">
        <v>1711</v>
      </c>
      <c r="E645" s="113">
        <v>11</v>
      </c>
      <c r="F645" s="113">
        <v>17</v>
      </c>
      <c r="I645">
        <v>29.5</v>
      </c>
      <c r="K645" s="320">
        <v>8</v>
      </c>
      <c r="L645" s="320"/>
      <c r="M645">
        <v>4.05</v>
      </c>
      <c r="N645" s="320"/>
      <c r="O645"/>
      <c r="P645"/>
      <c r="Q645"/>
      <c r="S645" s="320">
        <v>18.119932217376</v>
      </c>
      <c r="T645" s="320"/>
      <c r="U645">
        <v>10.8</v>
      </c>
      <c r="V645"/>
      <c r="W645"/>
      <c r="X645"/>
      <c r="Y645" s="321">
        <v>7.0190768000000006</v>
      </c>
      <c r="Z645" s="320"/>
      <c r="AA645" s="322">
        <v>98871.794871794875</v>
      </c>
      <c r="AB645" s="320"/>
      <c r="AC645" s="321">
        <v>36.125707200000001</v>
      </c>
      <c r="AD645" s="320"/>
      <c r="AE645" s="320">
        <v>38.56</v>
      </c>
      <c r="AF645" s="320"/>
      <c r="AG645">
        <v>3.9</v>
      </c>
      <c r="AH645"/>
      <c r="AI645">
        <v>120</v>
      </c>
      <c r="AJ645"/>
      <c r="AK645"/>
      <c r="AL645"/>
      <c r="AM645"/>
      <c r="AN645"/>
      <c r="AO645">
        <v>79</v>
      </c>
      <c r="AP645"/>
      <c r="AQ645" s="323"/>
      <c r="AR645" s="323"/>
      <c r="AS645">
        <v>112</v>
      </c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>
        <v>-4.3731999999999998</v>
      </c>
      <c r="BH645"/>
      <c r="BI645">
        <v>4.5077999999999996</v>
      </c>
      <c r="BJ645"/>
      <c r="BK645">
        <v>1.4923</v>
      </c>
      <c r="BL645"/>
      <c r="BM645">
        <v>64.725999999999999</v>
      </c>
      <c r="BN645"/>
      <c r="BO645">
        <v>20.562000000000001</v>
      </c>
      <c r="BP645"/>
      <c r="BQ645">
        <v>9.3209999999999997</v>
      </c>
      <c r="BR645"/>
      <c r="BS645">
        <v>50.158000000000001</v>
      </c>
      <c r="BT645"/>
      <c r="BU645">
        <v>18.059000000000001</v>
      </c>
      <c r="BV645"/>
      <c r="BW645" s="325">
        <v>12.48</v>
      </c>
      <c r="BX645"/>
      <c r="BY645">
        <v>6.5250000000000057</v>
      </c>
      <c r="BZ645"/>
      <c r="CA645"/>
      <c r="CC645">
        <v>6.43</v>
      </c>
      <c r="CD645"/>
      <c r="CE645"/>
      <c r="CF645"/>
      <c r="CG645"/>
      <c r="CH645"/>
      <c r="CI645"/>
      <c r="CJ645"/>
      <c r="CK645"/>
      <c r="CL645"/>
      <c r="CM645"/>
    </row>
    <row r="646" spans="1:91">
      <c r="A646" s="154" t="s">
        <v>7787</v>
      </c>
      <c r="B646" t="s">
        <v>8287</v>
      </c>
      <c r="C646">
        <v>1</v>
      </c>
      <c r="D646">
        <v>436</v>
      </c>
      <c r="E646" s="113">
        <v>36</v>
      </c>
      <c r="F646" s="113">
        <v>4</v>
      </c>
      <c r="I646">
        <v>31</v>
      </c>
      <c r="K646" s="320">
        <v>9</v>
      </c>
      <c r="L646" s="320"/>
      <c r="M646">
        <v>3.88</v>
      </c>
      <c r="N646" s="320"/>
      <c r="O646"/>
      <c r="P646"/>
      <c r="Q646"/>
      <c r="S646" s="320">
        <v>17.645979994154999</v>
      </c>
      <c r="T646" s="320"/>
      <c r="U646">
        <v>10.8</v>
      </c>
      <c r="V646"/>
      <c r="W646"/>
      <c r="X646"/>
      <c r="Y646" s="321">
        <v>5.9489393999999995</v>
      </c>
      <c r="Z646" s="320"/>
      <c r="AA646" s="322">
        <v>72154.150197628464</v>
      </c>
      <c r="AB646" s="320"/>
      <c r="AC646" s="321">
        <v>34.174455299999998</v>
      </c>
      <c r="AD646" s="320"/>
      <c r="AE646" s="320">
        <v>36.51</v>
      </c>
      <c r="AF646" s="320"/>
      <c r="AG646">
        <v>5.0599999999999996</v>
      </c>
      <c r="AH646"/>
      <c r="AI646">
        <v>120</v>
      </c>
      <c r="AJ646"/>
      <c r="AK646"/>
      <c r="AL646"/>
      <c r="AM646"/>
      <c r="AN646"/>
      <c r="AO646">
        <v>74</v>
      </c>
      <c r="AP646"/>
      <c r="AQ646" s="323"/>
      <c r="AR646" s="323"/>
      <c r="AS646">
        <v>112</v>
      </c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>
        <v>3.6116999999999999</v>
      </c>
      <c r="BH646"/>
      <c r="BI646">
        <v>4.0904999999999996</v>
      </c>
      <c r="BJ646"/>
      <c r="BK646">
        <v>1.494</v>
      </c>
      <c r="BL646"/>
      <c r="BM646">
        <v>64.132999999999996</v>
      </c>
      <c r="BN646"/>
      <c r="BO646">
        <v>19.094000000000001</v>
      </c>
      <c r="BP646"/>
      <c r="BQ646">
        <v>10.315</v>
      </c>
      <c r="BR646"/>
      <c r="BS646">
        <v>51.634999999999998</v>
      </c>
      <c r="BT646"/>
      <c r="BU646">
        <v>17.919</v>
      </c>
      <c r="BV646"/>
      <c r="BW646" s="325">
        <v>8.98</v>
      </c>
      <c r="BX646"/>
      <c r="BY646">
        <v>6.2830000000000013</v>
      </c>
      <c r="BZ646"/>
      <c r="CA646"/>
      <c r="CC646">
        <v>7.51</v>
      </c>
      <c r="CD646"/>
      <c r="CE646"/>
      <c r="CF646"/>
      <c r="CG646"/>
      <c r="CH646"/>
      <c r="CI646"/>
      <c r="CJ646"/>
      <c r="CK646"/>
      <c r="CL646"/>
      <c r="CM646"/>
    </row>
    <row r="647" spans="1:91">
      <c r="A647" s="327" t="s">
        <v>7787</v>
      </c>
      <c r="B647" s="328" t="s">
        <v>8289</v>
      </c>
      <c r="C647" s="328">
        <v>2</v>
      </c>
      <c r="D647" s="328">
        <v>842</v>
      </c>
      <c r="E647" s="113">
        <v>42</v>
      </c>
      <c r="F647" s="113">
        <v>8</v>
      </c>
      <c r="G647" s="329"/>
      <c r="H647" s="329"/>
      <c r="I647" s="328">
        <v>27.499999999999996</v>
      </c>
      <c r="J647" s="330"/>
      <c r="K647" s="331">
        <v>8</v>
      </c>
      <c r="L647" s="331"/>
      <c r="M647" s="328">
        <v>3.06</v>
      </c>
      <c r="N647" s="331"/>
      <c r="O647" s="328"/>
      <c r="P647" s="328"/>
      <c r="Q647" s="328"/>
      <c r="R647" s="332"/>
      <c r="S647" s="331">
        <v>13.99400380854</v>
      </c>
      <c r="T647" s="331"/>
      <c r="U647" s="328">
        <v>10.8</v>
      </c>
      <c r="V647" s="328"/>
      <c r="W647" s="328"/>
      <c r="X647" s="328"/>
      <c r="Y647" s="333">
        <v>5.3362400000000001</v>
      </c>
      <c r="Z647" s="331"/>
      <c r="AA647" s="334">
        <v>57944.664031620559</v>
      </c>
      <c r="AB647" s="331"/>
      <c r="AC647" s="333">
        <v>27.389278000000001</v>
      </c>
      <c r="AD647" s="331"/>
      <c r="AE647" s="331">
        <v>29.32</v>
      </c>
      <c r="AF647" s="331"/>
      <c r="AG647" s="328">
        <v>5.0599999999999996</v>
      </c>
      <c r="AH647" s="328"/>
      <c r="AI647" s="328">
        <v>100</v>
      </c>
      <c r="AJ647" s="328"/>
      <c r="AK647" s="328"/>
      <c r="AL647" s="328"/>
      <c r="AM647" s="328"/>
      <c r="AN647" s="328"/>
      <c r="AO647" s="328">
        <v>74</v>
      </c>
      <c r="AP647" s="328"/>
      <c r="AQ647" s="335"/>
      <c r="AR647" s="335"/>
      <c r="AS647" s="328">
        <v>112</v>
      </c>
      <c r="AT647" s="328"/>
      <c r="AU647" s="328"/>
      <c r="AV647" s="328"/>
      <c r="AW647" s="328"/>
      <c r="AX647" s="328"/>
      <c r="AY647" s="328"/>
      <c r="AZ647" s="328"/>
      <c r="BA647" s="328"/>
      <c r="BB647" s="328"/>
      <c r="BC647" s="328"/>
      <c r="BD647" s="328"/>
      <c r="BE647" s="328"/>
      <c r="BF647" s="328"/>
      <c r="BG647" s="328">
        <v>-2.4508000000000001</v>
      </c>
      <c r="BH647" s="328"/>
      <c r="BI647" s="328">
        <v>4.2016999999999998</v>
      </c>
      <c r="BJ647" s="328"/>
      <c r="BK647" s="328">
        <v>1.4337</v>
      </c>
      <c r="BL647" s="328"/>
      <c r="BM647" s="328">
        <v>67.350999999999999</v>
      </c>
      <c r="BN647" s="328"/>
      <c r="BO647" s="328">
        <v>19.516999999999999</v>
      </c>
      <c r="BP647" s="328"/>
      <c r="BQ647" s="328">
        <v>10.162000000000001</v>
      </c>
      <c r="BR647" s="328"/>
      <c r="BS647" s="328">
        <v>51.093000000000004</v>
      </c>
      <c r="BT647" s="328"/>
      <c r="BU647" s="328">
        <v>17.905999999999999</v>
      </c>
      <c r="BV647" s="328"/>
      <c r="BW647" s="336">
        <v>3.82</v>
      </c>
      <c r="BX647" s="328"/>
      <c r="BY647" s="328">
        <v>6.4170000000000016</v>
      </c>
      <c r="BZ647" s="328"/>
      <c r="CA647" s="328"/>
      <c r="CB647" s="337"/>
      <c r="CC647" s="328">
        <v>5.84</v>
      </c>
      <c r="CD647" s="328"/>
      <c r="CE647" s="328"/>
      <c r="CF647" s="328"/>
      <c r="CG647" s="328"/>
      <c r="CH647" s="328"/>
      <c r="CI647" s="328"/>
      <c r="CJ647" s="328"/>
      <c r="CK647" s="328" t="s">
        <v>8377</v>
      </c>
      <c r="CL647" s="328"/>
      <c r="CM647" s="328"/>
    </row>
    <row r="648" spans="1:91">
      <c r="A648" s="154" t="s">
        <v>7787</v>
      </c>
      <c r="B648" t="s">
        <v>8289</v>
      </c>
      <c r="C648">
        <v>1</v>
      </c>
      <c r="D648">
        <v>1318</v>
      </c>
      <c r="E648" s="113">
        <v>18</v>
      </c>
      <c r="F648" s="113">
        <v>13</v>
      </c>
      <c r="I648">
        <v>36</v>
      </c>
      <c r="K648" s="320">
        <v>9</v>
      </c>
      <c r="L648" s="320"/>
      <c r="M648">
        <v>3.84</v>
      </c>
      <c r="N648" s="320"/>
      <c r="O648"/>
      <c r="P648"/>
      <c r="Q648"/>
      <c r="S648" s="320">
        <v>16.623428644368001</v>
      </c>
      <c r="T648" s="320"/>
      <c r="U648">
        <v>10.8</v>
      </c>
      <c r="V648"/>
      <c r="W648"/>
      <c r="X648"/>
      <c r="Y648" s="321">
        <v>7.6368599999999995</v>
      </c>
      <c r="Z648" s="320"/>
      <c r="AA648" s="322">
        <v>77415.254237288143</v>
      </c>
      <c r="AB648" s="320"/>
      <c r="AC648" s="321">
        <v>34.229941199999999</v>
      </c>
      <c r="AD648" s="320"/>
      <c r="AE648" s="320">
        <v>36.54</v>
      </c>
      <c r="AF648" s="320"/>
      <c r="AG648">
        <v>4.72</v>
      </c>
      <c r="AH648"/>
      <c r="AI648">
        <v>118</v>
      </c>
      <c r="AJ648"/>
      <c r="AK648"/>
      <c r="AL648"/>
      <c r="AM648"/>
      <c r="AN648"/>
      <c r="AO648">
        <v>77</v>
      </c>
      <c r="AP648"/>
      <c r="AQ648" s="323"/>
      <c r="AR648" s="323"/>
      <c r="AS648">
        <v>112</v>
      </c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>
        <v>0.14715</v>
      </c>
      <c r="BH648"/>
      <c r="BI648">
        <v>4.4744999999999999</v>
      </c>
      <c r="BJ648"/>
      <c r="BK648">
        <v>1.4891000000000001</v>
      </c>
      <c r="BL648"/>
      <c r="BM648">
        <v>63.91</v>
      </c>
      <c r="BN648"/>
      <c r="BO648">
        <v>20.795999999999999</v>
      </c>
      <c r="BP648"/>
      <c r="BQ648">
        <v>10.946999999999999</v>
      </c>
      <c r="BR648"/>
      <c r="BS648">
        <v>48.564</v>
      </c>
      <c r="BT648"/>
      <c r="BU648">
        <v>20.132999999999999</v>
      </c>
      <c r="BV648"/>
      <c r="BW648" s="325">
        <v>6.91</v>
      </c>
      <c r="BX648"/>
      <c r="BY648">
        <v>6.2459999999999951</v>
      </c>
      <c r="BZ648"/>
      <c r="CA648"/>
      <c r="CC648">
        <v>6.49</v>
      </c>
      <c r="CD648"/>
      <c r="CE648"/>
      <c r="CF648"/>
      <c r="CG648"/>
      <c r="CH648"/>
      <c r="CI648"/>
      <c r="CJ648"/>
      <c r="CK648"/>
      <c r="CL648"/>
      <c r="CM648"/>
    </row>
    <row r="649" spans="1:91">
      <c r="A649" s="154" t="s">
        <v>7787</v>
      </c>
      <c r="B649" t="s">
        <v>8287</v>
      </c>
      <c r="C649">
        <v>2</v>
      </c>
      <c r="D649">
        <v>1470</v>
      </c>
      <c r="E649" s="113">
        <v>70</v>
      </c>
      <c r="F649" s="113">
        <v>14</v>
      </c>
      <c r="I649">
        <v>27.499999999999996</v>
      </c>
      <c r="K649" s="320">
        <v>9</v>
      </c>
      <c r="L649" s="320"/>
      <c r="M649">
        <v>4.2300000000000004</v>
      </c>
      <c r="N649" s="320"/>
      <c r="O649"/>
      <c r="P649"/>
      <c r="Q649"/>
      <c r="S649" s="320">
        <v>19.473230592737998</v>
      </c>
      <c r="T649" s="320"/>
      <c r="U649">
        <v>10.8</v>
      </c>
      <c r="V649"/>
      <c r="W649"/>
      <c r="X649"/>
      <c r="Y649" s="321">
        <v>6.2743979999999997</v>
      </c>
      <c r="Z649" s="320"/>
      <c r="AA649" s="322">
        <v>85303.983228511541</v>
      </c>
      <c r="AB649" s="320"/>
      <c r="AC649" s="321">
        <v>38.106591899999998</v>
      </c>
      <c r="AD649" s="320"/>
      <c r="AE649" s="320">
        <v>40.69</v>
      </c>
      <c r="AF649" s="320"/>
      <c r="AG649">
        <v>4.7699999999999996</v>
      </c>
      <c r="AH649"/>
      <c r="AI649">
        <v>128</v>
      </c>
      <c r="AJ649"/>
      <c r="AK649"/>
      <c r="AL649"/>
      <c r="AM649"/>
      <c r="AN649"/>
      <c r="AO649">
        <v>77</v>
      </c>
      <c r="AP649"/>
      <c r="AQ649" s="323"/>
      <c r="AR649" s="323"/>
      <c r="AS649">
        <v>112</v>
      </c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>
        <v>-3.2305999999999999</v>
      </c>
      <c r="BH649"/>
      <c r="BI649">
        <v>4.1153000000000004</v>
      </c>
      <c r="BJ649"/>
      <c r="BK649">
        <v>1.5078</v>
      </c>
      <c r="BL649"/>
      <c r="BM649">
        <v>66.855000000000004</v>
      </c>
      <c r="BN649"/>
      <c r="BO649">
        <v>19.952000000000002</v>
      </c>
      <c r="BP649"/>
      <c r="BQ649">
        <v>10.298999999999999</v>
      </c>
      <c r="BR649"/>
      <c r="BS649">
        <v>51.101999999999997</v>
      </c>
      <c r="BT649"/>
      <c r="BU649">
        <v>17.878</v>
      </c>
      <c r="BV649"/>
      <c r="BW649" s="325">
        <v>8.84</v>
      </c>
      <c r="BX649"/>
      <c r="BY649">
        <v>6.2189999999999941</v>
      </c>
      <c r="BZ649"/>
      <c r="CA649"/>
      <c r="CC649">
        <v>5.46</v>
      </c>
      <c r="CD649"/>
      <c r="CE649"/>
      <c r="CF649"/>
      <c r="CG649"/>
      <c r="CH649"/>
      <c r="CI649"/>
      <c r="CJ649"/>
      <c r="CK649"/>
      <c r="CL649"/>
      <c r="CM649"/>
    </row>
    <row r="650" spans="1:91">
      <c r="A650" s="154" t="s">
        <v>7788</v>
      </c>
      <c r="B650" t="s">
        <v>8287</v>
      </c>
      <c r="C650">
        <v>1</v>
      </c>
      <c r="D650">
        <v>506</v>
      </c>
      <c r="E650" s="113">
        <v>6</v>
      </c>
      <c r="F650" s="113">
        <v>5</v>
      </c>
      <c r="I650">
        <v>21.499999999999996</v>
      </c>
      <c r="K650" s="320">
        <v>9</v>
      </c>
      <c r="L650" s="320"/>
      <c r="M650">
        <v>3.81</v>
      </c>
      <c r="N650" s="320"/>
      <c r="O650"/>
      <c r="P650"/>
      <c r="Q650"/>
      <c r="S650" s="320">
        <v>18.709821672779995</v>
      </c>
      <c r="T650" s="320"/>
      <c r="U650">
        <v>10.8</v>
      </c>
      <c r="V650"/>
      <c r="W650"/>
      <c r="X650"/>
      <c r="Y650" s="321">
        <v>6.2691551999999993</v>
      </c>
      <c r="Z650" s="320"/>
      <c r="AA650" s="322">
        <v>84858.490566037726</v>
      </c>
      <c r="AB650" s="320"/>
      <c r="AC650" s="321">
        <v>33.716857999999995</v>
      </c>
      <c r="AD650" s="320"/>
      <c r="AE650" s="320">
        <v>35.979999999999997</v>
      </c>
      <c r="AF650" s="320"/>
      <c r="AG650">
        <v>4.24</v>
      </c>
      <c r="AH650"/>
      <c r="AI650">
        <v>140</v>
      </c>
      <c r="AJ650"/>
      <c r="AK650"/>
      <c r="AL650"/>
      <c r="AM650"/>
      <c r="AN650"/>
      <c r="AO650">
        <v>83</v>
      </c>
      <c r="AP650"/>
      <c r="AQ650" s="323"/>
      <c r="AR650" s="323"/>
      <c r="AS650">
        <v>112</v>
      </c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>
        <v>-1.4618</v>
      </c>
      <c r="BH650"/>
      <c r="BI650">
        <v>5.1433</v>
      </c>
      <c r="BJ650"/>
      <c r="BK650">
        <v>1.5943000000000001</v>
      </c>
      <c r="BL650"/>
      <c r="BM650">
        <v>65.661000000000001</v>
      </c>
      <c r="BN650"/>
      <c r="BO650">
        <v>21.975999999999999</v>
      </c>
      <c r="BP650"/>
      <c r="BQ650">
        <v>8.5630000000000006</v>
      </c>
      <c r="BR650"/>
      <c r="BS650">
        <v>55.491</v>
      </c>
      <c r="BT650"/>
      <c r="BU650">
        <v>16.004000000000001</v>
      </c>
      <c r="BV650"/>
      <c r="BW650" s="325">
        <v>8.19</v>
      </c>
      <c r="BX650"/>
      <c r="BY650">
        <v>5.9849999999999994</v>
      </c>
      <c r="BZ650"/>
      <c r="CA650"/>
      <c r="CC650">
        <v>7.2</v>
      </c>
      <c r="CD650"/>
      <c r="CE650"/>
      <c r="CF650"/>
      <c r="CG650"/>
      <c r="CH650"/>
      <c r="CI650"/>
      <c r="CJ650"/>
      <c r="CK650"/>
      <c r="CL650"/>
      <c r="CM650"/>
    </row>
    <row r="651" spans="1:91">
      <c r="A651" s="327" t="s">
        <v>7788</v>
      </c>
      <c r="B651" s="328" t="s">
        <v>8289</v>
      </c>
      <c r="C651" s="328">
        <v>2</v>
      </c>
      <c r="D651" s="328">
        <v>949</v>
      </c>
      <c r="E651" s="113">
        <v>49</v>
      </c>
      <c r="F651" s="113">
        <v>9</v>
      </c>
      <c r="G651" s="329"/>
      <c r="H651" s="329"/>
      <c r="I651" s="328">
        <v>33.5</v>
      </c>
      <c r="J651" s="330"/>
      <c r="K651" s="331">
        <v>8</v>
      </c>
      <c r="L651" s="331"/>
      <c r="M651" s="328">
        <v>1.67</v>
      </c>
      <c r="N651" s="331"/>
      <c r="O651" s="328"/>
      <c r="P651" s="328"/>
      <c r="Q651" s="328"/>
      <c r="R651" s="332"/>
      <c r="S651" s="331">
        <v>6.8234959243199986</v>
      </c>
      <c r="T651" s="331"/>
      <c r="U651" s="328">
        <v>10.8</v>
      </c>
      <c r="V651" s="328"/>
      <c r="W651" s="328"/>
      <c r="X651" s="328"/>
      <c r="Y651" s="333">
        <v>3.3247649999999997</v>
      </c>
      <c r="Z651" s="331"/>
      <c r="AA651" s="334">
        <v>42207.446808510642</v>
      </c>
      <c r="AB651" s="331"/>
      <c r="AC651" s="333">
        <v>14.782270199999999</v>
      </c>
      <c r="AD651" s="331"/>
      <c r="AE651" s="331">
        <v>15.87</v>
      </c>
      <c r="AF651" s="331"/>
      <c r="AG651" s="328">
        <v>3.76</v>
      </c>
      <c r="AH651" s="328"/>
      <c r="AI651" s="328">
        <v>100</v>
      </c>
      <c r="AJ651" s="328"/>
      <c r="AK651" s="328"/>
      <c r="AL651" s="328"/>
      <c r="AM651" s="328"/>
      <c r="AN651" s="328"/>
      <c r="AO651" s="328">
        <v>77</v>
      </c>
      <c r="AP651" s="328"/>
      <c r="AQ651" s="335"/>
      <c r="AR651" s="335"/>
      <c r="AS651" s="328">
        <v>114</v>
      </c>
      <c r="AT651" s="328"/>
      <c r="AU651" s="328"/>
      <c r="AV651" s="328"/>
      <c r="AW651" s="328"/>
      <c r="AX651" s="328"/>
      <c r="AY651" s="328"/>
      <c r="AZ651" s="328"/>
      <c r="BA651" s="328"/>
      <c r="BB651" s="328"/>
      <c r="BC651" s="328"/>
      <c r="BD651" s="328"/>
      <c r="BE651" s="328"/>
      <c r="BF651" s="328"/>
      <c r="BG651" s="328">
        <v>-3.2751000000000001</v>
      </c>
      <c r="BH651" s="328"/>
      <c r="BI651" s="328">
        <v>4.8817000000000004</v>
      </c>
      <c r="BJ651" s="328"/>
      <c r="BK651" s="328">
        <v>1.6896</v>
      </c>
      <c r="BL651" s="328"/>
      <c r="BM651" s="328">
        <v>62.365000000000002</v>
      </c>
      <c r="BN651" s="328"/>
      <c r="BO651" s="328">
        <v>20.087</v>
      </c>
      <c r="BP651" s="328"/>
      <c r="BQ651" s="328">
        <v>9.4524000000000008</v>
      </c>
      <c r="BR651" s="328"/>
      <c r="BS651" s="328">
        <v>46.16</v>
      </c>
      <c r="BT651" s="328"/>
      <c r="BU651" s="328">
        <v>19.484000000000002</v>
      </c>
      <c r="BV651" s="328"/>
      <c r="BW651" s="336">
        <v>1.2</v>
      </c>
      <c r="BX651" s="328"/>
      <c r="BY651" s="328">
        <v>6.5520000000000067</v>
      </c>
      <c r="BZ651" s="328"/>
      <c r="CA651" s="328"/>
      <c r="CB651" s="337"/>
      <c r="CC651" s="328">
        <v>6.59</v>
      </c>
      <c r="CD651" s="328"/>
      <c r="CE651" s="328"/>
      <c r="CF651" s="328"/>
      <c r="CG651" s="328"/>
      <c r="CH651" s="328"/>
      <c r="CI651" s="328"/>
      <c r="CJ651" s="328"/>
      <c r="CK651" s="328" t="s">
        <v>8377</v>
      </c>
      <c r="CL651" s="328"/>
      <c r="CM651" s="328"/>
    </row>
    <row r="652" spans="1:91">
      <c r="A652" s="154" t="s">
        <v>7788</v>
      </c>
      <c r="B652" t="s">
        <v>8289</v>
      </c>
      <c r="C652">
        <v>1</v>
      </c>
      <c r="D652">
        <v>1032</v>
      </c>
      <c r="E652" s="113">
        <v>32</v>
      </c>
      <c r="F652" s="113">
        <v>10</v>
      </c>
      <c r="I652">
        <v>23</v>
      </c>
      <c r="K652" s="320">
        <v>8</v>
      </c>
      <c r="L652" s="320"/>
      <c r="M652">
        <v>2.77</v>
      </c>
      <c r="N652" s="320"/>
      <c r="O652"/>
      <c r="P652"/>
      <c r="Q652"/>
      <c r="S652" s="320">
        <v>11.158746983747999</v>
      </c>
      <c r="T652" s="320"/>
      <c r="U652">
        <v>10.8</v>
      </c>
      <c r="V652"/>
      <c r="W652"/>
      <c r="X652"/>
      <c r="Y652" s="321">
        <v>4.7532113999999996</v>
      </c>
      <c r="Z652" s="320"/>
      <c r="AA652" s="322">
        <v>59509.345794392517</v>
      </c>
      <c r="AB652" s="320"/>
      <c r="AC652" s="321">
        <v>23.826675599999998</v>
      </c>
      <c r="AD652" s="320"/>
      <c r="AE652" s="320">
        <v>25.47</v>
      </c>
      <c r="AF652" s="320"/>
      <c r="AG652">
        <v>4.28</v>
      </c>
      <c r="AH652"/>
      <c r="AI652">
        <v>120</v>
      </c>
      <c r="AJ652"/>
      <c r="AK652"/>
      <c r="AL652"/>
      <c r="AM652"/>
      <c r="AN652"/>
      <c r="AO652">
        <v>79</v>
      </c>
      <c r="AP652"/>
      <c r="AQ652" s="323"/>
      <c r="AR652" s="323"/>
      <c r="AS652">
        <v>114</v>
      </c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>
        <v>-0.87565999999999999</v>
      </c>
      <c r="BH652"/>
      <c r="BI652">
        <v>5.0147000000000004</v>
      </c>
      <c r="BJ652"/>
      <c r="BK652">
        <v>1.6165</v>
      </c>
      <c r="BL652"/>
      <c r="BM652">
        <v>57.21</v>
      </c>
      <c r="BN652"/>
      <c r="BO652">
        <v>21.585999999999999</v>
      </c>
      <c r="BP652"/>
      <c r="BQ652">
        <v>9.0577000000000005</v>
      </c>
      <c r="BR652"/>
      <c r="BS652">
        <v>46.832999999999998</v>
      </c>
      <c r="BT652"/>
      <c r="BU652">
        <v>20.707000000000001</v>
      </c>
      <c r="BV652"/>
      <c r="BW652" s="325">
        <v>8.93</v>
      </c>
      <c r="BX652"/>
      <c r="BY652">
        <v>6.6219999999999999</v>
      </c>
      <c r="BZ652"/>
      <c r="CA652"/>
      <c r="CC652">
        <v>9.64</v>
      </c>
      <c r="CD652"/>
      <c r="CE652"/>
      <c r="CF652"/>
      <c r="CG652"/>
      <c r="CH652"/>
      <c r="CI652"/>
      <c r="CJ652"/>
      <c r="CK652"/>
      <c r="CL652"/>
      <c r="CM652"/>
    </row>
    <row r="653" spans="1:91">
      <c r="A653" s="154" t="s">
        <v>7788</v>
      </c>
      <c r="B653" t="s">
        <v>8287</v>
      </c>
      <c r="C653">
        <v>2</v>
      </c>
      <c r="D653">
        <v>1276</v>
      </c>
      <c r="E653" s="113">
        <v>76</v>
      </c>
      <c r="F653" s="113">
        <v>12</v>
      </c>
      <c r="I653">
        <v>31</v>
      </c>
      <c r="K653" s="320">
        <v>9</v>
      </c>
      <c r="L653" s="320"/>
      <c r="M653">
        <v>3.28</v>
      </c>
      <c r="N653" s="320"/>
      <c r="O653"/>
      <c r="P653"/>
      <c r="Q653"/>
      <c r="S653" s="320" t="s">
        <v>8361</v>
      </c>
      <c r="T653" s="320"/>
      <c r="U653">
        <v>10.8</v>
      </c>
      <c r="V653"/>
      <c r="W653"/>
      <c r="X653"/>
      <c r="Y653" s="321">
        <v>0</v>
      </c>
      <c r="Z653" s="320"/>
      <c r="AA653" s="322">
        <v>73395.348837209312</v>
      </c>
      <c r="AB653" s="320"/>
      <c r="AC653" s="321" t="s">
        <v>8361</v>
      </c>
      <c r="AD653" s="320"/>
      <c r="AE653" s="320">
        <v>31.56</v>
      </c>
      <c r="AF653" s="320"/>
      <c r="AG653">
        <v>4.3</v>
      </c>
      <c r="AH653"/>
      <c r="AI653">
        <v>130</v>
      </c>
      <c r="AJ653"/>
      <c r="AK653"/>
      <c r="AL653"/>
      <c r="AM653"/>
      <c r="AN653"/>
      <c r="AO653">
        <v>80</v>
      </c>
      <c r="AP653"/>
      <c r="AQ653" s="323"/>
      <c r="AR653" s="323"/>
      <c r="AS653">
        <v>112</v>
      </c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>
        <v>-6.3506</v>
      </c>
      <c r="BH653"/>
      <c r="BI653">
        <v>4.9913999999999996</v>
      </c>
      <c r="BJ653"/>
      <c r="BK653">
        <v>1.5377000000000001</v>
      </c>
      <c r="BL653"/>
      <c r="BM653">
        <v>68.024000000000001</v>
      </c>
      <c r="BN653"/>
      <c r="BO653">
        <v>20.74</v>
      </c>
      <c r="BP653"/>
      <c r="BQ653">
        <v>9.4032</v>
      </c>
      <c r="BR653"/>
      <c r="BS653">
        <v>55.435000000000002</v>
      </c>
      <c r="BT653"/>
      <c r="BU653">
        <v>15.882999999999999</v>
      </c>
      <c r="BV653"/>
      <c r="BW653" s="325">
        <v>10.91</v>
      </c>
      <c r="BX653"/>
      <c r="BY653">
        <v>6.1689999999999969</v>
      </c>
      <c r="BZ653"/>
      <c r="CA653"/>
      <c r="CC653">
        <v>5.44</v>
      </c>
      <c r="CD653"/>
      <c r="CE653"/>
      <c r="CF653"/>
      <c r="CG653"/>
      <c r="CH653"/>
      <c r="CI653"/>
      <c r="CJ653"/>
      <c r="CK653"/>
      <c r="CL653"/>
      <c r="CM653"/>
    </row>
    <row r="654" spans="1:91">
      <c r="A654" s="154" t="s">
        <v>7789</v>
      </c>
      <c r="B654" t="s">
        <v>8287</v>
      </c>
      <c r="C654">
        <v>1</v>
      </c>
      <c r="D654">
        <v>505</v>
      </c>
      <c r="E654" s="113">
        <v>5</v>
      </c>
      <c r="F654" s="113">
        <v>5</v>
      </c>
      <c r="I654">
        <v>33.5</v>
      </c>
      <c r="K654" s="320">
        <v>9</v>
      </c>
      <c r="L654" s="320"/>
      <c r="M654">
        <v>3.51</v>
      </c>
      <c r="N654" s="320"/>
      <c r="O654"/>
      <c r="P654"/>
      <c r="Q654"/>
      <c r="S654" s="320">
        <v>15.827067772298999</v>
      </c>
      <c r="T654" s="320"/>
      <c r="U654">
        <v>10.8</v>
      </c>
      <c r="V654"/>
      <c r="W654"/>
      <c r="X654"/>
      <c r="Y654" s="321">
        <v>5.0080390999999995</v>
      </c>
      <c r="Z654" s="320"/>
      <c r="AA654" s="322">
        <v>76474.654377880172</v>
      </c>
      <c r="AB654" s="320"/>
      <c r="AC654" s="321">
        <v>31.053559699999997</v>
      </c>
      <c r="AD654" s="320"/>
      <c r="AE654" s="320">
        <v>33.19</v>
      </c>
      <c r="AF654" s="320"/>
      <c r="AG654">
        <v>4.34</v>
      </c>
      <c r="AH654"/>
      <c r="AI654">
        <v>125</v>
      </c>
      <c r="AJ654"/>
      <c r="AK654"/>
      <c r="AL654"/>
      <c r="AM654"/>
      <c r="AN654"/>
      <c r="AO654">
        <v>77</v>
      </c>
      <c r="AP654"/>
      <c r="AQ654" s="323"/>
      <c r="AR654" s="323"/>
      <c r="AS654">
        <v>112</v>
      </c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>
        <v>-1.6438999999999999</v>
      </c>
      <c r="BH654"/>
      <c r="BI654">
        <v>4.4000000000000004</v>
      </c>
      <c r="BJ654"/>
      <c r="BK654">
        <v>1.4924999999999999</v>
      </c>
      <c r="BL654"/>
      <c r="BM654">
        <v>65.834999999999994</v>
      </c>
      <c r="BN654"/>
      <c r="BO654">
        <v>19.984999999999999</v>
      </c>
      <c r="BP654"/>
      <c r="BQ654">
        <v>9.7971000000000004</v>
      </c>
      <c r="BR654"/>
      <c r="BS654">
        <v>50.966999999999999</v>
      </c>
      <c r="BT654"/>
      <c r="BU654">
        <v>17.423999999999999</v>
      </c>
      <c r="BV654"/>
      <c r="BW654" s="325">
        <v>13.62</v>
      </c>
      <c r="BX654"/>
      <c r="BY654">
        <v>6.2900000000000063</v>
      </c>
      <c r="BZ654"/>
      <c r="CA654"/>
      <c r="CC654">
        <v>7.06</v>
      </c>
      <c r="CD654"/>
      <c r="CE654"/>
      <c r="CF654"/>
      <c r="CG654"/>
      <c r="CH654"/>
      <c r="CI654"/>
      <c r="CJ654"/>
      <c r="CK654"/>
      <c r="CL654"/>
      <c r="CM654"/>
    </row>
    <row r="655" spans="1:91">
      <c r="A655" s="154" t="s">
        <v>7789</v>
      </c>
      <c r="B655" t="s">
        <v>8289</v>
      </c>
      <c r="C655">
        <v>2</v>
      </c>
      <c r="D655">
        <v>752</v>
      </c>
      <c r="E655" s="113">
        <v>52</v>
      </c>
      <c r="F655" s="113">
        <v>7</v>
      </c>
      <c r="I655">
        <v>25</v>
      </c>
      <c r="K655" s="320">
        <v>8</v>
      </c>
      <c r="L655" s="320"/>
      <c r="M655">
        <v>3.33</v>
      </c>
      <c r="N655" s="320"/>
      <c r="O655"/>
      <c r="P655"/>
      <c r="Q655"/>
      <c r="S655" s="320">
        <v>13.734948000626998</v>
      </c>
      <c r="T655" s="320"/>
      <c r="U655">
        <v>10.8</v>
      </c>
      <c r="V655"/>
      <c r="W655"/>
      <c r="X655"/>
      <c r="Y655" s="321">
        <v>5.8890390999999989</v>
      </c>
      <c r="Z655" s="320"/>
      <c r="AA655" s="322">
        <v>64757.085020242906</v>
      </c>
      <c r="AB655" s="320"/>
      <c r="AC655" s="321">
        <v>29.800924299999998</v>
      </c>
      <c r="AD655" s="320"/>
      <c r="AE655" s="320">
        <v>31.99</v>
      </c>
      <c r="AF655" s="320"/>
      <c r="AG655">
        <v>4.9400000000000004</v>
      </c>
      <c r="AH655"/>
      <c r="AI655">
        <v>113</v>
      </c>
      <c r="AJ655"/>
      <c r="AK655"/>
      <c r="AL655"/>
      <c r="AM655"/>
      <c r="AN655"/>
      <c r="AO655">
        <v>77</v>
      </c>
      <c r="AP655"/>
      <c r="AQ655" s="323"/>
      <c r="AR655" s="323"/>
      <c r="AS655">
        <v>112</v>
      </c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>
        <v>-4.8661000000000003</v>
      </c>
      <c r="BH655"/>
      <c r="BI655">
        <v>4.9569999999999999</v>
      </c>
      <c r="BJ655"/>
      <c r="BK655">
        <v>1.6366000000000001</v>
      </c>
      <c r="BL655"/>
      <c r="BM655">
        <v>59.295999999999999</v>
      </c>
      <c r="BN655"/>
      <c r="BO655">
        <v>20.864000000000001</v>
      </c>
      <c r="BP655"/>
      <c r="BQ655">
        <v>9.8056999999999999</v>
      </c>
      <c r="BR655"/>
      <c r="BS655">
        <v>46.088999999999999</v>
      </c>
      <c r="BT655"/>
      <c r="BU655">
        <v>19.216999999999999</v>
      </c>
      <c r="BV655"/>
      <c r="BW655" s="325">
        <v>1.89</v>
      </c>
      <c r="BX655"/>
      <c r="BY655">
        <v>6.722999999999999</v>
      </c>
      <c r="BZ655"/>
      <c r="CA655"/>
      <c r="CC655">
        <v>5.6</v>
      </c>
      <c r="CD655"/>
      <c r="CE655"/>
      <c r="CF655"/>
      <c r="CG655"/>
      <c r="CH655"/>
      <c r="CI655"/>
      <c r="CJ655"/>
      <c r="CK655"/>
      <c r="CL655"/>
      <c r="CM655"/>
    </row>
    <row r="656" spans="1:91">
      <c r="A656" s="154" t="s">
        <v>7789</v>
      </c>
      <c r="B656" t="s">
        <v>8287</v>
      </c>
      <c r="C656">
        <v>2</v>
      </c>
      <c r="D656">
        <v>1567</v>
      </c>
      <c r="E656" s="113">
        <v>67</v>
      </c>
      <c r="F656" s="113">
        <v>15</v>
      </c>
      <c r="I656">
        <v>37.999999999999993</v>
      </c>
      <c r="K656" s="320">
        <v>8</v>
      </c>
      <c r="L656" s="320"/>
      <c r="M656">
        <v>3.88</v>
      </c>
      <c r="N656" s="320"/>
      <c r="O656"/>
      <c r="P656"/>
      <c r="Q656"/>
      <c r="S656" s="320">
        <v>18.065022618006001</v>
      </c>
      <c r="T656" s="320"/>
      <c r="U656">
        <v>10.8</v>
      </c>
      <c r="V656"/>
      <c r="W656"/>
      <c r="X656"/>
      <c r="Y656" s="321">
        <v>5.9200659</v>
      </c>
      <c r="Z656" s="320"/>
      <c r="AA656" s="322">
        <v>80280.777537796981</v>
      </c>
      <c r="AB656" s="320"/>
      <c r="AC656" s="321">
        <v>34.820112600000002</v>
      </c>
      <c r="AD656" s="320"/>
      <c r="AE656" s="320">
        <v>37.17</v>
      </c>
      <c r="AF656" s="320"/>
      <c r="AG656">
        <v>4.63</v>
      </c>
      <c r="AH656"/>
      <c r="AI656">
        <v>115</v>
      </c>
      <c r="AJ656"/>
      <c r="AK656"/>
      <c r="AL656"/>
      <c r="AM656"/>
      <c r="AN656"/>
      <c r="AO656">
        <v>79</v>
      </c>
      <c r="AP656"/>
      <c r="AQ656" s="323"/>
      <c r="AR656" s="323"/>
      <c r="AS656">
        <v>112</v>
      </c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>
        <v>-4.8029999999999999</v>
      </c>
      <c r="BH656"/>
      <c r="BI656">
        <v>4.6936</v>
      </c>
      <c r="BJ656"/>
      <c r="BK656">
        <v>1.4757</v>
      </c>
      <c r="BL656"/>
      <c r="BM656">
        <v>65.251999999999995</v>
      </c>
      <c r="BN656"/>
      <c r="BO656">
        <v>20.716999999999999</v>
      </c>
      <c r="BP656"/>
      <c r="BQ656">
        <v>9.452</v>
      </c>
      <c r="BR656"/>
      <c r="BS656">
        <v>51.881</v>
      </c>
      <c r="BT656"/>
      <c r="BU656">
        <v>16.524000000000001</v>
      </c>
      <c r="BV656"/>
      <c r="BW656" s="325">
        <v>9.8000000000000007</v>
      </c>
      <c r="BX656"/>
      <c r="BY656">
        <v>6.257000000000005</v>
      </c>
      <c r="BZ656"/>
      <c r="CA656"/>
      <c r="CC656">
        <v>5.84</v>
      </c>
      <c r="CD656"/>
      <c r="CE656"/>
      <c r="CF656"/>
      <c r="CG656"/>
      <c r="CH656"/>
      <c r="CI656"/>
      <c r="CJ656"/>
      <c r="CK656"/>
      <c r="CL656"/>
      <c r="CM656"/>
    </row>
    <row r="657" spans="1:91">
      <c r="A657" s="154" t="s">
        <v>7789</v>
      </c>
      <c r="B657" t="s">
        <v>8289</v>
      </c>
      <c r="C657">
        <v>1</v>
      </c>
      <c r="D657">
        <v>1729</v>
      </c>
      <c r="E657" s="113">
        <v>29</v>
      </c>
      <c r="F657" s="113">
        <v>17</v>
      </c>
      <c r="I657">
        <v>28.5</v>
      </c>
      <c r="K657" s="320">
        <v>8</v>
      </c>
      <c r="L657" s="320"/>
      <c r="M657">
        <v>3.67</v>
      </c>
      <c r="N657" s="320"/>
      <c r="O657"/>
      <c r="P657"/>
      <c r="Q657"/>
      <c r="S657" s="320">
        <v>14.469335474832</v>
      </c>
      <c r="T657" s="320"/>
      <c r="U657">
        <v>10.8</v>
      </c>
      <c r="V657"/>
      <c r="W657"/>
      <c r="X657"/>
      <c r="Y657" s="321">
        <v>6.4945103999999994</v>
      </c>
      <c r="Z657" s="320"/>
      <c r="AA657" s="322">
        <v>73506.493506493513</v>
      </c>
      <c r="AB657" s="320"/>
      <c r="AC657" s="321">
        <v>31.644946800000003</v>
      </c>
      <c r="AD657" s="320"/>
      <c r="AE657" s="320">
        <v>33.96</v>
      </c>
      <c r="AF657" s="320"/>
      <c r="AG657">
        <v>4.62</v>
      </c>
      <c r="AH657"/>
      <c r="AI657">
        <v>105</v>
      </c>
      <c r="AJ657"/>
      <c r="AK657"/>
      <c r="AL657"/>
      <c r="AM657"/>
      <c r="AN657"/>
      <c r="AO657">
        <v>79</v>
      </c>
      <c r="AP657"/>
      <c r="AQ657" s="323"/>
      <c r="AR657" s="323"/>
      <c r="AS657">
        <v>112</v>
      </c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>
        <v>-3.3871000000000002</v>
      </c>
      <c r="BH657"/>
      <c r="BI657">
        <v>5.2172000000000001</v>
      </c>
      <c r="BJ657"/>
      <c r="BK657">
        <v>1.4557</v>
      </c>
      <c r="BL657"/>
      <c r="BM657">
        <v>61.923999999999999</v>
      </c>
      <c r="BN657"/>
      <c r="BO657">
        <v>22.428000000000001</v>
      </c>
      <c r="BP657"/>
      <c r="BQ657">
        <v>9.5243000000000002</v>
      </c>
      <c r="BR657"/>
      <c r="BS657">
        <v>45.723999999999997</v>
      </c>
      <c r="BT657"/>
      <c r="BU657">
        <v>19.553999999999998</v>
      </c>
      <c r="BV657"/>
      <c r="BW657" s="325">
        <v>5.19</v>
      </c>
      <c r="BX657"/>
      <c r="BY657">
        <v>6.8520000000000039</v>
      </c>
      <c r="BZ657"/>
      <c r="CA657"/>
      <c r="CC657">
        <v>9.07</v>
      </c>
      <c r="CD657"/>
      <c r="CE657"/>
      <c r="CF657"/>
      <c r="CG657"/>
      <c r="CH657"/>
      <c r="CI657"/>
      <c r="CJ657"/>
      <c r="CK657"/>
      <c r="CL657"/>
      <c r="CM657"/>
    </row>
    <row r="658" spans="1:91">
      <c r="A658" s="154" t="s">
        <v>7790</v>
      </c>
      <c r="B658" t="s">
        <v>8289</v>
      </c>
      <c r="C658">
        <v>2</v>
      </c>
      <c r="D658">
        <v>252</v>
      </c>
      <c r="E658" s="113">
        <v>52</v>
      </c>
      <c r="F658" s="113">
        <v>2</v>
      </c>
      <c r="I658">
        <v>18</v>
      </c>
      <c r="K658" s="320">
        <v>8</v>
      </c>
      <c r="L658" s="320"/>
      <c r="M658">
        <v>3.5</v>
      </c>
      <c r="N658" s="320"/>
      <c r="O658"/>
      <c r="P658"/>
      <c r="Q658"/>
      <c r="S658" s="320">
        <v>14.90784364804</v>
      </c>
      <c r="T658" s="320"/>
      <c r="U658">
        <v>10.8</v>
      </c>
      <c r="V658"/>
      <c r="W658"/>
      <c r="X658"/>
      <c r="Y658" s="321">
        <v>6.3355362999999985</v>
      </c>
      <c r="Z658" s="320"/>
      <c r="AA658" s="322">
        <v>71670.235546038544</v>
      </c>
      <c r="AB658" s="320"/>
      <c r="AC658" s="321">
        <v>31.457783599999999</v>
      </c>
      <c r="AD658" s="320"/>
      <c r="AE658" s="320">
        <v>33.47</v>
      </c>
      <c r="AF658" s="320"/>
      <c r="AG658">
        <v>4.67</v>
      </c>
      <c r="AH658"/>
      <c r="AI658">
        <v>118</v>
      </c>
      <c r="AJ658"/>
      <c r="AK658"/>
      <c r="AL658"/>
      <c r="AM658"/>
      <c r="AN658"/>
      <c r="AO658">
        <v>73</v>
      </c>
      <c r="AP658"/>
      <c r="AQ658" s="323"/>
      <c r="AR658" s="323"/>
      <c r="AS658">
        <v>116</v>
      </c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>
        <v>-0.66754999999999998</v>
      </c>
      <c r="BH658"/>
      <c r="BI658">
        <v>4.9577</v>
      </c>
      <c r="BJ658"/>
      <c r="BK658">
        <v>1.6214</v>
      </c>
      <c r="BL658"/>
      <c r="BM658">
        <v>60.392000000000003</v>
      </c>
      <c r="BN658"/>
      <c r="BO658">
        <v>21.091000000000001</v>
      </c>
      <c r="BP658"/>
      <c r="BQ658">
        <v>8.8926999999999996</v>
      </c>
      <c r="BR658"/>
      <c r="BS658">
        <v>47.39</v>
      </c>
      <c r="BT658"/>
      <c r="BU658">
        <v>18.22</v>
      </c>
      <c r="BV658"/>
      <c r="BW658" s="325">
        <v>4.22</v>
      </c>
      <c r="BX658"/>
      <c r="BY658">
        <v>6.3539999999999992</v>
      </c>
      <c r="BZ658"/>
      <c r="CA658"/>
      <c r="CC658">
        <v>6.01</v>
      </c>
      <c r="CD658"/>
      <c r="CE658"/>
      <c r="CF658"/>
      <c r="CG658"/>
      <c r="CH658"/>
      <c r="CI658"/>
      <c r="CJ658"/>
      <c r="CK658"/>
      <c r="CL658"/>
      <c r="CM658"/>
    </row>
    <row r="659" spans="1:91">
      <c r="A659" s="327" t="s">
        <v>7790</v>
      </c>
      <c r="B659" s="328" t="s">
        <v>8287</v>
      </c>
      <c r="C659" s="328">
        <v>1</v>
      </c>
      <c r="D659" s="328">
        <v>813</v>
      </c>
      <c r="E659" s="113">
        <v>13</v>
      </c>
      <c r="F659" s="113">
        <v>8</v>
      </c>
      <c r="G659" s="329"/>
      <c r="H659" s="329"/>
      <c r="I659" s="328">
        <v>18</v>
      </c>
      <c r="J659" s="330"/>
      <c r="K659" s="331">
        <v>7</v>
      </c>
      <c r="L659" s="331"/>
      <c r="M659" s="328">
        <v>2.74</v>
      </c>
      <c r="N659" s="331"/>
      <c r="O659" s="328"/>
      <c r="P659" s="328"/>
      <c r="Q659" s="328"/>
      <c r="R659" s="332"/>
      <c r="S659" s="331">
        <v>13.107864993035998</v>
      </c>
      <c r="T659" s="331"/>
      <c r="U659" s="328">
        <v>10.8</v>
      </c>
      <c r="V659" s="328"/>
      <c r="W659" s="328"/>
      <c r="X659" s="328"/>
      <c r="Y659" s="333">
        <v>4.5503144999999998</v>
      </c>
      <c r="Z659" s="331"/>
      <c r="AA659" s="334">
        <v>58466.666666666664</v>
      </c>
      <c r="AB659" s="331"/>
      <c r="AC659" s="333">
        <v>24.650891399999999</v>
      </c>
      <c r="AD659" s="331"/>
      <c r="AE659" s="331">
        <v>26.31</v>
      </c>
      <c r="AF659" s="331"/>
      <c r="AG659" s="328">
        <v>4.5</v>
      </c>
      <c r="AH659" s="328"/>
      <c r="AI659" s="328">
        <v>100</v>
      </c>
      <c r="AJ659" s="328"/>
      <c r="AK659" s="328"/>
      <c r="AL659" s="328"/>
      <c r="AM659" s="328"/>
      <c r="AN659" s="328"/>
      <c r="AO659" s="328">
        <v>81</v>
      </c>
      <c r="AP659" s="328"/>
      <c r="AQ659" s="335"/>
      <c r="AR659" s="335"/>
      <c r="AS659" s="328">
        <v>112</v>
      </c>
      <c r="AT659" s="328"/>
      <c r="AU659" s="328"/>
      <c r="AV659" s="328"/>
      <c r="AW659" s="328"/>
      <c r="AX659" s="328"/>
      <c r="AY659" s="328"/>
      <c r="AZ659" s="328"/>
      <c r="BA659" s="328"/>
      <c r="BB659" s="328"/>
      <c r="BC659" s="328"/>
      <c r="BD659" s="328"/>
      <c r="BE659" s="328"/>
      <c r="BF659" s="328"/>
      <c r="BG659" s="328">
        <v>-1.6638999999999999</v>
      </c>
      <c r="BH659" s="328"/>
      <c r="BI659" s="328">
        <v>4.8593000000000002</v>
      </c>
      <c r="BJ659" s="328"/>
      <c r="BK659" s="328">
        <v>1.5266999999999999</v>
      </c>
      <c r="BL659" s="328"/>
      <c r="BM659" s="328">
        <v>64.923000000000002</v>
      </c>
      <c r="BN659" s="328"/>
      <c r="BO659" s="328">
        <v>20.847999999999999</v>
      </c>
      <c r="BP659" s="328"/>
      <c r="BQ659" s="328">
        <v>8.6687999999999992</v>
      </c>
      <c r="BR659" s="328"/>
      <c r="BS659" s="328">
        <v>53.173999999999999</v>
      </c>
      <c r="BT659" s="328"/>
      <c r="BU659" s="328">
        <v>15.454000000000001</v>
      </c>
      <c r="BV659" s="328"/>
      <c r="BW659" s="336">
        <v>7.48</v>
      </c>
      <c r="BX659" s="328"/>
      <c r="BY659" s="328">
        <v>6.2000000000000028</v>
      </c>
      <c r="BZ659" s="328"/>
      <c r="CA659" s="328"/>
      <c r="CB659" s="337"/>
      <c r="CC659" s="328">
        <v>5.64</v>
      </c>
      <c r="CD659" s="328"/>
      <c r="CE659" s="328"/>
      <c r="CF659" s="328"/>
      <c r="CG659" s="328"/>
      <c r="CH659" s="328"/>
      <c r="CI659" s="328"/>
      <c r="CJ659" s="328"/>
      <c r="CK659" s="328" t="s">
        <v>8377</v>
      </c>
      <c r="CL659" s="328"/>
      <c r="CM659" s="328"/>
    </row>
    <row r="660" spans="1:91">
      <c r="A660" s="154" t="s">
        <v>7790</v>
      </c>
      <c r="B660" t="s">
        <v>8289</v>
      </c>
      <c r="C660">
        <v>1</v>
      </c>
      <c r="D660">
        <v>1023</v>
      </c>
      <c r="E660" s="113">
        <v>23</v>
      </c>
      <c r="F660" s="113">
        <v>10</v>
      </c>
      <c r="I660">
        <v>19.499999999999996</v>
      </c>
      <c r="K660" s="320">
        <v>8</v>
      </c>
      <c r="L660" s="320"/>
      <c r="M660">
        <v>2.93</v>
      </c>
      <c r="N660" s="320"/>
      <c r="O660"/>
      <c r="P660"/>
      <c r="Q660"/>
      <c r="S660" s="320">
        <v>12.656078801624</v>
      </c>
      <c r="T660" s="320"/>
      <c r="U660">
        <v>10.8</v>
      </c>
      <c r="V660"/>
      <c r="W660"/>
      <c r="X660"/>
      <c r="Y660" s="321">
        <v>5.2098600000000008</v>
      </c>
      <c r="Z660" s="320"/>
      <c r="AA660" s="322">
        <v>68820.638820638822</v>
      </c>
      <c r="AB660" s="320"/>
      <c r="AC660" s="321">
        <v>26.110081700000002</v>
      </c>
      <c r="AD660" s="320"/>
      <c r="AE660" s="320">
        <v>28.01</v>
      </c>
      <c r="AF660" s="320"/>
      <c r="AG660">
        <v>4.07</v>
      </c>
      <c r="AH660"/>
      <c r="AI660">
        <v>108</v>
      </c>
      <c r="AJ660"/>
      <c r="AK660"/>
      <c r="AL660"/>
      <c r="AM660"/>
      <c r="AN660"/>
      <c r="AO660">
        <v>80</v>
      </c>
      <c r="AP660"/>
      <c r="AQ660" s="323"/>
      <c r="AR660" s="323"/>
      <c r="AS660">
        <v>112</v>
      </c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>
        <v>0.43174000000000001</v>
      </c>
      <c r="BH660"/>
      <c r="BI660">
        <v>5.0872999999999999</v>
      </c>
      <c r="BJ660"/>
      <c r="BK660">
        <v>1.5414000000000001</v>
      </c>
      <c r="BL660"/>
      <c r="BM660">
        <v>56.317999999999998</v>
      </c>
      <c r="BN660"/>
      <c r="BO660">
        <v>22.484999999999999</v>
      </c>
      <c r="BP660"/>
      <c r="BQ660">
        <v>8.6229999999999993</v>
      </c>
      <c r="BR660"/>
      <c r="BS660">
        <v>48.472000000000001</v>
      </c>
      <c r="BT660"/>
      <c r="BU660">
        <v>18.065000000000001</v>
      </c>
      <c r="BV660"/>
      <c r="BW660" s="325">
        <v>5.41</v>
      </c>
      <c r="BX660"/>
      <c r="BY660">
        <v>6.4060000000000059</v>
      </c>
      <c r="BZ660"/>
      <c r="CA660"/>
      <c r="CC660">
        <v>6.05</v>
      </c>
      <c r="CD660"/>
      <c r="CE660"/>
      <c r="CF660"/>
      <c r="CG660"/>
      <c r="CH660"/>
      <c r="CI660"/>
      <c r="CJ660"/>
      <c r="CK660"/>
      <c r="CL660"/>
      <c r="CM660"/>
    </row>
    <row r="661" spans="1:91">
      <c r="A661" s="154" t="s">
        <v>7790</v>
      </c>
      <c r="B661" t="s">
        <v>8287</v>
      </c>
      <c r="C661">
        <v>2</v>
      </c>
      <c r="D661">
        <v>1748</v>
      </c>
      <c r="E661" s="113">
        <v>48</v>
      </c>
      <c r="F661" s="113">
        <v>17</v>
      </c>
      <c r="I661">
        <v>22.5</v>
      </c>
      <c r="K661" s="320">
        <v>7</v>
      </c>
      <c r="L661" s="320"/>
      <c r="M661">
        <v>2.73</v>
      </c>
      <c r="N661" s="320"/>
      <c r="O661"/>
      <c r="P661"/>
      <c r="Q661"/>
      <c r="S661" s="320">
        <v>13.076317353842002</v>
      </c>
      <c r="T661" s="320"/>
      <c r="U661">
        <v>10.8</v>
      </c>
      <c r="V661"/>
      <c r="W661"/>
      <c r="X661"/>
      <c r="Y661" s="321">
        <v>4.0620257999999998</v>
      </c>
      <c r="Z661" s="320"/>
      <c r="AA661" s="322">
        <v>63616.504854368934</v>
      </c>
      <c r="AB661" s="320"/>
      <c r="AC661" s="321">
        <v>24.587863100000003</v>
      </c>
      <c r="AD661" s="320"/>
      <c r="AE661" s="320">
        <v>26.21</v>
      </c>
      <c r="AF661" s="320"/>
      <c r="AG661">
        <v>4.12</v>
      </c>
      <c r="AH661"/>
      <c r="AI661">
        <v>115</v>
      </c>
      <c r="AJ661"/>
      <c r="AK661"/>
      <c r="AL661"/>
      <c r="AM661"/>
      <c r="AN661"/>
      <c r="AO661">
        <v>80</v>
      </c>
      <c r="AP661"/>
      <c r="AQ661" s="323"/>
      <c r="AR661" s="323"/>
      <c r="AS661">
        <v>112</v>
      </c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>
        <v>-0.80342999999999998</v>
      </c>
      <c r="BH661"/>
      <c r="BI661">
        <v>5.2746000000000004</v>
      </c>
      <c r="BJ661"/>
      <c r="BK661">
        <v>1.4825999999999999</v>
      </c>
      <c r="BL661"/>
      <c r="BM661">
        <v>63.219000000000001</v>
      </c>
      <c r="BN661"/>
      <c r="BO661">
        <v>22.934000000000001</v>
      </c>
      <c r="BP661"/>
      <c r="BQ661">
        <v>8.2387999999999995</v>
      </c>
      <c r="BR661"/>
      <c r="BS661">
        <v>53.182000000000002</v>
      </c>
      <c r="BT661"/>
      <c r="BU661">
        <v>15.071</v>
      </c>
      <c r="BV661"/>
      <c r="BW661" s="325">
        <v>6.62</v>
      </c>
      <c r="BX661"/>
      <c r="BY661">
        <v>6.2079999999999984</v>
      </c>
      <c r="BZ661"/>
      <c r="CA661"/>
      <c r="CC661">
        <v>5.64</v>
      </c>
      <c r="CD661"/>
      <c r="CE661"/>
      <c r="CF661"/>
      <c r="CG661"/>
      <c r="CH661"/>
      <c r="CI661"/>
      <c r="CJ661"/>
      <c r="CK661"/>
      <c r="CL661"/>
      <c r="CM661"/>
    </row>
    <row r="662" spans="1:91">
      <c r="A662" s="154" t="s">
        <v>7791</v>
      </c>
      <c r="B662" t="s">
        <v>8287</v>
      </c>
      <c r="C662">
        <v>1</v>
      </c>
      <c r="D662">
        <v>429</v>
      </c>
      <c r="E662" s="113">
        <v>29</v>
      </c>
      <c r="F662" s="113">
        <v>4</v>
      </c>
      <c r="I662">
        <v>35.499999999999993</v>
      </c>
      <c r="K662" s="320">
        <v>9</v>
      </c>
      <c r="L662" s="320"/>
      <c r="M662">
        <v>3.63</v>
      </c>
      <c r="N662" s="320"/>
      <c r="O662"/>
      <c r="P662"/>
      <c r="Q662"/>
      <c r="S662" s="320">
        <v>16.614834021499998</v>
      </c>
      <c r="T662" s="320"/>
      <c r="U662">
        <v>10.8</v>
      </c>
      <c r="V662"/>
      <c r="W662"/>
      <c r="X662"/>
      <c r="Y662" s="321">
        <v>5.4633218000000001</v>
      </c>
      <c r="Z662" s="320"/>
      <c r="AA662" s="322">
        <v>69979.381443298975</v>
      </c>
      <c r="AB662" s="320"/>
      <c r="AC662" s="321">
        <v>31.798725399999999</v>
      </c>
      <c r="AD662" s="320"/>
      <c r="AE662" s="320">
        <v>33.94</v>
      </c>
      <c r="AF662" s="320"/>
      <c r="AG662">
        <v>4.8499999999999996</v>
      </c>
      <c r="AH662"/>
      <c r="AI662">
        <v>143</v>
      </c>
      <c r="AJ662"/>
      <c r="AK662"/>
      <c r="AL662"/>
      <c r="AM662"/>
      <c r="AN662"/>
      <c r="AO662">
        <v>79</v>
      </c>
      <c r="AP662"/>
      <c r="AQ662" s="323"/>
      <c r="AR662" s="323"/>
      <c r="AS662">
        <v>112</v>
      </c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>
        <v>-1.4654</v>
      </c>
      <c r="BH662"/>
      <c r="BI662">
        <v>4.5339</v>
      </c>
      <c r="BJ662"/>
      <c r="BK662">
        <v>1.5267999999999999</v>
      </c>
      <c r="BL662"/>
      <c r="BM662">
        <v>67.790999999999997</v>
      </c>
      <c r="BN662"/>
      <c r="BO662">
        <v>19.536000000000001</v>
      </c>
      <c r="BP662"/>
      <c r="BQ662">
        <v>8.7401</v>
      </c>
      <c r="BR662"/>
      <c r="BS662">
        <v>52.25</v>
      </c>
      <c r="BT662"/>
      <c r="BU662">
        <v>16.565000000000001</v>
      </c>
      <c r="BV662"/>
      <c r="BW662" s="325">
        <v>8.8800000000000008</v>
      </c>
      <c r="BX662"/>
      <c r="BY662">
        <v>6.644999999999996</v>
      </c>
      <c r="BZ662"/>
      <c r="CA662"/>
      <c r="CC662">
        <v>8.1</v>
      </c>
      <c r="CD662"/>
      <c r="CE662"/>
      <c r="CF662"/>
      <c r="CG662"/>
      <c r="CH662"/>
      <c r="CI662"/>
      <c r="CJ662"/>
      <c r="CK662"/>
      <c r="CL662"/>
      <c r="CM662"/>
    </row>
    <row r="663" spans="1:91">
      <c r="A663" s="154" t="s">
        <v>7791</v>
      </c>
      <c r="B663" t="s">
        <v>8289</v>
      </c>
      <c r="C663">
        <v>2</v>
      </c>
      <c r="D663">
        <v>671</v>
      </c>
      <c r="E663" s="113">
        <v>71</v>
      </c>
      <c r="F663" s="113">
        <v>6</v>
      </c>
      <c r="I663">
        <v>28.5</v>
      </c>
      <c r="K663" s="320">
        <v>9</v>
      </c>
      <c r="L663" s="320"/>
      <c r="M663">
        <v>3.49</v>
      </c>
      <c r="N663" s="320"/>
      <c r="O663"/>
      <c r="P663"/>
      <c r="Q663"/>
      <c r="S663" s="320">
        <v>14.127139325376</v>
      </c>
      <c r="T663" s="320"/>
      <c r="U663">
        <v>10.8</v>
      </c>
      <c r="V663"/>
      <c r="W663"/>
      <c r="X663"/>
      <c r="Y663" s="321">
        <v>6.0312356999999999</v>
      </c>
      <c r="Z663" s="320"/>
      <c r="AA663" s="322">
        <v>76582.568807339441</v>
      </c>
      <c r="AB663" s="320"/>
      <c r="AC663" s="321">
        <v>31.263724800000002</v>
      </c>
      <c r="AD663" s="320"/>
      <c r="AE663" s="320">
        <v>33.39</v>
      </c>
      <c r="AF663" s="320"/>
      <c r="AG663">
        <v>4.3600000000000003</v>
      </c>
      <c r="AH663"/>
      <c r="AI663">
        <v>138</v>
      </c>
      <c r="AJ663"/>
      <c r="AK663"/>
      <c r="AL663"/>
      <c r="AM663"/>
      <c r="AN663"/>
      <c r="AO663">
        <v>77</v>
      </c>
      <c r="AP663"/>
      <c r="AQ663" s="323"/>
      <c r="AR663" s="323"/>
      <c r="AS663">
        <v>112</v>
      </c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>
        <v>-4.4922000000000004</v>
      </c>
      <c r="BH663"/>
      <c r="BI663">
        <v>4.8449</v>
      </c>
      <c r="BJ663"/>
      <c r="BK663">
        <v>1.6057999999999999</v>
      </c>
      <c r="BL663"/>
      <c r="BM663">
        <v>62.125999999999998</v>
      </c>
      <c r="BN663"/>
      <c r="BO663">
        <v>21.23</v>
      </c>
      <c r="BP663"/>
      <c r="BQ663">
        <v>9.0170999999999992</v>
      </c>
      <c r="BR663"/>
      <c r="BS663">
        <v>45.186999999999998</v>
      </c>
      <c r="BT663"/>
      <c r="BU663">
        <v>19.596</v>
      </c>
      <c r="BV663"/>
      <c r="BW663" s="325">
        <v>7.06</v>
      </c>
      <c r="BX663"/>
      <c r="BY663">
        <v>7.1550000000000011</v>
      </c>
      <c r="BZ663"/>
      <c r="CA663"/>
      <c r="CC663">
        <v>5.97</v>
      </c>
      <c r="CD663"/>
      <c r="CE663"/>
      <c r="CF663"/>
      <c r="CG663"/>
      <c r="CH663"/>
      <c r="CI663"/>
      <c r="CJ663"/>
      <c r="CK663"/>
      <c r="CL663"/>
      <c r="CM663"/>
    </row>
    <row r="664" spans="1:91">
      <c r="A664" s="154" t="s">
        <v>7791</v>
      </c>
      <c r="B664" t="s">
        <v>8289</v>
      </c>
      <c r="C664">
        <v>1</v>
      </c>
      <c r="D664">
        <v>1014</v>
      </c>
      <c r="E664" s="113">
        <v>14</v>
      </c>
      <c r="F664" s="113">
        <v>10</v>
      </c>
      <c r="I664">
        <v>21.499999999999996</v>
      </c>
      <c r="K664" s="320">
        <v>9</v>
      </c>
      <c r="L664" s="320"/>
      <c r="M664">
        <v>2.93</v>
      </c>
      <c r="N664" s="320"/>
      <c r="O664"/>
      <c r="P664"/>
      <c r="Q664"/>
      <c r="S664" s="320">
        <v>11.804330913599999</v>
      </c>
      <c r="T664" s="320"/>
      <c r="U664">
        <v>10.8</v>
      </c>
      <c r="V664"/>
      <c r="W664"/>
      <c r="X664"/>
      <c r="Y664" s="321">
        <v>5.2278804000000001</v>
      </c>
      <c r="Z664" s="320"/>
      <c r="AA664" s="322">
        <v>62902.494331065755</v>
      </c>
      <c r="AB664" s="320"/>
      <c r="AC664" s="321">
        <v>25.886690599999998</v>
      </c>
      <c r="AD664" s="320"/>
      <c r="AE664" s="320">
        <v>27.74</v>
      </c>
      <c r="AF664" s="320"/>
      <c r="AG664">
        <v>4.41</v>
      </c>
      <c r="AH664"/>
      <c r="AI664">
        <v>130</v>
      </c>
      <c r="AJ664"/>
      <c r="AK664"/>
      <c r="AL664"/>
      <c r="AM664"/>
      <c r="AN664"/>
      <c r="AO664">
        <v>77</v>
      </c>
      <c r="AP664"/>
      <c r="AQ664" s="323"/>
      <c r="AR664" s="323"/>
      <c r="AS664">
        <v>112</v>
      </c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>
        <v>0.27350999999999998</v>
      </c>
      <c r="BH664"/>
      <c r="BI664">
        <v>5.0739999999999998</v>
      </c>
      <c r="BJ664"/>
      <c r="BK664">
        <v>1.6086</v>
      </c>
      <c r="BL664"/>
      <c r="BM664">
        <v>59.081000000000003</v>
      </c>
      <c r="BN664"/>
      <c r="BO664">
        <v>20.114000000000001</v>
      </c>
      <c r="BP664"/>
      <c r="BQ664">
        <v>9.1094000000000008</v>
      </c>
      <c r="BR664"/>
      <c r="BS664">
        <v>45.6</v>
      </c>
      <c r="BT664"/>
      <c r="BU664">
        <v>18.890999999999998</v>
      </c>
      <c r="BV664"/>
      <c r="BW664" s="325">
        <v>4.3099999999999996</v>
      </c>
      <c r="BX664"/>
      <c r="BY664">
        <v>7.007000000000005</v>
      </c>
      <c r="BZ664"/>
      <c r="CA664"/>
      <c r="CC664">
        <v>6.95</v>
      </c>
      <c r="CD664"/>
      <c r="CE664"/>
      <c r="CF664"/>
      <c r="CG664"/>
      <c r="CH664"/>
      <c r="CI664"/>
      <c r="CJ664"/>
      <c r="CK664"/>
      <c r="CL664"/>
      <c r="CM664"/>
    </row>
    <row r="665" spans="1:91">
      <c r="A665" s="154" t="s">
        <v>7791</v>
      </c>
      <c r="B665" t="s">
        <v>8287</v>
      </c>
      <c r="C665">
        <v>2</v>
      </c>
      <c r="D665">
        <v>1354</v>
      </c>
      <c r="E665" s="113">
        <v>54</v>
      </c>
      <c r="F665" s="113">
        <v>13</v>
      </c>
      <c r="I665">
        <v>32.5</v>
      </c>
      <c r="K665" s="320">
        <v>9</v>
      </c>
      <c r="L665" s="320"/>
      <c r="M665">
        <v>3.39</v>
      </c>
      <c r="N665" s="320"/>
      <c r="O665"/>
      <c r="P665"/>
      <c r="Q665"/>
      <c r="S665" s="320">
        <v>15.903124891940001</v>
      </c>
      <c r="T665" s="320"/>
      <c r="U665">
        <v>10.8</v>
      </c>
      <c r="V665"/>
      <c r="W665"/>
      <c r="X665"/>
      <c r="Y665" s="321">
        <v>5.4269161000000006</v>
      </c>
      <c r="Z665" s="320"/>
      <c r="AA665" s="322">
        <v>74510.250569476091</v>
      </c>
      <c r="AB665" s="320"/>
      <c r="AC665" s="321">
        <v>30.701606000000002</v>
      </c>
      <c r="AD665" s="320"/>
      <c r="AE665" s="320">
        <v>32.71</v>
      </c>
      <c r="AF665" s="320"/>
      <c r="AG665">
        <v>4.3899999999999997</v>
      </c>
      <c r="AH665"/>
      <c r="AI665">
        <v>133</v>
      </c>
      <c r="AJ665"/>
      <c r="AK665"/>
      <c r="AL665"/>
      <c r="AM665"/>
      <c r="AN665"/>
      <c r="AO665">
        <v>77</v>
      </c>
      <c r="AP665"/>
      <c r="AQ665" s="323"/>
      <c r="AR665" s="323"/>
      <c r="AS665">
        <v>112</v>
      </c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>
        <v>5.3007</v>
      </c>
      <c r="BH665"/>
      <c r="BI665">
        <v>4.8596000000000004</v>
      </c>
      <c r="BJ665"/>
      <c r="BK665">
        <v>1.5003</v>
      </c>
      <c r="BL665"/>
      <c r="BM665">
        <v>62.948999999999998</v>
      </c>
      <c r="BN665"/>
      <c r="BO665">
        <v>20.398</v>
      </c>
      <c r="BP665"/>
      <c r="BQ665">
        <v>8.7619000000000007</v>
      </c>
      <c r="BR665"/>
      <c r="BS665">
        <v>51.798999999999999</v>
      </c>
      <c r="BT665"/>
      <c r="BU665">
        <v>16.111000000000001</v>
      </c>
      <c r="BV665"/>
      <c r="BW665" s="325">
        <v>8.9700000000000006</v>
      </c>
      <c r="BX665"/>
      <c r="BY665">
        <v>6.4009999999999962</v>
      </c>
      <c r="BZ665"/>
      <c r="CA665"/>
      <c r="CC665">
        <v>5.18</v>
      </c>
      <c r="CD665"/>
      <c r="CE665"/>
      <c r="CF665"/>
      <c r="CG665"/>
      <c r="CH665"/>
      <c r="CI665"/>
      <c r="CJ665"/>
      <c r="CK665"/>
      <c r="CL665"/>
      <c r="CM665"/>
    </row>
    <row r="666" spans="1:91">
      <c r="A666" s="327" t="s">
        <v>7792</v>
      </c>
      <c r="B666" s="328" t="s">
        <v>8289</v>
      </c>
      <c r="C666" s="328">
        <v>2</v>
      </c>
      <c r="D666" s="328">
        <v>366</v>
      </c>
      <c r="E666" s="113">
        <v>66</v>
      </c>
      <c r="F666" s="113">
        <v>3</v>
      </c>
      <c r="G666" s="329"/>
      <c r="H666" s="329"/>
      <c r="I666" s="328">
        <v>32.999999999999993</v>
      </c>
      <c r="J666" s="330"/>
      <c r="K666" s="331">
        <v>6</v>
      </c>
      <c r="L666" s="331"/>
      <c r="M666" s="328">
        <v>0.76</v>
      </c>
      <c r="N666" s="331"/>
      <c r="O666" s="328"/>
      <c r="P666" s="328"/>
      <c r="Q666" s="328"/>
      <c r="R666" s="332"/>
      <c r="S666" s="331">
        <v>0</v>
      </c>
      <c r="T666" s="331"/>
      <c r="U666" s="328">
        <v>10.8</v>
      </c>
      <c r="V666" s="328"/>
      <c r="W666" s="328"/>
      <c r="X666" s="328"/>
      <c r="Y666" s="333">
        <v>1.5566724000000003</v>
      </c>
      <c r="Z666" s="331"/>
      <c r="AA666" s="334">
        <v>13790.476190476191</v>
      </c>
      <c r="AB666" s="331"/>
      <c r="AC666" s="333">
        <v>6.7074256000000005</v>
      </c>
      <c r="AD666" s="331"/>
      <c r="AE666" s="331">
        <v>7.24</v>
      </c>
      <c r="AF666" s="331"/>
      <c r="AG666" s="328">
        <v>5.25</v>
      </c>
      <c r="AH666" s="328"/>
      <c r="AI666" s="328">
        <v>105</v>
      </c>
      <c r="AJ666" s="328"/>
      <c r="AK666" s="328"/>
      <c r="AL666" s="328"/>
      <c r="AM666" s="328"/>
      <c r="AN666" s="328"/>
      <c r="AO666" s="328">
        <v>81</v>
      </c>
      <c r="AP666" s="328"/>
      <c r="AQ666" s="335"/>
      <c r="AR666" s="335"/>
      <c r="AS666" s="328">
        <v>116</v>
      </c>
      <c r="AT666" s="328"/>
      <c r="AU666" s="328"/>
      <c r="AV666" s="328"/>
      <c r="AW666" s="328"/>
      <c r="AX666" s="328"/>
      <c r="AY666" s="328"/>
      <c r="AZ666" s="328"/>
      <c r="BA666" s="328"/>
      <c r="BB666" s="328"/>
      <c r="BC666" s="328"/>
      <c r="BD666" s="328"/>
      <c r="BE666" s="328"/>
      <c r="BF666" s="328"/>
      <c r="BG666" s="328"/>
      <c r="BH666" s="328"/>
      <c r="BI666" s="328"/>
      <c r="BJ666" s="328"/>
      <c r="BK666" s="328"/>
      <c r="BL666" s="328"/>
      <c r="BM666" s="328"/>
      <c r="BN666" s="328"/>
      <c r="BO666" s="328"/>
      <c r="BP666" s="328"/>
      <c r="BQ666" s="328"/>
      <c r="BR666" s="328"/>
      <c r="BS666" s="328"/>
      <c r="BT666" s="328"/>
      <c r="BU666" s="328"/>
      <c r="BV666" s="328"/>
      <c r="BW666" s="328" t="s">
        <v>8361</v>
      </c>
      <c r="BX666" s="339"/>
      <c r="BY666" s="328" t="s">
        <v>8237</v>
      </c>
      <c r="BZ666" s="328"/>
      <c r="CA666" s="328"/>
      <c r="CB666" s="337"/>
      <c r="CC666" s="328">
        <v>6.34</v>
      </c>
      <c r="CD666" s="328"/>
      <c r="CE666" s="328"/>
      <c r="CF666" s="328"/>
      <c r="CG666" s="328"/>
      <c r="CH666" s="328"/>
      <c r="CI666" s="328"/>
      <c r="CJ666" s="328"/>
      <c r="CK666" s="328" t="s">
        <v>8377</v>
      </c>
      <c r="CL666" s="328"/>
      <c r="CM666" s="328"/>
    </row>
    <row r="667" spans="1:91">
      <c r="A667" s="154" t="s">
        <v>7792</v>
      </c>
      <c r="B667" t="s">
        <v>8287</v>
      </c>
      <c r="C667">
        <v>1</v>
      </c>
      <c r="D667">
        <v>610</v>
      </c>
      <c r="E667" s="113">
        <v>10</v>
      </c>
      <c r="F667" s="113">
        <v>6</v>
      </c>
      <c r="I667">
        <v>27.999999999999996</v>
      </c>
      <c r="K667" s="320">
        <v>9</v>
      </c>
      <c r="L667" s="320"/>
      <c r="M667">
        <v>3.59</v>
      </c>
      <c r="N667" s="320"/>
      <c r="O667"/>
      <c r="P667"/>
      <c r="Q667"/>
      <c r="S667" s="320">
        <v>16.204453891002</v>
      </c>
      <c r="T667" s="320"/>
      <c r="U667">
        <v>10.8</v>
      </c>
      <c r="V667"/>
      <c r="W667"/>
      <c r="X667"/>
      <c r="Y667" s="321">
        <v>6.2548388999999993</v>
      </c>
      <c r="Z667" s="320"/>
      <c r="AA667" s="322">
        <v>79930.06993006992</v>
      </c>
      <c r="AB667" s="320"/>
      <c r="AC667" s="321">
        <v>32.267575800000003</v>
      </c>
      <c r="AD667" s="320"/>
      <c r="AE667" s="320">
        <v>34.29</v>
      </c>
      <c r="AF667" s="320"/>
      <c r="AG667">
        <v>4.29</v>
      </c>
      <c r="AH667"/>
      <c r="AI667">
        <v>140</v>
      </c>
      <c r="AJ667"/>
      <c r="AK667"/>
      <c r="AL667"/>
      <c r="AM667"/>
      <c r="AN667"/>
      <c r="AO667">
        <v>80</v>
      </c>
      <c r="AP667"/>
      <c r="AQ667" s="323"/>
      <c r="AR667" s="323"/>
      <c r="AS667">
        <v>112</v>
      </c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>
        <v>-0.49370999999999998</v>
      </c>
      <c r="BH667"/>
      <c r="BI667">
        <v>4.3841000000000001</v>
      </c>
      <c r="BJ667"/>
      <c r="BK667">
        <v>1.4745999999999999</v>
      </c>
      <c r="BL667"/>
      <c r="BM667">
        <v>64.682000000000002</v>
      </c>
      <c r="BN667"/>
      <c r="BO667">
        <v>19.187000000000001</v>
      </c>
      <c r="BP667"/>
      <c r="BQ667">
        <v>9.4543999999999997</v>
      </c>
      <c r="BR667"/>
      <c r="BS667">
        <v>50.219000000000001</v>
      </c>
      <c r="BT667"/>
      <c r="BU667">
        <v>19.181999999999999</v>
      </c>
      <c r="BV667"/>
      <c r="BW667" s="325">
        <v>9.9700000000000006</v>
      </c>
      <c r="BX667"/>
      <c r="BY667">
        <v>6.1610000000000014</v>
      </c>
      <c r="BZ667"/>
      <c r="CA667"/>
      <c r="CC667">
        <v>6.13</v>
      </c>
      <c r="CD667"/>
      <c r="CE667"/>
      <c r="CF667"/>
      <c r="CG667"/>
      <c r="CH667"/>
      <c r="CI667"/>
      <c r="CJ667"/>
      <c r="CK667"/>
      <c r="CL667"/>
      <c r="CM667"/>
    </row>
    <row r="668" spans="1:91">
      <c r="A668" s="154" t="s">
        <v>7792</v>
      </c>
      <c r="B668" t="s">
        <v>8289</v>
      </c>
      <c r="C668">
        <v>1</v>
      </c>
      <c r="D668">
        <v>1117</v>
      </c>
      <c r="E668" s="113">
        <v>17</v>
      </c>
      <c r="F668" s="113">
        <v>11</v>
      </c>
      <c r="I668">
        <v>24.5</v>
      </c>
      <c r="K668" s="320">
        <v>9</v>
      </c>
      <c r="L668" s="320"/>
      <c r="M668">
        <v>3.68</v>
      </c>
      <c r="N668" s="320"/>
      <c r="O668"/>
      <c r="P668"/>
      <c r="Q668"/>
      <c r="S668" s="320">
        <v>15.669993076920001</v>
      </c>
      <c r="T668" s="320"/>
      <c r="U668">
        <v>10.8</v>
      </c>
      <c r="V668"/>
      <c r="W668"/>
      <c r="X668"/>
      <c r="Y668" s="321">
        <v>6.7623659999999992</v>
      </c>
      <c r="Z668" s="320"/>
      <c r="AA668" s="322">
        <v>80320.366132723109</v>
      </c>
      <c r="AB668" s="320"/>
      <c r="AC668" s="321">
        <v>32.833241999999998</v>
      </c>
      <c r="AD668" s="320"/>
      <c r="AE668" s="320">
        <v>35.1</v>
      </c>
      <c r="AF668" s="320"/>
      <c r="AG668">
        <v>4.37</v>
      </c>
      <c r="AH668"/>
      <c r="AI668">
        <v>130</v>
      </c>
      <c r="AJ668"/>
      <c r="AK668"/>
      <c r="AL668"/>
      <c r="AM668"/>
      <c r="AN668"/>
      <c r="AO668">
        <v>79</v>
      </c>
      <c r="AP668"/>
      <c r="AQ668" s="323"/>
      <c r="AR668" s="323"/>
      <c r="AS668">
        <v>112</v>
      </c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>
        <v>0.27074999999999999</v>
      </c>
      <c r="BH668"/>
      <c r="BI668">
        <v>4.4584999999999999</v>
      </c>
      <c r="BJ668"/>
      <c r="BK668">
        <v>1.4145000000000001</v>
      </c>
      <c r="BL668"/>
      <c r="BM668">
        <v>56.335000000000001</v>
      </c>
      <c r="BN668"/>
      <c r="BO668">
        <v>18.975000000000001</v>
      </c>
      <c r="BP668"/>
      <c r="BQ668">
        <v>10.834</v>
      </c>
      <c r="BR668"/>
      <c r="BS668">
        <v>47.725999999999999</v>
      </c>
      <c r="BT668"/>
      <c r="BU668">
        <v>21.288</v>
      </c>
      <c r="BV668"/>
      <c r="BW668" s="325">
        <v>13.5</v>
      </c>
      <c r="BX668"/>
      <c r="BY668">
        <v>6.527000000000001</v>
      </c>
      <c r="BZ668"/>
      <c r="CA668"/>
      <c r="CC668">
        <v>6.25</v>
      </c>
      <c r="CD668"/>
      <c r="CE668"/>
      <c r="CF668"/>
      <c r="CG668"/>
      <c r="CH668"/>
      <c r="CI668"/>
      <c r="CJ668"/>
      <c r="CK668"/>
      <c r="CL668"/>
      <c r="CM668"/>
    </row>
    <row r="669" spans="1:91">
      <c r="A669" s="154" t="s">
        <v>7792</v>
      </c>
      <c r="B669" t="s">
        <v>8287</v>
      </c>
      <c r="C669">
        <v>2</v>
      </c>
      <c r="D669">
        <v>1752</v>
      </c>
      <c r="E669" s="113">
        <v>52</v>
      </c>
      <c r="F669" s="113">
        <v>17</v>
      </c>
      <c r="I669">
        <v>30.499999999999996</v>
      </c>
      <c r="K669" s="320">
        <v>8</v>
      </c>
      <c r="L669" s="320"/>
      <c r="M669">
        <v>3.42</v>
      </c>
      <c r="N669" s="320"/>
      <c r="O669"/>
      <c r="P669"/>
      <c r="Q669"/>
      <c r="S669" s="320">
        <v>15.898035403787999</v>
      </c>
      <c r="T669" s="320"/>
      <c r="U669">
        <v>10.8</v>
      </c>
      <c r="V669"/>
      <c r="W669"/>
      <c r="X669"/>
      <c r="Y669" s="321">
        <v>6.4268125999999981</v>
      </c>
      <c r="Z669" s="320"/>
      <c r="AA669" s="322">
        <v>77056.07476635513</v>
      </c>
      <c r="AB669" s="320"/>
      <c r="AC669" s="321">
        <v>31.045393199999996</v>
      </c>
      <c r="AD669" s="320"/>
      <c r="AE669" s="320">
        <v>32.979999999999997</v>
      </c>
      <c r="AF669" s="320"/>
      <c r="AG669">
        <v>4.28</v>
      </c>
      <c r="AH669"/>
      <c r="AI669">
        <v>120</v>
      </c>
      <c r="AJ669"/>
      <c r="AK669"/>
      <c r="AL669"/>
      <c r="AM669"/>
      <c r="AN669"/>
      <c r="AO669">
        <v>79</v>
      </c>
      <c r="AP669"/>
      <c r="AQ669" s="323"/>
      <c r="AR669" s="323"/>
      <c r="AS669">
        <v>112</v>
      </c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>
        <v>-4.6124000000000001</v>
      </c>
      <c r="BH669"/>
      <c r="BI669">
        <v>4.8564999999999996</v>
      </c>
      <c r="BJ669"/>
      <c r="BK669">
        <v>1.4945999999999999</v>
      </c>
      <c r="BL669"/>
      <c r="BM669">
        <v>68.728999999999999</v>
      </c>
      <c r="BN669"/>
      <c r="BO669">
        <v>19.766999999999999</v>
      </c>
      <c r="BP669"/>
      <c r="BQ669">
        <v>8.6351999999999993</v>
      </c>
      <c r="BR669"/>
      <c r="BS669">
        <v>51.209000000000003</v>
      </c>
      <c r="BT669"/>
      <c r="BU669">
        <v>17.385000000000002</v>
      </c>
      <c r="BV669"/>
      <c r="BW669" s="325">
        <v>13.41</v>
      </c>
      <c r="BX669"/>
      <c r="BY669">
        <v>6.132000000000005</v>
      </c>
      <c r="BZ669"/>
      <c r="CA669"/>
      <c r="CC669">
        <v>5.23</v>
      </c>
      <c r="CD669"/>
      <c r="CE669"/>
      <c r="CF669"/>
      <c r="CG669"/>
      <c r="CH669"/>
      <c r="CI669"/>
      <c r="CJ669"/>
      <c r="CK669"/>
      <c r="CL669"/>
      <c r="CM669"/>
    </row>
    <row r="670" spans="1:91">
      <c r="A670" s="154" t="s">
        <v>7793</v>
      </c>
      <c r="B670" t="s">
        <v>8289</v>
      </c>
      <c r="C670">
        <v>2</v>
      </c>
      <c r="D670">
        <v>261</v>
      </c>
      <c r="E670" s="113">
        <v>61</v>
      </c>
      <c r="F670" s="113">
        <v>2</v>
      </c>
      <c r="I670">
        <v>37</v>
      </c>
      <c r="K670" s="320">
        <v>6</v>
      </c>
      <c r="L670" s="320"/>
      <c r="M670">
        <v>2.71</v>
      </c>
      <c r="N670" s="320"/>
      <c r="O670"/>
      <c r="P670"/>
      <c r="Q670"/>
      <c r="S670" s="320">
        <v>10.867115737799999</v>
      </c>
      <c r="T670" s="320"/>
      <c r="U670">
        <v>10.8</v>
      </c>
      <c r="V670"/>
      <c r="W670"/>
      <c r="X670"/>
      <c r="Y670" s="321">
        <v>5.5576079999999992</v>
      </c>
      <c r="Z670" s="320"/>
      <c r="AA670" s="322">
        <v>60000</v>
      </c>
      <c r="AB670" s="320"/>
      <c r="AC670" s="321">
        <v>23.525459999999999</v>
      </c>
      <c r="AD670" s="320"/>
      <c r="AE670" s="320">
        <v>25.2</v>
      </c>
      <c r="AF670" s="320"/>
      <c r="AG670">
        <v>4.2</v>
      </c>
      <c r="AH670"/>
      <c r="AI670">
        <v>105</v>
      </c>
      <c r="AJ670"/>
      <c r="AK670"/>
      <c r="AL670"/>
      <c r="AM670"/>
      <c r="AN670"/>
      <c r="AO670">
        <v>77</v>
      </c>
      <c r="AP670"/>
      <c r="AQ670" s="323"/>
      <c r="AR670" s="323"/>
      <c r="AS670">
        <v>112</v>
      </c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>
        <v>-5.8631000000000002</v>
      </c>
      <c r="BH670"/>
      <c r="BI670">
        <v>4.8395000000000001</v>
      </c>
      <c r="BJ670"/>
      <c r="BK670">
        <v>1.6951000000000001</v>
      </c>
      <c r="BL670"/>
      <c r="BM670">
        <v>64.819999999999993</v>
      </c>
      <c r="BN670"/>
      <c r="BO670">
        <v>20.623000000000001</v>
      </c>
      <c r="BP670"/>
      <c r="BQ670">
        <v>8.1978000000000009</v>
      </c>
      <c r="BR670"/>
      <c r="BS670">
        <v>46.192999999999998</v>
      </c>
      <c r="BT670"/>
      <c r="BU670">
        <v>19.501000000000001</v>
      </c>
      <c r="BV670"/>
      <c r="BW670" s="325">
        <v>3.68</v>
      </c>
      <c r="BX670"/>
      <c r="BY670">
        <v>6.5570000000000022</v>
      </c>
      <c r="BZ670"/>
      <c r="CA670"/>
      <c r="CC670">
        <v>8.6199999999999992</v>
      </c>
      <c r="CD670"/>
      <c r="CE670"/>
      <c r="CF670"/>
      <c r="CG670"/>
      <c r="CH670"/>
      <c r="CI670"/>
      <c r="CJ670"/>
      <c r="CK670"/>
      <c r="CL670"/>
      <c r="CM670"/>
    </row>
    <row r="671" spans="1:91">
      <c r="A671" s="327" t="s">
        <v>7793</v>
      </c>
      <c r="B671" s="328" t="s">
        <v>8287</v>
      </c>
      <c r="C671" s="328">
        <v>1</v>
      </c>
      <c r="D671" s="328">
        <v>910</v>
      </c>
      <c r="E671" s="113">
        <v>10</v>
      </c>
      <c r="F671" s="113">
        <v>9</v>
      </c>
      <c r="G671" s="329"/>
      <c r="H671" s="329"/>
      <c r="I671" s="328">
        <v>21.999999999999996</v>
      </c>
      <c r="J671" s="330"/>
      <c r="K671" s="331">
        <v>8</v>
      </c>
      <c r="L671" s="331"/>
      <c r="M671" s="328">
        <v>2.2200000000000002</v>
      </c>
      <c r="N671" s="331"/>
      <c r="O671" s="328"/>
      <c r="P671" s="328"/>
      <c r="Q671" s="328"/>
      <c r="R671" s="332"/>
      <c r="S671" s="331">
        <v>9.91780925634</v>
      </c>
      <c r="T671" s="331"/>
      <c r="U671" s="328">
        <v>10.8</v>
      </c>
      <c r="V671" s="328"/>
      <c r="W671" s="328"/>
      <c r="X671" s="328"/>
      <c r="Y671" s="333">
        <v>4.4253147000000004</v>
      </c>
      <c r="Z671" s="331"/>
      <c r="AA671" s="334">
        <v>52989.949748743718</v>
      </c>
      <c r="AB671" s="331"/>
      <c r="AC671" s="333">
        <v>19.758166500000002</v>
      </c>
      <c r="AD671" s="331"/>
      <c r="AE671" s="331">
        <v>21.09</v>
      </c>
      <c r="AF671" s="331"/>
      <c r="AG671" s="328">
        <v>3.98</v>
      </c>
      <c r="AH671" s="328"/>
      <c r="AI671" s="328">
        <v>103</v>
      </c>
      <c r="AJ671" s="328"/>
      <c r="AK671" s="328"/>
      <c r="AL671" s="328"/>
      <c r="AM671" s="328"/>
      <c r="AN671" s="328"/>
      <c r="AO671" s="328">
        <v>77</v>
      </c>
      <c r="AP671" s="328"/>
      <c r="AQ671" s="335"/>
      <c r="AR671" s="335"/>
      <c r="AS671" s="328">
        <v>112</v>
      </c>
      <c r="AT671" s="328"/>
      <c r="AU671" s="328"/>
      <c r="AV671" s="328"/>
      <c r="AW671" s="328"/>
      <c r="AX671" s="328"/>
      <c r="AY671" s="328"/>
      <c r="AZ671" s="328"/>
      <c r="BA671" s="328"/>
      <c r="BB671" s="328"/>
      <c r="BC671" s="328"/>
      <c r="BD671" s="328"/>
      <c r="BE671" s="328"/>
      <c r="BF671" s="328"/>
      <c r="BG671" s="328">
        <v>2.2793000000000001</v>
      </c>
      <c r="BH671" s="328"/>
      <c r="BI671" s="328">
        <v>4.6913</v>
      </c>
      <c r="BJ671" s="328"/>
      <c r="BK671" s="328">
        <v>1.583</v>
      </c>
      <c r="BL671" s="328"/>
      <c r="BM671" s="328">
        <v>61.819000000000003</v>
      </c>
      <c r="BN671" s="328"/>
      <c r="BO671" s="328">
        <v>19.364999999999998</v>
      </c>
      <c r="BP671" s="328"/>
      <c r="BQ671" s="328">
        <v>9.2064000000000004</v>
      </c>
      <c r="BR671" s="328"/>
      <c r="BS671" s="328">
        <v>50.195999999999998</v>
      </c>
      <c r="BT671" s="328"/>
      <c r="BU671" s="328">
        <v>17.611999999999998</v>
      </c>
      <c r="BV671" s="328"/>
      <c r="BW671" s="336">
        <v>4.3899999999999997</v>
      </c>
      <c r="BX671" s="328"/>
      <c r="BY671" s="328">
        <v>6.4120000000000061</v>
      </c>
      <c r="BZ671" s="328"/>
      <c r="CA671" s="328"/>
      <c r="CB671" s="337"/>
      <c r="CC671" s="328">
        <v>6.65</v>
      </c>
      <c r="CD671" s="328"/>
      <c r="CE671" s="328"/>
      <c r="CF671" s="328"/>
      <c r="CG671" s="328"/>
      <c r="CH671" s="328"/>
      <c r="CI671" s="328"/>
      <c r="CJ671" s="328"/>
      <c r="CK671" s="328" t="s">
        <v>8377</v>
      </c>
      <c r="CL671" s="328"/>
      <c r="CM671" s="328"/>
    </row>
    <row r="672" spans="1:91">
      <c r="A672" s="154" t="s">
        <v>7793</v>
      </c>
      <c r="B672" t="s">
        <v>8287</v>
      </c>
      <c r="C672">
        <v>2</v>
      </c>
      <c r="D672">
        <v>1456</v>
      </c>
      <c r="E672" s="113">
        <v>56</v>
      </c>
      <c r="F672" s="113">
        <v>14</v>
      </c>
      <c r="I672">
        <v>28.5</v>
      </c>
      <c r="K672" s="320">
        <v>9</v>
      </c>
      <c r="L672" s="320"/>
      <c r="M672">
        <v>3.37</v>
      </c>
      <c r="N672" s="320"/>
      <c r="O672"/>
      <c r="P672"/>
      <c r="Q672"/>
      <c r="S672" s="320">
        <v>15.217066400904001</v>
      </c>
      <c r="T672" s="320"/>
      <c r="U672">
        <v>10.8</v>
      </c>
      <c r="V672"/>
      <c r="W672"/>
      <c r="X672"/>
      <c r="Y672" s="321">
        <v>6.4516242000000004</v>
      </c>
      <c r="Z672" s="320"/>
      <c r="AA672" s="322">
        <v>95946.745562130178</v>
      </c>
      <c r="AB672" s="320"/>
      <c r="AC672" s="321">
        <v>30.268864799999999</v>
      </c>
      <c r="AD672" s="320"/>
      <c r="AE672" s="320">
        <v>32.43</v>
      </c>
      <c r="AF672" s="320"/>
      <c r="AG672">
        <v>3.38</v>
      </c>
      <c r="AH672"/>
      <c r="AI672">
        <v>128</v>
      </c>
      <c r="AJ672"/>
      <c r="AK672"/>
      <c r="AL672"/>
      <c r="AM672"/>
      <c r="AN672"/>
      <c r="AO672">
        <v>77</v>
      </c>
      <c r="AP672"/>
      <c r="AQ672" s="323"/>
      <c r="AR672" s="323"/>
      <c r="AS672">
        <v>112</v>
      </c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>
        <v>1.4271</v>
      </c>
      <c r="BH672"/>
      <c r="BI672">
        <v>4.8468</v>
      </c>
      <c r="BJ672"/>
      <c r="BK672">
        <v>1.5445</v>
      </c>
      <c r="BL672"/>
      <c r="BM672">
        <v>57.654000000000003</v>
      </c>
      <c r="BN672"/>
      <c r="BO672">
        <v>21.994</v>
      </c>
      <c r="BP672"/>
      <c r="BQ672">
        <v>8.4463000000000008</v>
      </c>
      <c r="BR672"/>
      <c r="BS672">
        <v>50.273000000000003</v>
      </c>
      <c r="BT672"/>
      <c r="BU672">
        <v>16.638999999999999</v>
      </c>
      <c r="BV672"/>
      <c r="BW672" s="325">
        <v>5.25</v>
      </c>
      <c r="BX672"/>
      <c r="BY672">
        <v>6.1910000000000025</v>
      </c>
      <c r="BZ672"/>
      <c r="CA672"/>
      <c r="CC672">
        <v>5.43</v>
      </c>
      <c r="CD672"/>
      <c r="CE672"/>
      <c r="CF672"/>
      <c r="CG672"/>
      <c r="CH672"/>
      <c r="CI672"/>
      <c r="CJ672"/>
      <c r="CK672"/>
      <c r="CL672"/>
      <c r="CM672"/>
    </row>
    <row r="673" spans="1:91">
      <c r="A673" s="154" t="s">
        <v>7793</v>
      </c>
      <c r="B673" t="s">
        <v>8289</v>
      </c>
      <c r="C673">
        <v>1</v>
      </c>
      <c r="D673">
        <v>1424</v>
      </c>
      <c r="E673" s="113">
        <v>24</v>
      </c>
      <c r="F673" s="113">
        <v>14</v>
      </c>
      <c r="I673">
        <v>27.999999999999996</v>
      </c>
      <c r="K673" s="320">
        <v>9</v>
      </c>
      <c r="L673" s="320"/>
      <c r="M673">
        <v>3.33</v>
      </c>
      <c r="N673" s="320"/>
      <c r="O673"/>
      <c r="P673"/>
      <c r="Q673"/>
      <c r="S673" s="320">
        <v>13.362632040239998</v>
      </c>
      <c r="T673" s="320"/>
      <c r="U673">
        <v>10.8</v>
      </c>
      <c r="V673"/>
      <c r="W673"/>
      <c r="X673"/>
      <c r="Y673" s="321">
        <v>5.1704941999999994</v>
      </c>
      <c r="Z673" s="320"/>
      <c r="AA673" s="322">
        <v>91014.92537313432</v>
      </c>
      <c r="AB673" s="320"/>
      <c r="AC673" s="321">
        <v>28.514247999999998</v>
      </c>
      <c r="AD673" s="320"/>
      <c r="AE673" s="320">
        <v>30.49</v>
      </c>
      <c r="AF673" s="320"/>
      <c r="AG673">
        <v>3.35</v>
      </c>
      <c r="AH673"/>
      <c r="AI673">
        <v>120</v>
      </c>
      <c r="AJ673"/>
      <c r="AK673"/>
      <c r="AL673"/>
      <c r="AM673"/>
      <c r="AN673"/>
      <c r="AO673">
        <v>77</v>
      </c>
      <c r="AP673"/>
      <c r="AQ673" s="323"/>
      <c r="AR673" s="323"/>
      <c r="AS673">
        <v>112</v>
      </c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>
        <v>-1.4643999999999999</v>
      </c>
      <c r="BH673"/>
      <c r="BI673">
        <v>4.9001000000000001</v>
      </c>
      <c r="BJ673"/>
      <c r="BK673">
        <v>1.4927999999999999</v>
      </c>
      <c r="BL673"/>
      <c r="BM673">
        <v>55.591000000000001</v>
      </c>
      <c r="BN673"/>
      <c r="BO673">
        <v>21.202999999999999</v>
      </c>
      <c r="BP673"/>
      <c r="BQ673">
        <v>9.7658000000000005</v>
      </c>
      <c r="BR673"/>
      <c r="BS673">
        <v>46.863</v>
      </c>
      <c r="BT673"/>
      <c r="BU673">
        <v>19.015000000000001</v>
      </c>
      <c r="BV673"/>
      <c r="BW673" s="325">
        <v>6.58</v>
      </c>
      <c r="BX673"/>
      <c r="BY673">
        <v>6.7099999999999937</v>
      </c>
      <c r="BZ673"/>
      <c r="CA673"/>
      <c r="CC673">
        <v>10</v>
      </c>
      <c r="CD673"/>
      <c r="CE673"/>
      <c r="CF673"/>
      <c r="CG673"/>
      <c r="CH673"/>
      <c r="CI673"/>
      <c r="CJ673"/>
      <c r="CK673"/>
      <c r="CL673"/>
      <c r="CM673"/>
    </row>
    <row r="674" spans="1:91">
      <c r="A674" s="154" t="s">
        <v>7794</v>
      </c>
      <c r="B674" t="s">
        <v>8287</v>
      </c>
      <c r="C674">
        <v>1</v>
      </c>
      <c r="D674">
        <v>304</v>
      </c>
      <c r="E674" s="113">
        <v>4</v>
      </c>
      <c r="F674" s="113">
        <v>3</v>
      </c>
      <c r="I674">
        <v>27.499999999999996</v>
      </c>
      <c r="K674" s="320">
        <v>9</v>
      </c>
      <c r="L674" s="320"/>
      <c r="M674">
        <v>3.89</v>
      </c>
      <c r="N674" s="320"/>
      <c r="O674"/>
      <c r="P674"/>
      <c r="Q674"/>
      <c r="S674" s="320">
        <v>17.830783579635</v>
      </c>
      <c r="T674" s="320"/>
      <c r="U674">
        <v>10.8</v>
      </c>
      <c r="V674"/>
      <c r="W674"/>
      <c r="X674"/>
      <c r="Y674" s="321">
        <v>6.7079025000000003</v>
      </c>
      <c r="Z674" s="320"/>
      <c r="AA674" s="322">
        <v>89709.443099273602</v>
      </c>
      <c r="AB674" s="320"/>
      <c r="AC674" s="321">
        <v>34.674724499999996</v>
      </c>
      <c r="AD674" s="320"/>
      <c r="AE674" s="320">
        <v>37.049999999999997</v>
      </c>
      <c r="AF674" s="320"/>
      <c r="AG674">
        <v>4.13</v>
      </c>
      <c r="AH674"/>
      <c r="AI674">
        <v>140</v>
      </c>
      <c r="AJ674"/>
      <c r="AK674"/>
      <c r="AL674"/>
      <c r="AM674"/>
      <c r="AN674"/>
      <c r="AO674">
        <v>78</v>
      </c>
      <c r="AP674"/>
      <c r="AQ674" s="323"/>
      <c r="AR674" s="323"/>
      <c r="AS674">
        <v>112</v>
      </c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>
        <v>-1.3008</v>
      </c>
      <c r="BH674"/>
      <c r="BI674">
        <v>4.6189</v>
      </c>
      <c r="BJ674"/>
      <c r="BK674">
        <v>1.5812999999999999</v>
      </c>
      <c r="BL674"/>
      <c r="BM674">
        <v>63.235999999999997</v>
      </c>
      <c r="BN674"/>
      <c r="BO674">
        <v>19.989000000000001</v>
      </c>
      <c r="BP674"/>
      <c r="BQ674">
        <v>10.016999999999999</v>
      </c>
      <c r="BR674"/>
      <c r="BS674">
        <v>51.423000000000002</v>
      </c>
      <c r="BT674"/>
      <c r="BU674">
        <v>17.248999999999999</v>
      </c>
      <c r="BV674"/>
      <c r="BW674" s="325">
        <v>10.57</v>
      </c>
      <c r="BX674"/>
      <c r="BY674">
        <v>6.3559999999999945</v>
      </c>
      <c r="BZ674"/>
      <c r="CA674"/>
      <c r="CC674">
        <v>6.4</v>
      </c>
      <c r="CD674"/>
      <c r="CE674"/>
      <c r="CF674"/>
      <c r="CG674"/>
      <c r="CH674"/>
      <c r="CI674"/>
      <c r="CJ674"/>
      <c r="CK674"/>
      <c r="CL674"/>
      <c r="CM674"/>
    </row>
    <row r="675" spans="1:91">
      <c r="A675" s="154" t="s">
        <v>7794</v>
      </c>
      <c r="B675" t="s">
        <v>8289</v>
      </c>
      <c r="C675">
        <v>2</v>
      </c>
      <c r="D675">
        <v>457</v>
      </c>
      <c r="E675" s="113">
        <v>57</v>
      </c>
      <c r="F675" s="113">
        <v>4</v>
      </c>
      <c r="I675">
        <v>35</v>
      </c>
      <c r="K675" s="320">
        <v>7</v>
      </c>
      <c r="L675" s="320"/>
      <c r="M675">
        <v>1.31</v>
      </c>
      <c r="N675" s="320"/>
      <c r="O675"/>
      <c r="P675"/>
      <c r="Q675"/>
      <c r="S675" s="320">
        <v>4.6957428987210008</v>
      </c>
      <c r="T675" s="320"/>
      <c r="U675">
        <v>10.8</v>
      </c>
      <c r="V675"/>
      <c r="W675"/>
      <c r="X675"/>
      <c r="Y675" s="321">
        <v>2.2351515000000002</v>
      </c>
      <c r="Z675" s="320"/>
      <c r="AA675" s="322">
        <v>26008.86917960089</v>
      </c>
      <c r="AB675" s="320"/>
      <c r="AC675" s="321">
        <v>10.877580900000002</v>
      </c>
      <c r="AD675" s="320"/>
      <c r="AE675" s="320">
        <v>11.73</v>
      </c>
      <c r="AF675" s="320"/>
      <c r="AG675">
        <v>4.51</v>
      </c>
      <c r="AH675"/>
      <c r="AI675">
        <v>100</v>
      </c>
      <c r="AJ675"/>
      <c r="AK675"/>
      <c r="AL675"/>
      <c r="AM675"/>
      <c r="AN675"/>
      <c r="AO675">
        <v>79</v>
      </c>
      <c r="AP675"/>
      <c r="AQ675" s="323"/>
      <c r="AR675" s="323"/>
      <c r="AS675">
        <v>116</v>
      </c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>
        <v>-3.9550999999999998</v>
      </c>
      <c r="BH675"/>
      <c r="BI675">
        <v>5.4416000000000002</v>
      </c>
      <c r="BJ675"/>
      <c r="BK675">
        <v>1.6019000000000001</v>
      </c>
      <c r="BL675"/>
      <c r="BM675">
        <v>58.707000000000001</v>
      </c>
      <c r="BN675"/>
      <c r="BO675">
        <v>20.173999999999999</v>
      </c>
      <c r="BP675"/>
      <c r="BQ675">
        <v>9.0955999999999992</v>
      </c>
      <c r="BR675"/>
      <c r="BS675">
        <v>43.168999999999997</v>
      </c>
      <c r="BT675"/>
      <c r="BU675">
        <v>21.105</v>
      </c>
      <c r="BV675"/>
      <c r="BW675" s="325">
        <v>8.1199999999999992</v>
      </c>
      <c r="BX675"/>
      <c r="BY675">
        <v>7.3970000000000056</v>
      </c>
      <c r="BZ675"/>
      <c r="CA675"/>
      <c r="CC675">
        <v>11.97</v>
      </c>
      <c r="CD675"/>
      <c r="CE675"/>
      <c r="CF675"/>
      <c r="CG675"/>
      <c r="CH675"/>
      <c r="CI675"/>
      <c r="CJ675"/>
      <c r="CK675"/>
      <c r="CL675"/>
      <c r="CM675"/>
    </row>
    <row r="676" spans="1:91">
      <c r="A676" s="154" t="s">
        <v>7794</v>
      </c>
      <c r="B676" t="s">
        <v>8289</v>
      </c>
      <c r="C676">
        <v>1</v>
      </c>
      <c r="D676">
        <v>1523</v>
      </c>
      <c r="E676" s="113">
        <v>23</v>
      </c>
      <c r="F676" s="113">
        <v>15</v>
      </c>
      <c r="I676">
        <v>32</v>
      </c>
      <c r="K676" s="320">
        <v>8</v>
      </c>
      <c r="L676" s="320"/>
      <c r="M676">
        <v>3.7</v>
      </c>
      <c r="N676" s="320"/>
      <c r="O676"/>
      <c r="P676"/>
      <c r="Q676"/>
      <c r="S676" s="320">
        <v>16.618611684854002</v>
      </c>
      <c r="T676" s="320"/>
      <c r="U676">
        <v>10.8</v>
      </c>
      <c r="V676"/>
      <c r="W676"/>
      <c r="X676"/>
      <c r="Y676" s="321">
        <v>6.5418415000000003</v>
      </c>
      <c r="Z676" s="320"/>
      <c r="AA676" s="322">
        <v>86953.316953316957</v>
      </c>
      <c r="AB676" s="320"/>
      <c r="AC676" s="321">
        <v>33.158306600000003</v>
      </c>
      <c r="AD676" s="320"/>
      <c r="AE676" s="320">
        <v>35.39</v>
      </c>
      <c r="AF676" s="320"/>
      <c r="AG676">
        <v>4.07</v>
      </c>
      <c r="AH676"/>
      <c r="AI676">
        <v>120</v>
      </c>
      <c r="AJ676"/>
      <c r="AK676"/>
      <c r="AL676"/>
      <c r="AM676"/>
      <c r="AN676"/>
      <c r="AO676">
        <v>79</v>
      </c>
      <c r="AP676"/>
      <c r="AQ676" s="323"/>
      <c r="AR676" s="323"/>
      <c r="AS676">
        <v>112</v>
      </c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>
        <v>5.4092000000000002</v>
      </c>
      <c r="BH676"/>
      <c r="BI676">
        <v>4.2183000000000002</v>
      </c>
      <c r="BJ676"/>
      <c r="BK676">
        <v>1.4838</v>
      </c>
      <c r="BL676"/>
      <c r="BM676">
        <v>57.265000000000001</v>
      </c>
      <c r="BN676"/>
      <c r="BO676">
        <v>19.518999999999998</v>
      </c>
      <c r="BP676"/>
      <c r="BQ676">
        <v>10.018000000000001</v>
      </c>
      <c r="BR676"/>
      <c r="BS676">
        <v>50.119</v>
      </c>
      <c r="BT676"/>
      <c r="BU676">
        <v>18.363</v>
      </c>
      <c r="BV676"/>
      <c r="BW676" s="325">
        <v>4.91</v>
      </c>
      <c r="BX676"/>
      <c r="BY676">
        <v>6.1910000000000025</v>
      </c>
      <c r="BZ676"/>
      <c r="CA676"/>
      <c r="CC676">
        <v>6</v>
      </c>
      <c r="CD676"/>
      <c r="CE676"/>
      <c r="CF676"/>
      <c r="CG676"/>
      <c r="CH676"/>
      <c r="CI676"/>
      <c r="CJ676"/>
      <c r="CK676"/>
      <c r="CL676"/>
      <c r="CM676"/>
    </row>
    <row r="677" spans="1:91">
      <c r="A677" s="154" t="s">
        <v>7794</v>
      </c>
      <c r="B677" t="s">
        <v>8287</v>
      </c>
      <c r="C677">
        <v>2</v>
      </c>
      <c r="D677">
        <v>1663</v>
      </c>
      <c r="E677" s="113">
        <v>63</v>
      </c>
      <c r="F677" s="113">
        <v>16</v>
      </c>
      <c r="I677">
        <v>26.499999999999996</v>
      </c>
      <c r="K677" s="320">
        <v>8</v>
      </c>
      <c r="L677" s="320"/>
      <c r="M677">
        <v>3.19</v>
      </c>
      <c r="N677" s="320"/>
      <c r="O677"/>
      <c r="P677"/>
      <c r="Q677"/>
      <c r="S677" s="320" t="s">
        <v>8361</v>
      </c>
      <c r="T677" s="320"/>
      <c r="U677">
        <v>10.8</v>
      </c>
      <c r="V677"/>
      <c r="W677"/>
      <c r="X677"/>
      <c r="Y677" s="321">
        <v>0</v>
      </c>
      <c r="Z677" s="320"/>
      <c r="AA677" s="322">
        <v>76335.877862595415</v>
      </c>
      <c r="AB677" s="320"/>
      <c r="AC677" s="321" t="s">
        <v>8361</v>
      </c>
      <c r="AD677" s="320"/>
      <c r="AE677" s="320">
        <v>30</v>
      </c>
      <c r="AF677" s="320"/>
      <c r="AG677">
        <v>3.93</v>
      </c>
      <c r="AH677"/>
      <c r="AI677">
        <v>128</v>
      </c>
      <c r="AJ677"/>
      <c r="AK677"/>
      <c r="AL677"/>
      <c r="AM677"/>
      <c r="AN677"/>
      <c r="AO677">
        <v>79</v>
      </c>
      <c r="AP677"/>
      <c r="AQ677" s="323"/>
      <c r="AR677" s="323"/>
      <c r="AS677">
        <v>112</v>
      </c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>
        <v>0.42155999999999999</v>
      </c>
      <c r="BH677"/>
      <c r="BI677">
        <v>5.0540000000000003</v>
      </c>
      <c r="BJ677"/>
      <c r="BK677">
        <v>1.4128000000000001</v>
      </c>
      <c r="BL677"/>
      <c r="BM677">
        <v>58.835000000000001</v>
      </c>
      <c r="BN677"/>
      <c r="BO677">
        <v>20.582999999999998</v>
      </c>
      <c r="BP677"/>
      <c r="BQ677">
        <v>10.214</v>
      </c>
      <c r="BR677"/>
      <c r="BS677">
        <v>53.524000000000001</v>
      </c>
      <c r="BT677"/>
      <c r="BU677">
        <v>15.663</v>
      </c>
      <c r="BV677"/>
      <c r="BW677" s="325">
        <v>13.16</v>
      </c>
      <c r="BX677"/>
      <c r="BY677">
        <v>6.3569999999999993</v>
      </c>
      <c r="BZ677"/>
      <c r="CA677"/>
      <c r="CC677">
        <v>7.58</v>
      </c>
      <c r="CD677"/>
      <c r="CE677"/>
      <c r="CF677"/>
      <c r="CG677"/>
      <c r="CH677"/>
      <c r="CI677"/>
      <c r="CJ677"/>
      <c r="CK677"/>
      <c r="CL677"/>
      <c r="CM677"/>
    </row>
    <row r="678" spans="1:91">
      <c r="A678" s="154" t="s">
        <v>7795</v>
      </c>
      <c r="B678" t="s">
        <v>8287</v>
      </c>
      <c r="C678">
        <v>1</v>
      </c>
      <c r="D678">
        <v>311</v>
      </c>
      <c r="E678" s="113">
        <v>11</v>
      </c>
      <c r="F678" s="113">
        <v>3</v>
      </c>
      <c r="I678">
        <v>27</v>
      </c>
      <c r="K678" s="320">
        <v>9</v>
      </c>
      <c r="L678" s="320"/>
      <c r="M678">
        <v>3.52</v>
      </c>
      <c r="N678" s="320"/>
      <c r="O678"/>
      <c r="P678"/>
      <c r="Q678"/>
      <c r="S678" s="320">
        <v>15.913704444959999</v>
      </c>
      <c r="T678" s="320"/>
      <c r="U678">
        <v>10.8</v>
      </c>
      <c r="V678"/>
      <c r="W678"/>
      <c r="X678"/>
      <c r="Y678" s="321">
        <v>5.4841607000000003</v>
      </c>
      <c r="Z678" s="320"/>
      <c r="AA678" s="322">
        <v>93694.444444444438</v>
      </c>
      <c r="AB678" s="320"/>
      <c r="AC678" s="321">
        <v>31.846516799999996</v>
      </c>
      <c r="AD678" s="320"/>
      <c r="AE678" s="320">
        <v>33.729999999999997</v>
      </c>
      <c r="AF678" s="320"/>
      <c r="AG678">
        <v>3.6</v>
      </c>
      <c r="AH678"/>
      <c r="AI678">
        <v>140</v>
      </c>
      <c r="AJ678"/>
      <c r="AK678"/>
      <c r="AL678"/>
      <c r="AM678"/>
      <c r="AN678"/>
      <c r="AO678">
        <v>80</v>
      </c>
      <c r="AP678"/>
      <c r="AQ678" s="323"/>
      <c r="AR678" s="323"/>
      <c r="AS678">
        <v>116</v>
      </c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>
        <v>-1.1287</v>
      </c>
      <c r="BH678"/>
      <c r="BI678">
        <v>4.7088000000000001</v>
      </c>
      <c r="BJ678"/>
      <c r="BK678">
        <v>1.4899</v>
      </c>
      <c r="BL678"/>
      <c r="BM678">
        <v>61.231000000000002</v>
      </c>
      <c r="BN678"/>
      <c r="BO678">
        <v>21.542999999999999</v>
      </c>
      <c r="BP678"/>
      <c r="BQ678">
        <v>11.242000000000001</v>
      </c>
      <c r="BR678"/>
      <c r="BS678">
        <v>49.97</v>
      </c>
      <c r="BT678"/>
      <c r="BU678">
        <v>17.350999999999999</v>
      </c>
      <c r="BV678"/>
      <c r="BW678" s="325">
        <v>6.16</v>
      </c>
      <c r="BX678"/>
      <c r="BY678">
        <v>6.2540000000000049</v>
      </c>
      <c r="BZ678"/>
      <c r="CA678"/>
      <c r="CC678">
        <v>5.82</v>
      </c>
      <c r="CD678"/>
      <c r="CE678"/>
      <c r="CF678"/>
      <c r="CG678"/>
      <c r="CH678"/>
      <c r="CI678"/>
      <c r="CJ678"/>
      <c r="CK678"/>
      <c r="CL678"/>
      <c r="CM678"/>
    </row>
    <row r="679" spans="1:91">
      <c r="A679" s="327" t="s">
        <v>7795</v>
      </c>
      <c r="B679" s="328" t="s">
        <v>8289</v>
      </c>
      <c r="C679" s="328">
        <v>2</v>
      </c>
      <c r="D679" s="328">
        <v>943</v>
      </c>
      <c r="E679" s="113">
        <v>43</v>
      </c>
      <c r="F679" s="113">
        <v>9</v>
      </c>
      <c r="G679" s="329"/>
      <c r="H679" s="329"/>
      <c r="I679" s="328">
        <v>27</v>
      </c>
      <c r="J679" s="330"/>
      <c r="K679" s="331">
        <v>7</v>
      </c>
      <c r="L679" s="331"/>
      <c r="M679" s="328">
        <v>3.02</v>
      </c>
      <c r="N679" s="331"/>
      <c r="O679" s="328"/>
      <c r="P679" s="328"/>
      <c r="Q679" s="328"/>
      <c r="R679" s="332"/>
      <c r="S679" s="331">
        <v>13.384723396900002</v>
      </c>
      <c r="T679" s="331"/>
      <c r="U679" s="328">
        <v>10.8</v>
      </c>
      <c r="V679" s="328"/>
      <c r="W679" s="328"/>
      <c r="X679" s="328"/>
      <c r="Y679" s="333">
        <v>5.22058</v>
      </c>
      <c r="Z679" s="331"/>
      <c r="AA679" s="334">
        <v>78167.115902964957</v>
      </c>
      <c r="AB679" s="331"/>
      <c r="AC679" s="333">
        <v>27.161110000000001</v>
      </c>
      <c r="AD679" s="331"/>
      <c r="AE679" s="331">
        <v>29</v>
      </c>
      <c r="AF679" s="331"/>
      <c r="AG679" s="328">
        <v>3.71</v>
      </c>
      <c r="AH679" s="328"/>
      <c r="AI679" s="328">
        <v>100</v>
      </c>
      <c r="AJ679" s="328"/>
      <c r="AK679" s="328"/>
      <c r="AL679" s="328"/>
      <c r="AM679" s="328"/>
      <c r="AN679" s="328"/>
      <c r="AO679" s="328">
        <v>77</v>
      </c>
      <c r="AP679" s="328"/>
      <c r="AQ679" s="335"/>
      <c r="AR679" s="335"/>
      <c r="AS679" s="328">
        <v>114</v>
      </c>
      <c r="AT679" s="328"/>
      <c r="AU679" s="328"/>
      <c r="AV679" s="328"/>
      <c r="AW679" s="328"/>
      <c r="AX679" s="328"/>
      <c r="AY679" s="328"/>
      <c r="AZ679" s="328"/>
      <c r="BA679" s="328"/>
      <c r="BB679" s="328"/>
      <c r="BC679" s="328"/>
      <c r="BD679" s="328"/>
      <c r="BE679" s="328"/>
      <c r="BF679" s="328"/>
      <c r="BG679" s="328">
        <v>1.3119000000000001</v>
      </c>
      <c r="BH679" s="328"/>
      <c r="BI679" s="328">
        <v>4.9805999999999999</v>
      </c>
      <c r="BJ679" s="328"/>
      <c r="BK679" s="328">
        <v>1.4089</v>
      </c>
      <c r="BL679" s="328"/>
      <c r="BM679" s="328">
        <v>56.093000000000004</v>
      </c>
      <c r="BN679" s="328"/>
      <c r="BO679" s="328">
        <v>21.38</v>
      </c>
      <c r="BP679" s="328"/>
      <c r="BQ679" s="328">
        <v>11.215999999999999</v>
      </c>
      <c r="BR679" s="328"/>
      <c r="BS679" s="328">
        <v>49.279000000000003</v>
      </c>
      <c r="BT679" s="328"/>
      <c r="BU679" s="328">
        <v>16.905000000000001</v>
      </c>
      <c r="BV679" s="328"/>
      <c r="BW679" s="336">
        <v>3.13</v>
      </c>
      <c r="BX679" s="328"/>
      <c r="BY679" s="328">
        <v>6.5400000000000063</v>
      </c>
      <c r="BZ679" s="328"/>
      <c r="CA679" s="328"/>
      <c r="CB679" s="337"/>
      <c r="CC679" s="328">
        <v>5.64</v>
      </c>
      <c r="CD679" s="328"/>
      <c r="CE679" s="328"/>
      <c r="CF679" s="328"/>
      <c r="CG679" s="328"/>
      <c r="CH679" s="328"/>
      <c r="CI679" s="328"/>
      <c r="CJ679" s="328"/>
      <c r="CK679" s="328" t="s">
        <v>8377</v>
      </c>
      <c r="CL679" s="328"/>
      <c r="CM679" s="328"/>
    </row>
    <row r="680" spans="1:91">
      <c r="A680" s="154" t="s">
        <v>7795</v>
      </c>
      <c r="B680" t="s">
        <v>8287</v>
      </c>
      <c r="C680">
        <v>2</v>
      </c>
      <c r="D680">
        <v>1574</v>
      </c>
      <c r="E680" s="113">
        <v>74</v>
      </c>
      <c r="F680" s="113">
        <v>15</v>
      </c>
      <c r="I680">
        <v>42.5</v>
      </c>
      <c r="K680" s="320">
        <v>8</v>
      </c>
      <c r="L680" s="320"/>
      <c r="M680">
        <v>3.58</v>
      </c>
      <c r="N680" s="320"/>
      <c r="O680"/>
      <c r="P680"/>
      <c r="Q680"/>
      <c r="S680" s="320">
        <v>16.50217004768</v>
      </c>
      <c r="T680" s="320"/>
      <c r="U680">
        <v>10.8</v>
      </c>
      <c r="V680"/>
      <c r="W680"/>
      <c r="X680"/>
      <c r="Y680" s="321">
        <v>5.5860218000000001</v>
      </c>
      <c r="Z680" s="320"/>
      <c r="AA680" s="322">
        <v>92032.085561497326</v>
      </c>
      <c r="AB680" s="320"/>
      <c r="AC680" s="321">
        <v>32.244656000000006</v>
      </c>
      <c r="AD680" s="320"/>
      <c r="AE680" s="320">
        <v>34.42</v>
      </c>
      <c r="AF680" s="320"/>
      <c r="AG680">
        <v>3.74</v>
      </c>
      <c r="AH680"/>
      <c r="AI680">
        <v>125</v>
      </c>
      <c r="AJ680"/>
      <c r="AK680"/>
      <c r="AL680"/>
      <c r="AM680"/>
      <c r="AN680"/>
      <c r="AO680">
        <v>80</v>
      </c>
      <c r="AP680"/>
      <c r="AQ680" s="323"/>
      <c r="AR680" s="323"/>
      <c r="AS680">
        <v>112</v>
      </c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>
        <v>1.8574999999999999</v>
      </c>
      <c r="BH680"/>
      <c r="BI680">
        <v>5.3047000000000004</v>
      </c>
      <c r="BJ680"/>
      <c r="BK680">
        <v>1.4194</v>
      </c>
      <c r="BL680"/>
      <c r="BM680">
        <v>59.17</v>
      </c>
      <c r="BN680"/>
      <c r="BO680">
        <v>22.401</v>
      </c>
      <c r="BP680"/>
      <c r="BQ680">
        <v>9.5486000000000004</v>
      </c>
      <c r="BR680"/>
      <c r="BS680">
        <v>51.177999999999997</v>
      </c>
      <c r="BT680"/>
      <c r="BU680">
        <v>15.695</v>
      </c>
      <c r="BV680"/>
      <c r="BW680" s="325">
        <v>8.6999999999999993</v>
      </c>
      <c r="BX680"/>
      <c r="BY680">
        <v>6.328000000000003</v>
      </c>
      <c r="BZ680"/>
      <c r="CA680"/>
      <c r="CC680">
        <v>5.51</v>
      </c>
      <c r="CD680"/>
      <c r="CE680"/>
      <c r="CF680"/>
      <c r="CG680"/>
      <c r="CH680"/>
      <c r="CI680"/>
      <c r="CJ680"/>
      <c r="CK680"/>
      <c r="CL680"/>
      <c r="CM680"/>
    </row>
    <row r="681" spans="1:91">
      <c r="A681" s="154" t="s">
        <v>7795</v>
      </c>
      <c r="B681" t="s">
        <v>8289</v>
      </c>
      <c r="C681">
        <v>1</v>
      </c>
      <c r="D681">
        <v>1529</v>
      </c>
      <c r="E681" s="113">
        <v>29</v>
      </c>
      <c r="F681" s="113">
        <v>15</v>
      </c>
      <c r="I681">
        <v>30.499999999999996</v>
      </c>
      <c r="K681" s="320">
        <v>8</v>
      </c>
      <c r="L681" s="320"/>
      <c r="M681">
        <v>3.45</v>
      </c>
      <c r="N681" s="320"/>
      <c r="O681"/>
      <c r="P681"/>
      <c r="Q681"/>
      <c r="S681" s="320">
        <v>13.302089094204002</v>
      </c>
      <c r="T681" s="320"/>
      <c r="U681">
        <v>10.8</v>
      </c>
      <c r="V681"/>
      <c r="W681"/>
      <c r="X681"/>
      <c r="Y681" s="321">
        <v>5.6878080000000004</v>
      </c>
      <c r="Z681" s="320"/>
      <c r="AA681" s="322">
        <v>84414.893617021284</v>
      </c>
      <c r="AB681" s="320"/>
      <c r="AC681" s="321">
        <v>29.691500400000002</v>
      </c>
      <c r="AD681" s="320"/>
      <c r="AE681" s="320">
        <v>31.74</v>
      </c>
      <c r="AF681" s="320"/>
      <c r="AG681">
        <v>3.76</v>
      </c>
      <c r="AH681"/>
      <c r="AI681">
        <v>125</v>
      </c>
      <c r="AJ681"/>
      <c r="AK681"/>
      <c r="AL681"/>
      <c r="AM681"/>
      <c r="AN681"/>
      <c r="AO681">
        <v>80</v>
      </c>
      <c r="AP681"/>
      <c r="AQ681" s="323"/>
      <c r="AR681" s="323"/>
      <c r="AS681">
        <v>114</v>
      </c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>
        <v>10.234</v>
      </c>
      <c r="BH681"/>
      <c r="BI681">
        <v>5.1738</v>
      </c>
      <c r="BJ681"/>
      <c r="BK681">
        <v>1.3655999999999999</v>
      </c>
      <c r="BL681"/>
      <c r="BM681">
        <v>48.722999999999999</v>
      </c>
      <c r="BN681"/>
      <c r="BO681">
        <v>19.984000000000002</v>
      </c>
      <c r="BP681"/>
      <c r="BQ681">
        <v>10.379</v>
      </c>
      <c r="BR681"/>
      <c r="BS681">
        <v>44.801000000000002</v>
      </c>
      <c r="BT681"/>
      <c r="BU681">
        <v>19.451000000000001</v>
      </c>
      <c r="BV681"/>
      <c r="BW681" s="325">
        <v>11.26</v>
      </c>
      <c r="BX681"/>
      <c r="BY681">
        <v>6.8810000000000002</v>
      </c>
      <c r="BZ681"/>
      <c r="CA681"/>
      <c r="CC681">
        <v>9.59</v>
      </c>
      <c r="CD681"/>
      <c r="CE681"/>
      <c r="CF681"/>
      <c r="CG681"/>
      <c r="CH681"/>
      <c r="CI681"/>
      <c r="CJ681"/>
      <c r="CK681"/>
      <c r="CL681"/>
      <c r="CM681"/>
    </row>
    <row r="682" spans="1:91">
      <c r="A682" s="327" t="s">
        <v>7796</v>
      </c>
      <c r="B682" s="328" t="s">
        <v>8287</v>
      </c>
      <c r="C682" s="328">
        <v>1</v>
      </c>
      <c r="D682" s="328">
        <v>822</v>
      </c>
      <c r="E682" s="113">
        <v>22</v>
      </c>
      <c r="F682" s="113">
        <v>8</v>
      </c>
      <c r="G682" s="329"/>
      <c r="H682" s="329"/>
      <c r="I682" s="328">
        <v>28.999999999999996</v>
      </c>
      <c r="J682" s="330"/>
      <c r="K682" s="331">
        <v>7</v>
      </c>
      <c r="L682" s="331"/>
      <c r="M682" s="328">
        <v>2.1</v>
      </c>
      <c r="N682" s="331"/>
      <c r="O682" s="328"/>
      <c r="P682" s="328"/>
      <c r="Q682" s="328"/>
      <c r="R682" s="332"/>
      <c r="S682" s="331">
        <v>9.868464258246</v>
      </c>
      <c r="T682" s="331"/>
      <c r="U682" s="328">
        <v>10.8</v>
      </c>
      <c r="V682" s="328"/>
      <c r="W682" s="328"/>
      <c r="X682" s="328"/>
      <c r="Y682" s="333">
        <v>3.2730357000000003</v>
      </c>
      <c r="Z682" s="331"/>
      <c r="AA682" s="334">
        <v>48567.961165048546</v>
      </c>
      <c r="AB682" s="331"/>
      <c r="AC682" s="333">
        <v>18.8236071</v>
      </c>
      <c r="AD682" s="331"/>
      <c r="AE682" s="331">
        <v>20.010000000000002</v>
      </c>
      <c r="AF682" s="331"/>
      <c r="AG682" s="328">
        <v>4.12</v>
      </c>
      <c r="AH682" s="328"/>
      <c r="AI682" s="328">
        <v>105</v>
      </c>
      <c r="AJ682" s="328"/>
      <c r="AK682" s="328"/>
      <c r="AL682" s="328"/>
      <c r="AM682" s="328"/>
      <c r="AN682" s="328"/>
      <c r="AO682" s="328">
        <v>80</v>
      </c>
      <c r="AP682" s="328"/>
      <c r="AQ682" s="335"/>
      <c r="AR682" s="335"/>
      <c r="AS682" s="328">
        <v>114</v>
      </c>
      <c r="AT682" s="328"/>
      <c r="AU682" s="328"/>
      <c r="AV682" s="328"/>
      <c r="AW682" s="328"/>
      <c r="AX682" s="328"/>
      <c r="AY682" s="328"/>
      <c r="AZ682" s="328"/>
      <c r="BA682" s="328"/>
      <c r="BB682" s="328"/>
      <c r="BC682" s="328"/>
      <c r="BD682" s="328"/>
      <c r="BE682" s="328"/>
      <c r="BF682" s="328"/>
      <c r="BG682" s="328">
        <v>-3.0139</v>
      </c>
      <c r="BH682" s="328"/>
      <c r="BI682" s="328">
        <v>4.8212000000000002</v>
      </c>
      <c r="BJ682" s="328"/>
      <c r="BK682" s="328">
        <v>1.4654</v>
      </c>
      <c r="BL682" s="328"/>
      <c r="BM682" s="328">
        <v>61.542000000000002</v>
      </c>
      <c r="BN682" s="328"/>
      <c r="BO682" s="328">
        <v>20.971</v>
      </c>
      <c r="BP682" s="328"/>
      <c r="BQ682" s="328">
        <v>8.73</v>
      </c>
      <c r="BR682" s="328"/>
      <c r="BS682" s="328">
        <v>52.426000000000002</v>
      </c>
      <c r="BT682" s="328"/>
      <c r="BU682" s="328">
        <v>17.64</v>
      </c>
      <c r="BV682" s="328"/>
      <c r="BW682" s="336">
        <v>7.1</v>
      </c>
      <c r="BX682" s="328"/>
      <c r="BY682" s="328">
        <v>6.0720000000000027</v>
      </c>
      <c r="BZ682" s="328"/>
      <c r="CA682" s="328"/>
      <c r="CB682" s="337"/>
      <c r="CC682" s="328">
        <v>6.33</v>
      </c>
      <c r="CD682" s="328"/>
      <c r="CE682" s="328"/>
      <c r="CF682" s="328"/>
      <c r="CG682" s="328"/>
      <c r="CH682" s="328"/>
      <c r="CI682" s="328"/>
      <c r="CJ682" s="328"/>
      <c r="CK682" s="328" t="s">
        <v>8377</v>
      </c>
      <c r="CL682" s="328"/>
      <c r="CM682" s="328"/>
    </row>
    <row r="683" spans="1:91">
      <c r="A683" s="327" t="s">
        <v>7796</v>
      </c>
      <c r="B683" s="328" t="s">
        <v>8289</v>
      </c>
      <c r="C683" s="328">
        <v>2</v>
      </c>
      <c r="D683" s="328">
        <v>869</v>
      </c>
      <c r="E683" s="113">
        <v>69</v>
      </c>
      <c r="F683" s="113">
        <v>8</v>
      </c>
      <c r="G683" s="329"/>
      <c r="H683" s="329"/>
      <c r="I683" s="328">
        <v>32</v>
      </c>
      <c r="J683" s="330"/>
      <c r="K683" s="331">
        <v>8</v>
      </c>
      <c r="L683" s="331"/>
      <c r="M683" s="328">
        <v>2.96</v>
      </c>
      <c r="N683" s="331"/>
      <c r="O683" s="328"/>
      <c r="P683" s="328"/>
      <c r="Q683" s="328"/>
      <c r="R683" s="332"/>
      <c r="S683" s="331">
        <v>12.357480589641</v>
      </c>
      <c r="T683" s="331"/>
      <c r="U683" s="328">
        <v>10.8</v>
      </c>
      <c r="V683" s="328"/>
      <c r="W683" s="328"/>
      <c r="X683" s="328"/>
      <c r="Y683" s="333">
        <v>5.9233058999999999</v>
      </c>
      <c r="Z683" s="331"/>
      <c r="AA683" s="334">
        <v>72230.769230769234</v>
      </c>
      <c r="AB683" s="331"/>
      <c r="AC683" s="333">
        <v>26.298666900000001</v>
      </c>
      <c r="AD683" s="331"/>
      <c r="AE683" s="331">
        <v>28.17</v>
      </c>
      <c r="AF683" s="331"/>
      <c r="AG683" s="328">
        <v>3.9</v>
      </c>
      <c r="AH683" s="328"/>
      <c r="AI683" s="328">
        <v>123</v>
      </c>
      <c r="AJ683" s="328"/>
      <c r="AK683" s="328"/>
      <c r="AL683" s="328"/>
      <c r="AM683" s="328"/>
      <c r="AN683" s="328"/>
      <c r="AO683" s="328">
        <v>79</v>
      </c>
      <c r="AP683" s="328"/>
      <c r="AQ683" s="335"/>
      <c r="AR683" s="335"/>
      <c r="AS683" s="328">
        <v>112</v>
      </c>
      <c r="AT683" s="328"/>
      <c r="AU683" s="328"/>
      <c r="AV683" s="328"/>
      <c r="AW683" s="328"/>
      <c r="AX683" s="328"/>
      <c r="AY683" s="328"/>
      <c r="AZ683" s="328"/>
      <c r="BA683" s="328"/>
      <c r="BB683" s="328"/>
      <c r="BC683" s="328"/>
      <c r="BD683" s="328"/>
      <c r="BE683" s="328"/>
      <c r="BF683" s="328"/>
      <c r="BG683" s="328">
        <v>-2.5867</v>
      </c>
      <c r="BH683" s="328"/>
      <c r="BI683" s="328">
        <v>4.9341999999999997</v>
      </c>
      <c r="BJ683" s="328"/>
      <c r="BK683" s="328">
        <v>1.5885</v>
      </c>
      <c r="BL683" s="328"/>
      <c r="BM683" s="328">
        <v>63.186999999999998</v>
      </c>
      <c r="BN683" s="328"/>
      <c r="BO683" s="328">
        <v>20.774000000000001</v>
      </c>
      <c r="BP683" s="328"/>
      <c r="BQ683" s="328">
        <v>8.3848000000000003</v>
      </c>
      <c r="BR683" s="328"/>
      <c r="BS683" s="328">
        <v>46.988999999999997</v>
      </c>
      <c r="BT683" s="328"/>
      <c r="BU683" s="328">
        <v>19.687999999999999</v>
      </c>
      <c r="BV683" s="328"/>
      <c r="BW683" s="336">
        <v>0.61</v>
      </c>
      <c r="BX683" s="328"/>
      <c r="BY683" s="328">
        <v>6.757000000000005</v>
      </c>
      <c r="BZ683" s="328"/>
      <c r="CA683" s="328"/>
      <c r="CB683" s="337"/>
      <c r="CC683" s="328">
        <v>6.47</v>
      </c>
      <c r="CD683" s="328"/>
      <c r="CE683" s="328"/>
      <c r="CF683" s="328"/>
      <c r="CG683" s="328"/>
      <c r="CH683" s="328"/>
      <c r="CI683" s="328"/>
      <c r="CJ683" s="328"/>
      <c r="CK683" s="328" t="s">
        <v>8377</v>
      </c>
      <c r="CL683" s="328"/>
      <c r="CM683" s="328"/>
    </row>
    <row r="684" spans="1:91">
      <c r="A684" s="154" t="s">
        <v>7796</v>
      </c>
      <c r="B684" t="s">
        <v>8287</v>
      </c>
      <c r="C684">
        <v>2</v>
      </c>
      <c r="D684">
        <v>1466</v>
      </c>
      <c r="E684" s="113">
        <v>66</v>
      </c>
      <c r="F684" s="113">
        <v>14</v>
      </c>
      <c r="I684">
        <v>25</v>
      </c>
      <c r="K684" s="320">
        <v>9</v>
      </c>
      <c r="L684" s="320"/>
      <c r="M684">
        <v>3.29</v>
      </c>
      <c r="N684" s="320"/>
      <c r="O684"/>
      <c r="P684"/>
      <c r="Q684"/>
      <c r="S684" s="320">
        <v>14.620989799199998</v>
      </c>
      <c r="T684" s="320"/>
      <c r="U684">
        <v>10.8</v>
      </c>
      <c r="V684"/>
      <c r="W684"/>
      <c r="X684"/>
      <c r="Y684" s="321">
        <v>5.4574527999999995</v>
      </c>
      <c r="Z684" s="320"/>
      <c r="AA684" s="322">
        <v>79183.673469387752</v>
      </c>
      <c r="AB684" s="320"/>
      <c r="AC684" s="321">
        <v>29.185359999999999</v>
      </c>
      <c r="AD684" s="320"/>
      <c r="AE684" s="320">
        <v>31.04</v>
      </c>
      <c r="AF684" s="320"/>
      <c r="AG684">
        <v>3.92</v>
      </c>
      <c r="AH684"/>
      <c r="AI684">
        <v>120</v>
      </c>
      <c r="AJ684"/>
      <c r="AK684"/>
      <c r="AL684"/>
      <c r="AM684"/>
      <c r="AN684"/>
      <c r="AO684">
        <v>79</v>
      </c>
      <c r="AP684"/>
      <c r="AQ684" s="323"/>
      <c r="AR684" s="323"/>
      <c r="AS684">
        <v>112</v>
      </c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>
        <v>-5.5370999999999997</v>
      </c>
      <c r="BH684"/>
      <c r="BI684">
        <v>4.3521999999999998</v>
      </c>
      <c r="BJ684"/>
      <c r="BK684">
        <v>1.5268999999999999</v>
      </c>
      <c r="BL684"/>
      <c r="BM684">
        <v>62.423999999999999</v>
      </c>
      <c r="BN684"/>
      <c r="BO684">
        <v>21.329000000000001</v>
      </c>
      <c r="BP684"/>
      <c r="BQ684">
        <v>9.3973999999999993</v>
      </c>
      <c r="BR684"/>
      <c r="BS684">
        <v>50.097000000000001</v>
      </c>
      <c r="BT684"/>
      <c r="BU684">
        <v>19.03</v>
      </c>
      <c r="BV684"/>
      <c r="BW684" s="325">
        <v>4.59</v>
      </c>
      <c r="BX684"/>
      <c r="BY684">
        <v>6.304000000000002</v>
      </c>
      <c r="BZ684"/>
      <c r="CA684"/>
      <c r="CC684">
        <v>7.28</v>
      </c>
      <c r="CD684"/>
      <c r="CE684"/>
      <c r="CF684"/>
      <c r="CG684"/>
      <c r="CH684"/>
      <c r="CI684"/>
      <c r="CJ684"/>
      <c r="CK684"/>
      <c r="CL684"/>
      <c r="CM684"/>
    </row>
    <row r="685" spans="1:91">
      <c r="A685" s="154" t="s">
        <v>7796</v>
      </c>
      <c r="B685" t="s">
        <v>8289</v>
      </c>
      <c r="C685">
        <v>1</v>
      </c>
      <c r="D685">
        <v>1533</v>
      </c>
      <c r="E685" s="113">
        <v>33</v>
      </c>
      <c r="F685" s="113">
        <v>15</v>
      </c>
      <c r="I685">
        <v>27.999999999999996</v>
      </c>
      <c r="K685" s="320">
        <v>8</v>
      </c>
      <c r="L685" s="320"/>
      <c r="M685">
        <v>3.39</v>
      </c>
      <c r="N685" s="320"/>
      <c r="O685"/>
      <c r="P685"/>
      <c r="Q685"/>
      <c r="S685" s="320">
        <v>14.328629501672001</v>
      </c>
      <c r="T685" s="320"/>
      <c r="U685">
        <v>10.8</v>
      </c>
      <c r="V685"/>
      <c r="W685"/>
      <c r="X685"/>
      <c r="Y685" s="321">
        <v>5.8864452000000007</v>
      </c>
      <c r="Z685" s="320"/>
      <c r="AA685" s="322">
        <v>82842.105263157908</v>
      </c>
      <c r="AB685" s="320"/>
      <c r="AC685" s="321">
        <v>29.416800800000001</v>
      </c>
      <c r="AD685" s="320"/>
      <c r="AE685" s="320">
        <v>31.48</v>
      </c>
      <c r="AF685" s="320"/>
      <c r="AG685">
        <v>3.8</v>
      </c>
      <c r="AH685"/>
      <c r="AI685">
        <v>118</v>
      </c>
      <c r="AJ685"/>
      <c r="AK685"/>
      <c r="AL685"/>
      <c r="AM685"/>
      <c r="AN685"/>
      <c r="AO685">
        <v>81</v>
      </c>
      <c r="AP685"/>
      <c r="AQ685" s="323"/>
      <c r="AR685" s="323"/>
      <c r="AS685">
        <v>112</v>
      </c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>
        <v>5.5937000000000001</v>
      </c>
      <c r="BH685"/>
      <c r="BI685">
        <v>4.5636000000000001</v>
      </c>
      <c r="BJ685"/>
      <c r="BK685">
        <v>1.4217</v>
      </c>
      <c r="BL685"/>
      <c r="BM685">
        <v>57.35</v>
      </c>
      <c r="BN685"/>
      <c r="BO685">
        <v>20.678999999999998</v>
      </c>
      <c r="BP685"/>
      <c r="BQ685">
        <v>8.9489999999999998</v>
      </c>
      <c r="BR685"/>
      <c r="BS685">
        <v>48.709000000000003</v>
      </c>
      <c r="BT685"/>
      <c r="BU685">
        <v>19.733000000000001</v>
      </c>
      <c r="BV685"/>
      <c r="BW685" s="325">
        <v>11.42</v>
      </c>
      <c r="BX685"/>
      <c r="BY685">
        <v>6.3419999999999987</v>
      </c>
      <c r="BZ685"/>
      <c r="CA685"/>
      <c r="CC685">
        <v>8.74</v>
      </c>
      <c r="CD685"/>
      <c r="CE685"/>
      <c r="CF685"/>
      <c r="CG685"/>
      <c r="CH685"/>
      <c r="CI685"/>
      <c r="CJ685"/>
      <c r="CK685"/>
      <c r="CL685"/>
      <c r="CM685"/>
    </row>
    <row r="686" spans="1:91">
      <c r="A686" s="154" t="s">
        <v>7797</v>
      </c>
      <c r="B686" t="s">
        <v>8287</v>
      </c>
      <c r="C686">
        <v>1</v>
      </c>
      <c r="D686">
        <v>208</v>
      </c>
      <c r="E686" s="113">
        <v>8</v>
      </c>
      <c r="F686" s="113">
        <v>2</v>
      </c>
      <c r="I686">
        <v>31</v>
      </c>
      <c r="K686" s="320">
        <v>9</v>
      </c>
      <c r="L686" s="320"/>
      <c r="M686">
        <v>3.56</v>
      </c>
      <c r="N686" s="320"/>
      <c r="O686"/>
      <c r="P686"/>
      <c r="Q686"/>
      <c r="S686" s="320">
        <v>15.73920873414</v>
      </c>
      <c r="T686" s="320"/>
      <c r="U686">
        <v>10.8</v>
      </c>
      <c r="V686"/>
      <c r="W686"/>
      <c r="X686"/>
      <c r="Y686" s="321">
        <v>5.8223208</v>
      </c>
      <c r="Z686" s="320"/>
      <c r="AA686" s="322">
        <v>77834.101382488487</v>
      </c>
      <c r="AB686" s="320"/>
      <c r="AC686" s="321">
        <v>31.7386746</v>
      </c>
      <c r="AD686" s="320"/>
      <c r="AE686" s="320">
        <v>33.78</v>
      </c>
      <c r="AF686" s="320"/>
      <c r="AG686">
        <v>4.34</v>
      </c>
      <c r="AH686"/>
      <c r="AI686">
        <v>135</v>
      </c>
      <c r="AJ686"/>
      <c r="AK686"/>
      <c r="AL686"/>
      <c r="AM686"/>
      <c r="AN686"/>
      <c r="AO686">
        <v>79</v>
      </c>
      <c r="AP686"/>
      <c r="AQ686" s="323"/>
      <c r="AR686" s="323"/>
      <c r="AS686">
        <v>115</v>
      </c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>
        <v>-0.68767</v>
      </c>
      <c r="BH686"/>
      <c r="BI686">
        <v>4.9218999999999999</v>
      </c>
      <c r="BJ686"/>
      <c r="BK686">
        <v>1.6092</v>
      </c>
      <c r="BL686"/>
      <c r="BM686">
        <v>65.123000000000005</v>
      </c>
      <c r="BN686"/>
      <c r="BO686">
        <v>21.09</v>
      </c>
      <c r="BP686"/>
      <c r="BQ686">
        <v>8.3074999999999992</v>
      </c>
      <c r="BR686"/>
      <c r="BS686">
        <v>49.59</v>
      </c>
      <c r="BT686"/>
      <c r="BU686">
        <v>17.626000000000001</v>
      </c>
      <c r="BV686"/>
      <c r="BW686" s="325">
        <v>4.05</v>
      </c>
      <c r="BX686"/>
      <c r="BY686">
        <v>6.1670000000000016</v>
      </c>
      <c r="BZ686"/>
      <c r="CA686"/>
      <c r="CC686">
        <v>6.74</v>
      </c>
      <c r="CD686"/>
      <c r="CE686"/>
      <c r="CF686"/>
      <c r="CG686"/>
      <c r="CH686"/>
      <c r="CI686"/>
      <c r="CJ686"/>
      <c r="CK686"/>
      <c r="CL686"/>
      <c r="CM686"/>
    </row>
    <row r="687" spans="1:91">
      <c r="A687" s="327" t="s">
        <v>7797</v>
      </c>
      <c r="B687" s="328" t="s">
        <v>8289</v>
      </c>
      <c r="C687" s="328">
        <v>2</v>
      </c>
      <c r="D687" s="328">
        <v>351</v>
      </c>
      <c r="E687" s="113">
        <v>51</v>
      </c>
      <c r="F687" s="113">
        <v>3</v>
      </c>
      <c r="G687" s="329"/>
      <c r="H687" s="329"/>
      <c r="I687" s="328">
        <v>28.999999999999996</v>
      </c>
      <c r="J687" s="330"/>
      <c r="K687" s="331">
        <v>8</v>
      </c>
      <c r="L687" s="331"/>
      <c r="M687" s="328">
        <v>2.54</v>
      </c>
      <c r="N687" s="331"/>
      <c r="O687" s="328"/>
      <c r="P687" s="328"/>
      <c r="Q687" s="328"/>
      <c r="R687" s="332"/>
      <c r="S687" s="331">
        <v>10.259480184659999</v>
      </c>
      <c r="T687" s="331"/>
      <c r="U687" s="328">
        <v>10.8</v>
      </c>
      <c r="V687" s="328"/>
      <c r="W687" s="328"/>
      <c r="X687" s="328"/>
      <c r="Y687" s="333">
        <v>4.4919063000000001</v>
      </c>
      <c r="Z687" s="331"/>
      <c r="AA687" s="334">
        <v>56327.944572748267</v>
      </c>
      <c r="AB687" s="331"/>
      <c r="AC687" s="333">
        <v>22.8292839</v>
      </c>
      <c r="AD687" s="331"/>
      <c r="AE687" s="331">
        <v>24.39</v>
      </c>
      <c r="AF687" s="331"/>
      <c r="AG687" s="328">
        <v>4.33</v>
      </c>
      <c r="AH687" s="328"/>
      <c r="AI687" s="328">
        <v>105</v>
      </c>
      <c r="AJ687" s="328"/>
      <c r="AK687" s="328"/>
      <c r="AL687" s="328"/>
      <c r="AM687" s="328"/>
      <c r="AN687" s="328"/>
      <c r="AO687" s="328">
        <v>77</v>
      </c>
      <c r="AP687" s="328"/>
      <c r="AQ687" s="335"/>
      <c r="AR687" s="335"/>
      <c r="AS687" s="328">
        <v>112</v>
      </c>
      <c r="AT687" s="328"/>
      <c r="AU687" s="328"/>
      <c r="AV687" s="328"/>
      <c r="AW687" s="328"/>
      <c r="AX687" s="328"/>
      <c r="AY687" s="328"/>
      <c r="AZ687" s="328"/>
      <c r="BA687" s="328"/>
      <c r="BB687" s="328"/>
      <c r="BC687" s="328"/>
      <c r="BD687" s="328"/>
      <c r="BE687" s="328"/>
      <c r="BF687" s="328"/>
      <c r="BG687" s="328">
        <v>-2.4535</v>
      </c>
      <c r="BH687" s="328"/>
      <c r="BI687" s="328">
        <v>5.3688000000000002</v>
      </c>
      <c r="BJ687" s="328"/>
      <c r="BK687" s="328">
        <v>1.7604</v>
      </c>
      <c r="BL687" s="328"/>
      <c r="BM687" s="328">
        <v>63.085000000000001</v>
      </c>
      <c r="BN687" s="328"/>
      <c r="BO687" s="328">
        <v>20.096</v>
      </c>
      <c r="BP687" s="328"/>
      <c r="BQ687" s="328">
        <v>8.6425000000000001</v>
      </c>
      <c r="BR687" s="328"/>
      <c r="BS687" s="328">
        <v>44.94</v>
      </c>
      <c r="BT687" s="328"/>
      <c r="BU687" s="328">
        <v>18.847999999999999</v>
      </c>
      <c r="BV687" s="328"/>
      <c r="BW687" s="336">
        <v>0.19</v>
      </c>
      <c r="BX687" s="328"/>
      <c r="BY687" s="328">
        <v>6.9539999999999935</v>
      </c>
      <c r="BZ687" s="328"/>
      <c r="CA687" s="328"/>
      <c r="CB687" s="337"/>
      <c r="CC687" s="328">
        <v>5.63</v>
      </c>
      <c r="CD687" s="328"/>
      <c r="CE687" s="328"/>
      <c r="CF687" s="328"/>
      <c r="CG687" s="328"/>
      <c r="CH687" s="328"/>
      <c r="CI687" s="328"/>
      <c r="CJ687" s="328"/>
      <c r="CK687" s="328" t="s">
        <v>8377</v>
      </c>
      <c r="CL687" s="328"/>
      <c r="CM687" s="328"/>
    </row>
    <row r="688" spans="1:91">
      <c r="A688" s="154" t="s">
        <v>7797</v>
      </c>
      <c r="B688" t="s">
        <v>8287</v>
      </c>
      <c r="C688">
        <v>2</v>
      </c>
      <c r="D688">
        <v>1162</v>
      </c>
      <c r="E688" s="113">
        <v>62</v>
      </c>
      <c r="F688" s="113">
        <v>11</v>
      </c>
      <c r="I688">
        <v>31.499999999999996</v>
      </c>
      <c r="K688" s="320">
        <v>9</v>
      </c>
      <c r="L688" s="320"/>
      <c r="M688">
        <v>3.79</v>
      </c>
      <c r="N688" s="320"/>
      <c r="O688"/>
      <c r="P688"/>
      <c r="Q688"/>
      <c r="S688" s="320">
        <v>16.790607720719997</v>
      </c>
      <c r="T688" s="320"/>
      <c r="U688">
        <v>10.8</v>
      </c>
      <c r="V688"/>
      <c r="W688"/>
      <c r="X688"/>
      <c r="Y688" s="321">
        <v>5.5703125</v>
      </c>
      <c r="Z688" s="320"/>
      <c r="AA688" s="322">
        <v>93080.939947780673</v>
      </c>
      <c r="AB688" s="320"/>
      <c r="AC688" s="321">
        <v>33.302803999999995</v>
      </c>
      <c r="AD688" s="320"/>
      <c r="AE688" s="320">
        <v>35.65</v>
      </c>
      <c r="AF688" s="320"/>
      <c r="AG688">
        <v>3.83</v>
      </c>
      <c r="AH688"/>
      <c r="AI688">
        <v>123</v>
      </c>
      <c r="AJ688"/>
      <c r="AK688"/>
      <c r="AL688"/>
      <c r="AM688"/>
      <c r="AN688"/>
      <c r="AO688">
        <v>77</v>
      </c>
      <c r="AP688"/>
      <c r="AQ688" s="323"/>
      <c r="AR688" s="323"/>
      <c r="AS688">
        <v>112</v>
      </c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>
        <v>5.6211000000000002</v>
      </c>
      <c r="BH688"/>
      <c r="BI688">
        <v>5.1215999999999999</v>
      </c>
      <c r="BJ688"/>
      <c r="BK688">
        <v>1.5257000000000001</v>
      </c>
      <c r="BL688"/>
      <c r="BM688">
        <v>58.442999999999998</v>
      </c>
      <c r="BN688"/>
      <c r="BO688">
        <v>21.123000000000001</v>
      </c>
      <c r="BP688"/>
      <c r="BQ688">
        <v>8.4878</v>
      </c>
      <c r="BR688"/>
      <c r="BS688">
        <v>50.417999999999999</v>
      </c>
      <c r="BT688"/>
      <c r="BU688">
        <v>16.591999999999999</v>
      </c>
      <c r="BV688"/>
      <c r="BW688" s="325">
        <v>3.8</v>
      </c>
      <c r="BX688"/>
      <c r="BY688">
        <v>6.4969999999999999</v>
      </c>
      <c r="BZ688"/>
      <c r="CA688"/>
      <c r="CC688">
        <v>7.55</v>
      </c>
      <c r="CD688"/>
      <c r="CE688"/>
      <c r="CF688"/>
      <c r="CG688"/>
      <c r="CH688"/>
      <c r="CI688"/>
      <c r="CJ688"/>
      <c r="CK688"/>
      <c r="CL688"/>
      <c r="CM688"/>
    </row>
    <row r="689" spans="1:91">
      <c r="A689" s="154" t="s">
        <v>7797</v>
      </c>
      <c r="B689" t="s">
        <v>8289</v>
      </c>
      <c r="C689">
        <v>1</v>
      </c>
      <c r="D689">
        <v>1132</v>
      </c>
      <c r="E689" s="113">
        <v>32</v>
      </c>
      <c r="F689" s="113">
        <v>11</v>
      </c>
      <c r="I689">
        <v>22.5</v>
      </c>
      <c r="K689" s="320">
        <v>9</v>
      </c>
      <c r="L689" s="320"/>
      <c r="M689">
        <v>3.69</v>
      </c>
      <c r="N689" s="320"/>
      <c r="O689"/>
      <c r="P689"/>
      <c r="Q689"/>
      <c r="S689" s="320">
        <v>15.752314781860001</v>
      </c>
      <c r="T689" s="320"/>
      <c r="U689">
        <v>10.8</v>
      </c>
      <c r="V689"/>
      <c r="W689"/>
      <c r="X689"/>
      <c r="Y689" s="321">
        <v>7.1909056999999992</v>
      </c>
      <c r="Z689" s="320"/>
      <c r="AA689" s="322">
        <v>89559.585492227983</v>
      </c>
      <c r="AB689" s="320"/>
      <c r="AC689" s="321">
        <v>32.2555385</v>
      </c>
      <c r="AD689" s="320"/>
      <c r="AE689" s="320">
        <v>34.57</v>
      </c>
      <c r="AF689" s="320"/>
      <c r="AG689">
        <v>3.86</v>
      </c>
      <c r="AH689"/>
      <c r="AI689">
        <v>110</v>
      </c>
      <c r="AJ689"/>
      <c r="AK689"/>
      <c r="AL689"/>
      <c r="AM689"/>
      <c r="AN689"/>
      <c r="AO689">
        <v>79</v>
      </c>
      <c r="AP689"/>
      <c r="AQ689" s="323"/>
      <c r="AR689" s="323"/>
      <c r="AS689">
        <v>112</v>
      </c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>
        <v>-1.2977000000000001</v>
      </c>
      <c r="BH689"/>
      <c r="BI689">
        <v>4.8423999999999996</v>
      </c>
      <c r="BJ689"/>
      <c r="BK689">
        <v>1.56</v>
      </c>
      <c r="BL689"/>
      <c r="BM689">
        <v>59.101999999999997</v>
      </c>
      <c r="BN689"/>
      <c r="BO689">
        <v>21.123999999999999</v>
      </c>
      <c r="BP689"/>
      <c r="BQ689">
        <v>8.4202999999999992</v>
      </c>
      <c r="BR689"/>
      <c r="BS689">
        <v>48.835999999999999</v>
      </c>
      <c r="BT689"/>
      <c r="BU689">
        <v>17.779</v>
      </c>
      <c r="BV689"/>
      <c r="BW689" s="325">
        <v>5.92</v>
      </c>
      <c r="BX689"/>
      <c r="BY689">
        <v>6.3780000000000001</v>
      </c>
      <c r="BZ689"/>
      <c r="CA689"/>
      <c r="CC689">
        <v>7.92</v>
      </c>
      <c r="CD689"/>
      <c r="CE689"/>
      <c r="CF689"/>
      <c r="CG689"/>
      <c r="CH689"/>
      <c r="CI689"/>
      <c r="CJ689"/>
      <c r="CK689"/>
      <c r="CL689"/>
      <c r="CM689"/>
    </row>
    <row r="690" spans="1:91">
      <c r="A690" s="154" t="s">
        <v>7798</v>
      </c>
      <c r="B690" t="s">
        <v>8289</v>
      </c>
      <c r="C690">
        <v>2</v>
      </c>
      <c r="D690">
        <v>247</v>
      </c>
      <c r="E690" s="113">
        <v>47</v>
      </c>
      <c r="F690" s="113">
        <v>2</v>
      </c>
      <c r="I690">
        <v>32</v>
      </c>
      <c r="K690" s="320">
        <v>9</v>
      </c>
      <c r="L690" s="320"/>
      <c r="M690">
        <v>3.7</v>
      </c>
      <c r="N690" s="320"/>
      <c r="O690"/>
      <c r="P690"/>
      <c r="Q690"/>
      <c r="S690" s="320">
        <v>17.133483995340001</v>
      </c>
      <c r="T690" s="320"/>
      <c r="U690">
        <v>10.8</v>
      </c>
      <c r="V690"/>
      <c r="W690"/>
      <c r="X690"/>
      <c r="Y690" s="321">
        <v>7.5176981999999999</v>
      </c>
      <c r="Z690" s="320"/>
      <c r="AA690" s="322">
        <v>71589.537223340041</v>
      </c>
      <c r="AB690" s="320"/>
      <c r="AC690" s="321">
        <v>33.288292200000001</v>
      </c>
      <c r="AD690" s="320"/>
      <c r="AE690" s="320">
        <v>35.58</v>
      </c>
      <c r="AF690" s="320"/>
      <c r="AG690">
        <v>4.97</v>
      </c>
      <c r="AH690"/>
      <c r="AI690">
        <v>133</v>
      </c>
      <c r="AJ690"/>
      <c r="AK690"/>
      <c r="AL690"/>
      <c r="AM690"/>
      <c r="AN690"/>
      <c r="AO690">
        <v>77</v>
      </c>
      <c r="AP690"/>
      <c r="AQ690" s="323"/>
      <c r="AR690" s="323"/>
      <c r="AS690">
        <v>116</v>
      </c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>
        <v>0.29477999999999999</v>
      </c>
      <c r="BH690"/>
      <c r="BI690">
        <v>4.7279999999999998</v>
      </c>
      <c r="BJ690"/>
      <c r="BK690">
        <v>1.5184</v>
      </c>
      <c r="BL690"/>
      <c r="BM690">
        <v>60.588999999999999</v>
      </c>
      <c r="BN690"/>
      <c r="BO690">
        <v>21.068999999999999</v>
      </c>
      <c r="BP690"/>
      <c r="BQ690">
        <v>11.627000000000001</v>
      </c>
      <c r="BR690"/>
      <c r="BS690">
        <v>51.47</v>
      </c>
      <c r="BT690"/>
      <c r="BU690">
        <v>17.873999999999999</v>
      </c>
      <c r="BV690"/>
      <c r="BW690" s="325">
        <v>7.67</v>
      </c>
      <c r="BX690"/>
      <c r="BY690">
        <v>5.7950000000000017</v>
      </c>
      <c r="BZ690"/>
      <c r="CA690"/>
      <c r="CC690">
        <v>5.49</v>
      </c>
      <c r="CD690"/>
      <c r="CE690"/>
      <c r="CF690"/>
      <c r="CG690"/>
      <c r="CH690"/>
      <c r="CI690"/>
      <c r="CJ690"/>
      <c r="CK690"/>
      <c r="CL690"/>
      <c r="CM690"/>
    </row>
    <row r="691" spans="1:91">
      <c r="A691" s="154" t="s">
        <v>7798</v>
      </c>
      <c r="B691" t="s">
        <v>8287</v>
      </c>
      <c r="C691">
        <v>1</v>
      </c>
      <c r="D691">
        <v>510</v>
      </c>
      <c r="E691" s="113">
        <v>10</v>
      </c>
      <c r="F691" s="113">
        <v>5</v>
      </c>
      <c r="I691">
        <v>31.499999999999996</v>
      </c>
      <c r="K691" s="320">
        <v>9</v>
      </c>
      <c r="L691" s="320"/>
      <c r="M691">
        <v>3.44</v>
      </c>
      <c r="N691" s="320"/>
      <c r="O691"/>
      <c r="P691"/>
      <c r="Q691"/>
      <c r="S691" s="320">
        <v>16.594389174311999</v>
      </c>
      <c r="T691" s="320"/>
      <c r="U691">
        <v>10.8</v>
      </c>
      <c r="V691"/>
      <c r="W691"/>
      <c r="X691"/>
      <c r="Y691" s="321">
        <v>6.2592587999999987</v>
      </c>
      <c r="Z691" s="320"/>
      <c r="AA691" s="322">
        <v>64842.519685039362</v>
      </c>
      <c r="AB691" s="320"/>
      <c r="AC691" s="321">
        <v>30.6826218</v>
      </c>
      <c r="AD691" s="320"/>
      <c r="AE691" s="320">
        <v>32.94</v>
      </c>
      <c r="AF691" s="320"/>
      <c r="AG691">
        <v>5.08</v>
      </c>
      <c r="AH691"/>
      <c r="AI691">
        <v>128</v>
      </c>
      <c r="AJ691"/>
      <c r="AK691"/>
      <c r="AL691"/>
      <c r="AM691"/>
      <c r="AN691"/>
      <c r="AO691">
        <v>77</v>
      </c>
      <c r="AP691"/>
      <c r="AQ691" s="323"/>
      <c r="AR691" s="323"/>
      <c r="AS691">
        <v>112</v>
      </c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>
        <v>1.7990999999999999</v>
      </c>
      <c r="BH691"/>
      <c r="BI691">
        <v>4.8556999999999997</v>
      </c>
      <c r="BJ691"/>
      <c r="BK691">
        <v>1.4141999999999999</v>
      </c>
      <c r="BL691"/>
      <c r="BM691">
        <v>57.9</v>
      </c>
      <c r="BN691"/>
      <c r="BO691">
        <v>21.561</v>
      </c>
      <c r="BP691"/>
      <c r="BQ691">
        <v>10.930999999999999</v>
      </c>
      <c r="BR691"/>
      <c r="BS691">
        <v>54.084000000000003</v>
      </c>
      <c r="BT691"/>
      <c r="BU691">
        <v>16.024999999999999</v>
      </c>
      <c r="BV691"/>
      <c r="BW691" s="325">
        <v>11.33</v>
      </c>
      <c r="BX691"/>
      <c r="BY691">
        <v>6.0349999999999966</v>
      </c>
      <c r="BZ691"/>
      <c r="CA691"/>
      <c r="CC691">
        <v>5.88</v>
      </c>
      <c r="CD691"/>
      <c r="CE691"/>
      <c r="CF691"/>
      <c r="CG691"/>
      <c r="CH691"/>
      <c r="CI691"/>
      <c r="CJ691"/>
      <c r="CK691"/>
      <c r="CL691"/>
      <c r="CM691"/>
    </row>
    <row r="692" spans="1:91">
      <c r="A692" s="154" t="s">
        <v>7798</v>
      </c>
      <c r="B692" t="s">
        <v>8287</v>
      </c>
      <c r="C692">
        <v>2</v>
      </c>
      <c r="D692">
        <v>1458</v>
      </c>
      <c r="E692" s="113">
        <v>58</v>
      </c>
      <c r="F692" s="113">
        <v>14</v>
      </c>
      <c r="I692">
        <v>31</v>
      </c>
      <c r="K692" s="320">
        <v>9</v>
      </c>
      <c r="L692" s="320"/>
      <c r="M692">
        <v>4.71</v>
      </c>
      <c r="N692" s="320"/>
      <c r="O692"/>
      <c r="P692"/>
      <c r="Q692"/>
      <c r="S692" s="320">
        <v>21.585397814210996</v>
      </c>
      <c r="T692" s="320"/>
      <c r="U692">
        <v>10.8</v>
      </c>
      <c r="V692"/>
      <c r="W692"/>
      <c r="X692"/>
      <c r="Y692" s="321">
        <v>7.2633560999999993</v>
      </c>
      <c r="Z692" s="320"/>
      <c r="AA692" s="322">
        <v>89938.524590163928</v>
      </c>
      <c r="AB692" s="320"/>
      <c r="AC692" s="321">
        <v>41.073578699999999</v>
      </c>
      <c r="AD692" s="320"/>
      <c r="AE692" s="320">
        <v>43.89</v>
      </c>
      <c r="AF692" s="320"/>
      <c r="AG692">
        <v>4.88</v>
      </c>
      <c r="AH692"/>
      <c r="AI692">
        <v>130</v>
      </c>
      <c r="AJ692"/>
      <c r="AK692"/>
      <c r="AL692"/>
      <c r="AM692"/>
      <c r="AN692"/>
      <c r="AO692">
        <v>78</v>
      </c>
      <c r="AP692"/>
      <c r="AQ692" s="323"/>
      <c r="AR692" s="323"/>
      <c r="AS692">
        <v>112</v>
      </c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>
        <v>-3.7496999999999998</v>
      </c>
      <c r="BH692"/>
      <c r="BI692">
        <v>4.7241999999999997</v>
      </c>
      <c r="BJ692"/>
      <c r="BK692">
        <v>1.5069999999999999</v>
      </c>
      <c r="BL692"/>
      <c r="BM692">
        <v>61.481000000000002</v>
      </c>
      <c r="BN692"/>
      <c r="BO692">
        <v>22.433</v>
      </c>
      <c r="BP692"/>
      <c r="BQ692">
        <v>10.215</v>
      </c>
      <c r="BR692"/>
      <c r="BS692">
        <v>52.552999999999997</v>
      </c>
      <c r="BT692"/>
      <c r="BU692">
        <v>16.777999999999999</v>
      </c>
      <c r="BV692"/>
      <c r="BW692" s="325">
        <v>9.42</v>
      </c>
      <c r="BX692"/>
      <c r="BY692">
        <v>6.2019999999999982</v>
      </c>
      <c r="BZ692"/>
      <c r="CA692"/>
      <c r="CC692">
        <v>8.41</v>
      </c>
      <c r="CD692"/>
      <c r="CE692"/>
      <c r="CF692"/>
      <c r="CG692"/>
      <c r="CH692"/>
      <c r="CI692"/>
      <c r="CJ692"/>
      <c r="CK692"/>
      <c r="CL692"/>
      <c r="CM692"/>
    </row>
    <row r="693" spans="1:91">
      <c r="A693" s="154" t="s">
        <v>7798</v>
      </c>
      <c r="B693" t="s">
        <v>8289</v>
      </c>
      <c r="C693">
        <v>1</v>
      </c>
      <c r="D693">
        <v>1730</v>
      </c>
      <c r="E693" s="113">
        <v>30</v>
      </c>
      <c r="F693" s="113">
        <v>17</v>
      </c>
      <c r="I693">
        <v>31</v>
      </c>
      <c r="K693" s="320">
        <v>8</v>
      </c>
      <c r="L693" s="320"/>
      <c r="M693">
        <v>3.81</v>
      </c>
      <c r="N693" s="320"/>
      <c r="O693"/>
      <c r="P693"/>
      <c r="Q693"/>
      <c r="S693" s="320">
        <v>17.228924768088</v>
      </c>
      <c r="T693" s="320"/>
      <c r="U693">
        <v>10.8</v>
      </c>
      <c r="V693"/>
      <c r="W693"/>
      <c r="X693"/>
      <c r="Y693" s="321">
        <v>6.9338483999999996</v>
      </c>
      <c r="Z693" s="320"/>
      <c r="AA693" s="322">
        <v>69529.411764705888</v>
      </c>
      <c r="AB693" s="320"/>
      <c r="AC693" s="321">
        <v>33.0302808</v>
      </c>
      <c r="AD693" s="320"/>
      <c r="AE693" s="320">
        <v>35.46</v>
      </c>
      <c r="AF693" s="320"/>
      <c r="AG693">
        <v>5.0999999999999996</v>
      </c>
      <c r="AH693"/>
      <c r="AI693">
        <v>118</v>
      </c>
      <c r="AJ693"/>
      <c r="AK693"/>
      <c r="AL693"/>
      <c r="AM693"/>
      <c r="AN693"/>
      <c r="AO693">
        <v>79</v>
      </c>
      <c r="AP693"/>
      <c r="AQ693" s="323"/>
      <c r="AR693" s="323"/>
      <c r="AS693">
        <v>112</v>
      </c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>
        <v>-4.1271000000000004</v>
      </c>
      <c r="BH693"/>
      <c r="BI693">
        <v>4.7484000000000002</v>
      </c>
      <c r="BJ693"/>
      <c r="BK693">
        <v>1.51</v>
      </c>
      <c r="BL693"/>
      <c r="BM693">
        <v>62.436999999999998</v>
      </c>
      <c r="BN693"/>
      <c r="BO693">
        <v>22.638999999999999</v>
      </c>
      <c r="BP693"/>
      <c r="BQ693">
        <v>10.180999999999999</v>
      </c>
      <c r="BR693"/>
      <c r="BS693">
        <v>52.161000000000001</v>
      </c>
      <c r="BT693"/>
      <c r="BU693">
        <v>17.603999999999999</v>
      </c>
      <c r="BV693"/>
      <c r="BW693">
        <v>14</v>
      </c>
      <c r="BX693"/>
      <c r="BY693">
        <v>6.0480000000000018</v>
      </c>
      <c r="BZ693"/>
      <c r="CA693"/>
      <c r="CC693">
        <v>8.5299999999999994</v>
      </c>
      <c r="CD693"/>
      <c r="CE693"/>
      <c r="CF693"/>
      <c r="CG693"/>
      <c r="CH693"/>
      <c r="CI693"/>
      <c r="CJ693"/>
      <c r="CK693"/>
      <c r="CL693"/>
      <c r="CM693"/>
    </row>
    <row r="694" spans="1:91">
      <c r="A694" s="327" t="s">
        <v>7799</v>
      </c>
      <c r="B694" s="328" t="s">
        <v>8287</v>
      </c>
      <c r="C694" s="328">
        <v>1</v>
      </c>
      <c r="D694" s="328">
        <v>802</v>
      </c>
      <c r="E694" s="113">
        <v>2</v>
      </c>
      <c r="F694" s="113">
        <v>8</v>
      </c>
      <c r="G694" s="329"/>
      <c r="H694" s="329"/>
      <c r="I694" s="328">
        <v>29.5</v>
      </c>
      <c r="J694" s="330"/>
      <c r="K694" s="331">
        <v>8</v>
      </c>
      <c r="L694" s="331"/>
      <c r="M694" s="328">
        <v>3.17</v>
      </c>
      <c r="N694" s="331"/>
      <c r="O694" s="328"/>
      <c r="P694" s="328"/>
      <c r="Q694" s="328"/>
      <c r="R694" s="332"/>
      <c r="S694" s="331">
        <v>14.441548521448</v>
      </c>
      <c r="T694" s="331"/>
      <c r="U694" s="328">
        <v>10.8</v>
      </c>
      <c r="V694" s="328"/>
      <c r="W694" s="328"/>
      <c r="X694" s="328"/>
      <c r="Y694" s="333">
        <v>5.1236064999999993</v>
      </c>
      <c r="Z694" s="331"/>
      <c r="AA694" s="334">
        <v>69907.192575406036</v>
      </c>
      <c r="AB694" s="331"/>
      <c r="AC694" s="333">
        <v>28.2480802</v>
      </c>
      <c r="AD694" s="331"/>
      <c r="AE694" s="331">
        <v>30.13</v>
      </c>
      <c r="AF694" s="331"/>
      <c r="AG694" s="328">
        <v>4.3099999999999996</v>
      </c>
      <c r="AH694" s="328"/>
      <c r="AI694" s="328">
        <v>125</v>
      </c>
      <c r="AJ694" s="328"/>
      <c r="AK694" s="328"/>
      <c r="AL694" s="328"/>
      <c r="AM694" s="328"/>
      <c r="AN694" s="328"/>
      <c r="AO694" s="328">
        <v>77</v>
      </c>
      <c r="AP694" s="328"/>
      <c r="AQ694" s="335"/>
      <c r="AR694" s="335"/>
      <c r="AS694" s="328">
        <v>112</v>
      </c>
      <c r="AT694" s="328"/>
      <c r="AU694" s="328"/>
      <c r="AV694" s="328"/>
      <c r="AW694" s="328"/>
      <c r="AX694" s="328"/>
      <c r="AY694" s="328"/>
      <c r="AZ694" s="328"/>
      <c r="BA694" s="328"/>
      <c r="BB694" s="328"/>
      <c r="BC694" s="328"/>
      <c r="BD694" s="328"/>
      <c r="BE694" s="328"/>
      <c r="BF694" s="328"/>
      <c r="BG694" s="328">
        <v>2.0644999999999998</v>
      </c>
      <c r="BH694" s="328"/>
      <c r="BI694" s="328">
        <v>4.8526999999999996</v>
      </c>
      <c r="BJ694" s="328"/>
      <c r="BK694" s="328">
        <v>1.5125999999999999</v>
      </c>
      <c r="BL694" s="328"/>
      <c r="BM694" s="328">
        <v>61.173999999999999</v>
      </c>
      <c r="BN694" s="328"/>
      <c r="BO694" s="328">
        <v>20.821000000000002</v>
      </c>
      <c r="BP694" s="328"/>
      <c r="BQ694" s="328">
        <v>8.9945000000000004</v>
      </c>
      <c r="BR694" s="328"/>
      <c r="BS694" s="328">
        <v>51.124000000000002</v>
      </c>
      <c r="BT694" s="328"/>
      <c r="BU694" s="328">
        <v>17.132000000000001</v>
      </c>
      <c r="BV694" s="328"/>
      <c r="BW694" s="336">
        <v>12.63</v>
      </c>
      <c r="BX694" s="328"/>
      <c r="BY694" s="328">
        <v>6.4320000000000022</v>
      </c>
      <c r="BZ694" s="328"/>
      <c r="CA694" s="328"/>
      <c r="CB694" s="337"/>
      <c r="CC694" s="328">
        <v>6.6</v>
      </c>
      <c r="CD694" s="328"/>
      <c r="CE694" s="328"/>
      <c r="CF694" s="328"/>
      <c r="CG694" s="328"/>
      <c r="CH694" s="328"/>
      <c r="CI694" s="328"/>
      <c r="CJ694" s="328"/>
      <c r="CK694" s="328" t="s">
        <v>8377</v>
      </c>
      <c r="CL694" s="328"/>
      <c r="CM694" s="328"/>
    </row>
    <row r="695" spans="1:91">
      <c r="A695" s="327" t="s">
        <v>7799</v>
      </c>
      <c r="B695" s="328" t="s">
        <v>8289</v>
      </c>
      <c r="C695" s="328">
        <v>2</v>
      </c>
      <c r="D695" s="328">
        <v>864</v>
      </c>
      <c r="E695" s="113">
        <v>64</v>
      </c>
      <c r="F695" s="113">
        <v>8</v>
      </c>
      <c r="G695" s="329"/>
      <c r="H695" s="329"/>
      <c r="I695" s="328">
        <v>34</v>
      </c>
      <c r="J695" s="330"/>
      <c r="K695" s="331">
        <v>9</v>
      </c>
      <c r="L695" s="331"/>
      <c r="M695" s="328">
        <v>2.5499999999999998</v>
      </c>
      <c r="N695" s="331"/>
      <c r="O695" s="328"/>
      <c r="P695" s="328"/>
      <c r="Q695" s="328"/>
      <c r="R695" s="332"/>
      <c r="S695" s="331">
        <v>10.126183280400001</v>
      </c>
      <c r="T695" s="331"/>
      <c r="U695" s="328">
        <v>10.8</v>
      </c>
      <c r="V695" s="328"/>
      <c r="W695" s="328"/>
      <c r="X695" s="328"/>
      <c r="Y695" s="333">
        <v>4.9278240000000002</v>
      </c>
      <c r="Z695" s="331"/>
      <c r="AA695" s="334">
        <v>49192.546583850934</v>
      </c>
      <c r="AB695" s="331"/>
      <c r="AC695" s="333">
        <v>22.197780000000002</v>
      </c>
      <c r="AD695" s="331"/>
      <c r="AE695" s="331">
        <v>23.76</v>
      </c>
      <c r="AF695" s="331"/>
      <c r="AG695" s="328">
        <v>4.83</v>
      </c>
      <c r="AH695" s="328"/>
      <c r="AI695" s="328">
        <v>115</v>
      </c>
      <c r="AJ695" s="328"/>
      <c r="AK695" s="328"/>
      <c r="AL695" s="328"/>
      <c r="AM695" s="328"/>
      <c r="AN695" s="328"/>
      <c r="AO695" s="328">
        <v>79</v>
      </c>
      <c r="AP695" s="328"/>
      <c r="AQ695" s="335"/>
      <c r="AR695" s="335"/>
      <c r="AS695" s="328">
        <v>112</v>
      </c>
      <c r="AT695" s="328"/>
      <c r="AU695" s="328"/>
      <c r="AV695" s="328"/>
      <c r="AW695" s="328"/>
      <c r="AX695" s="328"/>
      <c r="AY695" s="328"/>
      <c r="AZ695" s="328"/>
      <c r="BA695" s="328"/>
      <c r="BB695" s="328"/>
      <c r="BC695" s="328"/>
      <c r="BD695" s="328"/>
      <c r="BE695" s="328"/>
      <c r="BF695" s="328"/>
      <c r="BG695" s="328">
        <v>-3.2149999999999999</v>
      </c>
      <c r="BH695" s="328"/>
      <c r="BI695" s="328">
        <v>4.9626999999999999</v>
      </c>
      <c r="BJ695" s="328"/>
      <c r="BK695" s="328">
        <v>1.6927000000000001</v>
      </c>
      <c r="BL695" s="328"/>
      <c r="BM695" s="328">
        <v>64.787999999999997</v>
      </c>
      <c r="BN695" s="328"/>
      <c r="BO695" s="328">
        <v>19.922999999999998</v>
      </c>
      <c r="BP695" s="328"/>
      <c r="BQ695" s="328">
        <v>8.8114000000000008</v>
      </c>
      <c r="BR695" s="328"/>
      <c r="BS695" s="328">
        <v>45.618000000000002</v>
      </c>
      <c r="BT695" s="328"/>
      <c r="BU695" s="328">
        <v>19.138000000000002</v>
      </c>
      <c r="BV695" s="328"/>
      <c r="BW695" s="336">
        <v>11.7</v>
      </c>
      <c r="BX695" s="328"/>
      <c r="BY695" s="328">
        <v>6.8979999999999961</v>
      </c>
      <c r="BZ695" s="328"/>
      <c r="CA695" s="328"/>
      <c r="CB695" s="337"/>
      <c r="CC695" s="328">
        <v>8.43</v>
      </c>
      <c r="CD695" s="328"/>
      <c r="CE695" s="328"/>
      <c r="CF695" s="328"/>
      <c r="CG695" s="328"/>
      <c r="CH695" s="328"/>
      <c r="CI695" s="328"/>
      <c r="CJ695" s="328"/>
      <c r="CK695" s="328" t="s">
        <v>8377</v>
      </c>
      <c r="CL695" s="328"/>
      <c r="CM695" s="328"/>
    </row>
    <row r="696" spans="1:91">
      <c r="A696" s="154" t="s">
        <v>7799</v>
      </c>
      <c r="B696" t="s">
        <v>8287</v>
      </c>
      <c r="C696">
        <v>2</v>
      </c>
      <c r="D696">
        <v>1070</v>
      </c>
      <c r="E696" s="113">
        <v>70</v>
      </c>
      <c r="F696" s="113">
        <v>10</v>
      </c>
      <c r="I696">
        <v>29.999999999999996</v>
      </c>
      <c r="K696" s="320">
        <v>9</v>
      </c>
      <c r="L696" s="320"/>
      <c r="M696">
        <v>3.27</v>
      </c>
      <c r="N696" s="320"/>
      <c r="O696"/>
      <c r="P696"/>
      <c r="Q696"/>
      <c r="S696" s="320">
        <v>14.622377679981</v>
      </c>
      <c r="T696" s="320"/>
      <c r="U696">
        <v>10.8</v>
      </c>
      <c r="V696"/>
      <c r="W696"/>
      <c r="X696"/>
      <c r="Y696" s="321">
        <v>5.5581366000000001</v>
      </c>
      <c r="Z696" s="320"/>
      <c r="AA696" s="322">
        <v>76699.266503667488</v>
      </c>
      <c r="AB696" s="320"/>
      <c r="AC696" s="321">
        <v>29.2371537</v>
      </c>
      <c r="AD696" s="320"/>
      <c r="AE696" s="320">
        <v>31.37</v>
      </c>
      <c r="AF696" s="320"/>
      <c r="AG696">
        <v>4.09</v>
      </c>
      <c r="AH696"/>
      <c r="AI696">
        <v>118</v>
      </c>
      <c r="AJ696"/>
      <c r="AK696"/>
      <c r="AL696"/>
      <c r="AM696"/>
      <c r="AN696"/>
      <c r="AO696">
        <v>79</v>
      </c>
      <c r="AP696"/>
      <c r="AQ696" s="323"/>
      <c r="AR696" s="323"/>
      <c r="AS696">
        <v>112</v>
      </c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>
        <v>-4.5106000000000002</v>
      </c>
      <c r="BH696"/>
      <c r="BI696">
        <v>4.8239999999999998</v>
      </c>
      <c r="BJ696"/>
      <c r="BK696">
        <v>1.6128</v>
      </c>
      <c r="BL696"/>
      <c r="BM696">
        <v>65.081000000000003</v>
      </c>
      <c r="BN696"/>
      <c r="BO696">
        <v>21.341000000000001</v>
      </c>
      <c r="BP696"/>
      <c r="BQ696">
        <v>8.4033999999999995</v>
      </c>
      <c r="BR696"/>
      <c r="BS696">
        <v>50.012999999999998</v>
      </c>
      <c r="BT696"/>
      <c r="BU696">
        <v>17.167999999999999</v>
      </c>
      <c r="BV696"/>
      <c r="BW696" s="325">
        <v>7.07</v>
      </c>
      <c r="BX696"/>
      <c r="BY696">
        <v>6.4039999999999964</v>
      </c>
      <c r="BZ696"/>
      <c r="CA696"/>
      <c r="CC696">
        <v>5.73</v>
      </c>
      <c r="CD696"/>
      <c r="CE696"/>
      <c r="CF696"/>
      <c r="CG696"/>
      <c r="CH696"/>
      <c r="CI696"/>
      <c r="CJ696"/>
      <c r="CK696"/>
      <c r="CL696"/>
      <c r="CM696"/>
    </row>
    <row r="697" spans="1:91">
      <c r="A697" s="154" t="s">
        <v>7799</v>
      </c>
      <c r="B697" t="s">
        <v>8289</v>
      </c>
      <c r="C697">
        <v>1</v>
      </c>
      <c r="D697">
        <v>1036</v>
      </c>
      <c r="E697" s="113">
        <v>36</v>
      </c>
      <c r="F697" s="113">
        <v>10</v>
      </c>
      <c r="I697">
        <v>29.999999999999996</v>
      </c>
      <c r="K697" s="320">
        <v>9</v>
      </c>
      <c r="L697" s="320"/>
      <c r="M697">
        <v>3.08</v>
      </c>
      <c r="N697" s="320"/>
      <c r="O697"/>
      <c r="P697"/>
      <c r="Q697"/>
      <c r="S697" s="320">
        <v>13.475412147852001</v>
      </c>
      <c r="T697" s="320"/>
      <c r="U697">
        <v>10.8</v>
      </c>
      <c r="V697"/>
      <c r="W697"/>
      <c r="X697"/>
      <c r="Y697" s="321">
        <v>5.6195103000000008</v>
      </c>
      <c r="Z697" s="320"/>
      <c r="AA697" s="322">
        <v>65652.173913043473</v>
      </c>
      <c r="AB697" s="320"/>
      <c r="AC697" s="321">
        <v>26.866463600000003</v>
      </c>
      <c r="AD697" s="320"/>
      <c r="AE697" s="320">
        <v>28.69</v>
      </c>
      <c r="AF697" s="320"/>
      <c r="AG697">
        <v>4.37</v>
      </c>
      <c r="AH697"/>
      <c r="AI697">
        <v>115</v>
      </c>
      <c r="AJ697"/>
      <c r="AK697"/>
      <c r="AL697"/>
      <c r="AM697"/>
      <c r="AN697"/>
      <c r="AO697">
        <v>79</v>
      </c>
      <c r="AP697"/>
      <c r="AQ697" s="323"/>
      <c r="AR697" s="323"/>
      <c r="AS697">
        <v>114</v>
      </c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>
        <v>-0.56635000000000002</v>
      </c>
      <c r="BH697"/>
      <c r="BI697">
        <v>4.8703000000000003</v>
      </c>
      <c r="BJ697"/>
      <c r="BK697">
        <v>1.5636000000000001</v>
      </c>
      <c r="BL697"/>
      <c r="BM697">
        <v>63.277999999999999</v>
      </c>
      <c r="BN697"/>
      <c r="BO697">
        <v>21.32</v>
      </c>
      <c r="BP697"/>
      <c r="BQ697">
        <v>8.4537999999999993</v>
      </c>
      <c r="BR697"/>
      <c r="BS697">
        <v>50.156999999999996</v>
      </c>
      <c r="BT697"/>
      <c r="BU697">
        <v>17.332999999999998</v>
      </c>
      <c r="BV697"/>
      <c r="BW697" s="325">
        <v>2.46</v>
      </c>
      <c r="BX697"/>
      <c r="BY697">
        <v>6.311000000000007</v>
      </c>
      <c r="BZ697"/>
      <c r="CA697"/>
      <c r="CC697">
        <v>8.4499999999999993</v>
      </c>
      <c r="CD697"/>
      <c r="CE697"/>
      <c r="CF697"/>
      <c r="CG697"/>
      <c r="CH697"/>
      <c r="CI697"/>
      <c r="CJ697"/>
      <c r="CK697"/>
      <c r="CL697"/>
      <c r="CM697"/>
    </row>
    <row r="698" spans="1:91">
      <c r="A698" s="154" t="s">
        <v>7800</v>
      </c>
      <c r="B698" t="s">
        <v>8287</v>
      </c>
      <c r="C698">
        <v>1</v>
      </c>
      <c r="D698">
        <v>216</v>
      </c>
      <c r="E698" s="113">
        <v>16</v>
      </c>
      <c r="F698" s="113">
        <v>2</v>
      </c>
      <c r="I698">
        <v>32.999999999999993</v>
      </c>
      <c r="K698" s="320">
        <v>9</v>
      </c>
      <c r="L698" s="320"/>
      <c r="M698">
        <v>3.53</v>
      </c>
      <c r="N698" s="320"/>
      <c r="O698"/>
      <c r="P698"/>
      <c r="Q698"/>
      <c r="S698" s="320">
        <v>14.477354256300002</v>
      </c>
      <c r="T698" s="320"/>
      <c r="U698">
        <v>10.8</v>
      </c>
      <c r="V698"/>
      <c r="W698"/>
      <c r="X698"/>
      <c r="Y698" s="321">
        <v>5.9119897000000003</v>
      </c>
      <c r="Z698" s="320"/>
      <c r="AA698" s="322">
        <v>72176.724137931044</v>
      </c>
      <c r="AB698" s="320"/>
      <c r="AC698" s="321">
        <v>31.458831500000002</v>
      </c>
      <c r="AD698" s="320"/>
      <c r="AE698" s="320">
        <v>33.49</v>
      </c>
      <c r="AF698" s="320"/>
      <c r="AG698">
        <v>4.6399999999999997</v>
      </c>
      <c r="AH698"/>
      <c r="AI698">
        <v>148</v>
      </c>
      <c r="AJ698"/>
      <c r="AK698"/>
      <c r="AL698"/>
      <c r="AM698"/>
      <c r="AN698"/>
      <c r="AO698">
        <v>81</v>
      </c>
      <c r="AP698"/>
      <c r="AQ698" s="323"/>
      <c r="AR698" s="323"/>
      <c r="AS698">
        <v>118</v>
      </c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>
        <v>-4.8118999999999996</v>
      </c>
      <c r="BH698"/>
      <c r="BI698">
        <v>5.1951000000000001</v>
      </c>
      <c r="BJ698"/>
      <c r="BK698">
        <v>1.6194999999999999</v>
      </c>
      <c r="BL698"/>
      <c r="BM698">
        <v>60.441000000000003</v>
      </c>
      <c r="BN698"/>
      <c r="BO698">
        <v>21.503</v>
      </c>
      <c r="BP698"/>
      <c r="BQ698">
        <v>9.3256999999999994</v>
      </c>
      <c r="BR698"/>
      <c r="BS698">
        <v>46.02</v>
      </c>
      <c r="BT698"/>
      <c r="BU698">
        <v>19.707999999999998</v>
      </c>
      <c r="BV698"/>
      <c r="BW698" t="s">
        <v>8361</v>
      </c>
      <c r="BX698" s="324"/>
      <c r="BY698">
        <v>6.7789999999999964</v>
      </c>
      <c r="BZ698"/>
      <c r="CA698"/>
      <c r="CC698">
        <v>6.75</v>
      </c>
      <c r="CD698"/>
      <c r="CE698"/>
      <c r="CF698"/>
      <c r="CG698"/>
      <c r="CH698"/>
      <c r="CI698"/>
      <c r="CJ698"/>
      <c r="CK698"/>
      <c r="CL698"/>
      <c r="CM698"/>
    </row>
    <row r="699" spans="1:91">
      <c r="A699" s="327" t="s">
        <v>7800</v>
      </c>
      <c r="B699" s="328" t="s">
        <v>8289</v>
      </c>
      <c r="C699" s="328">
        <v>2</v>
      </c>
      <c r="D699" s="328">
        <v>357</v>
      </c>
      <c r="E699" s="113">
        <v>57</v>
      </c>
      <c r="F699" s="113">
        <v>3</v>
      </c>
      <c r="G699" s="329"/>
      <c r="H699" s="329"/>
      <c r="I699" s="328">
        <v>37</v>
      </c>
      <c r="J699" s="330"/>
      <c r="K699" s="331">
        <v>6</v>
      </c>
      <c r="L699" s="331"/>
      <c r="M699" s="328">
        <v>0.68</v>
      </c>
      <c r="N699" s="331"/>
      <c r="O699" s="328"/>
      <c r="P699" s="328"/>
      <c r="Q699" s="328"/>
      <c r="R699" s="332"/>
      <c r="S699" s="331">
        <v>0</v>
      </c>
      <c r="T699" s="331"/>
      <c r="U699" s="328">
        <v>10.8</v>
      </c>
      <c r="V699" s="328"/>
      <c r="W699" s="328"/>
      <c r="X699" s="328"/>
      <c r="Y699" s="333">
        <v>1.2729600000000001</v>
      </c>
      <c r="Z699" s="331"/>
      <c r="AA699" s="334">
        <v>12403.100775193798</v>
      </c>
      <c r="AB699" s="331"/>
      <c r="AC699" s="333">
        <v>5.9732479999999999</v>
      </c>
      <c r="AD699" s="331"/>
      <c r="AE699" s="331">
        <v>6.4</v>
      </c>
      <c r="AF699" s="331"/>
      <c r="AG699" s="328">
        <v>5.16</v>
      </c>
      <c r="AH699" s="328"/>
      <c r="AI699" s="328">
        <v>110</v>
      </c>
      <c r="AJ699" s="328"/>
      <c r="AK699" s="328"/>
      <c r="AL699" s="328"/>
      <c r="AM699" s="328"/>
      <c r="AN699" s="328"/>
      <c r="AO699" s="328">
        <v>80</v>
      </c>
      <c r="AP699" s="328"/>
      <c r="AQ699" s="335"/>
      <c r="AR699" s="335"/>
      <c r="AS699" s="328">
        <v>118</v>
      </c>
      <c r="AT699" s="328"/>
      <c r="AU699" s="328"/>
      <c r="AV699" s="328"/>
      <c r="AW699" s="328"/>
      <c r="AX699" s="328"/>
      <c r="AY699" s="328"/>
      <c r="AZ699" s="328"/>
      <c r="BA699" s="328"/>
      <c r="BB699" s="328"/>
      <c r="BC699" s="328"/>
      <c r="BD699" s="328"/>
      <c r="BE699" s="328"/>
      <c r="BF699" s="328"/>
      <c r="BG699" s="328"/>
      <c r="BH699" s="328"/>
      <c r="BI699" s="328"/>
      <c r="BJ699" s="328"/>
      <c r="BK699" s="328"/>
      <c r="BL699" s="328"/>
      <c r="BM699" s="328"/>
      <c r="BN699" s="328"/>
      <c r="BO699" s="328"/>
      <c r="BP699" s="328"/>
      <c r="BQ699" s="328"/>
      <c r="BR699" s="328"/>
      <c r="BS699" s="328"/>
      <c r="BT699" s="328"/>
      <c r="BU699" s="328"/>
      <c r="BV699" s="328"/>
      <c r="BW699" s="328" t="s">
        <v>8361</v>
      </c>
      <c r="BX699" s="339"/>
      <c r="BY699" s="328" t="s">
        <v>8237</v>
      </c>
      <c r="BZ699" s="328"/>
      <c r="CA699" s="328"/>
      <c r="CB699" s="337"/>
      <c r="CC699" s="328">
        <v>7.45</v>
      </c>
      <c r="CD699" s="328"/>
      <c r="CE699" s="328"/>
      <c r="CF699" s="328"/>
      <c r="CG699" s="328"/>
      <c r="CH699" s="328"/>
      <c r="CI699" s="328"/>
      <c r="CJ699" s="328"/>
      <c r="CK699" s="328" t="s">
        <v>8377</v>
      </c>
      <c r="CL699" s="328"/>
      <c r="CM699" s="328"/>
    </row>
    <row r="700" spans="1:91">
      <c r="A700" s="154" t="s">
        <v>7800</v>
      </c>
      <c r="B700" t="s">
        <v>8289</v>
      </c>
      <c r="C700">
        <v>1</v>
      </c>
      <c r="D700">
        <v>1206</v>
      </c>
      <c r="E700" s="113">
        <v>6</v>
      </c>
      <c r="F700" s="113">
        <v>12</v>
      </c>
      <c r="I700">
        <v>26.499999999999996</v>
      </c>
      <c r="K700" s="320">
        <v>9</v>
      </c>
      <c r="L700" s="320"/>
      <c r="M700">
        <v>3.82</v>
      </c>
      <c r="N700" s="320"/>
      <c r="O700"/>
      <c r="P700"/>
      <c r="Q700"/>
      <c r="S700" s="320">
        <v>16.247366993147001</v>
      </c>
      <c r="T700" s="320"/>
      <c r="U700">
        <v>10.8</v>
      </c>
      <c r="V700"/>
      <c r="W700"/>
      <c r="X700"/>
      <c r="Y700" s="321">
        <v>6.5453680999999992</v>
      </c>
      <c r="Z700" s="320"/>
      <c r="AA700" s="322">
        <v>78621.444201312901</v>
      </c>
      <c r="AB700" s="320"/>
      <c r="AC700" s="321">
        <v>33.651678700000005</v>
      </c>
      <c r="AD700" s="320"/>
      <c r="AE700" s="320">
        <v>35.93</v>
      </c>
      <c r="AF700" s="320"/>
      <c r="AG700">
        <v>4.57</v>
      </c>
      <c r="AH700"/>
      <c r="AI700">
        <v>128</v>
      </c>
      <c r="AJ700"/>
      <c r="AK700"/>
      <c r="AL700"/>
      <c r="AM700"/>
      <c r="AN700"/>
      <c r="AO700">
        <v>79</v>
      </c>
      <c r="AP700"/>
      <c r="AQ700" s="323"/>
      <c r="AR700" s="323"/>
      <c r="AS700">
        <v>112</v>
      </c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>
        <v>-4.1132</v>
      </c>
      <c r="BH700"/>
      <c r="BI700">
        <v>4.8756000000000004</v>
      </c>
      <c r="BJ700"/>
      <c r="BK700">
        <v>1.5391999999999999</v>
      </c>
      <c r="BL700"/>
      <c r="BM700">
        <v>62.350999999999999</v>
      </c>
      <c r="BN700"/>
      <c r="BO700">
        <v>20.309999999999999</v>
      </c>
      <c r="BP700"/>
      <c r="BQ700">
        <v>9.3165999999999993</v>
      </c>
      <c r="BR700"/>
      <c r="BS700">
        <v>48.280999999999999</v>
      </c>
      <c r="BT700"/>
      <c r="BU700">
        <v>18.814</v>
      </c>
      <c r="BV700"/>
      <c r="BW700" s="325">
        <v>9.51</v>
      </c>
      <c r="BX700"/>
      <c r="BY700">
        <v>6.784000000000006</v>
      </c>
      <c r="BZ700"/>
      <c r="CA700"/>
      <c r="CC700">
        <v>7.57</v>
      </c>
      <c r="CD700"/>
      <c r="CE700"/>
      <c r="CF700"/>
      <c r="CG700"/>
      <c r="CH700"/>
      <c r="CI700"/>
      <c r="CJ700"/>
      <c r="CK700"/>
      <c r="CL700"/>
      <c r="CM700"/>
    </row>
    <row r="701" spans="1:91">
      <c r="A701" s="154" t="s">
        <v>7800</v>
      </c>
      <c r="B701" t="s">
        <v>8287</v>
      </c>
      <c r="C701">
        <v>2</v>
      </c>
      <c r="D701">
        <v>1571</v>
      </c>
      <c r="E701" s="113">
        <v>71</v>
      </c>
      <c r="F701" s="113">
        <v>15</v>
      </c>
      <c r="I701">
        <v>29.5</v>
      </c>
      <c r="K701" s="320">
        <v>8</v>
      </c>
      <c r="L701" s="320"/>
      <c r="M701">
        <v>3.57</v>
      </c>
      <c r="N701" s="320"/>
      <c r="O701"/>
      <c r="P701"/>
      <c r="Q701"/>
      <c r="S701" s="320">
        <v>16.611791629499997</v>
      </c>
      <c r="T701" s="320"/>
      <c r="U701">
        <v>10.8</v>
      </c>
      <c r="V701"/>
      <c r="W701"/>
      <c r="X701"/>
      <c r="Y701" s="321">
        <v>5.48</v>
      </c>
      <c r="Z701" s="320"/>
      <c r="AA701" s="322">
        <v>73655.913978494616</v>
      </c>
      <c r="AB701" s="320"/>
      <c r="AC701" s="321">
        <v>31.988814999999999</v>
      </c>
      <c r="AD701" s="320"/>
      <c r="AE701" s="320">
        <v>34.25</v>
      </c>
      <c r="AF701" s="320"/>
      <c r="AG701">
        <v>4.6500000000000004</v>
      </c>
      <c r="AH701"/>
      <c r="AI701">
        <v>128</v>
      </c>
      <c r="AJ701"/>
      <c r="AK701"/>
      <c r="AL701"/>
      <c r="AM701"/>
      <c r="AN701"/>
      <c r="AO701">
        <v>79</v>
      </c>
      <c r="AP701"/>
      <c r="AQ701" s="323"/>
      <c r="AR701" s="323"/>
      <c r="AS701">
        <v>112</v>
      </c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>
        <v>2.0661999999999998</v>
      </c>
      <c r="BH701"/>
      <c r="BI701">
        <v>5.1089000000000002</v>
      </c>
      <c r="BJ701"/>
      <c r="BK701">
        <v>1.4559</v>
      </c>
      <c r="BL701"/>
      <c r="BM701">
        <v>64.701999999999998</v>
      </c>
      <c r="BN701"/>
      <c r="BO701">
        <v>20.803999999999998</v>
      </c>
      <c r="BP701"/>
      <c r="BQ701">
        <v>8.9406999999999996</v>
      </c>
      <c r="BR701"/>
      <c r="BS701">
        <v>51.93</v>
      </c>
      <c r="BT701"/>
      <c r="BU701">
        <v>16.114999999999998</v>
      </c>
      <c r="BV701"/>
      <c r="BW701" s="325">
        <v>5.92</v>
      </c>
      <c r="BX701"/>
      <c r="BY701">
        <v>6.4590000000000032</v>
      </c>
      <c r="BZ701"/>
      <c r="CA701"/>
      <c r="CC701">
        <v>5.7</v>
      </c>
      <c r="CD701"/>
      <c r="CE701"/>
      <c r="CF701"/>
      <c r="CG701"/>
      <c r="CH701"/>
      <c r="CI701"/>
      <c r="CJ701"/>
      <c r="CK701"/>
      <c r="CL701"/>
      <c r="CM701"/>
    </row>
    <row r="702" spans="1:91">
      <c r="A702" s="154" t="s">
        <v>7801</v>
      </c>
      <c r="B702" t="s">
        <v>8289</v>
      </c>
      <c r="C702">
        <v>2</v>
      </c>
      <c r="D702">
        <v>264</v>
      </c>
      <c r="E702" s="113">
        <v>64</v>
      </c>
      <c r="F702" s="113">
        <v>2</v>
      </c>
      <c r="I702">
        <v>35.499999999999993</v>
      </c>
      <c r="K702" s="320">
        <v>6</v>
      </c>
      <c r="L702" s="320"/>
      <c r="M702">
        <v>2.5</v>
      </c>
      <c r="N702" s="320"/>
      <c r="O702"/>
      <c r="P702"/>
      <c r="Q702"/>
      <c r="S702" s="320">
        <v>10.164513096</v>
      </c>
      <c r="T702" s="320"/>
      <c r="U702">
        <v>10.8</v>
      </c>
      <c r="V702"/>
      <c r="W702"/>
      <c r="X702"/>
      <c r="Y702" s="321">
        <v>4.3429399999999996</v>
      </c>
      <c r="Z702" s="320"/>
      <c r="AA702" s="322">
        <v>49150.743099787687</v>
      </c>
      <c r="AB702" s="320"/>
      <c r="AC702" s="321">
        <v>21.564225</v>
      </c>
      <c r="AD702" s="320"/>
      <c r="AE702" s="320">
        <v>23.15</v>
      </c>
      <c r="AF702" s="320"/>
      <c r="AG702">
        <v>4.71</v>
      </c>
      <c r="AH702"/>
      <c r="AI702">
        <v>120</v>
      </c>
      <c r="AJ702"/>
      <c r="AK702"/>
      <c r="AL702"/>
      <c r="AM702"/>
      <c r="AN702"/>
      <c r="AO702">
        <v>75</v>
      </c>
      <c r="AP702"/>
      <c r="AQ702" s="323"/>
      <c r="AR702" s="323"/>
      <c r="AS702">
        <v>118</v>
      </c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>
        <v>0.38318999999999998</v>
      </c>
      <c r="BH702"/>
      <c r="BI702">
        <v>4.9534000000000002</v>
      </c>
      <c r="BJ702"/>
      <c r="BK702">
        <v>1.7141999999999999</v>
      </c>
      <c r="BL702"/>
      <c r="BM702">
        <v>69.084000000000003</v>
      </c>
      <c r="BN702"/>
      <c r="BO702">
        <v>20.251000000000001</v>
      </c>
      <c r="BP702"/>
      <c r="BQ702">
        <v>7.9946000000000002</v>
      </c>
      <c r="BR702"/>
      <c r="BS702">
        <v>47.136000000000003</v>
      </c>
      <c r="BT702"/>
      <c r="BU702">
        <v>19.247</v>
      </c>
      <c r="BV702"/>
      <c r="BW702" s="325">
        <v>4.7699999999999996</v>
      </c>
      <c r="BX702"/>
      <c r="BY702">
        <v>6.4689999999999941</v>
      </c>
      <c r="BZ702"/>
      <c r="CA702"/>
      <c r="CC702">
        <v>8.99</v>
      </c>
      <c r="CD702"/>
      <c r="CE702"/>
      <c r="CF702"/>
      <c r="CG702"/>
      <c r="CH702"/>
      <c r="CI702"/>
      <c r="CJ702"/>
      <c r="CK702"/>
      <c r="CL702"/>
      <c r="CM702"/>
    </row>
    <row r="703" spans="1:91">
      <c r="A703" s="327" t="s">
        <v>7801</v>
      </c>
      <c r="B703" s="328" t="s">
        <v>8287</v>
      </c>
      <c r="C703" s="328">
        <v>1</v>
      </c>
      <c r="D703" s="328">
        <v>912</v>
      </c>
      <c r="E703" s="113">
        <v>12</v>
      </c>
      <c r="F703" s="113">
        <v>9</v>
      </c>
      <c r="G703" s="329"/>
      <c r="H703" s="329"/>
      <c r="I703" s="328">
        <v>18.5</v>
      </c>
      <c r="J703" s="330"/>
      <c r="K703" s="331">
        <v>8</v>
      </c>
      <c r="L703" s="331"/>
      <c r="M703" s="328">
        <v>2.06</v>
      </c>
      <c r="N703" s="331"/>
      <c r="O703" s="328"/>
      <c r="P703" s="328"/>
      <c r="Q703" s="328"/>
      <c r="R703" s="332"/>
      <c r="S703" s="331">
        <v>9.2039526176620008</v>
      </c>
      <c r="T703" s="331"/>
      <c r="U703" s="328">
        <v>10.8</v>
      </c>
      <c r="V703" s="328"/>
      <c r="W703" s="328"/>
      <c r="X703" s="328"/>
      <c r="Y703" s="333">
        <v>4.0521989999999999</v>
      </c>
      <c r="Z703" s="331"/>
      <c r="AA703" s="334">
        <v>49059.405940594064</v>
      </c>
      <c r="AB703" s="331"/>
      <c r="AC703" s="333">
        <v>18.485915800000001</v>
      </c>
      <c r="AD703" s="331"/>
      <c r="AE703" s="331">
        <v>19.82</v>
      </c>
      <c r="AF703" s="331"/>
      <c r="AG703" s="328">
        <v>4.04</v>
      </c>
      <c r="AH703" s="328"/>
      <c r="AI703" s="328">
        <v>100</v>
      </c>
      <c r="AJ703" s="328"/>
      <c r="AK703" s="328"/>
      <c r="AL703" s="328"/>
      <c r="AM703" s="328"/>
      <c r="AN703" s="328"/>
      <c r="AO703" s="328">
        <v>72</v>
      </c>
      <c r="AP703" s="328"/>
      <c r="AQ703" s="335"/>
      <c r="AR703" s="335"/>
      <c r="AS703" s="328">
        <v>112</v>
      </c>
      <c r="AT703" s="328"/>
      <c r="AU703" s="328"/>
      <c r="AV703" s="328"/>
      <c r="AW703" s="328"/>
      <c r="AX703" s="328"/>
      <c r="AY703" s="328"/>
      <c r="AZ703" s="328"/>
      <c r="BA703" s="328"/>
      <c r="BB703" s="328"/>
      <c r="BC703" s="328"/>
      <c r="BD703" s="328"/>
      <c r="BE703" s="328"/>
      <c r="BF703" s="328"/>
      <c r="BG703" s="328">
        <v>-0.17979000000000001</v>
      </c>
      <c r="BH703" s="328"/>
      <c r="BI703" s="328">
        <v>4.7088000000000001</v>
      </c>
      <c r="BJ703" s="328"/>
      <c r="BK703" s="328">
        <v>1.5903</v>
      </c>
      <c r="BL703" s="328"/>
      <c r="BM703" s="328">
        <v>65.069000000000003</v>
      </c>
      <c r="BN703" s="328"/>
      <c r="BO703" s="328">
        <v>19.863</v>
      </c>
      <c r="BP703" s="328"/>
      <c r="BQ703" s="328">
        <v>8.3003999999999998</v>
      </c>
      <c r="BR703" s="328"/>
      <c r="BS703" s="328">
        <v>49.789000000000001</v>
      </c>
      <c r="BT703" s="328"/>
      <c r="BU703" s="328">
        <v>17.588000000000001</v>
      </c>
      <c r="BV703" s="328"/>
      <c r="BW703" s="336">
        <v>3.63</v>
      </c>
      <c r="BX703" s="328"/>
      <c r="BY703" s="328">
        <v>6.4120000000000061</v>
      </c>
      <c r="BZ703" s="328"/>
      <c r="CA703" s="328"/>
      <c r="CB703" s="337"/>
      <c r="CC703" s="328">
        <v>5.45</v>
      </c>
      <c r="CD703" s="328"/>
      <c r="CE703" s="328"/>
      <c r="CF703" s="328"/>
      <c r="CG703" s="328"/>
      <c r="CH703" s="328"/>
      <c r="CI703" s="328"/>
      <c r="CJ703" s="328"/>
      <c r="CK703" s="328" t="s">
        <v>8377</v>
      </c>
      <c r="CL703" s="328"/>
      <c r="CM703" s="328"/>
    </row>
    <row r="704" spans="1:91">
      <c r="A704" s="154" t="s">
        <v>7801</v>
      </c>
      <c r="B704" t="s">
        <v>8287</v>
      </c>
      <c r="C704">
        <v>2</v>
      </c>
      <c r="D704">
        <v>1241</v>
      </c>
      <c r="E704" s="113">
        <v>41</v>
      </c>
      <c r="F704" s="113">
        <v>12</v>
      </c>
      <c r="I704">
        <v>31.499999999999996</v>
      </c>
      <c r="K704" s="320">
        <v>9</v>
      </c>
      <c r="L704" s="320"/>
      <c r="M704">
        <v>3.55</v>
      </c>
      <c r="N704" s="320"/>
      <c r="O704"/>
      <c r="P704"/>
      <c r="Q704"/>
      <c r="S704" s="320">
        <v>15.631421006916003</v>
      </c>
      <c r="T704" s="320"/>
      <c r="U704">
        <v>10.8</v>
      </c>
      <c r="V704"/>
      <c r="W704"/>
      <c r="X704"/>
      <c r="Y704" s="321">
        <v>6.0692754000000004</v>
      </c>
      <c r="Z704" s="320"/>
      <c r="AA704" s="322">
        <v>83341.463414634156</v>
      </c>
      <c r="AB704" s="320"/>
      <c r="AC704" s="321">
        <v>31.945191300000005</v>
      </c>
      <c r="AD704" s="320"/>
      <c r="AE704" s="320">
        <v>34.17</v>
      </c>
      <c r="AF704" s="320"/>
      <c r="AG704">
        <v>4.0999999999999996</v>
      </c>
      <c r="AH704"/>
      <c r="AI704">
        <v>128</v>
      </c>
      <c r="AJ704"/>
      <c r="AK704"/>
      <c r="AL704"/>
      <c r="AM704"/>
      <c r="AN704"/>
      <c r="AO704">
        <v>72</v>
      </c>
      <c r="AP704"/>
      <c r="AQ704" s="323"/>
      <c r="AR704" s="323"/>
      <c r="AS704">
        <v>112</v>
      </c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>
        <v>6.7788000000000004</v>
      </c>
      <c r="BH704"/>
      <c r="BI704">
        <v>5.0442</v>
      </c>
      <c r="BJ704"/>
      <c r="BK704">
        <v>1.5586</v>
      </c>
      <c r="BL704"/>
      <c r="BM704">
        <v>62.927</v>
      </c>
      <c r="BN704"/>
      <c r="BO704">
        <v>20.521999999999998</v>
      </c>
      <c r="BP704"/>
      <c r="BQ704">
        <v>8.4985999999999997</v>
      </c>
      <c r="BR704"/>
      <c r="BS704">
        <v>48.932000000000002</v>
      </c>
      <c r="BT704"/>
      <c r="BU704">
        <v>17.684999999999999</v>
      </c>
      <c r="BV704"/>
      <c r="BW704" s="325">
        <v>4.1100000000000003</v>
      </c>
      <c r="BX704"/>
      <c r="BY704">
        <v>6.7450000000000045</v>
      </c>
      <c r="BZ704"/>
      <c r="CA704"/>
      <c r="CC704">
        <v>5.39</v>
      </c>
      <c r="CD704"/>
      <c r="CE704"/>
      <c r="CF704"/>
      <c r="CG704"/>
      <c r="CH704"/>
      <c r="CI704"/>
      <c r="CJ704"/>
      <c r="CK704"/>
      <c r="CL704"/>
      <c r="CM704"/>
    </row>
    <row r="705" spans="1:91">
      <c r="A705" s="154" t="s">
        <v>7801</v>
      </c>
      <c r="B705" t="s">
        <v>8289</v>
      </c>
      <c r="C705">
        <v>1</v>
      </c>
      <c r="D705">
        <v>1307</v>
      </c>
      <c r="E705" s="113">
        <v>7</v>
      </c>
      <c r="F705" s="113">
        <v>13</v>
      </c>
      <c r="I705">
        <v>27.999999999999996</v>
      </c>
      <c r="K705" s="320">
        <v>9</v>
      </c>
      <c r="L705" s="320"/>
      <c r="M705">
        <v>3.28</v>
      </c>
      <c r="N705" s="320"/>
      <c r="O705"/>
      <c r="P705"/>
      <c r="Q705"/>
      <c r="S705" s="320">
        <v>13.955424950775001</v>
      </c>
      <c r="T705" s="320"/>
      <c r="U705">
        <v>10.8</v>
      </c>
      <c r="V705"/>
      <c r="W705"/>
      <c r="X705"/>
      <c r="Y705" s="321">
        <v>5.6707987000000006</v>
      </c>
      <c r="Z705" s="320"/>
      <c r="AA705" s="322">
        <v>73309.692671394805</v>
      </c>
      <c r="AB705" s="320"/>
      <c r="AC705" s="321">
        <v>28.806739499999999</v>
      </c>
      <c r="AD705" s="320"/>
      <c r="AE705" s="320">
        <v>31.01</v>
      </c>
      <c r="AF705" s="320"/>
      <c r="AG705">
        <v>4.2300000000000004</v>
      </c>
      <c r="AH705"/>
      <c r="AI705">
        <v>128</v>
      </c>
      <c r="AJ705"/>
      <c r="AK705"/>
      <c r="AL705"/>
      <c r="AM705"/>
      <c r="AN705"/>
      <c r="AO705">
        <v>77</v>
      </c>
      <c r="AP705"/>
      <c r="AQ705" s="323"/>
      <c r="AR705" s="323"/>
      <c r="AS705">
        <v>112</v>
      </c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>
        <v>-0.58057999999999998</v>
      </c>
      <c r="BH705"/>
      <c r="BI705">
        <v>4.7603</v>
      </c>
      <c r="BJ705"/>
      <c r="BK705">
        <v>1.577</v>
      </c>
      <c r="BL705"/>
      <c r="BM705">
        <v>63.768000000000001</v>
      </c>
      <c r="BN705"/>
      <c r="BO705">
        <v>20.49</v>
      </c>
      <c r="BP705"/>
      <c r="BQ705">
        <v>8.9326000000000008</v>
      </c>
      <c r="BR705"/>
      <c r="BS705">
        <v>48.445</v>
      </c>
      <c r="BT705"/>
      <c r="BU705">
        <v>19.440000000000001</v>
      </c>
      <c r="BV705"/>
      <c r="BW705" s="325">
        <v>7.01</v>
      </c>
      <c r="BX705"/>
      <c r="BY705">
        <v>6.4060000000000059</v>
      </c>
      <c r="BZ705"/>
      <c r="CA705"/>
      <c r="CC705">
        <v>7.08</v>
      </c>
      <c r="CD705"/>
      <c r="CE705"/>
      <c r="CF705"/>
      <c r="CG705"/>
      <c r="CH705"/>
      <c r="CI705"/>
      <c r="CJ705"/>
      <c r="CK705"/>
      <c r="CL705"/>
      <c r="CM705"/>
    </row>
    <row r="706" spans="1:91">
      <c r="A706" s="154" t="s">
        <v>7802</v>
      </c>
      <c r="B706" t="s">
        <v>8289</v>
      </c>
      <c r="C706">
        <v>2</v>
      </c>
      <c r="D706">
        <v>548</v>
      </c>
      <c r="E706" s="113">
        <v>48</v>
      </c>
      <c r="F706" s="113">
        <v>5</v>
      </c>
      <c r="I706">
        <v>32</v>
      </c>
      <c r="K706" s="320">
        <v>8</v>
      </c>
      <c r="L706" s="320"/>
      <c r="M706">
        <v>3.55</v>
      </c>
      <c r="N706" s="320"/>
      <c r="O706"/>
      <c r="P706"/>
      <c r="Q706"/>
      <c r="S706" s="320">
        <v>15.544097451932002</v>
      </c>
      <c r="T706" s="320"/>
      <c r="U706">
        <v>10.8</v>
      </c>
      <c r="V706"/>
      <c r="W706"/>
      <c r="X706"/>
      <c r="Y706" s="321">
        <v>6.3212173000000007</v>
      </c>
      <c r="Z706" s="320"/>
      <c r="AA706" s="322">
        <v>78822.170900692843</v>
      </c>
      <c r="AB706" s="320"/>
      <c r="AC706" s="321">
        <v>31.961379800000003</v>
      </c>
      <c r="AD706" s="320"/>
      <c r="AE706" s="320">
        <v>34.130000000000003</v>
      </c>
      <c r="AF706" s="320"/>
      <c r="AG706">
        <v>4.33</v>
      </c>
      <c r="AH706"/>
      <c r="AI706">
        <v>135</v>
      </c>
      <c r="AJ706"/>
      <c r="AK706"/>
      <c r="AL706"/>
      <c r="AM706"/>
      <c r="AN706"/>
      <c r="AO706">
        <v>78</v>
      </c>
      <c r="AP706"/>
      <c r="AQ706" s="323"/>
      <c r="AR706" s="323"/>
      <c r="AS706">
        <v>114</v>
      </c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>
        <v>1.7435</v>
      </c>
      <c r="BH706"/>
      <c r="BI706">
        <v>4.5204000000000004</v>
      </c>
      <c r="BJ706"/>
      <c r="BK706">
        <v>1.5330999999999999</v>
      </c>
      <c r="BL706"/>
      <c r="BM706">
        <v>63.283000000000001</v>
      </c>
      <c r="BN706"/>
      <c r="BO706">
        <v>19.920999999999999</v>
      </c>
      <c r="BP706"/>
      <c r="BQ706">
        <v>10.885999999999999</v>
      </c>
      <c r="BR706"/>
      <c r="BS706">
        <v>48.634</v>
      </c>
      <c r="BT706"/>
      <c r="BU706">
        <v>18.744</v>
      </c>
      <c r="BV706"/>
      <c r="BW706" t="s">
        <v>8361</v>
      </c>
      <c r="BX706" s="324"/>
      <c r="BY706">
        <v>6.5600000000000023</v>
      </c>
      <c r="BZ706"/>
      <c r="CA706"/>
      <c r="CC706">
        <v>5.5</v>
      </c>
      <c r="CD706"/>
      <c r="CE706"/>
      <c r="CF706"/>
      <c r="CG706"/>
      <c r="CH706"/>
      <c r="CI706"/>
      <c r="CJ706"/>
      <c r="CK706"/>
      <c r="CL706"/>
      <c r="CM706"/>
    </row>
    <row r="707" spans="1:91">
      <c r="A707" s="327" t="s">
        <v>7802</v>
      </c>
      <c r="B707" s="328" t="s">
        <v>8287</v>
      </c>
      <c r="C707" s="328">
        <v>1</v>
      </c>
      <c r="D707" s="328">
        <v>837</v>
      </c>
      <c r="E707" s="113">
        <v>37</v>
      </c>
      <c r="F707" s="113">
        <v>8</v>
      </c>
      <c r="G707" s="329"/>
      <c r="H707" s="329"/>
      <c r="I707" s="328">
        <v>30.499999999999996</v>
      </c>
      <c r="J707" s="330"/>
      <c r="K707" s="331">
        <v>7</v>
      </c>
      <c r="L707" s="331"/>
      <c r="M707" s="328">
        <v>2.69</v>
      </c>
      <c r="N707" s="331"/>
      <c r="O707" s="328"/>
      <c r="P707" s="328"/>
      <c r="Q707" s="328"/>
      <c r="R707" s="332"/>
      <c r="S707" s="331" t="s">
        <v>8361</v>
      </c>
      <c r="T707" s="331"/>
      <c r="U707" s="328">
        <v>10.8</v>
      </c>
      <c r="V707" s="328"/>
      <c r="W707" s="328"/>
      <c r="X707" s="328"/>
      <c r="Y707" s="333">
        <v>0</v>
      </c>
      <c r="Z707" s="331"/>
      <c r="AA707" s="334">
        <v>52053.388090349079</v>
      </c>
      <c r="AB707" s="331"/>
      <c r="AC707" s="333" t="s">
        <v>8361</v>
      </c>
      <c r="AD707" s="331"/>
      <c r="AE707" s="331">
        <v>25.35</v>
      </c>
      <c r="AF707" s="331"/>
      <c r="AG707" s="328">
        <v>4.87</v>
      </c>
      <c r="AH707" s="328"/>
      <c r="AI707" s="328">
        <v>108</v>
      </c>
      <c r="AJ707" s="328"/>
      <c r="AK707" s="328"/>
      <c r="AL707" s="328"/>
      <c r="AM707" s="328"/>
      <c r="AN707" s="328"/>
      <c r="AO707" s="328">
        <v>77</v>
      </c>
      <c r="AP707" s="328"/>
      <c r="AQ707" s="335"/>
      <c r="AR707" s="335"/>
      <c r="AS707" s="328">
        <v>114</v>
      </c>
      <c r="AT707" s="328"/>
      <c r="AU707" s="328"/>
      <c r="AV707" s="328"/>
      <c r="AW707" s="328"/>
      <c r="AX707" s="328"/>
      <c r="AY707" s="328"/>
      <c r="AZ707" s="328"/>
      <c r="BA707" s="328"/>
      <c r="BB707" s="328"/>
      <c r="BC707" s="328"/>
      <c r="BD707" s="328"/>
      <c r="BE707" s="328"/>
      <c r="BF707" s="328"/>
      <c r="BG707" s="328">
        <v>3.6916000000000002</v>
      </c>
      <c r="BH707" s="328"/>
      <c r="BI707" s="328">
        <v>4.6881000000000004</v>
      </c>
      <c r="BJ707" s="328"/>
      <c r="BK707" s="328">
        <v>1.4121999999999999</v>
      </c>
      <c r="BL707" s="328"/>
      <c r="BM707" s="328">
        <v>64.873999999999995</v>
      </c>
      <c r="BN707" s="328"/>
      <c r="BO707" s="328">
        <v>21.420999999999999</v>
      </c>
      <c r="BP707" s="328"/>
      <c r="BQ707" s="328">
        <v>9.7291000000000007</v>
      </c>
      <c r="BR707" s="328"/>
      <c r="BS707" s="328">
        <v>53.481999999999999</v>
      </c>
      <c r="BT707" s="328"/>
      <c r="BU707" s="328">
        <v>16.254000000000001</v>
      </c>
      <c r="BV707" s="328"/>
      <c r="BW707" s="336">
        <v>9.57</v>
      </c>
      <c r="BX707" s="328"/>
      <c r="BY707" s="328">
        <v>6.5319999999999965</v>
      </c>
      <c r="BZ707" s="328"/>
      <c r="CA707" s="328"/>
      <c r="CB707" s="337"/>
      <c r="CC707" s="328">
        <v>7.38</v>
      </c>
      <c r="CD707" s="328"/>
      <c r="CE707" s="328"/>
      <c r="CF707" s="328"/>
      <c r="CG707" s="328"/>
      <c r="CH707" s="328"/>
      <c r="CI707" s="328"/>
      <c r="CJ707" s="328"/>
      <c r="CK707" s="328" t="s">
        <v>8377</v>
      </c>
      <c r="CL707" s="328"/>
      <c r="CM707" s="328"/>
    </row>
    <row r="708" spans="1:91">
      <c r="A708" s="154" t="s">
        <v>7802</v>
      </c>
      <c r="B708" t="s">
        <v>8289</v>
      </c>
      <c r="C708">
        <v>1</v>
      </c>
      <c r="D708">
        <v>1114</v>
      </c>
      <c r="E708" s="113">
        <v>14</v>
      </c>
      <c r="F708" s="113">
        <v>11</v>
      </c>
      <c r="I708">
        <v>22.5</v>
      </c>
      <c r="K708" s="320">
        <v>9</v>
      </c>
      <c r="L708" s="320"/>
      <c r="M708">
        <v>3.25</v>
      </c>
      <c r="N708" s="320"/>
      <c r="O708"/>
      <c r="P708"/>
      <c r="Q708"/>
      <c r="S708" s="320">
        <v>14.179620494508001</v>
      </c>
      <c r="T708" s="320"/>
      <c r="U708">
        <v>10.8</v>
      </c>
      <c r="V708"/>
      <c r="W708"/>
      <c r="X708"/>
      <c r="Y708" s="321">
        <v>6.1572749999999994</v>
      </c>
      <c r="Z708" s="320"/>
      <c r="AA708" s="322">
        <v>80887.72845953003</v>
      </c>
      <c r="AB708" s="320"/>
      <c r="AC708" s="321">
        <v>28.9421356</v>
      </c>
      <c r="AD708" s="320"/>
      <c r="AE708" s="320">
        <v>30.98</v>
      </c>
      <c r="AF708" s="320"/>
      <c r="AG708">
        <v>3.83</v>
      </c>
      <c r="AH708"/>
      <c r="AI708">
        <v>125</v>
      </c>
      <c r="AJ708"/>
      <c r="AK708"/>
      <c r="AL708"/>
      <c r="AM708"/>
      <c r="AN708"/>
      <c r="AO708">
        <v>79</v>
      </c>
      <c r="AP708"/>
      <c r="AQ708" s="323"/>
      <c r="AR708" s="323"/>
      <c r="AS708">
        <v>112</v>
      </c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>
        <v>-3.5796999999999999</v>
      </c>
      <c r="BH708"/>
      <c r="BI708">
        <v>5.0267999999999997</v>
      </c>
      <c r="BJ708"/>
      <c r="BK708">
        <v>1.5448999999999999</v>
      </c>
      <c r="BL708"/>
      <c r="BM708">
        <v>58.991</v>
      </c>
      <c r="BN708"/>
      <c r="BO708">
        <v>20.491</v>
      </c>
      <c r="BP708"/>
      <c r="BQ708">
        <v>10.206</v>
      </c>
      <c r="BR708"/>
      <c r="BS708">
        <v>48.993000000000002</v>
      </c>
      <c r="BT708"/>
      <c r="BU708">
        <v>18.411000000000001</v>
      </c>
      <c r="BV708"/>
      <c r="BW708" s="325">
        <v>8.5399999999999991</v>
      </c>
      <c r="BX708"/>
      <c r="BY708">
        <v>6.5900000000000034</v>
      </c>
      <c r="BZ708"/>
      <c r="CA708"/>
      <c r="CC708">
        <v>6.32</v>
      </c>
      <c r="CD708"/>
      <c r="CE708"/>
      <c r="CF708"/>
      <c r="CG708"/>
      <c r="CH708"/>
      <c r="CI708"/>
      <c r="CJ708"/>
      <c r="CK708"/>
      <c r="CL708"/>
      <c r="CM708"/>
    </row>
    <row r="709" spans="1:91">
      <c r="A709" s="154" t="s">
        <v>7802</v>
      </c>
      <c r="B709" t="s">
        <v>8287</v>
      </c>
      <c r="C709">
        <v>2</v>
      </c>
      <c r="D709">
        <v>1650</v>
      </c>
      <c r="E709" s="113">
        <v>50</v>
      </c>
      <c r="F709" s="113">
        <v>16</v>
      </c>
      <c r="I709">
        <v>32.5</v>
      </c>
      <c r="K709" s="320">
        <v>8</v>
      </c>
      <c r="L709" s="320"/>
      <c r="M709">
        <v>2.88</v>
      </c>
      <c r="N709" s="320"/>
      <c r="O709"/>
      <c r="P709"/>
      <c r="Q709"/>
      <c r="S709" s="320">
        <v>13.8154320704</v>
      </c>
      <c r="T709" s="320"/>
      <c r="U709">
        <v>10.8</v>
      </c>
      <c r="V709"/>
      <c r="W709"/>
      <c r="X709"/>
      <c r="Y709" s="321">
        <v>4.6334057</v>
      </c>
      <c r="Z709" s="320"/>
      <c r="AA709" s="322">
        <v>67965.686274509804</v>
      </c>
      <c r="AB709" s="320"/>
      <c r="AC709" s="321">
        <v>26.007967000000001</v>
      </c>
      <c r="AD709" s="320"/>
      <c r="AE709" s="320">
        <v>27.73</v>
      </c>
      <c r="AF709" s="320"/>
      <c r="AG709">
        <v>4.08</v>
      </c>
      <c r="AH709"/>
      <c r="AI709">
        <v>120</v>
      </c>
      <c r="AJ709"/>
      <c r="AK709"/>
      <c r="AL709"/>
      <c r="AM709"/>
      <c r="AN709"/>
      <c r="AO709">
        <v>79</v>
      </c>
      <c r="AP709"/>
      <c r="AQ709" s="323"/>
      <c r="AR709" s="323"/>
      <c r="AS709">
        <v>112</v>
      </c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>
        <v>-2.0283000000000002</v>
      </c>
      <c r="BH709"/>
      <c r="BI709">
        <v>4.5025000000000004</v>
      </c>
      <c r="BJ709"/>
      <c r="BK709">
        <v>1.4307000000000001</v>
      </c>
      <c r="BL709"/>
      <c r="BM709">
        <v>64.956999999999994</v>
      </c>
      <c r="BN709"/>
      <c r="BO709">
        <v>20.137</v>
      </c>
      <c r="BP709"/>
      <c r="BQ709">
        <v>10.471</v>
      </c>
      <c r="BR709"/>
      <c r="BS709">
        <v>53.12</v>
      </c>
      <c r="BT709"/>
      <c r="BU709">
        <v>15.818</v>
      </c>
      <c r="BV709"/>
      <c r="BW709" s="325">
        <v>6.19</v>
      </c>
      <c r="BX709"/>
      <c r="BY709">
        <v>6.3299999999999983</v>
      </c>
      <c r="BZ709"/>
      <c r="CA709"/>
      <c r="CC709">
        <v>5.38</v>
      </c>
      <c r="CD709"/>
      <c r="CE709"/>
      <c r="CF709"/>
      <c r="CG709"/>
      <c r="CH709"/>
      <c r="CI709"/>
      <c r="CJ709"/>
      <c r="CK709"/>
      <c r="CL709"/>
      <c r="CM709"/>
    </row>
    <row r="710" spans="1:91">
      <c r="A710" s="154" t="s">
        <v>7733</v>
      </c>
      <c r="B710" t="s">
        <v>8287</v>
      </c>
      <c r="C710">
        <v>1</v>
      </c>
      <c r="D710">
        <v>235</v>
      </c>
      <c r="E710" s="113">
        <v>35</v>
      </c>
      <c r="F710" s="113">
        <v>2</v>
      </c>
      <c r="I710">
        <v>38.999999999999993</v>
      </c>
      <c r="K710" s="320">
        <v>7</v>
      </c>
      <c r="L710" s="320"/>
      <c r="M710">
        <v>2.0699999999999998</v>
      </c>
      <c r="N710" s="320"/>
      <c r="O710"/>
      <c r="P710"/>
      <c r="Q710"/>
      <c r="S710" s="320">
        <v>8.8486957452079977</v>
      </c>
      <c r="T710" s="320"/>
      <c r="U710">
        <v>10.8</v>
      </c>
      <c r="V710"/>
      <c r="W710"/>
      <c r="X710"/>
      <c r="Y710" s="321">
        <v>3.5283377999999992</v>
      </c>
      <c r="Z710" s="320"/>
      <c r="AA710" s="322">
        <v>46303.317535545022</v>
      </c>
      <c r="AB710" s="320"/>
      <c r="AC710" s="321">
        <v>18.412151199999997</v>
      </c>
      <c r="AD710" s="320"/>
      <c r="AE710" s="320">
        <v>19.54</v>
      </c>
      <c r="AF710" s="320"/>
      <c r="AG710">
        <v>4.22</v>
      </c>
      <c r="AH710"/>
      <c r="AI710">
        <v>120</v>
      </c>
      <c r="AJ710"/>
      <c r="AK710"/>
      <c r="AL710"/>
      <c r="AM710"/>
      <c r="AN710"/>
      <c r="AO710">
        <v>90</v>
      </c>
      <c r="AP710"/>
      <c r="AQ710" s="323"/>
      <c r="AR710" s="323"/>
      <c r="AS710">
        <v>112</v>
      </c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>
        <v>43.587000000000003</v>
      </c>
      <c r="BH710"/>
      <c r="BI710">
        <v>4.0084</v>
      </c>
      <c r="BJ710"/>
      <c r="BK710">
        <v>0.94515000000000005</v>
      </c>
      <c r="BL710"/>
      <c r="BM710">
        <v>23.504999999999999</v>
      </c>
      <c r="BN710"/>
      <c r="BO710">
        <v>16.606999999999999</v>
      </c>
      <c r="BP710"/>
      <c r="BQ710">
        <v>9.2448999999999995</v>
      </c>
      <c r="BR710"/>
      <c r="BS710">
        <v>48.058999999999997</v>
      </c>
      <c r="BT710"/>
      <c r="BU710">
        <v>20.271000000000001</v>
      </c>
      <c r="BV710"/>
      <c r="BW710">
        <v>39.363999999999997</v>
      </c>
      <c r="BX710" s="324"/>
      <c r="BY710">
        <v>6.5529999999999973</v>
      </c>
      <c r="BZ710"/>
      <c r="CA710"/>
      <c r="CC710">
        <v>7.22</v>
      </c>
      <c r="CD710"/>
      <c r="CE710"/>
      <c r="CF710"/>
      <c r="CG710"/>
      <c r="CH710"/>
      <c r="CI710"/>
      <c r="CJ710"/>
      <c r="CK710"/>
      <c r="CL710"/>
      <c r="CM710"/>
    </row>
    <row r="711" spans="1:91">
      <c r="A711" s="327" t="s">
        <v>7733</v>
      </c>
      <c r="B711" s="328" t="s">
        <v>8289</v>
      </c>
      <c r="C711" s="328">
        <v>2</v>
      </c>
      <c r="D711" s="328">
        <v>372</v>
      </c>
      <c r="E711" s="113">
        <v>72</v>
      </c>
      <c r="F711" s="113">
        <v>3</v>
      </c>
      <c r="G711" s="329"/>
      <c r="H711" s="329"/>
      <c r="I711" s="328">
        <v>33.5</v>
      </c>
      <c r="J711" s="330"/>
      <c r="K711" s="331">
        <v>6</v>
      </c>
      <c r="L711" s="331"/>
      <c r="M711" s="328">
        <v>0.77</v>
      </c>
      <c r="N711" s="331"/>
      <c r="O711" s="328"/>
      <c r="P711" s="328"/>
      <c r="Q711" s="328"/>
      <c r="R711" s="332"/>
      <c r="S711" s="331">
        <v>0</v>
      </c>
      <c r="T711" s="331"/>
      <c r="U711" s="328">
        <v>10.8</v>
      </c>
      <c r="V711" s="328"/>
      <c r="W711" s="328"/>
      <c r="X711" s="328"/>
      <c r="Y711" s="333">
        <v>1.496993</v>
      </c>
      <c r="Z711" s="331"/>
      <c r="AA711" s="334">
        <v>20734.463276836159</v>
      </c>
      <c r="AB711" s="331"/>
      <c r="AC711" s="333">
        <v>6.7871512000000003</v>
      </c>
      <c r="AD711" s="331"/>
      <c r="AE711" s="331">
        <v>7.34</v>
      </c>
      <c r="AF711" s="331"/>
      <c r="AG711" s="328">
        <v>3.54</v>
      </c>
      <c r="AH711" s="328"/>
      <c r="AI711" s="328"/>
      <c r="AJ711" s="328"/>
      <c r="AK711" s="328"/>
      <c r="AL711" s="328"/>
      <c r="AM711" s="328"/>
      <c r="AN711" s="328"/>
      <c r="AO711" s="328">
        <v>71</v>
      </c>
      <c r="AP711" s="328"/>
      <c r="AQ711" s="335"/>
      <c r="AR711" s="335"/>
      <c r="AS711" s="328">
        <v>112</v>
      </c>
      <c r="AT711" s="328"/>
      <c r="AU711" s="328"/>
      <c r="AV711" s="328"/>
      <c r="AW711" s="328"/>
      <c r="AX711" s="328"/>
      <c r="AY711" s="328"/>
      <c r="AZ711" s="328"/>
      <c r="BA711" s="328"/>
      <c r="BB711" s="328"/>
      <c r="BC711" s="328"/>
      <c r="BD711" s="328"/>
      <c r="BE711" s="328"/>
      <c r="BF711" s="328"/>
      <c r="BG711" s="328"/>
      <c r="BH711" s="328"/>
      <c r="BI711" s="328"/>
      <c r="BJ711" s="328"/>
      <c r="BK711" s="328"/>
      <c r="BL711" s="328"/>
      <c r="BM711" s="328"/>
      <c r="BN711" s="328"/>
      <c r="BO711" s="328"/>
      <c r="BP711" s="328"/>
      <c r="BQ711" s="328"/>
      <c r="BR711" s="328"/>
      <c r="BS711" s="328"/>
      <c r="BT711" s="328"/>
      <c r="BU711" s="328"/>
      <c r="BV711" s="328"/>
      <c r="BW711" s="328" t="s">
        <v>8361</v>
      </c>
      <c r="BX711" s="339"/>
      <c r="BY711" s="328" t="s">
        <v>8237</v>
      </c>
      <c r="BZ711" s="328"/>
      <c r="CA711" s="328"/>
      <c r="CB711" s="337"/>
      <c r="CC711" s="328">
        <v>6.3</v>
      </c>
      <c r="CD711" s="328"/>
      <c r="CE711" s="328"/>
      <c r="CF711" s="328"/>
      <c r="CG711" s="328"/>
      <c r="CH711" s="328"/>
      <c r="CI711" s="328"/>
      <c r="CJ711" s="328"/>
      <c r="CK711" s="328" t="s">
        <v>8377</v>
      </c>
      <c r="CL711" s="328"/>
      <c r="CM711" s="328"/>
    </row>
    <row r="712" spans="1:91">
      <c r="A712" s="154" t="s">
        <v>7733</v>
      </c>
      <c r="B712" t="s">
        <v>8287</v>
      </c>
      <c r="C712">
        <v>2</v>
      </c>
      <c r="D712">
        <v>1158</v>
      </c>
      <c r="E712" s="113">
        <v>58</v>
      </c>
      <c r="F712" s="113">
        <v>11</v>
      </c>
      <c r="I712">
        <v>33.5</v>
      </c>
      <c r="K712" s="320">
        <v>9</v>
      </c>
      <c r="L712" s="320"/>
      <c r="M712">
        <v>1.55</v>
      </c>
      <c r="N712" s="320"/>
      <c r="O712"/>
      <c r="P712"/>
      <c r="Q712"/>
      <c r="S712" s="320">
        <v>6.3884352816629999</v>
      </c>
      <c r="T712" s="320"/>
      <c r="U712">
        <v>10.8</v>
      </c>
      <c r="V712"/>
      <c r="W712"/>
      <c r="X712"/>
      <c r="Y712" s="321">
        <v>2.6976355000000001</v>
      </c>
      <c r="Z712" s="320"/>
      <c r="AA712" s="322">
        <v>42852.941176470587</v>
      </c>
      <c r="AB712" s="320"/>
      <c r="AC712" s="321">
        <v>13.705853300000001</v>
      </c>
      <c r="AD712" s="320"/>
      <c r="AE712" s="320">
        <v>14.57</v>
      </c>
      <c r="AF712" s="320"/>
      <c r="AG712">
        <v>3.4</v>
      </c>
      <c r="AH712"/>
      <c r="AI712">
        <v>113</v>
      </c>
      <c r="AJ712"/>
      <c r="AK712"/>
      <c r="AL712"/>
      <c r="AM712"/>
      <c r="AN712"/>
      <c r="AO712">
        <v>72</v>
      </c>
      <c r="AP712"/>
      <c r="AQ712" s="323"/>
      <c r="AR712" s="323"/>
      <c r="AS712">
        <v>112</v>
      </c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>
        <v>50.814</v>
      </c>
      <c r="BH712"/>
      <c r="BI712">
        <v>4.3940999999999999</v>
      </c>
      <c r="BJ712"/>
      <c r="BK712">
        <v>0.69799</v>
      </c>
      <c r="BL712"/>
      <c r="BM712">
        <v>12.288</v>
      </c>
      <c r="BN712"/>
      <c r="BO712">
        <v>15.978999999999999</v>
      </c>
      <c r="BP712"/>
      <c r="BQ712">
        <v>10.042</v>
      </c>
      <c r="BR712"/>
      <c r="BS712">
        <v>46.610999999999997</v>
      </c>
      <c r="BT712"/>
      <c r="BU712">
        <v>20.28</v>
      </c>
      <c r="BV712"/>
      <c r="BW712">
        <v>41.594999999999999</v>
      </c>
      <c r="BX712" s="324"/>
      <c r="BY712">
        <v>7.0490000000000066</v>
      </c>
      <c r="BZ712"/>
      <c r="CA712"/>
      <c r="CC712">
        <v>7.64</v>
      </c>
      <c r="CD712"/>
      <c r="CE712"/>
      <c r="CF712"/>
      <c r="CG712"/>
      <c r="CH712"/>
      <c r="CI712"/>
      <c r="CJ712"/>
      <c r="CK712"/>
      <c r="CL712"/>
      <c r="CM712"/>
    </row>
    <row r="713" spans="1:91">
      <c r="A713" s="154" t="s">
        <v>7733</v>
      </c>
      <c r="B713" t="s">
        <v>8289</v>
      </c>
      <c r="C713">
        <v>1</v>
      </c>
      <c r="D713">
        <v>1608</v>
      </c>
      <c r="E713" s="113">
        <v>8</v>
      </c>
      <c r="F713" s="113">
        <v>16</v>
      </c>
      <c r="I713">
        <v>28.5</v>
      </c>
      <c r="K713" s="320">
        <v>8</v>
      </c>
      <c r="L713" s="320"/>
      <c r="M713">
        <v>1.51</v>
      </c>
      <c r="N713" s="320"/>
      <c r="O713"/>
      <c r="P713"/>
      <c r="Q713"/>
      <c r="S713" s="320">
        <v>6.4270895729040003</v>
      </c>
      <c r="T713" s="320"/>
      <c r="U713">
        <v>10.8</v>
      </c>
      <c r="V713"/>
      <c r="W713"/>
      <c r="X713"/>
      <c r="Y713" s="321">
        <v>2.6601705</v>
      </c>
      <c r="Z713" s="320"/>
      <c r="AA713" s="322">
        <v>38174.603174603173</v>
      </c>
      <c r="AB713" s="320"/>
      <c r="AC713" s="321">
        <v>13.5301452</v>
      </c>
      <c r="AD713" s="320"/>
      <c r="AE713" s="320">
        <v>14.43</v>
      </c>
      <c r="AF713" s="320"/>
      <c r="AG713">
        <v>3.78</v>
      </c>
      <c r="AH713"/>
      <c r="AI713">
        <v>100</v>
      </c>
      <c r="AJ713"/>
      <c r="AK713"/>
      <c r="AL713"/>
      <c r="AM713"/>
      <c r="AN713"/>
      <c r="AO713">
        <v>72</v>
      </c>
      <c r="AP713"/>
      <c r="AQ713" s="323"/>
      <c r="AR713" s="323"/>
      <c r="AS713">
        <v>112</v>
      </c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>
        <v>43.85</v>
      </c>
      <c r="BH713"/>
      <c r="BI713">
        <v>4.2253999999999996</v>
      </c>
      <c r="BJ713"/>
      <c r="BK713">
        <v>0.83411000000000002</v>
      </c>
      <c r="BL713"/>
      <c r="BM713">
        <v>18.821999999999999</v>
      </c>
      <c r="BN713"/>
      <c r="BO713">
        <v>16.207999999999998</v>
      </c>
      <c r="BP713"/>
      <c r="BQ713">
        <v>9.8743999999999996</v>
      </c>
      <c r="BR713"/>
      <c r="BS713">
        <v>47.502000000000002</v>
      </c>
      <c r="BT713"/>
      <c r="BU713">
        <v>20.991</v>
      </c>
      <c r="BV713"/>
      <c r="BW713">
        <v>38.938000000000002</v>
      </c>
      <c r="BX713" s="324"/>
      <c r="BY713">
        <v>6.4719999999999942</v>
      </c>
      <c r="BZ713"/>
      <c r="CA713"/>
      <c r="CC713">
        <v>6.07</v>
      </c>
      <c r="CD713"/>
      <c r="CE713"/>
      <c r="CF713"/>
      <c r="CG713"/>
      <c r="CH713"/>
      <c r="CI713"/>
      <c r="CJ713"/>
      <c r="CK713"/>
      <c r="CL713"/>
      <c r="CM713"/>
    </row>
    <row r="714" spans="1:91">
      <c r="A714" s="154" t="s">
        <v>7734</v>
      </c>
      <c r="B714" t="s">
        <v>8289</v>
      </c>
      <c r="C714">
        <v>2</v>
      </c>
      <c r="D714">
        <v>543</v>
      </c>
      <c r="E714" s="113">
        <v>43</v>
      </c>
      <c r="F714" s="113">
        <v>5</v>
      </c>
      <c r="I714">
        <v>32.5</v>
      </c>
      <c r="K714" s="320">
        <v>8</v>
      </c>
      <c r="L714" s="320"/>
      <c r="M714">
        <v>3.4</v>
      </c>
      <c r="N714" s="320"/>
      <c r="O714"/>
      <c r="P714"/>
      <c r="Q714"/>
      <c r="S714" s="320">
        <v>14.753468358479999</v>
      </c>
      <c r="T714" s="320"/>
      <c r="U714">
        <v>10.8</v>
      </c>
      <c r="V714"/>
      <c r="W714"/>
      <c r="X714"/>
      <c r="Y714" s="321">
        <v>6.2430839999999996</v>
      </c>
      <c r="Z714" s="320"/>
      <c r="AA714" s="322">
        <v>79756.097560975628</v>
      </c>
      <c r="AB714" s="320"/>
      <c r="AC714" s="321">
        <v>30.548013000000001</v>
      </c>
      <c r="AD714" s="320"/>
      <c r="AE714" s="320">
        <v>32.700000000000003</v>
      </c>
      <c r="AF714" s="320"/>
      <c r="AG714">
        <v>4.0999999999999996</v>
      </c>
      <c r="AH714"/>
      <c r="AI714">
        <v>123</v>
      </c>
      <c r="AJ714"/>
      <c r="AK714"/>
      <c r="AL714"/>
      <c r="AM714"/>
      <c r="AN714"/>
      <c r="AO714">
        <v>77</v>
      </c>
      <c r="AP714"/>
      <c r="AQ714" s="323"/>
      <c r="AR714" s="323"/>
      <c r="AS714">
        <v>114</v>
      </c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>
        <v>0.19197</v>
      </c>
      <c r="BH714"/>
      <c r="BI714">
        <v>4.7624000000000004</v>
      </c>
      <c r="BJ714"/>
      <c r="BK714">
        <v>1.3833</v>
      </c>
      <c r="BL714"/>
      <c r="BM714">
        <v>53.75</v>
      </c>
      <c r="BN714"/>
      <c r="BO714">
        <v>23.143000000000001</v>
      </c>
      <c r="BP714"/>
      <c r="BQ714">
        <v>11.053000000000001</v>
      </c>
      <c r="BR714"/>
      <c r="BS714">
        <v>48.295999999999999</v>
      </c>
      <c r="BT714"/>
      <c r="BU714">
        <v>18.645</v>
      </c>
      <c r="BV714"/>
      <c r="BW714" s="325">
        <v>14.94</v>
      </c>
      <c r="BX714"/>
      <c r="BY714">
        <v>6.3460000000000036</v>
      </c>
      <c r="BZ714"/>
      <c r="CA714"/>
      <c r="CC714">
        <v>5.47</v>
      </c>
      <c r="CD714"/>
      <c r="CE714"/>
      <c r="CF714"/>
      <c r="CG714"/>
      <c r="CH714"/>
      <c r="CI714"/>
      <c r="CJ714"/>
      <c r="CK714"/>
      <c r="CL714"/>
      <c r="CM714"/>
    </row>
    <row r="715" spans="1:91">
      <c r="A715" s="327" t="s">
        <v>7734</v>
      </c>
      <c r="B715" s="328" t="s">
        <v>8287</v>
      </c>
      <c r="C715" s="328">
        <v>1</v>
      </c>
      <c r="D715" s="328">
        <v>917</v>
      </c>
      <c r="E715" s="113">
        <v>17</v>
      </c>
      <c r="F715" s="113">
        <v>9</v>
      </c>
      <c r="G715" s="329"/>
      <c r="H715" s="329"/>
      <c r="I715" s="328">
        <v>18.5</v>
      </c>
      <c r="J715" s="330"/>
      <c r="K715" s="331">
        <v>7</v>
      </c>
      <c r="L715" s="331"/>
      <c r="M715" s="328">
        <v>0.98</v>
      </c>
      <c r="N715" s="331"/>
      <c r="O715" s="328"/>
      <c r="P715" s="328"/>
      <c r="Q715" s="328"/>
      <c r="R715" s="332"/>
      <c r="S715" s="331">
        <v>3.9425224164479999</v>
      </c>
      <c r="T715" s="331"/>
      <c r="U715" s="328">
        <v>10.8</v>
      </c>
      <c r="V715" s="328"/>
      <c r="W715" s="328"/>
      <c r="X715" s="328"/>
      <c r="Y715" s="333">
        <v>1.6930452</v>
      </c>
      <c r="Z715" s="331"/>
      <c r="AA715" s="334">
        <v>20218.818380743982</v>
      </c>
      <c r="AB715" s="331"/>
      <c r="AC715" s="333">
        <v>8.6489171999999996</v>
      </c>
      <c r="AD715" s="331"/>
      <c r="AE715" s="331">
        <v>9.24</v>
      </c>
      <c r="AF715" s="331"/>
      <c r="AG715" s="328">
        <v>4.57</v>
      </c>
      <c r="AH715" s="328"/>
      <c r="AI715" s="328"/>
      <c r="AJ715" s="328"/>
      <c r="AK715" s="328"/>
      <c r="AL715" s="328"/>
      <c r="AM715" s="328"/>
      <c r="AN715" s="328"/>
      <c r="AO715" s="328">
        <v>81</v>
      </c>
      <c r="AP715" s="328"/>
      <c r="AQ715" s="335"/>
      <c r="AR715" s="335"/>
      <c r="AS715" s="328">
        <v>116</v>
      </c>
      <c r="AT715" s="328"/>
      <c r="AU715" s="328"/>
      <c r="AV715" s="328"/>
      <c r="AW715" s="328"/>
      <c r="AX715" s="328"/>
      <c r="AY715" s="328"/>
      <c r="AZ715" s="328"/>
      <c r="BA715" s="328"/>
      <c r="BB715" s="328"/>
      <c r="BC715" s="328"/>
      <c r="BD715" s="328"/>
      <c r="BE715" s="328"/>
      <c r="BF715" s="328"/>
      <c r="BG715" s="328">
        <v>6.9473999999999994E-2</v>
      </c>
      <c r="BH715" s="328"/>
      <c r="BI715" s="328">
        <v>5.3524000000000003</v>
      </c>
      <c r="BJ715" s="328"/>
      <c r="BK715" s="328">
        <v>1.4658</v>
      </c>
      <c r="BL715" s="328"/>
      <c r="BM715" s="328">
        <v>55.451000000000001</v>
      </c>
      <c r="BN715" s="328"/>
      <c r="BO715" s="328">
        <v>21.623000000000001</v>
      </c>
      <c r="BP715" s="328"/>
      <c r="BQ715" s="328">
        <v>10.000999999999999</v>
      </c>
      <c r="BR715" s="328"/>
      <c r="BS715" s="328">
        <v>45.584000000000003</v>
      </c>
      <c r="BT715" s="328"/>
      <c r="BU715" s="328">
        <v>19.814</v>
      </c>
      <c r="BV715" s="328"/>
      <c r="BW715" s="336">
        <v>6.76</v>
      </c>
      <c r="BX715" s="328"/>
      <c r="BY715" s="328">
        <v>6.6110000000000042</v>
      </c>
      <c r="BZ715" s="328"/>
      <c r="CA715" s="328"/>
      <c r="CB715" s="337"/>
      <c r="CC715" s="328">
        <v>7.31</v>
      </c>
      <c r="CD715" s="328"/>
      <c r="CE715" s="328"/>
      <c r="CF715" s="328"/>
      <c r="CG715" s="328"/>
      <c r="CH715" s="328"/>
      <c r="CI715" s="328"/>
      <c r="CJ715" s="328"/>
      <c r="CK715" s="328" t="s">
        <v>8377</v>
      </c>
      <c r="CL715" s="328"/>
      <c r="CM715" s="328"/>
    </row>
    <row r="716" spans="1:91">
      <c r="A716" s="154" t="s">
        <v>7734</v>
      </c>
      <c r="B716" t="s">
        <v>8289</v>
      </c>
      <c r="C716">
        <v>1</v>
      </c>
      <c r="D716">
        <v>1335</v>
      </c>
      <c r="E716" s="113">
        <v>35</v>
      </c>
      <c r="F716" s="113">
        <v>13</v>
      </c>
      <c r="I716">
        <v>36</v>
      </c>
      <c r="K716" s="320">
        <v>9</v>
      </c>
      <c r="L716" s="320"/>
      <c r="M716">
        <v>2.41</v>
      </c>
      <c r="N716" s="320"/>
      <c r="O716"/>
      <c r="P716"/>
      <c r="Q716"/>
      <c r="S716" s="320">
        <v>9.8416105943819989</v>
      </c>
      <c r="T716" s="320"/>
      <c r="U716">
        <v>10.8</v>
      </c>
      <c r="V716"/>
      <c r="W716"/>
      <c r="X716"/>
      <c r="Y716" s="321">
        <v>4.9161175999999998</v>
      </c>
      <c r="Z716" s="320"/>
      <c r="AA716" s="322">
        <v>55753.086419753083</v>
      </c>
      <c r="AB716" s="320"/>
      <c r="AC716" s="321">
        <v>21.107106599999998</v>
      </c>
      <c r="AD716" s="320"/>
      <c r="AE716" s="320">
        <v>22.58</v>
      </c>
      <c r="AF716" s="320"/>
      <c r="AG716">
        <v>4.05</v>
      </c>
      <c r="AH716"/>
      <c r="AI716">
        <v>118</v>
      </c>
      <c r="AJ716"/>
      <c r="AK716"/>
      <c r="AL716"/>
      <c r="AM716"/>
      <c r="AN716"/>
      <c r="AO716">
        <v>77</v>
      </c>
      <c r="AP716"/>
      <c r="AQ716" s="323"/>
      <c r="AR716" s="323"/>
      <c r="AS716">
        <v>112</v>
      </c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>
        <v>-4.5804</v>
      </c>
      <c r="BH716"/>
      <c r="BI716">
        <v>5.1760999999999999</v>
      </c>
      <c r="BJ716"/>
      <c r="BK716">
        <v>1.4628000000000001</v>
      </c>
      <c r="BL716"/>
      <c r="BM716">
        <v>58.656999999999996</v>
      </c>
      <c r="BN716"/>
      <c r="BO716">
        <v>23.515000000000001</v>
      </c>
      <c r="BP716"/>
      <c r="BQ716">
        <v>9.6942000000000004</v>
      </c>
      <c r="BR716"/>
      <c r="BS716">
        <v>46.627000000000002</v>
      </c>
      <c r="BT716"/>
      <c r="BU716">
        <v>18.452000000000002</v>
      </c>
      <c r="BV716"/>
      <c r="BW716" s="325">
        <v>13.72</v>
      </c>
      <c r="BX716"/>
      <c r="BY716">
        <v>6.5859999999999985</v>
      </c>
      <c r="BZ716"/>
      <c r="CA716"/>
      <c r="CC716">
        <v>7.93</v>
      </c>
      <c r="CD716"/>
      <c r="CE716"/>
      <c r="CF716"/>
      <c r="CG716"/>
      <c r="CH716"/>
      <c r="CI716"/>
      <c r="CJ716"/>
      <c r="CK716"/>
      <c r="CL716"/>
      <c r="CM716"/>
    </row>
    <row r="717" spans="1:91">
      <c r="A717" s="154" t="s">
        <v>7734</v>
      </c>
      <c r="B717" t="s">
        <v>8287</v>
      </c>
      <c r="C717">
        <v>2</v>
      </c>
      <c r="D717">
        <v>1761</v>
      </c>
      <c r="E717" s="113">
        <v>61</v>
      </c>
      <c r="F717" s="113">
        <v>17</v>
      </c>
      <c r="I717">
        <v>34</v>
      </c>
      <c r="K717" s="320">
        <v>8</v>
      </c>
      <c r="L717" s="320"/>
      <c r="M717">
        <v>3.41</v>
      </c>
      <c r="N717" s="320"/>
      <c r="O717"/>
      <c r="P717"/>
      <c r="Q717"/>
      <c r="S717" s="320">
        <v>15.283417347118</v>
      </c>
      <c r="T717" s="320"/>
      <c r="U717">
        <v>10.8</v>
      </c>
      <c r="V717"/>
      <c r="W717"/>
      <c r="X717"/>
      <c r="Y717" s="321">
        <v>5.6751935000000007</v>
      </c>
      <c r="Z717" s="320"/>
      <c r="AA717" s="322">
        <v>85779.569892473126</v>
      </c>
      <c r="AB717" s="320"/>
      <c r="AC717" s="321">
        <v>29.825957899999999</v>
      </c>
      <c r="AD717" s="320"/>
      <c r="AE717" s="320">
        <v>31.91</v>
      </c>
      <c r="AF717" s="320"/>
      <c r="AG717">
        <v>3.72</v>
      </c>
      <c r="AH717"/>
      <c r="AI717">
        <v>115</v>
      </c>
      <c r="AJ717"/>
      <c r="AK717"/>
      <c r="AL717"/>
      <c r="AM717"/>
      <c r="AN717"/>
      <c r="AO717">
        <v>80</v>
      </c>
      <c r="AP717"/>
      <c r="AQ717" s="323"/>
      <c r="AR717" s="323"/>
      <c r="AS717">
        <v>112</v>
      </c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>
        <v>-5.3551000000000002</v>
      </c>
      <c r="BH717"/>
      <c r="BI717">
        <v>5.2141000000000002</v>
      </c>
      <c r="BJ717"/>
      <c r="BK717">
        <v>1.3973</v>
      </c>
      <c r="BL717"/>
      <c r="BM717">
        <v>62.920999999999999</v>
      </c>
      <c r="BN717"/>
      <c r="BO717">
        <v>23.085000000000001</v>
      </c>
      <c r="BP717"/>
      <c r="BQ717">
        <v>10.426</v>
      </c>
      <c r="BR717"/>
      <c r="BS717">
        <v>51.241999999999997</v>
      </c>
      <c r="BT717"/>
      <c r="BU717">
        <v>16.042000000000002</v>
      </c>
      <c r="BV717"/>
      <c r="BW717" s="325">
        <v>11.68</v>
      </c>
      <c r="BX717"/>
      <c r="BY717">
        <v>6.3239999999999981</v>
      </c>
      <c r="BZ717"/>
      <c r="CA717"/>
      <c r="CC717">
        <v>8.02</v>
      </c>
      <c r="CD717"/>
      <c r="CE717"/>
      <c r="CF717"/>
      <c r="CG717"/>
      <c r="CH717"/>
      <c r="CI717"/>
      <c r="CJ717"/>
      <c r="CK717"/>
      <c r="CL717"/>
      <c r="CM717"/>
    </row>
    <row r="718" spans="1:91">
      <c r="A718" s="327" t="s">
        <v>7735</v>
      </c>
      <c r="B718" s="328" t="s">
        <v>8289</v>
      </c>
      <c r="C718" s="328">
        <v>2</v>
      </c>
      <c r="D718" s="328">
        <v>349</v>
      </c>
      <c r="E718" s="113">
        <v>49</v>
      </c>
      <c r="F718" s="113">
        <v>3</v>
      </c>
      <c r="G718" s="329"/>
      <c r="H718" s="329"/>
      <c r="I718" s="328">
        <v>29.5</v>
      </c>
      <c r="J718" s="330"/>
      <c r="K718" s="331">
        <v>8</v>
      </c>
      <c r="L718" s="331"/>
      <c r="M718" s="328">
        <v>2.19</v>
      </c>
      <c r="N718" s="331"/>
      <c r="O718" s="328"/>
      <c r="P718" s="328"/>
      <c r="Q718" s="328"/>
      <c r="R718" s="332"/>
      <c r="S718" s="331">
        <v>9.2772059660279993</v>
      </c>
      <c r="T718" s="331"/>
      <c r="U718" s="328">
        <v>10.8</v>
      </c>
      <c r="V718" s="328"/>
      <c r="W718" s="328"/>
      <c r="X718" s="328"/>
      <c r="Y718" s="333">
        <v>4.0584726</v>
      </c>
      <c r="Z718" s="331"/>
      <c r="AA718" s="334">
        <v>54843.75</v>
      </c>
      <c r="AB718" s="331"/>
      <c r="AC718" s="333">
        <v>19.832412600000001</v>
      </c>
      <c r="AD718" s="331"/>
      <c r="AE718" s="331">
        <v>21.06</v>
      </c>
      <c r="AF718" s="331"/>
      <c r="AG718" s="328">
        <v>3.84</v>
      </c>
      <c r="AH718" s="328"/>
      <c r="AI718" s="328">
        <v>120</v>
      </c>
      <c r="AJ718" s="328"/>
      <c r="AK718" s="328"/>
      <c r="AL718" s="328"/>
      <c r="AM718" s="328"/>
      <c r="AN718" s="328"/>
      <c r="AO718" s="328">
        <v>77</v>
      </c>
      <c r="AP718" s="328"/>
      <c r="AQ718" s="335"/>
      <c r="AR718" s="335"/>
      <c r="AS718" s="328">
        <v>112</v>
      </c>
      <c r="AT718" s="328"/>
      <c r="AU718" s="328"/>
      <c r="AV718" s="328"/>
      <c r="AW718" s="328"/>
      <c r="AX718" s="328"/>
      <c r="AY718" s="328"/>
      <c r="AZ718" s="328"/>
      <c r="BA718" s="328"/>
      <c r="BB718" s="328"/>
      <c r="BC718" s="328"/>
      <c r="BD718" s="328"/>
      <c r="BE718" s="328"/>
      <c r="BF718" s="328"/>
      <c r="BG718" s="328">
        <v>-1.9142999999999999</v>
      </c>
      <c r="BH718" s="328"/>
      <c r="BI718" s="328">
        <v>4.8531000000000004</v>
      </c>
      <c r="BJ718" s="328"/>
      <c r="BK718" s="328">
        <v>1.4430000000000001</v>
      </c>
      <c r="BL718" s="328"/>
      <c r="BM718" s="328">
        <v>58.276000000000003</v>
      </c>
      <c r="BN718" s="328"/>
      <c r="BO718" s="328">
        <v>20.893000000000001</v>
      </c>
      <c r="BP718" s="328"/>
      <c r="BQ718" s="328">
        <v>12.141</v>
      </c>
      <c r="BR718" s="328"/>
      <c r="BS718" s="328">
        <v>46.777999999999999</v>
      </c>
      <c r="BT718" s="328"/>
      <c r="BU718" s="328">
        <v>19.231000000000002</v>
      </c>
      <c r="BV718" s="328"/>
      <c r="BW718" s="336">
        <v>12.05</v>
      </c>
      <c r="BX718" s="328"/>
      <c r="BY718" s="328">
        <v>6.7819999999999965</v>
      </c>
      <c r="BZ718" s="328"/>
      <c r="CA718" s="328"/>
      <c r="CB718" s="337"/>
      <c r="CC718" s="328">
        <v>5.47</v>
      </c>
      <c r="CD718" s="328"/>
      <c r="CE718" s="328"/>
      <c r="CF718" s="328"/>
      <c r="CG718" s="328"/>
      <c r="CH718" s="328"/>
      <c r="CI718" s="328"/>
      <c r="CJ718" s="328"/>
      <c r="CK718" s="328" t="s">
        <v>8377</v>
      </c>
      <c r="CL718" s="328"/>
      <c r="CM718" s="328"/>
    </row>
    <row r="719" spans="1:91">
      <c r="A719" s="154" t="s">
        <v>7735</v>
      </c>
      <c r="B719" t="s">
        <v>8287</v>
      </c>
      <c r="C719">
        <v>1</v>
      </c>
      <c r="D719">
        <v>530</v>
      </c>
      <c r="E719" s="113">
        <v>30</v>
      </c>
      <c r="F719" s="113">
        <v>5</v>
      </c>
      <c r="I719">
        <v>36</v>
      </c>
      <c r="K719" s="320">
        <v>8</v>
      </c>
      <c r="L719" s="320"/>
      <c r="M719">
        <v>3</v>
      </c>
      <c r="N719" s="320"/>
      <c r="O719"/>
      <c r="P719"/>
      <c r="Q719"/>
      <c r="S719" s="320">
        <v>13.425377469504001</v>
      </c>
      <c r="T719" s="320"/>
      <c r="U719">
        <v>10.8</v>
      </c>
      <c r="V719"/>
      <c r="W719"/>
      <c r="X719"/>
      <c r="Y719" s="321">
        <v>4.8812971999999997</v>
      </c>
      <c r="Z719" s="320"/>
      <c r="AA719" s="322">
        <v>65613.207547169804</v>
      </c>
      <c r="AB719" s="320"/>
      <c r="AC719" s="321">
        <v>25.945766600000002</v>
      </c>
      <c r="AD719" s="320"/>
      <c r="AE719" s="320">
        <v>27.82</v>
      </c>
      <c r="AF719" s="320"/>
      <c r="AG719">
        <v>4.24</v>
      </c>
      <c r="AH719"/>
      <c r="AI719">
        <v>123</v>
      </c>
      <c r="AJ719"/>
      <c r="AK719"/>
      <c r="AL719"/>
      <c r="AM719"/>
      <c r="AN719"/>
      <c r="AO719">
        <v>77</v>
      </c>
      <c r="AP719"/>
      <c r="AQ719" s="323"/>
      <c r="AR719" s="323"/>
      <c r="AS719">
        <v>112</v>
      </c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>
        <v>2.2294999999999998</v>
      </c>
      <c r="BH719"/>
      <c r="BI719">
        <v>4.8745000000000003</v>
      </c>
      <c r="BJ719"/>
      <c r="BK719">
        <v>1.3789</v>
      </c>
      <c r="BL719"/>
      <c r="BM719">
        <v>61.048000000000002</v>
      </c>
      <c r="BN719"/>
      <c r="BO719">
        <v>20.87</v>
      </c>
      <c r="BP719"/>
      <c r="BQ719">
        <v>11.505000000000001</v>
      </c>
      <c r="BR719"/>
      <c r="BS719">
        <v>51.744</v>
      </c>
      <c r="BT719"/>
      <c r="BU719">
        <v>16.818999999999999</v>
      </c>
      <c r="BV719"/>
      <c r="BW719" s="325">
        <v>11.27</v>
      </c>
      <c r="BX719"/>
      <c r="BY719">
        <v>6.5759999999999934</v>
      </c>
      <c r="BZ719"/>
      <c r="CA719"/>
      <c r="CC719">
        <v>8.86</v>
      </c>
      <c r="CD719"/>
      <c r="CE719"/>
      <c r="CF719"/>
      <c r="CG719"/>
      <c r="CH719"/>
      <c r="CI719"/>
      <c r="CJ719"/>
      <c r="CK719"/>
      <c r="CL719"/>
      <c r="CM719"/>
    </row>
    <row r="720" spans="1:91">
      <c r="A720" s="154" t="s">
        <v>7735</v>
      </c>
      <c r="B720" t="s">
        <v>8289</v>
      </c>
      <c r="C720">
        <v>1</v>
      </c>
      <c r="D720">
        <v>1214</v>
      </c>
      <c r="E720" s="113">
        <v>14</v>
      </c>
      <c r="F720" s="113">
        <v>12</v>
      </c>
      <c r="I720">
        <v>26.499999999999996</v>
      </c>
      <c r="K720" s="320">
        <v>9</v>
      </c>
      <c r="L720" s="320"/>
      <c r="M720">
        <v>2.89</v>
      </c>
      <c r="N720" s="320"/>
      <c r="O720"/>
      <c r="P720"/>
      <c r="Q720"/>
      <c r="S720" s="320">
        <v>12.586854037007999</v>
      </c>
      <c r="T720" s="320"/>
      <c r="U720">
        <v>10.8</v>
      </c>
      <c r="V720"/>
      <c r="W720"/>
      <c r="X720"/>
      <c r="Y720" s="321">
        <v>4.9146684</v>
      </c>
      <c r="Z720" s="320"/>
      <c r="AA720" s="322">
        <v>76565.0969529086</v>
      </c>
      <c r="AB720" s="320"/>
      <c r="AC720" s="321">
        <v>25.896745200000002</v>
      </c>
      <c r="AD720" s="320"/>
      <c r="AE720" s="320">
        <v>27.64</v>
      </c>
      <c r="AF720" s="320"/>
      <c r="AG720">
        <v>3.61</v>
      </c>
      <c r="AH720"/>
      <c r="AI720">
        <v>125</v>
      </c>
      <c r="AJ720"/>
      <c r="AK720"/>
      <c r="AL720"/>
      <c r="AM720"/>
      <c r="AN720"/>
      <c r="AO720">
        <v>79</v>
      </c>
      <c r="AP720"/>
      <c r="AQ720" s="323"/>
      <c r="AR720" s="323"/>
      <c r="AS720">
        <v>112</v>
      </c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>
        <v>1.8903000000000001</v>
      </c>
      <c r="BH720"/>
      <c r="BI720">
        <v>4.6397000000000004</v>
      </c>
      <c r="BJ720"/>
      <c r="BK720">
        <v>1.4086000000000001</v>
      </c>
      <c r="BL720"/>
      <c r="BM720">
        <v>61.787999999999997</v>
      </c>
      <c r="BN720"/>
      <c r="BO720">
        <v>21.274999999999999</v>
      </c>
      <c r="BP720"/>
      <c r="BQ720">
        <v>12.282</v>
      </c>
      <c r="BR720"/>
      <c r="BS720">
        <v>48.603999999999999</v>
      </c>
      <c r="BT720"/>
      <c r="BU720">
        <v>18.733000000000001</v>
      </c>
      <c r="BV720"/>
      <c r="BW720" s="325">
        <v>15.51</v>
      </c>
      <c r="BX720"/>
      <c r="BY720">
        <v>6.5030000000000001</v>
      </c>
      <c r="BZ720"/>
      <c r="CA720"/>
      <c r="CC720">
        <v>5.99</v>
      </c>
      <c r="CD720"/>
      <c r="CE720"/>
      <c r="CF720"/>
      <c r="CG720"/>
      <c r="CH720"/>
      <c r="CI720"/>
      <c r="CJ720"/>
      <c r="CK720"/>
      <c r="CL720"/>
      <c r="CM720"/>
    </row>
    <row r="721" spans="1:91">
      <c r="A721" s="154" t="s">
        <v>7735</v>
      </c>
      <c r="B721" t="s">
        <v>8287</v>
      </c>
      <c r="C721">
        <v>2</v>
      </c>
      <c r="D721">
        <v>1565</v>
      </c>
      <c r="E721" s="113">
        <v>65</v>
      </c>
      <c r="F721" s="113">
        <v>15</v>
      </c>
      <c r="I721">
        <v>37.5</v>
      </c>
      <c r="K721" s="320">
        <v>8</v>
      </c>
      <c r="L721" s="320"/>
      <c r="M721">
        <v>2.71</v>
      </c>
      <c r="N721" s="320"/>
      <c r="O721"/>
      <c r="P721"/>
      <c r="Q721"/>
      <c r="S721" s="320" t="s">
        <v>8361</v>
      </c>
      <c r="T721" s="320"/>
      <c r="U721">
        <v>10.8</v>
      </c>
      <c r="V721"/>
      <c r="W721"/>
      <c r="X721"/>
      <c r="Y721" s="321">
        <v>0</v>
      </c>
      <c r="Z721" s="320"/>
      <c r="AA721" s="322">
        <v>69375</v>
      </c>
      <c r="AB721" s="320"/>
      <c r="AC721" s="321" t="s">
        <v>8361</v>
      </c>
      <c r="AD721" s="320"/>
      <c r="AE721" s="320">
        <v>25.53</v>
      </c>
      <c r="AF721" s="320"/>
      <c r="AG721">
        <v>3.68</v>
      </c>
      <c r="AH721"/>
      <c r="AI721">
        <v>123</v>
      </c>
      <c r="AJ721"/>
      <c r="AK721"/>
      <c r="AL721"/>
      <c r="AM721"/>
      <c r="AN721"/>
      <c r="AO721">
        <v>79</v>
      </c>
      <c r="AP721"/>
      <c r="AQ721" s="323"/>
      <c r="AR721" s="323"/>
      <c r="AS721">
        <v>112</v>
      </c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>
        <v>3.6920000000000002</v>
      </c>
      <c r="BH721"/>
      <c r="BI721">
        <v>4.9501999999999997</v>
      </c>
      <c r="BJ721"/>
      <c r="BK721">
        <v>1.3334999999999999</v>
      </c>
      <c r="BL721"/>
      <c r="BM721">
        <v>58.845999999999997</v>
      </c>
      <c r="BN721"/>
      <c r="BO721">
        <v>21.59</v>
      </c>
      <c r="BP721"/>
      <c r="BQ721">
        <v>12.196</v>
      </c>
      <c r="BR721"/>
      <c r="BS721">
        <v>49.744</v>
      </c>
      <c r="BT721"/>
      <c r="BU721">
        <v>17.245000000000001</v>
      </c>
      <c r="BV721"/>
      <c r="BW721" s="325">
        <v>9.1300000000000008</v>
      </c>
      <c r="BX721"/>
      <c r="BY721">
        <v>6.5420000000000016</v>
      </c>
      <c r="BZ721"/>
      <c r="CA721"/>
      <c r="CC721">
        <v>7.4</v>
      </c>
      <c r="CD721"/>
      <c r="CE721"/>
      <c r="CF721"/>
      <c r="CG721"/>
      <c r="CH721"/>
      <c r="CI721"/>
      <c r="CJ721"/>
      <c r="CK721"/>
      <c r="CL721"/>
      <c r="CM721"/>
    </row>
    <row r="722" spans="1:91">
      <c r="A722" s="154" t="s">
        <v>7736</v>
      </c>
      <c r="B722" t="s">
        <v>8287</v>
      </c>
      <c r="C722">
        <v>1</v>
      </c>
      <c r="D722">
        <v>319</v>
      </c>
      <c r="E722" s="113">
        <v>19</v>
      </c>
      <c r="F722" s="113">
        <v>3</v>
      </c>
      <c r="I722">
        <v>32.999999999999993</v>
      </c>
      <c r="K722" s="320">
        <v>8</v>
      </c>
      <c r="L722" s="320"/>
      <c r="M722">
        <v>2.65</v>
      </c>
      <c r="N722" s="320"/>
      <c r="O722"/>
      <c r="P722"/>
      <c r="Q722"/>
      <c r="S722" s="320">
        <v>12.034131119312001</v>
      </c>
      <c r="T722" s="320"/>
      <c r="U722">
        <v>10.8</v>
      </c>
      <c r="V722"/>
      <c r="W722"/>
      <c r="X722"/>
      <c r="Y722" s="321">
        <v>4.3040991999999996</v>
      </c>
      <c r="Z722" s="320"/>
      <c r="AA722" s="322">
        <v>48582.375478927206</v>
      </c>
      <c r="AB722" s="320"/>
      <c r="AC722" s="321">
        <v>23.786158399999998</v>
      </c>
      <c r="AD722" s="320"/>
      <c r="AE722" s="320">
        <v>25.36</v>
      </c>
      <c r="AF722" s="320"/>
      <c r="AG722">
        <v>5.22</v>
      </c>
      <c r="AH722"/>
      <c r="AI722">
        <v>118</v>
      </c>
      <c r="AJ722"/>
      <c r="AK722"/>
      <c r="AL722"/>
      <c r="AM722"/>
      <c r="AN722"/>
      <c r="AO722">
        <v>63</v>
      </c>
      <c r="AP722"/>
      <c r="AQ722" s="323"/>
      <c r="AR722" s="323"/>
      <c r="AS722">
        <v>108</v>
      </c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>
        <v>43.219000000000001</v>
      </c>
      <c r="BH722"/>
      <c r="BI722">
        <v>4.7534999999999998</v>
      </c>
      <c r="BJ722"/>
      <c r="BK722">
        <v>0.90971999999999997</v>
      </c>
      <c r="BL722"/>
      <c r="BM722">
        <v>20.183</v>
      </c>
      <c r="BN722"/>
      <c r="BO722">
        <v>14.936</v>
      </c>
      <c r="BP722"/>
      <c r="BQ722">
        <v>11.95</v>
      </c>
      <c r="BR722"/>
      <c r="BS722">
        <v>50.593000000000004</v>
      </c>
      <c r="BT722"/>
      <c r="BU722">
        <v>20.279</v>
      </c>
      <c r="BV722"/>
      <c r="BW722">
        <v>50.140999999999998</v>
      </c>
      <c r="BX722" s="324"/>
      <c r="BY722">
        <v>5.9489999999999981</v>
      </c>
      <c r="BZ722"/>
      <c r="CA722"/>
      <c r="CC722">
        <v>5.96</v>
      </c>
      <c r="CD722"/>
      <c r="CE722"/>
      <c r="CF722"/>
      <c r="CG722"/>
      <c r="CH722"/>
      <c r="CI722"/>
      <c r="CJ722"/>
      <c r="CK722"/>
      <c r="CL722"/>
      <c r="CM722"/>
    </row>
    <row r="723" spans="1:91">
      <c r="A723" s="154" t="s">
        <v>7736</v>
      </c>
      <c r="B723" t="s">
        <v>8289</v>
      </c>
      <c r="C723">
        <v>2</v>
      </c>
      <c r="D723">
        <v>576</v>
      </c>
      <c r="E723" s="113">
        <v>76</v>
      </c>
      <c r="F723" s="113">
        <v>5</v>
      </c>
      <c r="I723">
        <v>32.5</v>
      </c>
      <c r="K723" s="320">
        <v>9</v>
      </c>
      <c r="L723" s="320"/>
      <c r="M723">
        <v>2.4</v>
      </c>
      <c r="N723" s="320"/>
      <c r="O723"/>
      <c r="P723"/>
      <c r="Q723"/>
      <c r="S723" s="320">
        <v>10.4120544528</v>
      </c>
      <c r="T723" s="320"/>
      <c r="U723">
        <v>10.8</v>
      </c>
      <c r="V723"/>
      <c r="W723"/>
      <c r="X723"/>
      <c r="Y723" s="321">
        <v>4.9771260000000002</v>
      </c>
      <c r="Z723" s="320"/>
      <c r="AA723" s="322">
        <v>43584.905660377364</v>
      </c>
      <c r="AB723" s="320"/>
      <c r="AC723" s="321">
        <v>21.547680000000003</v>
      </c>
      <c r="AD723" s="320"/>
      <c r="AE723" s="320">
        <v>23.1</v>
      </c>
      <c r="AF723" s="320"/>
      <c r="AG723">
        <v>5.3</v>
      </c>
      <c r="AH723"/>
      <c r="AI723">
        <v>108</v>
      </c>
      <c r="AJ723"/>
      <c r="AK723"/>
      <c r="AL723"/>
      <c r="AM723"/>
      <c r="AN723"/>
      <c r="AO723">
        <v>87</v>
      </c>
      <c r="AP723"/>
      <c r="AQ723" s="323"/>
      <c r="AR723" s="323"/>
      <c r="AS723">
        <v>110</v>
      </c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>
        <v>58.613</v>
      </c>
      <c r="BH723"/>
      <c r="BI723">
        <v>4.1746999999999996</v>
      </c>
      <c r="BJ723"/>
      <c r="BK723">
        <v>0.59609999999999996</v>
      </c>
      <c r="BL723"/>
      <c r="BM723"/>
      <c r="BN723"/>
      <c r="BO723">
        <v>14.342000000000001</v>
      </c>
      <c r="BP723"/>
      <c r="BQ723">
        <v>12.183</v>
      </c>
      <c r="BR723"/>
      <c r="BS723">
        <v>48.320999999999998</v>
      </c>
      <c r="BT723"/>
      <c r="BU723">
        <v>23.305</v>
      </c>
      <c r="BV723"/>
      <c r="BW723" s="325">
        <v>27.76</v>
      </c>
      <c r="BX723"/>
      <c r="BY723">
        <v>6.5840000000000032</v>
      </c>
      <c r="BZ723"/>
      <c r="CA723"/>
      <c r="CC723">
        <v>5.41</v>
      </c>
      <c r="CD723"/>
      <c r="CE723"/>
      <c r="CF723"/>
      <c r="CG723"/>
      <c r="CH723"/>
      <c r="CI723"/>
      <c r="CJ723"/>
      <c r="CK723"/>
      <c r="CL723"/>
      <c r="CM723"/>
    </row>
    <row r="724" spans="1:91">
      <c r="A724" s="154" t="s">
        <v>7736</v>
      </c>
      <c r="B724" t="s">
        <v>8287</v>
      </c>
      <c r="C724">
        <v>2</v>
      </c>
      <c r="D724">
        <v>1154</v>
      </c>
      <c r="E724" s="113">
        <v>54</v>
      </c>
      <c r="F724" s="113">
        <v>11</v>
      </c>
      <c r="I724">
        <v>33.5</v>
      </c>
      <c r="K724" s="320">
        <v>9</v>
      </c>
      <c r="L724" s="320"/>
      <c r="M724">
        <v>2.06</v>
      </c>
      <c r="N724" s="320"/>
      <c r="O724"/>
      <c r="P724"/>
      <c r="Q724"/>
      <c r="S724" s="320">
        <v>9.0098625647750001</v>
      </c>
      <c r="T724" s="320"/>
      <c r="U724">
        <v>10.8</v>
      </c>
      <c r="V724"/>
      <c r="W724"/>
      <c r="X724"/>
      <c r="Y724" s="321">
        <v>3.2198425000000004</v>
      </c>
      <c r="Z724" s="320"/>
      <c r="AA724" s="322">
        <v>42564.655172413797</v>
      </c>
      <c r="AB724" s="320"/>
      <c r="AC724" s="321">
        <v>18.5300425</v>
      </c>
      <c r="AD724" s="320"/>
      <c r="AE724" s="320">
        <v>19.75</v>
      </c>
      <c r="AF724" s="320"/>
      <c r="AG724">
        <v>4.6399999999999997</v>
      </c>
      <c r="AH724"/>
      <c r="AI724">
        <v>123</v>
      </c>
      <c r="AJ724"/>
      <c r="AK724"/>
      <c r="AL724"/>
      <c r="AM724"/>
      <c r="AN724"/>
      <c r="AO724">
        <v>61</v>
      </c>
      <c r="AP724"/>
      <c r="AQ724" s="323"/>
      <c r="AR724" s="323"/>
      <c r="AS724">
        <v>112</v>
      </c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>
        <v>52.819000000000003</v>
      </c>
      <c r="BH724"/>
      <c r="BI724">
        <v>4.3620999999999999</v>
      </c>
      <c r="BJ724"/>
      <c r="BK724">
        <v>0.61482999999999999</v>
      </c>
      <c r="BL724"/>
      <c r="BM724">
        <v>5.5769000000000002</v>
      </c>
      <c r="BN724"/>
      <c r="BO724">
        <v>13.276999999999999</v>
      </c>
      <c r="BP724"/>
      <c r="BQ724">
        <v>13.089</v>
      </c>
      <c r="BR724"/>
      <c r="BS724">
        <v>48.622999999999998</v>
      </c>
      <c r="BT724"/>
      <c r="BU724">
        <v>21.942</v>
      </c>
      <c r="BV724"/>
      <c r="BW724">
        <v>61.139000000000003</v>
      </c>
      <c r="BX724" s="324"/>
      <c r="BY724">
        <v>6.230000000000004</v>
      </c>
      <c r="BZ724"/>
      <c r="CA724"/>
      <c r="CC724">
        <v>5.76</v>
      </c>
      <c r="CD724"/>
      <c r="CE724"/>
      <c r="CF724"/>
      <c r="CG724"/>
      <c r="CH724"/>
      <c r="CI724"/>
      <c r="CJ724"/>
      <c r="CK724"/>
      <c r="CL724"/>
      <c r="CM724"/>
    </row>
    <row r="725" spans="1:91">
      <c r="A725" s="154" t="s">
        <v>7736</v>
      </c>
      <c r="B725" t="s">
        <v>8289</v>
      </c>
      <c r="C725">
        <v>1</v>
      </c>
      <c r="D725">
        <v>1334</v>
      </c>
      <c r="E725" s="113">
        <v>34</v>
      </c>
      <c r="F725" s="113">
        <v>13</v>
      </c>
      <c r="I725">
        <v>31</v>
      </c>
      <c r="K725" s="320">
        <v>9</v>
      </c>
      <c r="L725" s="320"/>
      <c r="M725">
        <v>1.9</v>
      </c>
      <c r="N725" s="320"/>
      <c r="O725"/>
      <c r="P725"/>
      <c r="Q725"/>
      <c r="S725" s="320">
        <v>8.3620781620639999</v>
      </c>
      <c r="T725" s="320"/>
      <c r="U725">
        <v>10.8</v>
      </c>
      <c r="V725"/>
      <c r="W725"/>
      <c r="X725"/>
      <c r="Y725" s="321">
        <v>3.7146163999999997</v>
      </c>
      <c r="Z725" s="320"/>
      <c r="AA725" s="322">
        <v>37661.795407098114</v>
      </c>
      <c r="AB725" s="320"/>
      <c r="AC725" s="321">
        <v>16.9626512</v>
      </c>
      <c r="AD725" s="320"/>
      <c r="AE725" s="320">
        <v>18.04</v>
      </c>
      <c r="AF725" s="320"/>
      <c r="AG725">
        <v>4.79</v>
      </c>
      <c r="AH725"/>
      <c r="AI725">
        <v>113</v>
      </c>
      <c r="AJ725"/>
      <c r="AK725"/>
      <c r="AL725"/>
      <c r="AM725"/>
      <c r="AN725"/>
      <c r="AO725">
        <v>61</v>
      </c>
      <c r="AP725"/>
      <c r="AQ725" s="323"/>
      <c r="AR725" s="323"/>
      <c r="AS725">
        <v>108</v>
      </c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>
        <v>44.225000000000001</v>
      </c>
      <c r="BH725"/>
      <c r="BI725">
        <v>4.1463999999999999</v>
      </c>
      <c r="BJ725"/>
      <c r="BK725">
        <v>0.96765999999999996</v>
      </c>
      <c r="BL725"/>
      <c r="BM725">
        <v>17.484000000000002</v>
      </c>
      <c r="BN725"/>
      <c r="BO725">
        <v>15.949</v>
      </c>
      <c r="BP725"/>
      <c r="BQ725">
        <v>11.202</v>
      </c>
      <c r="BR725"/>
      <c r="BS725">
        <v>49.296999999999997</v>
      </c>
      <c r="BT725"/>
      <c r="BU725">
        <v>21.771999999999998</v>
      </c>
      <c r="BV725"/>
      <c r="BW725" s="325">
        <v>15.32</v>
      </c>
      <c r="BX725"/>
      <c r="BY725">
        <v>6.5229999999999961</v>
      </c>
      <c r="BZ725"/>
      <c r="CA725"/>
      <c r="CC725">
        <v>6.67</v>
      </c>
      <c r="CD725"/>
      <c r="CE725"/>
      <c r="CF725"/>
      <c r="CG725"/>
      <c r="CH725"/>
      <c r="CI725"/>
      <c r="CJ725"/>
      <c r="CK725"/>
      <c r="CL725"/>
      <c r="CM725"/>
    </row>
    <row r="726" spans="1:91">
      <c r="A726" s="154" t="s">
        <v>7737</v>
      </c>
      <c r="B726" t="s">
        <v>8289</v>
      </c>
      <c r="C726">
        <v>2</v>
      </c>
      <c r="D726">
        <v>463</v>
      </c>
      <c r="E726" s="113">
        <v>63</v>
      </c>
      <c r="F726" s="113">
        <v>4</v>
      </c>
      <c r="I726">
        <v>33.5</v>
      </c>
      <c r="K726" s="320">
        <v>7</v>
      </c>
      <c r="L726" s="320"/>
      <c r="M726">
        <v>2.2400000000000002</v>
      </c>
      <c r="N726" s="320"/>
      <c r="O726"/>
      <c r="P726"/>
      <c r="Q726"/>
      <c r="S726" s="320">
        <v>8.9183723719679993</v>
      </c>
      <c r="T726" s="320"/>
      <c r="U726">
        <v>10.8</v>
      </c>
      <c r="V726"/>
      <c r="W726"/>
      <c r="X726"/>
      <c r="Y726" s="321">
        <v>4.415076</v>
      </c>
      <c r="Z726" s="320"/>
      <c r="AA726" s="322">
        <v>45890.109890109889</v>
      </c>
      <c r="AB726" s="320"/>
      <c r="AC726" s="321">
        <v>19.381024799999999</v>
      </c>
      <c r="AD726" s="320"/>
      <c r="AE726" s="320">
        <v>20.88</v>
      </c>
      <c r="AF726" s="320"/>
      <c r="AG726">
        <v>4.55</v>
      </c>
      <c r="AH726"/>
      <c r="AI726">
        <v>113</v>
      </c>
      <c r="AJ726"/>
      <c r="AK726"/>
      <c r="AL726"/>
      <c r="AM726"/>
      <c r="AN726"/>
      <c r="AO726">
        <v>80</v>
      </c>
      <c r="AP726"/>
      <c r="AQ726" s="323"/>
      <c r="AR726" s="323"/>
      <c r="AS726">
        <v>118</v>
      </c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>
        <v>51.892000000000003</v>
      </c>
      <c r="BH726"/>
      <c r="BI726">
        <v>4.7434000000000003</v>
      </c>
      <c r="BJ726"/>
      <c r="BK726">
        <v>0.94228000000000001</v>
      </c>
      <c r="BL726"/>
      <c r="BM726">
        <v>11.244999999999999</v>
      </c>
      <c r="BN726"/>
      <c r="BO726">
        <v>15.714</v>
      </c>
      <c r="BP726"/>
      <c r="BQ726">
        <v>8.3903999999999996</v>
      </c>
      <c r="BR726"/>
      <c r="BS726">
        <v>46.015999999999998</v>
      </c>
      <c r="BT726"/>
      <c r="BU726">
        <v>20.021999999999998</v>
      </c>
      <c r="BV726"/>
      <c r="BW726" s="325">
        <v>6.87</v>
      </c>
      <c r="BX726"/>
      <c r="BY726">
        <v>6.6800000000000068</v>
      </c>
      <c r="BZ726"/>
      <c r="CA726"/>
      <c r="CC726">
        <v>8.41</v>
      </c>
      <c r="CD726"/>
      <c r="CE726"/>
      <c r="CF726"/>
      <c r="CG726"/>
      <c r="CH726"/>
      <c r="CI726"/>
      <c r="CJ726"/>
      <c r="CK726"/>
      <c r="CL726"/>
      <c r="CM726"/>
    </row>
    <row r="727" spans="1:91">
      <c r="A727" s="154" t="s">
        <v>7737</v>
      </c>
      <c r="B727" t="s">
        <v>8287</v>
      </c>
      <c r="C727">
        <v>1</v>
      </c>
      <c r="D727">
        <v>634</v>
      </c>
      <c r="E727" s="113">
        <v>34</v>
      </c>
      <c r="F727" s="113">
        <v>6</v>
      </c>
      <c r="I727">
        <v>33.5</v>
      </c>
      <c r="K727" s="320">
        <v>9</v>
      </c>
      <c r="L727" s="320"/>
      <c r="M727">
        <v>2.99</v>
      </c>
      <c r="N727" s="320"/>
      <c r="O727"/>
      <c r="P727"/>
      <c r="Q727"/>
      <c r="S727" s="320">
        <v>13.278313456464002</v>
      </c>
      <c r="T727" s="320"/>
      <c r="U727">
        <v>10.8</v>
      </c>
      <c r="V727"/>
      <c r="W727"/>
      <c r="X727"/>
      <c r="Y727" s="321">
        <v>5.2498991999999998</v>
      </c>
      <c r="Z727" s="320"/>
      <c r="AA727" s="322">
        <v>66074.766355140178</v>
      </c>
      <c r="AB727" s="320"/>
      <c r="AC727" s="321">
        <v>26.458202400000005</v>
      </c>
      <c r="AD727" s="320"/>
      <c r="AE727" s="320">
        <v>28.28</v>
      </c>
      <c r="AF727" s="320"/>
      <c r="AG727">
        <v>4.28</v>
      </c>
      <c r="AH727"/>
      <c r="AI727">
        <v>135</v>
      </c>
      <c r="AJ727"/>
      <c r="AK727"/>
      <c r="AL727"/>
      <c r="AM727"/>
      <c r="AN727"/>
      <c r="AO727">
        <v>81</v>
      </c>
      <c r="AP727"/>
      <c r="AQ727" s="323"/>
      <c r="AR727" s="323"/>
      <c r="AS727">
        <v>112</v>
      </c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>
        <v>50.533000000000001</v>
      </c>
      <c r="BH727"/>
      <c r="BI727">
        <v>4.5477999999999996</v>
      </c>
      <c r="BJ727"/>
      <c r="BK727">
        <v>0.62790000000000001</v>
      </c>
      <c r="BL727"/>
      <c r="BM727">
        <v>8.5757999999999992</v>
      </c>
      <c r="BN727"/>
      <c r="BO727">
        <v>15.868</v>
      </c>
      <c r="BP727"/>
      <c r="BQ727">
        <v>10.378</v>
      </c>
      <c r="BR727"/>
      <c r="BS727">
        <v>50.186</v>
      </c>
      <c r="BT727"/>
      <c r="BU727">
        <v>19.094999999999999</v>
      </c>
      <c r="BV727"/>
      <c r="BW727">
        <v>74.069000000000003</v>
      </c>
      <c r="BX727" s="324"/>
      <c r="BY727">
        <v>6.2379999999999995</v>
      </c>
      <c r="BZ727"/>
      <c r="CA727"/>
      <c r="CC727">
        <v>7.04</v>
      </c>
      <c r="CD727"/>
      <c r="CE727"/>
      <c r="CF727"/>
      <c r="CG727"/>
      <c r="CH727"/>
      <c r="CI727"/>
      <c r="CJ727"/>
      <c r="CK727"/>
      <c r="CL727"/>
      <c r="CM727"/>
    </row>
    <row r="728" spans="1:91">
      <c r="A728" s="154" t="s">
        <v>7737</v>
      </c>
      <c r="B728" t="s">
        <v>8289</v>
      </c>
      <c r="C728">
        <v>1</v>
      </c>
      <c r="D728">
        <v>1202</v>
      </c>
      <c r="E728" s="113">
        <v>2</v>
      </c>
      <c r="F728" s="113">
        <v>12</v>
      </c>
      <c r="I728">
        <v>34</v>
      </c>
      <c r="K728" s="320">
        <v>9</v>
      </c>
      <c r="L728" s="320"/>
      <c r="M728">
        <v>2.97</v>
      </c>
      <c r="N728" s="320"/>
      <c r="O728"/>
      <c r="P728"/>
      <c r="Q728"/>
      <c r="S728" s="320">
        <v>13.08711274164</v>
      </c>
      <c r="T728" s="320"/>
      <c r="U728">
        <v>10.8</v>
      </c>
      <c r="V728"/>
      <c r="W728"/>
      <c r="X728"/>
      <c r="Y728" s="321">
        <v>5.4085079999999994</v>
      </c>
      <c r="Z728" s="320"/>
      <c r="AA728" s="322">
        <v>71603.053435114503</v>
      </c>
      <c r="AB728" s="320"/>
      <c r="AC728" s="321">
        <v>26.322156000000003</v>
      </c>
      <c r="AD728" s="320"/>
      <c r="AE728" s="320">
        <v>28.14</v>
      </c>
      <c r="AF728" s="320"/>
      <c r="AG728">
        <v>3.93</v>
      </c>
      <c r="AH728"/>
      <c r="AI728">
        <v>130</v>
      </c>
      <c r="AJ728"/>
      <c r="AK728"/>
      <c r="AL728"/>
      <c r="AM728"/>
      <c r="AN728"/>
      <c r="AO728">
        <v>81</v>
      </c>
      <c r="AP728"/>
      <c r="AQ728" s="323"/>
      <c r="AR728" s="323"/>
      <c r="AS728">
        <v>112</v>
      </c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>
        <v>53.417000000000002</v>
      </c>
      <c r="BH728"/>
      <c r="BI728">
        <v>4.5227000000000004</v>
      </c>
      <c r="BJ728"/>
      <c r="BK728">
        <v>0.75361999999999996</v>
      </c>
      <c r="BL728"/>
      <c r="BM728">
        <v>11.391</v>
      </c>
      <c r="BN728"/>
      <c r="BO728">
        <v>15.663</v>
      </c>
      <c r="BP728"/>
      <c r="BQ728">
        <v>9.4909999999999997</v>
      </c>
      <c r="BR728"/>
      <c r="BS728">
        <v>49.719000000000001</v>
      </c>
      <c r="BT728"/>
      <c r="BU728">
        <v>19.282</v>
      </c>
      <c r="BV728"/>
      <c r="BW728">
        <v>58.164000000000001</v>
      </c>
      <c r="BX728" s="324"/>
      <c r="BY728">
        <v>6.5160000000000053</v>
      </c>
      <c r="BZ728"/>
      <c r="CA728"/>
      <c r="CC728">
        <v>6.88</v>
      </c>
      <c r="CD728"/>
      <c r="CE728"/>
      <c r="CF728"/>
      <c r="CG728"/>
      <c r="CH728"/>
      <c r="CI728"/>
      <c r="CJ728"/>
      <c r="CK728"/>
      <c r="CL728"/>
      <c r="CM728"/>
    </row>
    <row r="729" spans="1:91">
      <c r="A729" s="154" t="s">
        <v>7737</v>
      </c>
      <c r="B729" t="s">
        <v>8287</v>
      </c>
      <c r="C729">
        <v>2</v>
      </c>
      <c r="D729">
        <v>1646</v>
      </c>
      <c r="E729" s="113">
        <v>46</v>
      </c>
      <c r="F729" s="113">
        <v>16</v>
      </c>
      <c r="I729">
        <v>27.999999999999996</v>
      </c>
      <c r="K729" s="320">
        <v>8</v>
      </c>
      <c r="L729" s="320"/>
      <c r="M729">
        <v>1.9</v>
      </c>
      <c r="N729" s="320"/>
      <c r="O729"/>
      <c r="P729"/>
      <c r="Q729"/>
      <c r="S729" s="320">
        <v>9.1223641783999998</v>
      </c>
      <c r="T729" s="320"/>
      <c r="U729">
        <v>10.8</v>
      </c>
      <c r="V729"/>
      <c r="W729"/>
      <c r="X729"/>
      <c r="Y729" s="321">
        <v>2.7729515000000005</v>
      </c>
      <c r="Z729" s="320"/>
      <c r="AA729" s="322">
        <v>45358.024691358027</v>
      </c>
      <c r="AB729" s="320"/>
      <c r="AC729" s="321">
        <v>17.264126000000001</v>
      </c>
      <c r="AD729" s="320"/>
      <c r="AE729" s="320">
        <v>18.37</v>
      </c>
      <c r="AF729" s="320"/>
      <c r="AG729">
        <v>4.05</v>
      </c>
      <c r="AH729"/>
      <c r="AI729">
        <v>128</v>
      </c>
      <c r="AJ729"/>
      <c r="AK729"/>
      <c r="AL729"/>
      <c r="AM729"/>
      <c r="AN729"/>
      <c r="AO729">
        <v>80</v>
      </c>
      <c r="AP729"/>
      <c r="AQ729" s="323"/>
      <c r="AR729" s="323"/>
      <c r="AS729">
        <v>112</v>
      </c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>
        <v>56.226999999999997</v>
      </c>
      <c r="BH729"/>
      <c r="BI729">
        <v>4.3326000000000002</v>
      </c>
      <c r="BJ729"/>
      <c r="BK729">
        <v>0.70409999999999995</v>
      </c>
      <c r="BL729"/>
      <c r="BM729">
        <v>5.6250999999999998</v>
      </c>
      <c r="BN729"/>
      <c r="BO729">
        <v>14.999000000000001</v>
      </c>
      <c r="BP729"/>
      <c r="BQ729">
        <v>9.3307000000000002</v>
      </c>
      <c r="BR729"/>
      <c r="BS729">
        <v>52.84</v>
      </c>
      <c r="BT729"/>
      <c r="BU729">
        <v>17.369</v>
      </c>
      <c r="BV729"/>
      <c r="BW729" s="325">
        <v>22.08</v>
      </c>
      <c r="BX729"/>
      <c r="BY729">
        <v>5.9110000000000014</v>
      </c>
      <c r="BZ729"/>
      <c r="CA729"/>
      <c r="CC729">
        <v>4.9800000000000004</v>
      </c>
      <c r="CD729"/>
      <c r="CE729"/>
      <c r="CF729"/>
      <c r="CG729"/>
      <c r="CH729"/>
      <c r="CI729"/>
      <c r="CJ729"/>
      <c r="CK729"/>
      <c r="CL729"/>
      <c r="CM729"/>
    </row>
    <row r="730" spans="1:91">
      <c r="A730" s="154" t="s">
        <v>7738</v>
      </c>
      <c r="B730" t="s">
        <v>8289</v>
      </c>
      <c r="C730">
        <v>2</v>
      </c>
      <c r="D730">
        <v>772</v>
      </c>
      <c r="E730" s="113">
        <v>72</v>
      </c>
      <c r="F730" s="113">
        <v>7</v>
      </c>
      <c r="I730">
        <v>31</v>
      </c>
      <c r="K730" s="320">
        <v>9</v>
      </c>
      <c r="L730" s="320"/>
      <c r="M730">
        <v>2.25</v>
      </c>
      <c r="N730" s="320"/>
      <c r="O730"/>
      <c r="P730"/>
      <c r="Q730"/>
      <c r="S730" s="320">
        <v>8.634575203519999</v>
      </c>
      <c r="T730" s="320"/>
      <c r="U730">
        <v>10.8</v>
      </c>
      <c r="V730"/>
      <c r="W730"/>
      <c r="X730"/>
      <c r="Y730" s="321">
        <v>4.0465720000000003</v>
      </c>
      <c r="Z730" s="320"/>
      <c r="AA730" s="322">
        <v>59234.972677595622</v>
      </c>
      <c r="AB730" s="320"/>
      <c r="AC730" s="321">
        <v>20.093024</v>
      </c>
      <c r="AD730" s="320"/>
      <c r="AE730" s="320">
        <v>21.68</v>
      </c>
      <c r="AF730" s="320"/>
      <c r="AG730">
        <v>3.66</v>
      </c>
      <c r="AH730"/>
      <c r="AI730">
        <v>125</v>
      </c>
      <c r="AJ730"/>
      <c r="AK730"/>
      <c r="AL730"/>
      <c r="AM730"/>
      <c r="AN730"/>
      <c r="AO730">
        <v>83</v>
      </c>
      <c r="AP730"/>
      <c r="AQ730" s="323"/>
      <c r="AR730" s="323"/>
      <c r="AS730">
        <v>112</v>
      </c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>
        <v>53.683999999999997</v>
      </c>
      <c r="BH730"/>
      <c r="BI730">
        <v>4.7045000000000003</v>
      </c>
      <c r="BJ730"/>
      <c r="BK730">
        <v>0.85872999999999999</v>
      </c>
      <c r="BL730"/>
      <c r="BM730">
        <v>16.814</v>
      </c>
      <c r="BN730"/>
      <c r="BO730">
        <v>16.251000000000001</v>
      </c>
      <c r="BP730"/>
      <c r="BQ730">
        <v>7.9969999999999999</v>
      </c>
      <c r="BR730"/>
      <c r="BS730">
        <v>42.972999999999999</v>
      </c>
      <c r="BT730"/>
      <c r="BU730">
        <v>20.378</v>
      </c>
      <c r="BV730"/>
      <c r="BW730" s="325">
        <v>11.61</v>
      </c>
      <c r="BX730"/>
      <c r="BY730">
        <v>6.9519999999999982</v>
      </c>
      <c r="BZ730"/>
      <c r="CA730"/>
      <c r="CC730">
        <v>5.3</v>
      </c>
      <c r="CD730"/>
      <c r="CE730"/>
      <c r="CF730"/>
      <c r="CG730"/>
      <c r="CH730"/>
      <c r="CI730"/>
      <c r="CJ730"/>
      <c r="CK730"/>
      <c r="CL730"/>
      <c r="CM730"/>
    </row>
    <row r="731" spans="1:91">
      <c r="A731" s="327" t="s">
        <v>7738</v>
      </c>
      <c r="B731" s="328" t="s">
        <v>8287</v>
      </c>
      <c r="C731" s="328">
        <v>1</v>
      </c>
      <c r="D731" s="328">
        <v>835</v>
      </c>
      <c r="E731" s="113">
        <v>35</v>
      </c>
      <c r="F731" s="113">
        <v>8</v>
      </c>
      <c r="G731" s="329"/>
      <c r="H731" s="329"/>
      <c r="I731" s="328">
        <v>25</v>
      </c>
      <c r="J731" s="330"/>
      <c r="K731" s="331">
        <v>7</v>
      </c>
      <c r="L731" s="331"/>
      <c r="M731" s="328">
        <v>1.57</v>
      </c>
      <c r="N731" s="331"/>
      <c r="O731" s="328"/>
      <c r="P731" s="328"/>
      <c r="Q731" s="328"/>
      <c r="R731" s="332"/>
      <c r="S731" s="331">
        <v>6.9167855724659999</v>
      </c>
      <c r="T731" s="331"/>
      <c r="U731" s="328">
        <v>10.8</v>
      </c>
      <c r="V731" s="328"/>
      <c r="W731" s="328"/>
      <c r="X731" s="328"/>
      <c r="Y731" s="333">
        <v>2.6908697999999998</v>
      </c>
      <c r="Z731" s="331"/>
      <c r="AA731" s="334">
        <v>34539.007092198575</v>
      </c>
      <c r="AB731" s="331"/>
      <c r="AC731" s="333">
        <v>13.6517301</v>
      </c>
      <c r="AD731" s="331"/>
      <c r="AE731" s="331">
        <v>14.61</v>
      </c>
      <c r="AF731" s="331"/>
      <c r="AG731" s="328">
        <v>4.2300000000000004</v>
      </c>
      <c r="AH731" s="328"/>
      <c r="AI731" s="328">
        <v>110</v>
      </c>
      <c r="AJ731" s="328"/>
      <c r="AK731" s="328"/>
      <c r="AL731" s="328"/>
      <c r="AM731" s="328"/>
      <c r="AN731" s="328"/>
      <c r="AO731" s="328">
        <v>90</v>
      </c>
      <c r="AP731" s="328"/>
      <c r="AQ731" s="335"/>
      <c r="AR731" s="335"/>
      <c r="AS731" s="328">
        <v>114</v>
      </c>
      <c r="AT731" s="328"/>
      <c r="AU731" s="328"/>
      <c r="AV731" s="328"/>
      <c r="AW731" s="328"/>
      <c r="AX731" s="328"/>
      <c r="AY731" s="328"/>
      <c r="AZ731" s="328"/>
      <c r="BA731" s="328"/>
      <c r="BB731" s="328"/>
      <c r="BC731" s="328"/>
      <c r="BD731" s="328"/>
      <c r="BE731" s="328"/>
      <c r="BF731" s="328"/>
      <c r="BG731" s="328">
        <v>47.316000000000003</v>
      </c>
      <c r="BH731" s="328"/>
      <c r="BI731" s="328">
        <v>4.4352999999999998</v>
      </c>
      <c r="BJ731" s="328"/>
      <c r="BK731" s="328">
        <v>0.70460999999999996</v>
      </c>
      <c r="BL731" s="328"/>
      <c r="BM731" s="328">
        <v>19.151</v>
      </c>
      <c r="BN731" s="328"/>
      <c r="BO731" s="328">
        <v>17.635000000000002</v>
      </c>
      <c r="BP731" s="328"/>
      <c r="BQ731" s="328">
        <v>8.2476000000000003</v>
      </c>
      <c r="BR731" s="328"/>
      <c r="BS731" s="328">
        <v>50.665999999999997</v>
      </c>
      <c r="BT731" s="328"/>
      <c r="BU731" s="328">
        <v>16.760999999999999</v>
      </c>
      <c r="BV731" s="328"/>
      <c r="BW731" s="328">
        <v>38.741</v>
      </c>
      <c r="BX731" s="339"/>
      <c r="BY731" s="328">
        <v>6.4830000000000041</v>
      </c>
      <c r="BZ731" s="328"/>
      <c r="CA731" s="328"/>
      <c r="CB731" s="337"/>
      <c r="CC731" s="328">
        <v>8.52</v>
      </c>
      <c r="CD731" s="328"/>
      <c r="CE731" s="328"/>
      <c r="CF731" s="328"/>
      <c r="CG731" s="328"/>
      <c r="CH731" s="328"/>
      <c r="CI731" s="328"/>
      <c r="CJ731" s="328"/>
      <c r="CK731" s="328" t="s">
        <v>8377</v>
      </c>
      <c r="CL731" s="328"/>
      <c r="CM731" s="328"/>
    </row>
    <row r="732" spans="1:91">
      <c r="A732" s="154" t="s">
        <v>7738</v>
      </c>
      <c r="B732" t="s">
        <v>8289</v>
      </c>
      <c r="C732">
        <v>1</v>
      </c>
      <c r="D732">
        <v>1416</v>
      </c>
      <c r="E732" s="113">
        <v>16</v>
      </c>
      <c r="F732" s="113">
        <v>14</v>
      </c>
      <c r="I732">
        <v>28.5</v>
      </c>
      <c r="K732" s="320">
        <v>9</v>
      </c>
      <c r="L732" s="320"/>
      <c r="M732">
        <v>2.29</v>
      </c>
      <c r="N732" s="320"/>
      <c r="O732"/>
      <c r="P732"/>
      <c r="Q732"/>
      <c r="S732" s="320">
        <v>9.4508200834319993</v>
      </c>
      <c r="T732" s="320"/>
      <c r="U732">
        <v>10.8</v>
      </c>
      <c r="V732"/>
      <c r="W732"/>
      <c r="X732"/>
      <c r="Y732" s="321">
        <v>4.1716635999999996</v>
      </c>
      <c r="Z732" s="320"/>
      <c r="AA732" s="322">
        <v>57815.789473684206</v>
      </c>
      <c r="AB732" s="320"/>
      <c r="AC732" s="321">
        <v>20.621920799999998</v>
      </c>
      <c r="AD732" s="320"/>
      <c r="AE732" s="320">
        <v>21.97</v>
      </c>
      <c r="AF732" s="320"/>
      <c r="AG732">
        <v>3.8</v>
      </c>
      <c r="AH732"/>
      <c r="AI732">
        <v>128</v>
      </c>
      <c r="AJ732"/>
      <c r="AK732"/>
      <c r="AL732"/>
      <c r="AM732"/>
      <c r="AN732"/>
      <c r="AO732">
        <v>85</v>
      </c>
      <c r="AP732"/>
      <c r="AQ732" s="323"/>
      <c r="AR732" s="323"/>
      <c r="AS732">
        <v>114</v>
      </c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>
        <v>48.127000000000002</v>
      </c>
      <c r="BH732"/>
      <c r="BI732">
        <v>4.4218000000000002</v>
      </c>
      <c r="BJ732"/>
      <c r="BK732">
        <v>0.67934000000000005</v>
      </c>
      <c r="BL732"/>
      <c r="BM732">
        <v>12.432</v>
      </c>
      <c r="BN732"/>
      <c r="BO732">
        <v>17.16</v>
      </c>
      <c r="BP732"/>
      <c r="BQ732">
        <v>9.7559000000000005</v>
      </c>
      <c r="BR732"/>
      <c r="BS732">
        <v>45.829000000000001</v>
      </c>
      <c r="BT732"/>
      <c r="BU732">
        <v>20.908999999999999</v>
      </c>
      <c r="BV732"/>
      <c r="BW732">
        <v>61.097999999999999</v>
      </c>
      <c r="BX732" s="324"/>
      <c r="BY732">
        <v>6.2990000000000066</v>
      </c>
      <c r="BZ732"/>
      <c r="CA732"/>
      <c r="CC732">
        <v>5.71</v>
      </c>
      <c r="CD732"/>
      <c r="CE732"/>
      <c r="CF732"/>
      <c r="CG732"/>
      <c r="CH732"/>
      <c r="CI732"/>
      <c r="CJ732"/>
      <c r="CK732"/>
      <c r="CL732"/>
      <c r="CM732"/>
    </row>
    <row r="733" spans="1:91">
      <c r="A733" s="154" t="s">
        <v>7738</v>
      </c>
      <c r="B733" t="s">
        <v>8287</v>
      </c>
      <c r="C733">
        <v>2</v>
      </c>
      <c r="D733">
        <v>1653</v>
      </c>
      <c r="E733" s="113">
        <v>53</v>
      </c>
      <c r="F733" s="113">
        <v>16</v>
      </c>
      <c r="I733">
        <v>33.5</v>
      </c>
      <c r="K733" s="320">
        <v>8</v>
      </c>
      <c r="L733" s="320"/>
      <c r="M733">
        <v>1.81</v>
      </c>
      <c r="N733" s="320"/>
      <c r="O733"/>
      <c r="P733"/>
      <c r="Q733"/>
      <c r="S733" s="320">
        <v>8.1620902814700003</v>
      </c>
      <c r="T733" s="320"/>
      <c r="U733">
        <v>10.8</v>
      </c>
      <c r="V733"/>
      <c r="W733"/>
      <c r="X733"/>
      <c r="Y733" s="321">
        <v>3.2326520000000003</v>
      </c>
      <c r="Z733" s="320"/>
      <c r="AA733" s="322">
        <v>48060.94182825485</v>
      </c>
      <c r="AB733" s="320"/>
      <c r="AC733" s="321">
        <v>16.407201000000001</v>
      </c>
      <c r="AD733" s="320"/>
      <c r="AE733" s="320">
        <v>17.350000000000001</v>
      </c>
      <c r="AF733" s="320"/>
      <c r="AG733">
        <v>3.61</v>
      </c>
      <c r="AH733"/>
      <c r="AI733">
        <v>138</v>
      </c>
      <c r="AJ733"/>
      <c r="AK733"/>
      <c r="AL733"/>
      <c r="AM733"/>
      <c r="AN733"/>
      <c r="AO733">
        <v>90</v>
      </c>
      <c r="AP733"/>
      <c r="AQ733" s="323"/>
      <c r="AR733" s="323"/>
      <c r="AS733">
        <v>112</v>
      </c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>
        <v>58.033000000000001</v>
      </c>
      <c r="BH733"/>
      <c r="BI733">
        <v>4.3533999999999997</v>
      </c>
      <c r="BJ733"/>
      <c r="BK733">
        <v>0.53073000000000004</v>
      </c>
      <c r="BL733"/>
      <c r="BM733">
        <v>8.0348000000000006</v>
      </c>
      <c r="BN733"/>
      <c r="BO733">
        <v>16.555</v>
      </c>
      <c r="BP733"/>
      <c r="BQ733">
        <v>9.1319999999999997</v>
      </c>
      <c r="BR733"/>
      <c r="BS733">
        <v>49.747</v>
      </c>
      <c r="BT733"/>
      <c r="BU733">
        <v>16.488</v>
      </c>
      <c r="BV733"/>
      <c r="BW733">
        <v>56.247</v>
      </c>
      <c r="BX733" s="324"/>
      <c r="BY733">
        <v>6.3319999999999936</v>
      </c>
      <c r="BZ733"/>
      <c r="CA733"/>
      <c r="CC733">
        <v>5.81</v>
      </c>
      <c r="CD733"/>
      <c r="CE733"/>
      <c r="CF733"/>
      <c r="CG733"/>
      <c r="CH733"/>
      <c r="CI733"/>
      <c r="CJ733"/>
      <c r="CK733"/>
      <c r="CL733"/>
      <c r="CM733"/>
    </row>
    <row r="734" spans="1:91">
      <c r="A734" s="154" t="s">
        <v>7739</v>
      </c>
      <c r="B734" t="s">
        <v>8289</v>
      </c>
      <c r="C734">
        <v>2</v>
      </c>
      <c r="D734">
        <v>246</v>
      </c>
      <c r="E734" s="113">
        <v>46</v>
      </c>
      <c r="F734" s="113">
        <v>2</v>
      </c>
      <c r="I734">
        <v>29.999999999999996</v>
      </c>
      <c r="K734" s="320">
        <v>9</v>
      </c>
      <c r="L734" s="320"/>
      <c r="M734">
        <v>1.92</v>
      </c>
      <c r="N734" s="320"/>
      <c r="O734"/>
      <c r="P734"/>
      <c r="Q734"/>
      <c r="S734" s="320">
        <v>9.0995561884700003</v>
      </c>
      <c r="T734" s="320"/>
      <c r="U734">
        <v>10.8</v>
      </c>
      <c r="V734"/>
      <c r="W734"/>
      <c r="X734"/>
      <c r="Y734" s="321">
        <v>3.2834537999999998</v>
      </c>
      <c r="Z734" s="320"/>
      <c r="AA734" s="322">
        <v>42133.027522935779</v>
      </c>
      <c r="AB734" s="320"/>
      <c r="AC734" s="321">
        <v>17.3054585</v>
      </c>
      <c r="AD734" s="320"/>
      <c r="AE734" s="320">
        <v>18.37</v>
      </c>
      <c r="AF734" s="320"/>
      <c r="AG734">
        <v>4.3600000000000003</v>
      </c>
      <c r="AH734"/>
      <c r="AI734">
        <v>153</v>
      </c>
      <c r="AJ734"/>
      <c r="AK734"/>
      <c r="AL734"/>
      <c r="AM734"/>
      <c r="AN734"/>
      <c r="AO734">
        <v>79</v>
      </c>
      <c r="AP734"/>
      <c r="AQ734" s="323"/>
      <c r="AR734" s="323"/>
      <c r="AS734">
        <v>118</v>
      </c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>
        <v>61.393000000000001</v>
      </c>
      <c r="BH734"/>
      <c r="BI734"/>
      <c r="BJ734"/>
      <c r="BK734">
        <v>0.78012000000000004</v>
      </c>
      <c r="BL734"/>
      <c r="BM734">
        <v>7.7115999999999998</v>
      </c>
      <c r="BN734"/>
      <c r="BO734">
        <v>11.372999999999999</v>
      </c>
      <c r="BP734"/>
      <c r="BQ734">
        <v>10.760999999999999</v>
      </c>
      <c r="BR734"/>
      <c r="BS734">
        <v>52.582000000000001</v>
      </c>
      <c r="BT734"/>
      <c r="BU734">
        <v>22.257999999999999</v>
      </c>
      <c r="BV734"/>
      <c r="BW734" s="325">
        <v>29.13</v>
      </c>
      <c r="BX734"/>
      <c r="BY734">
        <v>5.4639999999999986</v>
      </c>
      <c r="BZ734"/>
      <c r="CA734"/>
      <c r="CC734">
        <v>5.95</v>
      </c>
      <c r="CD734"/>
      <c r="CE734"/>
      <c r="CF734"/>
      <c r="CG734"/>
      <c r="CH734"/>
      <c r="CI734"/>
      <c r="CJ734"/>
      <c r="CK734"/>
      <c r="CL734"/>
      <c r="CM734"/>
    </row>
    <row r="735" spans="1:91">
      <c r="A735" s="154" t="s">
        <v>7739</v>
      </c>
      <c r="B735" t="s">
        <v>8287</v>
      </c>
      <c r="C735">
        <v>1</v>
      </c>
      <c r="D735">
        <v>737</v>
      </c>
      <c r="E735" s="113">
        <v>37</v>
      </c>
      <c r="F735" s="113">
        <v>7</v>
      </c>
      <c r="I735">
        <v>32</v>
      </c>
      <c r="K735" s="320">
        <v>9</v>
      </c>
      <c r="L735" s="320"/>
      <c r="M735">
        <v>2.0099999999999998</v>
      </c>
      <c r="N735" s="320"/>
      <c r="O735"/>
      <c r="P735"/>
      <c r="Q735"/>
      <c r="S735" s="320">
        <v>9.4110633645770001</v>
      </c>
      <c r="T735" s="320"/>
      <c r="U735">
        <v>10.8</v>
      </c>
      <c r="V735"/>
      <c r="W735"/>
      <c r="X735"/>
      <c r="Y735" s="321">
        <v>3.3022976000000002</v>
      </c>
      <c r="Z735" s="320"/>
      <c r="AA735" s="322">
        <v>46495.098039215685</v>
      </c>
      <c r="AB735" s="320"/>
      <c r="AC735" s="321">
        <v>17.811502099999998</v>
      </c>
      <c r="AD735" s="320"/>
      <c r="AE735" s="320">
        <v>18.97</v>
      </c>
      <c r="AF735" s="320"/>
      <c r="AG735">
        <v>4.08</v>
      </c>
      <c r="AH735"/>
      <c r="AI735">
        <v>148</v>
      </c>
      <c r="AJ735"/>
      <c r="AK735"/>
      <c r="AL735"/>
      <c r="AM735"/>
      <c r="AN735"/>
      <c r="AO735">
        <v>85</v>
      </c>
      <c r="AP735"/>
      <c r="AQ735" s="323"/>
      <c r="AR735" s="323"/>
      <c r="AS735">
        <v>118</v>
      </c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>
        <v>44.235999999999997</v>
      </c>
      <c r="BH735"/>
      <c r="BI735">
        <v>4.4547999999999996</v>
      </c>
      <c r="BJ735"/>
      <c r="BK735">
        <v>0.94974999999999998</v>
      </c>
      <c r="BL735"/>
      <c r="BM735">
        <v>23.050999999999998</v>
      </c>
      <c r="BN735"/>
      <c r="BO735">
        <v>15.513999999999999</v>
      </c>
      <c r="BP735"/>
      <c r="BQ735">
        <v>10.196999999999999</v>
      </c>
      <c r="BR735"/>
      <c r="BS735">
        <v>52.837000000000003</v>
      </c>
      <c r="BT735"/>
      <c r="BU735">
        <v>19.036999999999999</v>
      </c>
      <c r="BV735"/>
      <c r="BW735" s="325">
        <v>23.09</v>
      </c>
      <c r="BX735"/>
      <c r="BY735">
        <v>5.7379999999999995</v>
      </c>
      <c r="BZ735"/>
      <c r="CA735"/>
      <c r="CC735">
        <v>7.25</v>
      </c>
      <c r="CD735"/>
      <c r="CE735"/>
      <c r="CF735"/>
      <c r="CG735"/>
      <c r="CH735"/>
      <c r="CI735"/>
      <c r="CJ735"/>
      <c r="CK735"/>
      <c r="CL735"/>
      <c r="CM735"/>
    </row>
    <row r="736" spans="1:91">
      <c r="A736" s="154" t="s">
        <v>7739</v>
      </c>
      <c r="B736" t="s">
        <v>8289</v>
      </c>
      <c r="C736">
        <v>1</v>
      </c>
      <c r="D736">
        <v>1006</v>
      </c>
      <c r="E736" s="113">
        <v>6</v>
      </c>
      <c r="F736" s="113">
        <v>10</v>
      </c>
      <c r="I736">
        <v>25</v>
      </c>
      <c r="K736" s="320">
        <v>9</v>
      </c>
      <c r="L736" s="320"/>
      <c r="M736">
        <v>1.48</v>
      </c>
      <c r="N736" s="320"/>
      <c r="O736"/>
      <c r="P736"/>
      <c r="Q736"/>
      <c r="S736" s="320">
        <v>6.7622807113290007</v>
      </c>
      <c r="T736" s="320"/>
      <c r="U736">
        <v>10.8</v>
      </c>
      <c r="V736"/>
      <c r="W736"/>
      <c r="X736"/>
      <c r="Y736" s="321">
        <v>2.8963480000000006</v>
      </c>
      <c r="Z736" s="320"/>
      <c r="AA736" s="322">
        <v>35603.015075376883</v>
      </c>
      <c r="AB736" s="320"/>
      <c r="AC736" s="321">
        <v>13.2119663</v>
      </c>
      <c r="AD736" s="320"/>
      <c r="AE736" s="320">
        <v>14.17</v>
      </c>
      <c r="AF736" s="320"/>
      <c r="AG736">
        <v>3.98</v>
      </c>
      <c r="AH736"/>
      <c r="AI736">
        <v>140</v>
      </c>
      <c r="AJ736"/>
      <c r="AK736"/>
      <c r="AL736"/>
      <c r="AM736"/>
      <c r="AN736"/>
      <c r="AO736">
        <v>72</v>
      </c>
      <c r="AP736"/>
      <c r="AQ736" s="323"/>
      <c r="AR736" s="323"/>
      <c r="AS736">
        <v>116</v>
      </c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>
        <v>47.499000000000002</v>
      </c>
      <c r="BH736"/>
      <c r="BI736">
        <v>3.9043999999999999</v>
      </c>
      <c r="BJ736"/>
      <c r="BK736">
        <v>0.94189999999999996</v>
      </c>
      <c r="BL736"/>
      <c r="BM736">
        <v>15.013999999999999</v>
      </c>
      <c r="BN736"/>
      <c r="BO736">
        <v>13.78</v>
      </c>
      <c r="BP736"/>
      <c r="BQ736">
        <v>10.487</v>
      </c>
      <c r="BR736"/>
      <c r="BS736">
        <v>51.183</v>
      </c>
      <c r="BT736"/>
      <c r="BU736">
        <v>21.527000000000001</v>
      </c>
      <c r="BV736"/>
      <c r="BW736" s="325">
        <v>28.13</v>
      </c>
      <c r="BX736"/>
      <c r="BY736">
        <v>5.9009999999999962</v>
      </c>
      <c r="BZ736"/>
      <c r="CA736"/>
      <c r="CC736">
        <v>5.93</v>
      </c>
      <c r="CD736"/>
      <c r="CE736"/>
      <c r="CF736"/>
      <c r="CG736"/>
      <c r="CH736"/>
      <c r="CI736"/>
      <c r="CJ736"/>
      <c r="CK736"/>
      <c r="CL736"/>
      <c r="CM736"/>
    </row>
    <row r="737" spans="1:91">
      <c r="A737" s="154" t="s">
        <v>7739</v>
      </c>
      <c r="B737" t="s">
        <v>8287</v>
      </c>
      <c r="C737">
        <v>2</v>
      </c>
      <c r="D737">
        <v>1654</v>
      </c>
      <c r="E737" s="113">
        <v>54</v>
      </c>
      <c r="F737" s="113">
        <v>16</v>
      </c>
      <c r="I737">
        <v>34.5</v>
      </c>
      <c r="K737" s="320">
        <v>8</v>
      </c>
      <c r="L737" s="320"/>
      <c r="M737">
        <v>1.21</v>
      </c>
      <c r="N737" s="320"/>
      <c r="O737"/>
      <c r="P737"/>
      <c r="Q737"/>
      <c r="S737" s="320">
        <v>5.8626159160049998</v>
      </c>
      <c r="T737" s="320"/>
      <c r="U737">
        <v>10.8</v>
      </c>
      <c r="V737"/>
      <c r="W737"/>
      <c r="X737"/>
      <c r="Y737" s="321">
        <v>1.7602243</v>
      </c>
      <c r="Z737" s="320"/>
      <c r="AA737" s="322">
        <v>29896.103896103898</v>
      </c>
      <c r="AB737" s="320"/>
      <c r="AC737" s="321">
        <v>10.7937327</v>
      </c>
      <c r="AD737" s="320"/>
      <c r="AE737" s="320">
        <v>11.51</v>
      </c>
      <c r="AF737" s="320"/>
      <c r="AG737">
        <v>3.85</v>
      </c>
      <c r="AH737"/>
      <c r="AI737">
        <v>133</v>
      </c>
      <c r="AJ737"/>
      <c r="AK737"/>
      <c r="AL737"/>
      <c r="AM737"/>
      <c r="AN737"/>
      <c r="AO737">
        <v>77</v>
      </c>
      <c r="AP737"/>
      <c r="AQ737" s="323"/>
      <c r="AR737" s="323"/>
      <c r="AS737">
        <v>116</v>
      </c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>
        <v>53.256</v>
      </c>
      <c r="BH737"/>
      <c r="BI737">
        <v>4.5293000000000001</v>
      </c>
      <c r="BJ737"/>
      <c r="BK737">
        <v>0.69864999999999999</v>
      </c>
      <c r="BL737"/>
      <c r="BM737">
        <v>8.0687999999999995</v>
      </c>
      <c r="BN737"/>
      <c r="BO737">
        <v>13.98</v>
      </c>
      <c r="BP737"/>
      <c r="BQ737">
        <v>11.321</v>
      </c>
      <c r="BR737"/>
      <c r="BS737">
        <v>54.314999999999998</v>
      </c>
      <c r="BT737"/>
      <c r="BU737">
        <v>18.632000000000001</v>
      </c>
      <c r="BV737"/>
      <c r="BW737" s="325">
        <v>61.28</v>
      </c>
      <c r="BX737"/>
      <c r="BY737">
        <v>5.4339999999999975</v>
      </c>
      <c r="BZ737"/>
      <c r="CA737"/>
      <c r="CC737">
        <v>6.5</v>
      </c>
      <c r="CD737"/>
      <c r="CE737"/>
      <c r="CF737"/>
      <c r="CG737"/>
      <c r="CH737"/>
      <c r="CI737"/>
      <c r="CJ737"/>
      <c r="CK737"/>
      <c r="CL737"/>
      <c r="CM737"/>
    </row>
    <row r="738" spans="1:91">
      <c r="A738" s="154" t="s">
        <v>7740</v>
      </c>
      <c r="B738" t="s">
        <v>8289</v>
      </c>
      <c r="C738">
        <v>2</v>
      </c>
      <c r="D738">
        <v>647</v>
      </c>
      <c r="E738" s="113">
        <v>47</v>
      </c>
      <c r="F738" s="113">
        <v>6</v>
      </c>
      <c r="I738">
        <v>34.5</v>
      </c>
      <c r="K738" s="320">
        <v>9</v>
      </c>
      <c r="L738" s="320"/>
      <c r="M738">
        <v>1.79</v>
      </c>
      <c r="N738" s="320"/>
      <c r="O738"/>
      <c r="P738"/>
      <c r="Q738"/>
      <c r="S738" s="320">
        <v>7.6186598004479995</v>
      </c>
      <c r="T738" s="320"/>
      <c r="U738">
        <v>10.8</v>
      </c>
      <c r="V738"/>
      <c r="W738"/>
      <c r="X738"/>
      <c r="Y738" s="321">
        <v>3.0989136000000004</v>
      </c>
      <c r="Z738" s="320"/>
      <c r="AA738" s="322">
        <v>46631.01604278075</v>
      </c>
      <c r="AB738" s="320"/>
      <c r="AC738" s="321">
        <v>16.3259328</v>
      </c>
      <c r="AD738" s="320"/>
      <c r="AE738" s="320">
        <v>17.440000000000001</v>
      </c>
      <c r="AF738" s="320"/>
      <c r="AG738">
        <v>3.74</v>
      </c>
      <c r="AH738"/>
      <c r="AI738">
        <v>133</v>
      </c>
      <c r="AJ738"/>
      <c r="AK738"/>
      <c r="AL738"/>
      <c r="AM738"/>
      <c r="AN738"/>
      <c r="AO738">
        <v>81</v>
      </c>
      <c r="AP738"/>
      <c r="AQ738" s="323"/>
      <c r="AR738" s="323"/>
      <c r="AS738">
        <v>112</v>
      </c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>
        <v>41.134</v>
      </c>
      <c r="BH738"/>
      <c r="BI738">
        <v>3.8151999999999999</v>
      </c>
      <c r="BJ738"/>
      <c r="BK738">
        <v>1.0687</v>
      </c>
      <c r="BL738"/>
      <c r="BM738">
        <v>24.411999999999999</v>
      </c>
      <c r="BN738"/>
      <c r="BO738">
        <v>14.723000000000001</v>
      </c>
      <c r="BP738"/>
      <c r="BQ738">
        <v>10.228</v>
      </c>
      <c r="BR738"/>
      <c r="BS738">
        <v>46.665999999999997</v>
      </c>
      <c r="BT738"/>
      <c r="BU738">
        <v>21.425999999999998</v>
      </c>
      <c r="BV738"/>
      <c r="BW738" s="325">
        <v>29.35</v>
      </c>
      <c r="BX738"/>
      <c r="BY738">
        <v>6.7720000000000056</v>
      </c>
      <c r="BZ738"/>
      <c r="CA738"/>
      <c r="CC738">
        <v>4.24</v>
      </c>
      <c r="CD738"/>
      <c r="CE738"/>
      <c r="CF738"/>
      <c r="CG738"/>
      <c r="CH738"/>
      <c r="CI738"/>
      <c r="CJ738"/>
      <c r="CK738"/>
      <c r="CL738"/>
      <c r="CM738"/>
    </row>
    <row r="739" spans="1:91">
      <c r="A739" s="327" t="s">
        <v>7740</v>
      </c>
      <c r="B739" s="328" t="s">
        <v>8287</v>
      </c>
      <c r="C739" s="328">
        <v>1</v>
      </c>
      <c r="D739" s="328">
        <v>922</v>
      </c>
      <c r="E739" s="113">
        <v>22</v>
      </c>
      <c r="F739" s="113">
        <v>9</v>
      </c>
      <c r="G739" s="329"/>
      <c r="H739" s="329"/>
      <c r="I739" s="328">
        <v>30.499999999999996</v>
      </c>
      <c r="J739" s="330"/>
      <c r="K739" s="331">
        <v>7</v>
      </c>
      <c r="L739" s="331"/>
      <c r="M739" s="328">
        <v>0.57999999999999996</v>
      </c>
      <c r="N739" s="331"/>
      <c r="O739" s="328"/>
      <c r="P739" s="328"/>
      <c r="Q739" s="328"/>
      <c r="R739" s="332"/>
      <c r="S739" s="331">
        <v>2.4737811092819997</v>
      </c>
      <c r="T739" s="331"/>
      <c r="U739" s="328">
        <v>10.8</v>
      </c>
      <c r="V739" s="328"/>
      <c r="W739" s="328"/>
      <c r="X739" s="328"/>
      <c r="Y739" s="333">
        <v>1.0644408000000001</v>
      </c>
      <c r="Z739" s="331"/>
      <c r="AA739" s="334">
        <v>17064.220183486239</v>
      </c>
      <c r="AB739" s="331"/>
      <c r="AC739" s="333">
        <v>5.2133381999999999</v>
      </c>
      <c r="AD739" s="331"/>
      <c r="AE739" s="331">
        <v>5.58</v>
      </c>
      <c r="AF739" s="331"/>
      <c r="AG739" s="328">
        <v>3.27</v>
      </c>
      <c r="AH739" s="328"/>
      <c r="AI739" s="328"/>
      <c r="AJ739" s="328"/>
      <c r="AK739" s="328"/>
      <c r="AL739" s="328"/>
      <c r="AM739" s="328"/>
      <c r="AN739" s="328"/>
      <c r="AO739" s="328">
        <v>77</v>
      </c>
      <c r="AP739" s="328"/>
      <c r="AQ739" s="335"/>
      <c r="AR739" s="335"/>
      <c r="AS739" s="328">
        <v>116</v>
      </c>
      <c r="AT739" s="328"/>
      <c r="AU739" s="328"/>
      <c r="AV739" s="328"/>
      <c r="AW739" s="328"/>
      <c r="AX739" s="328"/>
      <c r="AY739" s="328"/>
      <c r="AZ739" s="328"/>
      <c r="BA739" s="328"/>
      <c r="BB739" s="328"/>
      <c r="BC739" s="328"/>
      <c r="BD739" s="328"/>
      <c r="BE739" s="328"/>
      <c r="BF739" s="328"/>
      <c r="BG739" s="328">
        <v>26.94</v>
      </c>
      <c r="BH739" s="328"/>
      <c r="BI739" s="328">
        <v>4.0544000000000002</v>
      </c>
      <c r="BJ739" s="328"/>
      <c r="BK739" s="328">
        <v>1.2561</v>
      </c>
      <c r="BL739" s="328"/>
      <c r="BM739" s="328">
        <v>34.99</v>
      </c>
      <c r="BN739" s="328"/>
      <c r="BO739" s="328">
        <v>15.791</v>
      </c>
      <c r="BP739" s="328"/>
      <c r="BQ739" s="328">
        <v>9.8111999999999995</v>
      </c>
      <c r="BR739" s="328"/>
      <c r="BS739" s="328">
        <v>47.451000000000001</v>
      </c>
      <c r="BT739" s="328"/>
      <c r="BU739" s="328">
        <v>19.606999999999999</v>
      </c>
      <c r="BV739" s="328"/>
      <c r="BW739" s="336">
        <v>17.440000000000001</v>
      </c>
      <c r="BX739" s="328"/>
      <c r="BY739" s="328">
        <v>6.5739999999999981</v>
      </c>
      <c r="BZ739" s="328"/>
      <c r="CA739" s="328"/>
      <c r="CB739" s="337"/>
      <c r="CC739" s="328">
        <v>5.4</v>
      </c>
      <c r="CD739" s="328"/>
      <c r="CE739" s="328"/>
      <c r="CF739" s="328"/>
      <c r="CG739" s="328"/>
      <c r="CH739" s="328"/>
      <c r="CI739" s="328"/>
      <c r="CJ739" s="328"/>
      <c r="CK739" s="328" t="s">
        <v>8377</v>
      </c>
      <c r="CL739" s="328"/>
      <c r="CM739" s="328"/>
    </row>
    <row r="740" spans="1:91">
      <c r="A740" s="154" t="s">
        <v>7740</v>
      </c>
      <c r="B740" t="s">
        <v>8287</v>
      </c>
      <c r="C740">
        <v>2</v>
      </c>
      <c r="D740">
        <v>1055</v>
      </c>
      <c r="E740" s="113">
        <v>55</v>
      </c>
      <c r="F740" s="113">
        <v>10</v>
      </c>
      <c r="I740">
        <v>32.999999999999993</v>
      </c>
      <c r="K740" s="320">
        <v>9</v>
      </c>
      <c r="L740" s="320"/>
      <c r="M740">
        <v>1.56</v>
      </c>
      <c r="N740" s="320"/>
      <c r="O740"/>
      <c r="P740"/>
      <c r="Q740"/>
      <c r="S740" s="320">
        <v>6.5137691545849998</v>
      </c>
      <c r="T740" s="320"/>
      <c r="U740">
        <v>10.8</v>
      </c>
      <c r="V740"/>
      <c r="W740"/>
      <c r="X740"/>
      <c r="Y740" s="321">
        <v>2.7499359999999999</v>
      </c>
      <c r="Z740" s="320"/>
      <c r="AA740" s="322">
        <v>49183.006535947716</v>
      </c>
      <c r="AB740" s="320"/>
      <c r="AC740" s="321">
        <v>14.0932715</v>
      </c>
      <c r="AD740" s="320"/>
      <c r="AE740" s="320">
        <v>15.05</v>
      </c>
      <c r="AF740" s="320"/>
      <c r="AG740">
        <v>3.06</v>
      </c>
      <c r="AH740"/>
      <c r="AI740">
        <v>128</v>
      </c>
      <c r="AJ740"/>
      <c r="AK740"/>
      <c r="AL740"/>
      <c r="AM740"/>
      <c r="AN740"/>
      <c r="AO740">
        <v>81</v>
      </c>
      <c r="AP740"/>
      <c r="AQ740" s="323"/>
      <c r="AR740" s="323"/>
      <c r="AS740">
        <v>112</v>
      </c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>
        <v>47.982999999999997</v>
      </c>
      <c r="BH740"/>
      <c r="BI740">
        <v>3.9369000000000001</v>
      </c>
      <c r="BJ740"/>
      <c r="BK740">
        <v>1.0003</v>
      </c>
      <c r="BL740"/>
      <c r="BM740">
        <v>21.585999999999999</v>
      </c>
      <c r="BN740"/>
      <c r="BO740">
        <v>15.425000000000001</v>
      </c>
      <c r="BP740"/>
      <c r="BQ740">
        <v>10.821</v>
      </c>
      <c r="BR740"/>
      <c r="BS740">
        <v>46.219000000000001</v>
      </c>
      <c r="BT740"/>
      <c r="BU740">
        <v>20.649000000000001</v>
      </c>
      <c r="BV740"/>
      <c r="BW740">
        <v>52.872999999999998</v>
      </c>
      <c r="BX740" s="324"/>
      <c r="BY740">
        <v>6.6299999999999955</v>
      </c>
      <c r="BZ740"/>
      <c r="CA740"/>
      <c r="CC740">
        <v>5.2</v>
      </c>
      <c r="CD740"/>
      <c r="CE740"/>
      <c r="CF740"/>
      <c r="CG740"/>
      <c r="CH740"/>
      <c r="CI740"/>
      <c r="CJ740"/>
      <c r="CK740"/>
      <c r="CL740"/>
      <c r="CM740"/>
    </row>
    <row r="741" spans="1:91">
      <c r="A741" s="154" t="s">
        <v>7740</v>
      </c>
      <c r="B741" t="s">
        <v>8289</v>
      </c>
      <c r="C741">
        <v>1</v>
      </c>
      <c r="D741">
        <v>1305</v>
      </c>
      <c r="E741" s="113">
        <v>5</v>
      </c>
      <c r="F741" s="113">
        <v>13</v>
      </c>
      <c r="I741">
        <v>27.499999999999996</v>
      </c>
      <c r="K741" s="320">
        <v>9</v>
      </c>
      <c r="L741" s="320"/>
      <c r="M741">
        <v>1.54</v>
      </c>
      <c r="N741" s="320"/>
      <c r="O741"/>
      <c r="P741"/>
      <c r="Q741"/>
      <c r="S741" s="320">
        <v>6.1800235569899993</v>
      </c>
      <c r="T741" s="320"/>
      <c r="U741">
        <v>10.8</v>
      </c>
      <c r="V741"/>
      <c r="W741"/>
      <c r="X741"/>
      <c r="Y741" s="321">
        <v>2.6352056999999998</v>
      </c>
      <c r="Z741" s="320"/>
      <c r="AA741" s="322">
        <v>43742.514970059885</v>
      </c>
      <c r="AB741" s="320"/>
      <c r="AC741" s="321">
        <v>13.635513</v>
      </c>
      <c r="AD741" s="320"/>
      <c r="AE741" s="320">
        <v>14.61</v>
      </c>
      <c r="AF741" s="320"/>
      <c r="AG741">
        <v>3.34</v>
      </c>
      <c r="AH741"/>
      <c r="AI741">
        <v>130</v>
      </c>
      <c r="AJ741"/>
      <c r="AK741"/>
      <c r="AL741"/>
      <c r="AM741"/>
      <c r="AN741"/>
      <c r="AO741">
        <v>81</v>
      </c>
      <c r="AP741"/>
      <c r="AQ741" s="323"/>
      <c r="AR741" s="323"/>
      <c r="AS741">
        <v>112</v>
      </c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>
        <v>41.271999999999998</v>
      </c>
      <c r="BH741"/>
      <c r="BI741">
        <v>4.1620999999999997</v>
      </c>
      <c r="BJ741"/>
      <c r="BK741">
        <v>1.0042</v>
      </c>
      <c r="BL741"/>
      <c r="BM741">
        <v>29.353000000000002</v>
      </c>
      <c r="BN741"/>
      <c r="BO741">
        <v>16.158999999999999</v>
      </c>
      <c r="BP741"/>
      <c r="BQ741">
        <v>10.489000000000001</v>
      </c>
      <c r="BR741"/>
      <c r="BS741">
        <v>45.323</v>
      </c>
      <c r="BT741"/>
      <c r="BU741">
        <v>21.928000000000001</v>
      </c>
      <c r="BV741"/>
      <c r="BW741">
        <v>64.097999999999999</v>
      </c>
      <c r="BX741" s="324"/>
      <c r="BY741">
        <v>6.7079999999999984</v>
      </c>
      <c r="BZ741"/>
      <c r="CA741"/>
      <c r="CC741">
        <v>6.76</v>
      </c>
      <c r="CD741"/>
      <c r="CE741"/>
      <c r="CF741"/>
      <c r="CG741"/>
      <c r="CH741"/>
      <c r="CI741"/>
      <c r="CJ741"/>
      <c r="CK741"/>
      <c r="CL741"/>
      <c r="CM741"/>
    </row>
    <row r="742" spans="1:91">
      <c r="A742" s="154" t="s">
        <v>7741</v>
      </c>
      <c r="B742" t="s">
        <v>8287</v>
      </c>
      <c r="C742">
        <v>1</v>
      </c>
      <c r="D742">
        <v>225</v>
      </c>
      <c r="E742" s="113">
        <v>25</v>
      </c>
      <c r="F742" s="113">
        <v>2</v>
      </c>
      <c r="I742">
        <v>36</v>
      </c>
      <c r="K742" s="320">
        <v>8</v>
      </c>
      <c r="L742" s="320"/>
      <c r="M742">
        <v>3.64</v>
      </c>
      <c r="N742" s="320"/>
      <c r="O742"/>
      <c r="P742"/>
      <c r="Q742"/>
      <c r="S742" s="320">
        <v>15.7039115354</v>
      </c>
      <c r="T742" s="320"/>
      <c r="U742">
        <v>10.8</v>
      </c>
      <c r="V742"/>
      <c r="W742"/>
      <c r="X742"/>
      <c r="Y742" s="321">
        <v>5.9408648999999993</v>
      </c>
      <c r="Z742" s="320"/>
      <c r="AA742" s="322">
        <v>78441.860465116275</v>
      </c>
      <c r="AB742" s="320"/>
      <c r="AC742" s="321">
        <v>31.470764599999999</v>
      </c>
      <c r="AD742" s="320"/>
      <c r="AE742" s="320">
        <v>33.729999999999997</v>
      </c>
      <c r="AF742" s="320"/>
      <c r="AG742">
        <v>4.3</v>
      </c>
      <c r="AH742"/>
      <c r="AI742">
        <v>168</v>
      </c>
      <c r="AJ742"/>
      <c r="AK742"/>
      <c r="AL742"/>
      <c r="AM742"/>
      <c r="AN742"/>
      <c r="AO742">
        <v>81</v>
      </c>
      <c r="AP742"/>
      <c r="AQ742" s="323"/>
      <c r="AR742" s="323"/>
      <c r="AS742">
        <v>118</v>
      </c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>
        <v>54.151000000000003</v>
      </c>
      <c r="BH742"/>
      <c r="BI742">
        <v>4.3781999999999996</v>
      </c>
      <c r="BJ742"/>
      <c r="BK742">
        <v>0.74785999999999997</v>
      </c>
      <c r="BL742"/>
      <c r="BM742">
        <v>9.7927</v>
      </c>
      <c r="BN742"/>
      <c r="BO742">
        <v>15.923</v>
      </c>
      <c r="BP742"/>
      <c r="BQ742">
        <v>9.2102000000000004</v>
      </c>
      <c r="BR742"/>
      <c r="BS742">
        <v>49.9</v>
      </c>
      <c r="BT742"/>
      <c r="BU742">
        <v>19.459</v>
      </c>
      <c r="BV742"/>
      <c r="BW742" s="325">
        <v>28.99</v>
      </c>
      <c r="BX742"/>
      <c r="BY742">
        <v>6.5220000000000056</v>
      </c>
      <c r="BZ742"/>
      <c r="CA742"/>
      <c r="CC742">
        <v>8.93</v>
      </c>
      <c r="CD742"/>
      <c r="CE742"/>
      <c r="CF742"/>
      <c r="CG742"/>
      <c r="CH742"/>
      <c r="CI742"/>
      <c r="CJ742"/>
      <c r="CK742"/>
      <c r="CL742"/>
      <c r="CM742"/>
    </row>
    <row r="743" spans="1:91">
      <c r="A743" s="154" t="s">
        <v>7741</v>
      </c>
      <c r="B743" t="s">
        <v>8289</v>
      </c>
      <c r="C743">
        <v>2</v>
      </c>
      <c r="D743">
        <v>555</v>
      </c>
      <c r="E743" s="113">
        <v>55</v>
      </c>
      <c r="F743" s="113">
        <v>5</v>
      </c>
      <c r="I743">
        <v>37.5</v>
      </c>
      <c r="K743" s="320">
        <v>7</v>
      </c>
      <c r="L743" s="320"/>
      <c r="M743">
        <v>2.4300000000000002</v>
      </c>
      <c r="N743" s="320"/>
      <c r="O743"/>
      <c r="P743"/>
      <c r="Q743"/>
      <c r="S743" s="320">
        <v>9.8370312523560006</v>
      </c>
      <c r="T743" s="320"/>
      <c r="U743">
        <v>10.8</v>
      </c>
      <c r="V743"/>
      <c r="W743"/>
      <c r="X743"/>
      <c r="Y743" s="321">
        <v>4.3300576</v>
      </c>
      <c r="Z743" s="320"/>
      <c r="AA743" s="322">
        <v>52749.999999999993</v>
      </c>
      <c r="AB743" s="320"/>
      <c r="AC743" s="321">
        <v>21.699493200000003</v>
      </c>
      <c r="AD743" s="320"/>
      <c r="AE743" s="320">
        <v>23.21</v>
      </c>
      <c r="AF743" s="320"/>
      <c r="AG743">
        <v>4.4000000000000004</v>
      </c>
      <c r="AH743"/>
      <c r="AI743">
        <v>133</v>
      </c>
      <c r="AJ743"/>
      <c r="AK743"/>
      <c r="AL743"/>
      <c r="AM743"/>
      <c r="AN743"/>
      <c r="AO743">
        <v>83</v>
      </c>
      <c r="AP743"/>
      <c r="AQ743" s="323"/>
      <c r="AR743" s="323"/>
      <c r="AS743">
        <v>118</v>
      </c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>
        <v>45.610999999999997</v>
      </c>
      <c r="BH743"/>
      <c r="BI743">
        <v>4.0242000000000004</v>
      </c>
      <c r="BJ743"/>
      <c r="BK743">
        <v>1.0637000000000001</v>
      </c>
      <c r="BL743"/>
      <c r="BM743">
        <v>16.134</v>
      </c>
      <c r="BN743"/>
      <c r="BO743">
        <v>14.273999999999999</v>
      </c>
      <c r="BP743"/>
      <c r="BQ743">
        <v>8.1934000000000005</v>
      </c>
      <c r="BR743"/>
      <c r="BS743">
        <v>45.332999999999998</v>
      </c>
      <c r="BT743"/>
      <c r="BU743">
        <v>21.777999999999999</v>
      </c>
      <c r="BV743"/>
      <c r="BW743" s="325">
        <v>12.43</v>
      </c>
      <c r="BX743"/>
      <c r="BY743">
        <v>6.8349999999999937</v>
      </c>
      <c r="BZ743"/>
      <c r="CA743"/>
      <c r="CC743">
        <v>6.11</v>
      </c>
      <c r="CD743"/>
      <c r="CE743"/>
      <c r="CF743"/>
      <c r="CG743"/>
      <c r="CH743"/>
      <c r="CI743"/>
      <c r="CJ743"/>
      <c r="CK743"/>
      <c r="CL743"/>
      <c r="CM743"/>
    </row>
    <row r="744" spans="1:91">
      <c r="A744" s="154" t="s">
        <v>7741</v>
      </c>
      <c r="B744" t="s">
        <v>8289</v>
      </c>
      <c r="C744">
        <v>1</v>
      </c>
      <c r="D744">
        <v>1110</v>
      </c>
      <c r="E744" s="113">
        <v>10</v>
      </c>
      <c r="F744" s="113">
        <v>11</v>
      </c>
      <c r="I744">
        <v>18.5</v>
      </c>
      <c r="K744" s="320">
        <v>9</v>
      </c>
      <c r="L744" s="320"/>
      <c r="M744">
        <v>2.66</v>
      </c>
      <c r="N744" s="320"/>
      <c r="O744"/>
      <c r="P744"/>
      <c r="Q744"/>
      <c r="S744" s="320">
        <v>11.479241639400001</v>
      </c>
      <c r="T744" s="320"/>
      <c r="U744">
        <v>10.8</v>
      </c>
      <c r="V744"/>
      <c r="W744"/>
      <c r="X744"/>
      <c r="Y744" s="321">
        <v>5.0077400000000001</v>
      </c>
      <c r="Z744" s="320"/>
      <c r="AA744" s="322">
        <v>64030.226700251893</v>
      </c>
      <c r="AB744" s="320"/>
      <c r="AC744" s="321">
        <v>23.692965200000003</v>
      </c>
      <c r="AD744" s="320"/>
      <c r="AE744" s="320">
        <v>25.42</v>
      </c>
      <c r="AF744" s="320"/>
      <c r="AG744">
        <v>3.97</v>
      </c>
      <c r="AH744"/>
      <c r="AI744">
        <v>130</v>
      </c>
      <c r="AJ744"/>
      <c r="AK744"/>
      <c r="AL744"/>
      <c r="AM744"/>
      <c r="AN744"/>
      <c r="AO744">
        <v>77</v>
      </c>
      <c r="AP744"/>
      <c r="AQ744" s="323"/>
      <c r="AR744" s="323"/>
      <c r="AS744">
        <v>114</v>
      </c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>
        <v>52.569000000000003</v>
      </c>
      <c r="BH744"/>
      <c r="BI744">
        <v>4.3140999999999998</v>
      </c>
      <c r="BJ744"/>
      <c r="BK744">
        <v>0.80006999999999995</v>
      </c>
      <c r="BL744"/>
      <c r="BM744">
        <v>7.5757000000000003</v>
      </c>
      <c r="BN744"/>
      <c r="BO744">
        <v>15.695</v>
      </c>
      <c r="BP744"/>
      <c r="BQ744">
        <v>9.0053999999999998</v>
      </c>
      <c r="BR744"/>
      <c r="BS744">
        <v>48.45</v>
      </c>
      <c r="BT744"/>
      <c r="BU744">
        <v>20.513000000000002</v>
      </c>
      <c r="BV744"/>
      <c r="BW744" s="325">
        <v>23.43</v>
      </c>
      <c r="BX744"/>
      <c r="BY744">
        <v>6.6659999999999968</v>
      </c>
      <c r="BZ744"/>
      <c r="CA744"/>
      <c r="CC744">
        <v>6.08</v>
      </c>
      <c r="CD744"/>
      <c r="CE744"/>
      <c r="CF744"/>
      <c r="CG744"/>
      <c r="CH744"/>
      <c r="CI744"/>
      <c r="CJ744"/>
      <c r="CK744"/>
      <c r="CL744"/>
      <c r="CM744"/>
    </row>
    <row r="745" spans="1:91">
      <c r="A745" s="154" t="s">
        <v>7741</v>
      </c>
      <c r="B745" t="s">
        <v>8287</v>
      </c>
      <c r="C745">
        <v>2</v>
      </c>
      <c r="D745">
        <v>1746</v>
      </c>
      <c r="E745" s="113">
        <v>46</v>
      </c>
      <c r="F745" s="113">
        <v>17</v>
      </c>
      <c r="I745">
        <v>23.5</v>
      </c>
      <c r="K745" s="320">
        <v>8</v>
      </c>
      <c r="L745" s="320"/>
      <c r="M745">
        <v>2.2000000000000002</v>
      </c>
      <c r="N745" s="320"/>
      <c r="O745"/>
      <c r="P745"/>
      <c r="Q745"/>
      <c r="S745" s="320">
        <v>10.046407469802</v>
      </c>
      <c r="T745" s="320"/>
      <c r="U745">
        <v>10.8</v>
      </c>
      <c r="V745"/>
      <c r="W745"/>
      <c r="X745"/>
      <c r="Y745" s="321">
        <v>3.2267477000000002</v>
      </c>
      <c r="Z745" s="320"/>
      <c r="AA745" s="322">
        <v>53208.020050125313</v>
      </c>
      <c r="AB745" s="320"/>
      <c r="AC745" s="321">
        <v>19.908857099999999</v>
      </c>
      <c r="AD745" s="320"/>
      <c r="AE745" s="320">
        <v>21.23</v>
      </c>
      <c r="AF745" s="320"/>
      <c r="AG745">
        <v>3.99</v>
      </c>
      <c r="AH745"/>
      <c r="AI745">
        <v>133</v>
      </c>
      <c r="AJ745"/>
      <c r="AK745"/>
      <c r="AL745"/>
      <c r="AM745"/>
      <c r="AN745"/>
      <c r="AO745">
        <v>85</v>
      </c>
      <c r="AP745"/>
      <c r="AQ745" s="323"/>
      <c r="AR745" s="323"/>
      <c r="AS745">
        <v>114</v>
      </c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>
        <v>56.764000000000003</v>
      </c>
      <c r="BH745"/>
      <c r="BI745">
        <v>4.3857999999999997</v>
      </c>
      <c r="BJ745"/>
      <c r="BK745">
        <v>0.69362000000000001</v>
      </c>
      <c r="BL745"/>
      <c r="BM745">
        <v>11.406000000000001</v>
      </c>
      <c r="BN745"/>
      <c r="BO745">
        <v>16.096</v>
      </c>
      <c r="BP745"/>
      <c r="BQ745">
        <v>8.8059999999999992</v>
      </c>
      <c r="BR745"/>
      <c r="BS745">
        <v>50.462000000000003</v>
      </c>
      <c r="BT745"/>
      <c r="BU745">
        <v>18.408999999999999</v>
      </c>
      <c r="BV745"/>
      <c r="BW745">
        <v>67.265000000000001</v>
      </c>
      <c r="BX745" s="324"/>
      <c r="BY745">
        <v>6.1760000000000019</v>
      </c>
      <c r="BZ745"/>
      <c r="CA745"/>
      <c r="CC745">
        <v>5.17</v>
      </c>
      <c r="CD745"/>
      <c r="CE745"/>
      <c r="CF745"/>
      <c r="CG745"/>
      <c r="CH745"/>
      <c r="CI745"/>
      <c r="CJ745"/>
      <c r="CK745"/>
      <c r="CL745"/>
      <c r="CM745"/>
    </row>
    <row r="746" spans="1:91">
      <c r="A746" s="327" t="s">
        <v>7742</v>
      </c>
      <c r="B746" s="328" t="s">
        <v>8289</v>
      </c>
      <c r="C746" s="328">
        <v>2</v>
      </c>
      <c r="D746" s="328">
        <v>667</v>
      </c>
      <c r="E746" s="113">
        <v>67</v>
      </c>
      <c r="F746" s="113">
        <v>6</v>
      </c>
      <c r="G746" s="329"/>
      <c r="H746" s="329"/>
      <c r="I746" s="328">
        <v>32.999999999999993</v>
      </c>
      <c r="J746" s="330"/>
      <c r="K746" s="331">
        <v>9</v>
      </c>
      <c r="L746" s="331"/>
      <c r="M746" s="328">
        <v>1.39</v>
      </c>
      <c r="N746" s="331"/>
      <c r="O746" s="328"/>
      <c r="P746" s="328"/>
      <c r="Q746" s="328"/>
      <c r="R746" s="332"/>
      <c r="S746" s="331">
        <v>5.9724420736499999</v>
      </c>
      <c r="T746" s="331"/>
      <c r="U746" s="328">
        <v>10.8</v>
      </c>
      <c r="V746" s="328"/>
      <c r="W746" s="328"/>
      <c r="X746" s="328"/>
      <c r="Y746" s="333">
        <v>2.9118390000000001</v>
      </c>
      <c r="Z746" s="331"/>
      <c r="AA746" s="334">
        <v>22113.144758735438</v>
      </c>
      <c r="AB746" s="331"/>
      <c r="AC746" s="333">
        <v>12.3333858</v>
      </c>
      <c r="AD746" s="331"/>
      <c r="AE746" s="331">
        <v>13.29</v>
      </c>
      <c r="AF746" s="331"/>
      <c r="AG746" s="328">
        <v>6.01</v>
      </c>
      <c r="AH746" s="328"/>
      <c r="AI746" s="328">
        <v>115</v>
      </c>
      <c r="AJ746" s="328"/>
      <c r="AK746" s="328"/>
      <c r="AL746" s="328"/>
      <c r="AM746" s="328"/>
      <c r="AN746" s="328"/>
      <c r="AO746" s="328">
        <v>77</v>
      </c>
      <c r="AP746" s="328"/>
      <c r="AQ746" s="335"/>
      <c r="AR746" s="335"/>
      <c r="AS746" s="328">
        <v>110</v>
      </c>
      <c r="AT746" s="328"/>
      <c r="AU746" s="328"/>
      <c r="AV746" s="328"/>
      <c r="AW746" s="328"/>
      <c r="AX746" s="328"/>
      <c r="AY746" s="328"/>
      <c r="AZ746" s="328"/>
      <c r="BA746" s="328"/>
      <c r="BB746" s="328"/>
      <c r="BC746" s="328"/>
      <c r="BD746" s="328"/>
      <c r="BE746" s="328"/>
      <c r="BF746" s="328"/>
      <c r="BG746" s="328">
        <v>56.701999999999998</v>
      </c>
      <c r="BH746" s="328"/>
      <c r="BI746" s="328">
        <v>4.2389999999999999</v>
      </c>
      <c r="BJ746" s="328"/>
      <c r="BK746" s="328">
        <v>0.72016999999999998</v>
      </c>
      <c r="BL746" s="328"/>
      <c r="BM746" s="328">
        <v>6.0686999999999998</v>
      </c>
      <c r="BN746" s="328"/>
      <c r="BO746" s="328">
        <v>14.558</v>
      </c>
      <c r="BP746" s="328"/>
      <c r="BQ746" s="328">
        <v>10.709</v>
      </c>
      <c r="BR746" s="328"/>
      <c r="BS746" s="328">
        <v>48.424999999999997</v>
      </c>
      <c r="BT746" s="328"/>
      <c r="BU746" s="328">
        <v>20.687999999999999</v>
      </c>
      <c r="BV746" s="328"/>
      <c r="BW746" s="336">
        <v>27.76</v>
      </c>
      <c r="BX746" s="328"/>
      <c r="BY746" s="328">
        <v>6.5250000000000057</v>
      </c>
      <c r="BZ746" s="328"/>
      <c r="CA746" s="328"/>
      <c r="CB746" s="337"/>
      <c r="CC746" s="328">
        <v>6.05</v>
      </c>
      <c r="CD746" s="328"/>
      <c r="CE746" s="328"/>
      <c r="CF746" s="328"/>
      <c r="CG746" s="328"/>
      <c r="CH746" s="328"/>
      <c r="CI746" s="328"/>
      <c r="CJ746" s="328"/>
      <c r="CK746" s="328"/>
      <c r="CL746" s="328"/>
      <c r="CM746" s="328"/>
    </row>
    <row r="747" spans="1:91">
      <c r="A747" s="327" t="s">
        <v>7742</v>
      </c>
      <c r="B747" s="328" t="s">
        <v>8287</v>
      </c>
      <c r="C747" s="328">
        <v>1</v>
      </c>
      <c r="D747" s="328">
        <v>919</v>
      </c>
      <c r="E747" s="113">
        <v>19</v>
      </c>
      <c r="F747" s="113">
        <v>9</v>
      </c>
      <c r="G747" s="329"/>
      <c r="H747" s="329"/>
      <c r="I747" s="328">
        <v>24.5</v>
      </c>
      <c r="J747" s="330"/>
      <c r="K747" s="331">
        <v>7</v>
      </c>
      <c r="L747" s="331"/>
      <c r="M747" s="328">
        <v>0.44</v>
      </c>
      <c r="N747" s="331"/>
      <c r="O747" s="328"/>
      <c r="P747" s="328"/>
      <c r="Q747" s="328"/>
      <c r="R747" s="332"/>
      <c r="S747" s="331">
        <v>2.063120217522</v>
      </c>
      <c r="T747" s="331"/>
      <c r="U747" s="328">
        <v>10.8</v>
      </c>
      <c r="V747" s="328"/>
      <c r="W747" s="328"/>
      <c r="X747" s="328"/>
      <c r="Y747" s="333">
        <v>0.7167524999999999</v>
      </c>
      <c r="Z747" s="331"/>
      <c r="AA747" s="334" t="e">
        <v>#DIV/0!</v>
      </c>
      <c r="AB747" s="331"/>
      <c r="AC747" s="333">
        <v>3.9507482</v>
      </c>
      <c r="AD747" s="331"/>
      <c r="AE747" s="331">
        <v>4.21</v>
      </c>
      <c r="AF747" s="331"/>
      <c r="AG747" s="328"/>
      <c r="AH747" s="328"/>
      <c r="AI747" s="328"/>
      <c r="AJ747" s="328"/>
      <c r="AK747" s="328"/>
      <c r="AL747" s="328"/>
      <c r="AM747" s="328"/>
      <c r="AN747" s="328"/>
      <c r="AO747" s="328">
        <v>81</v>
      </c>
      <c r="AP747" s="328"/>
      <c r="AQ747" s="335"/>
      <c r="AR747" s="335"/>
      <c r="AS747" s="328">
        <v>116</v>
      </c>
      <c r="AT747" s="328"/>
      <c r="AU747" s="328"/>
      <c r="AV747" s="328"/>
      <c r="AW747" s="328"/>
      <c r="AX747" s="328"/>
      <c r="AY747" s="328"/>
      <c r="AZ747" s="328"/>
      <c r="BA747" s="328"/>
      <c r="BB747" s="328"/>
      <c r="BC747" s="328"/>
      <c r="BD747" s="328"/>
      <c r="BE747" s="328"/>
      <c r="BF747" s="328"/>
      <c r="BG747" s="328">
        <v>47.07</v>
      </c>
      <c r="BH747" s="328"/>
      <c r="BI747" s="328">
        <v>4.2483000000000004</v>
      </c>
      <c r="BJ747" s="328"/>
      <c r="BK747" s="328">
        <v>0.88258000000000003</v>
      </c>
      <c r="BL747" s="328"/>
      <c r="BM747" s="328">
        <v>10.548999999999999</v>
      </c>
      <c r="BN747" s="328"/>
      <c r="BO747" s="328">
        <v>13.564</v>
      </c>
      <c r="BP747" s="328"/>
      <c r="BQ747" s="328">
        <v>10.885999999999999</v>
      </c>
      <c r="BR747" s="328"/>
      <c r="BS747" s="328">
        <v>52.220999999999997</v>
      </c>
      <c r="BT747" s="328"/>
      <c r="BU747" s="328">
        <v>19.036999999999999</v>
      </c>
      <c r="BV747" s="328"/>
      <c r="BW747" s="336">
        <v>22.78</v>
      </c>
      <c r="BX747" s="328"/>
      <c r="BY747" s="328">
        <v>6.0130000000000052</v>
      </c>
      <c r="BZ747" s="328"/>
      <c r="CA747" s="328"/>
      <c r="CB747" s="337"/>
      <c r="CC747" s="328">
        <v>5.98</v>
      </c>
      <c r="CD747" s="328"/>
      <c r="CE747" s="328"/>
      <c r="CF747" s="328"/>
      <c r="CG747" s="328"/>
      <c r="CH747" s="328"/>
      <c r="CI747" s="328"/>
      <c r="CJ747" s="328"/>
      <c r="CK747" s="328" t="s">
        <v>8377</v>
      </c>
      <c r="CL747" s="328"/>
      <c r="CM747" s="328"/>
    </row>
    <row r="748" spans="1:91">
      <c r="A748" s="327" t="s">
        <v>7742</v>
      </c>
      <c r="B748" s="328" t="s">
        <v>8287</v>
      </c>
      <c r="C748" s="328">
        <v>2</v>
      </c>
      <c r="D748" s="328">
        <v>1343</v>
      </c>
      <c r="E748" s="113">
        <v>43</v>
      </c>
      <c r="F748" s="113">
        <v>13</v>
      </c>
      <c r="G748" s="329"/>
      <c r="H748" s="329"/>
      <c r="I748" s="328">
        <v>28.5</v>
      </c>
      <c r="J748" s="330"/>
      <c r="K748" s="331">
        <v>9</v>
      </c>
      <c r="L748" s="331"/>
      <c r="M748" s="328">
        <v>1.57</v>
      </c>
      <c r="N748" s="331"/>
      <c r="O748" s="328"/>
      <c r="P748" s="328"/>
      <c r="Q748" s="328"/>
      <c r="R748" s="332"/>
      <c r="S748" s="331">
        <v>7.0318161605119993</v>
      </c>
      <c r="T748" s="331"/>
      <c r="U748" s="328">
        <v>10.8</v>
      </c>
      <c r="V748" s="328"/>
      <c r="W748" s="328"/>
      <c r="X748" s="328"/>
      <c r="Y748" s="333">
        <v>2.7748708</v>
      </c>
      <c r="Z748" s="331"/>
      <c r="AA748" s="334">
        <v>25910.652920962195</v>
      </c>
      <c r="AB748" s="331"/>
      <c r="AC748" s="333">
        <v>14.146246400000001</v>
      </c>
      <c r="AD748" s="331"/>
      <c r="AE748" s="331">
        <v>15.08</v>
      </c>
      <c r="AF748" s="331"/>
      <c r="AG748" s="328">
        <v>5.82</v>
      </c>
      <c r="AH748" s="328"/>
      <c r="AI748" s="328">
        <v>120</v>
      </c>
      <c r="AJ748" s="328"/>
      <c r="AK748" s="328"/>
      <c r="AL748" s="328"/>
      <c r="AM748" s="328"/>
      <c r="AN748" s="328"/>
      <c r="AO748" s="328">
        <v>81</v>
      </c>
      <c r="AP748" s="328"/>
      <c r="AQ748" s="335"/>
      <c r="AR748" s="335"/>
      <c r="AS748" s="328">
        <v>112</v>
      </c>
      <c r="AT748" s="328"/>
      <c r="AU748" s="328"/>
      <c r="AV748" s="328"/>
      <c r="AW748" s="328"/>
      <c r="AX748" s="328"/>
      <c r="AY748" s="328"/>
      <c r="AZ748" s="328"/>
      <c r="BA748" s="328"/>
      <c r="BB748" s="328"/>
      <c r="BC748" s="328"/>
      <c r="BD748" s="328"/>
      <c r="BE748" s="328"/>
      <c r="BF748" s="328"/>
      <c r="BG748" s="328">
        <v>59.06</v>
      </c>
      <c r="BH748" s="328"/>
      <c r="BI748" s="328">
        <v>4.2904999999999998</v>
      </c>
      <c r="BJ748" s="328"/>
      <c r="BK748" s="328">
        <v>0.52393999999999996</v>
      </c>
      <c r="BL748" s="328"/>
      <c r="BM748" s="328">
        <v>8.0103000000000009</v>
      </c>
      <c r="BN748" s="328"/>
      <c r="BO748" s="328">
        <v>13.917999999999999</v>
      </c>
      <c r="BP748" s="328"/>
      <c r="BQ748" s="328">
        <v>11.564</v>
      </c>
      <c r="BR748" s="328"/>
      <c r="BS748" s="328">
        <v>49.707999999999998</v>
      </c>
      <c r="BT748" s="328"/>
      <c r="BU748" s="328">
        <v>20.079999999999998</v>
      </c>
      <c r="BV748" s="328"/>
      <c r="BW748" s="328">
        <v>85.891000000000005</v>
      </c>
      <c r="BX748" s="339"/>
      <c r="BY748" s="328">
        <v>6.0240000000000009</v>
      </c>
      <c r="BZ748" s="328"/>
      <c r="CA748" s="328"/>
      <c r="CB748" s="337"/>
      <c r="CC748" s="328">
        <v>5.57</v>
      </c>
      <c r="CD748" s="328"/>
      <c r="CE748" s="328"/>
      <c r="CF748" s="328"/>
      <c r="CG748" s="328"/>
      <c r="CH748" s="328"/>
      <c r="CI748" s="328"/>
      <c r="CJ748" s="328"/>
      <c r="CK748" s="328"/>
      <c r="CL748" s="328"/>
      <c r="CM748" s="328"/>
    </row>
    <row r="749" spans="1:91">
      <c r="A749" s="327" t="s">
        <v>7742</v>
      </c>
      <c r="B749" s="328" t="s">
        <v>8289</v>
      </c>
      <c r="C749" s="328">
        <v>1</v>
      </c>
      <c r="D749" s="328">
        <v>1524</v>
      </c>
      <c r="E749" s="113">
        <v>24</v>
      </c>
      <c r="F749" s="113">
        <v>15</v>
      </c>
      <c r="G749" s="329"/>
      <c r="H749" s="329"/>
      <c r="I749" s="328">
        <v>36</v>
      </c>
      <c r="J749" s="330"/>
      <c r="K749" s="331">
        <v>8</v>
      </c>
      <c r="L749" s="331"/>
      <c r="M749" s="328">
        <v>2.1</v>
      </c>
      <c r="N749" s="331"/>
      <c r="O749" s="328"/>
      <c r="P749" s="328"/>
      <c r="Q749" s="328"/>
      <c r="R749" s="332"/>
      <c r="S749" s="331">
        <v>8.8946207857560005</v>
      </c>
      <c r="T749" s="331"/>
      <c r="U749" s="328">
        <v>10.8</v>
      </c>
      <c r="V749" s="328"/>
      <c r="W749" s="328"/>
      <c r="X749" s="328"/>
      <c r="Y749" s="333">
        <v>3.5514041999999999</v>
      </c>
      <c r="Z749" s="331"/>
      <c r="AA749" s="334">
        <v>32835.314091680819</v>
      </c>
      <c r="AB749" s="331"/>
      <c r="AC749" s="333">
        <v>18.142660599999999</v>
      </c>
      <c r="AD749" s="331"/>
      <c r="AE749" s="331">
        <v>19.34</v>
      </c>
      <c r="AF749" s="331"/>
      <c r="AG749" s="328">
        <v>5.89</v>
      </c>
      <c r="AH749" s="328"/>
      <c r="AI749" s="328">
        <v>108</v>
      </c>
      <c r="AJ749" s="328"/>
      <c r="AK749" s="328"/>
      <c r="AL749" s="328"/>
      <c r="AM749" s="328"/>
      <c r="AN749" s="328"/>
      <c r="AO749" s="328">
        <v>77</v>
      </c>
      <c r="AP749" s="328"/>
      <c r="AQ749" s="335"/>
      <c r="AR749" s="335"/>
      <c r="AS749" s="328">
        <v>112</v>
      </c>
      <c r="AT749" s="328"/>
      <c r="AU749" s="328"/>
      <c r="AV749" s="328"/>
      <c r="AW749" s="328"/>
      <c r="AX749" s="328"/>
      <c r="AY749" s="328"/>
      <c r="AZ749" s="328"/>
      <c r="BA749" s="328"/>
      <c r="BB749" s="328"/>
      <c r="BC749" s="328"/>
      <c r="BD749" s="328"/>
      <c r="BE749" s="328"/>
      <c r="BF749" s="328"/>
      <c r="BG749" s="328">
        <v>49.374000000000002</v>
      </c>
      <c r="BH749" s="328"/>
      <c r="BI749" s="328">
        <v>4.4611000000000001</v>
      </c>
      <c r="BJ749" s="328"/>
      <c r="BK749" s="328">
        <v>0.64454</v>
      </c>
      <c r="BL749" s="328"/>
      <c r="BM749" s="328">
        <v>11.513</v>
      </c>
      <c r="BN749" s="328"/>
      <c r="BO749" s="328">
        <v>15.678000000000001</v>
      </c>
      <c r="BP749" s="328"/>
      <c r="BQ749" s="328">
        <v>11.423999999999999</v>
      </c>
      <c r="BR749" s="328"/>
      <c r="BS749" s="328">
        <v>49.026000000000003</v>
      </c>
      <c r="BT749" s="328"/>
      <c r="BU749" s="328">
        <v>20.841000000000001</v>
      </c>
      <c r="BV749" s="328"/>
      <c r="BW749" s="328">
        <v>76.125</v>
      </c>
      <c r="BX749" s="339"/>
      <c r="BY749" s="328">
        <v>6.1500000000000057</v>
      </c>
      <c r="BZ749" s="328"/>
      <c r="CA749" s="328"/>
      <c r="CB749" s="337"/>
      <c r="CC749" s="328">
        <v>9.5</v>
      </c>
      <c r="CD749" s="328"/>
      <c r="CE749" s="328"/>
      <c r="CF749" s="328"/>
      <c r="CG749" s="328"/>
      <c r="CH749" s="328"/>
      <c r="CI749" s="328"/>
      <c r="CJ749" s="328"/>
      <c r="CK749" s="328"/>
      <c r="CL749" s="328"/>
      <c r="CM749" s="328"/>
    </row>
    <row r="750" spans="1:91">
      <c r="A750" s="154" t="s">
        <v>7743</v>
      </c>
      <c r="B750" t="s">
        <v>8287</v>
      </c>
      <c r="C750">
        <v>1</v>
      </c>
      <c r="D750">
        <v>321</v>
      </c>
      <c r="E750" s="113">
        <v>21</v>
      </c>
      <c r="F750" s="113">
        <v>3</v>
      </c>
      <c r="I750">
        <v>43.5</v>
      </c>
      <c r="K750" s="320">
        <v>8</v>
      </c>
      <c r="L750" s="320"/>
      <c r="M750">
        <v>2.94</v>
      </c>
      <c r="N750" s="320"/>
      <c r="O750"/>
      <c r="P750"/>
      <c r="Q750"/>
      <c r="S750" s="320">
        <v>13.145294910719997</v>
      </c>
      <c r="T750" s="320"/>
      <c r="U750">
        <v>10.8</v>
      </c>
      <c r="V750"/>
      <c r="W750"/>
      <c r="X750"/>
      <c r="Y750" s="321">
        <v>4.6561019999999997</v>
      </c>
      <c r="Z750" s="320"/>
      <c r="AA750" s="322">
        <v>65429.234338747105</v>
      </c>
      <c r="AB750" s="320"/>
      <c r="AC750" s="321">
        <v>26.467391999999997</v>
      </c>
      <c r="AD750" s="320"/>
      <c r="AE750" s="320">
        <v>28.2</v>
      </c>
      <c r="AF750" s="320"/>
      <c r="AG750">
        <v>4.3099999999999996</v>
      </c>
      <c r="AH750"/>
      <c r="AI750">
        <v>128</v>
      </c>
      <c r="AJ750"/>
      <c r="AK750"/>
      <c r="AL750"/>
      <c r="AM750"/>
      <c r="AN750"/>
      <c r="AO750">
        <v>72</v>
      </c>
      <c r="AP750"/>
      <c r="AQ750" s="323"/>
      <c r="AR750" s="323"/>
      <c r="AS750">
        <v>112</v>
      </c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>
        <v>53.064</v>
      </c>
      <c r="BH750"/>
      <c r="BI750">
        <v>4.0715000000000003</v>
      </c>
      <c r="BJ750"/>
      <c r="BK750">
        <v>0.79390000000000005</v>
      </c>
      <c r="BL750"/>
      <c r="BM750">
        <v>15.840999999999999</v>
      </c>
      <c r="BN750"/>
      <c r="BO750">
        <v>12.836</v>
      </c>
      <c r="BP750"/>
      <c r="BQ750">
        <v>10.484999999999999</v>
      </c>
      <c r="BR750"/>
      <c r="BS750">
        <v>49.665999999999997</v>
      </c>
      <c r="BT750"/>
      <c r="BU750">
        <v>18.341999999999999</v>
      </c>
      <c r="BV750"/>
      <c r="BW750">
        <v>77.947999999999993</v>
      </c>
      <c r="BX750" s="324"/>
      <c r="BY750">
        <v>6.0319999999999965</v>
      </c>
      <c r="BZ750"/>
      <c r="CA750"/>
      <c r="CC750">
        <v>5.73</v>
      </c>
      <c r="CD750"/>
      <c r="CE750"/>
      <c r="CF750"/>
      <c r="CG750"/>
      <c r="CH750"/>
      <c r="CI750"/>
      <c r="CJ750"/>
      <c r="CK750"/>
      <c r="CL750"/>
      <c r="CM750"/>
    </row>
    <row r="751" spans="1:91">
      <c r="A751" s="154" t="s">
        <v>7743</v>
      </c>
      <c r="B751" t="s">
        <v>8289</v>
      </c>
      <c r="C751">
        <v>2</v>
      </c>
      <c r="D751">
        <v>643</v>
      </c>
      <c r="E751" s="113">
        <v>43</v>
      </c>
      <c r="F751" s="113">
        <v>6</v>
      </c>
      <c r="I751">
        <v>38.999999999999993</v>
      </c>
      <c r="K751" s="320">
        <v>9</v>
      </c>
      <c r="L751" s="320"/>
      <c r="M751">
        <v>3.19</v>
      </c>
      <c r="N751" s="320"/>
      <c r="O751"/>
      <c r="P751"/>
      <c r="Q751"/>
      <c r="S751" s="320">
        <v>13.881363057674998</v>
      </c>
      <c r="T751" s="320"/>
      <c r="U751">
        <v>10.8</v>
      </c>
      <c r="V751"/>
      <c r="W751"/>
      <c r="X751"/>
      <c r="Y751" s="321">
        <v>6.6296999999999988</v>
      </c>
      <c r="Z751" s="320"/>
      <c r="AA751" s="322">
        <v>68030.973451327445</v>
      </c>
      <c r="AB751" s="320"/>
      <c r="AC751" s="321">
        <v>28.893622499999999</v>
      </c>
      <c r="AD751" s="320"/>
      <c r="AE751" s="320">
        <v>30.75</v>
      </c>
      <c r="AF751" s="320"/>
      <c r="AG751">
        <v>4.5199999999999996</v>
      </c>
      <c r="AH751"/>
      <c r="AI751">
        <v>128</v>
      </c>
      <c r="AJ751"/>
      <c r="AK751"/>
      <c r="AL751"/>
      <c r="AM751"/>
      <c r="AN751"/>
      <c r="AO751">
        <v>77</v>
      </c>
      <c r="AP751"/>
      <c r="AQ751" s="323"/>
      <c r="AR751" s="323"/>
      <c r="AS751">
        <v>112</v>
      </c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>
        <v>60.287999999999997</v>
      </c>
      <c r="BH751"/>
      <c r="BI751">
        <v>3.9683000000000002</v>
      </c>
      <c r="BJ751"/>
      <c r="BK751">
        <v>0.67356000000000005</v>
      </c>
      <c r="BL751"/>
      <c r="BM751">
        <v>11.689</v>
      </c>
      <c r="BN751"/>
      <c r="BO751">
        <v>12.662000000000001</v>
      </c>
      <c r="BP751"/>
      <c r="BQ751">
        <v>11.010999999999999</v>
      </c>
      <c r="BR751"/>
      <c r="BS751">
        <v>48.042999999999999</v>
      </c>
      <c r="BT751"/>
      <c r="BU751">
        <v>19.957999999999998</v>
      </c>
      <c r="BV751"/>
      <c r="BW751" s="325">
        <v>79.069999999999993</v>
      </c>
      <c r="BX751"/>
      <c r="BY751">
        <v>6.3130000000000024</v>
      </c>
      <c r="BZ751"/>
      <c r="CA751"/>
      <c r="CC751">
        <v>5.25</v>
      </c>
      <c r="CD751"/>
      <c r="CE751"/>
      <c r="CF751"/>
      <c r="CG751"/>
      <c r="CH751"/>
      <c r="CI751"/>
      <c r="CJ751"/>
      <c r="CK751"/>
      <c r="CL751"/>
      <c r="CM751"/>
    </row>
    <row r="752" spans="1:91">
      <c r="A752" s="154" t="s">
        <v>7743</v>
      </c>
      <c r="B752" t="s">
        <v>8287</v>
      </c>
      <c r="C752">
        <v>2</v>
      </c>
      <c r="D752">
        <v>1355</v>
      </c>
      <c r="E752" s="113">
        <v>55</v>
      </c>
      <c r="F752" s="113">
        <v>13</v>
      </c>
      <c r="I752">
        <v>37</v>
      </c>
      <c r="K752" s="320">
        <v>9</v>
      </c>
      <c r="L752" s="320"/>
      <c r="M752">
        <v>1.85</v>
      </c>
      <c r="N752" s="320"/>
      <c r="O752"/>
      <c r="P752"/>
      <c r="Q752"/>
      <c r="S752" s="320">
        <v>8.1268632776099992</v>
      </c>
      <c r="T752" s="320"/>
      <c r="U752">
        <v>10.8</v>
      </c>
      <c r="V752"/>
      <c r="W752"/>
      <c r="X752"/>
      <c r="Y752" s="321">
        <v>2.8774245999999999</v>
      </c>
      <c r="Z752" s="320"/>
      <c r="AA752" s="322">
        <v>49888.26815642458</v>
      </c>
      <c r="AB752" s="320"/>
      <c r="AC752" s="321">
        <v>16.716781399999999</v>
      </c>
      <c r="AD752" s="320"/>
      <c r="AE752" s="320">
        <v>17.86</v>
      </c>
      <c r="AF752" s="320"/>
      <c r="AG752">
        <v>3.58</v>
      </c>
      <c r="AH752"/>
      <c r="AI752">
        <v>123</v>
      </c>
      <c r="AJ752"/>
      <c r="AK752"/>
      <c r="AL752"/>
      <c r="AM752"/>
      <c r="AN752"/>
      <c r="AO752">
        <v>77</v>
      </c>
      <c r="AP752"/>
      <c r="AQ752" s="323"/>
      <c r="AR752" s="323"/>
      <c r="AS752">
        <v>112</v>
      </c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>
        <v>54.076999999999998</v>
      </c>
      <c r="BH752"/>
      <c r="BI752">
        <v>4.5037000000000003</v>
      </c>
      <c r="BJ752"/>
      <c r="BK752">
        <v>0.72997999999999996</v>
      </c>
      <c r="BL752"/>
      <c r="BM752">
        <v>16.419</v>
      </c>
      <c r="BN752"/>
      <c r="BO752">
        <v>15.018000000000001</v>
      </c>
      <c r="BP752"/>
      <c r="BQ752">
        <v>10.032</v>
      </c>
      <c r="BR752"/>
      <c r="BS752">
        <v>48.615000000000002</v>
      </c>
      <c r="BT752"/>
      <c r="BU752">
        <v>18.239999999999998</v>
      </c>
      <c r="BV752"/>
      <c r="BW752" s="325">
        <v>69.39</v>
      </c>
      <c r="BX752"/>
      <c r="BY752">
        <v>6.269999999999996</v>
      </c>
      <c r="BZ752"/>
      <c r="CA752"/>
      <c r="CC752">
        <v>5.0999999999999996</v>
      </c>
      <c r="CD752"/>
      <c r="CE752"/>
      <c r="CF752"/>
      <c r="CG752"/>
      <c r="CH752"/>
      <c r="CI752"/>
      <c r="CJ752"/>
      <c r="CK752"/>
      <c r="CL752"/>
      <c r="CM752"/>
    </row>
    <row r="753" spans="1:91">
      <c r="A753" s="154" t="s">
        <v>7743</v>
      </c>
      <c r="B753" t="s">
        <v>8289</v>
      </c>
      <c r="C753">
        <v>1</v>
      </c>
      <c r="D753">
        <v>1736</v>
      </c>
      <c r="E753" s="113">
        <v>36</v>
      </c>
      <c r="F753" s="113">
        <v>17</v>
      </c>
      <c r="I753">
        <v>34.5</v>
      </c>
      <c r="K753" s="320">
        <v>8</v>
      </c>
      <c r="L753" s="320"/>
      <c r="M753">
        <v>2.6</v>
      </c>
      <c r="N753" s="320"/>
      <c r="O753"/>
      <c r="P753"/>
      <c r="Q753"/>
      <c r="S753" s="320">
        <v>11.157290198963999</v>
      </c>
      <c r="T753" s="320"/>
      <c r="U753">
        <v>10.8</v>
      </c>
      <c r="V753"/>
      <c r="W753"/>
      <c r="X753"/>
      <c r="Y753" s="321">
        <v>4.6918872</v>
      </c>
      <c r="Z753" s="320"/>
      <c r="AA753" s="322">
        <v>66585.365853658543</v>
      </c>
      <c r="AB753" s="320"/>
      <c r="AC753" s="321">
        <v>22.903662600000001</v>
      </c>
      <c r="AD753" s="320"/>
      <c r="AE753" s="320">
        <v>24.57</v>
      </c>
      <c r="AF753" s="320"/>
      <c r="AG753">
        <v>3.69</v>
      </c>
      <c r="AH753"/>
      <c r="AI753">
        <v>118</v>
      </c>
      <c r="AJ753"/>
      <c r="AK753"/>
      <c r="AL753"/>
      <c r="AM753"/>
      <c r="AN753"/>
      <c r="AO753">
        <v>79</v>
      </c>
      <c r="AP753"/>
      <c r="AQ753" s="323"/>
      <c r="AR753" s="323"/>
      <c r="AS753">
        <v>112</v>
      </c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>
        <v>50.158999999999999</v>
      </c>
      <c r="BH753"/>
      <c r="BI753">
        <v>4.3682999999999996</v>
      </c>
      <c r="BJ753"/>
      <c r="BK753">
        <v>0.85438000000000003</v>
      </c>
      <c r="BL753"/>
      <c r="BM753">
        <v>16.475999999999999</v>
      </c>
      <c r="BN753"/>
      <c r="BO753">
        <v>15.218999999999999</v>
      </c>
      <c r="BP753"/>
      <c r="BQ753">
        <v>9.2276000000000007</v>
      </c>
      <c r="BR753"/>
      <c r="BS753">
        <v>48.713999999999999</v>
      </c>
      <c r="BT753"/>
      <c r="BU753">
        <v>18.62</v>
      </c>
      <c r="BV753"/>
      <c r="BW753" s="325">
        <v>23.13</v>
      </c>
      <c r="BX753"/>
      <c r="BY753">
        <v>6.7560000000000002</v>
      </c>
      <c r="BZ753"/>
      <c r="CA753"/>
      <c r="CC753">
        <v>7.12</v>
      </c>
      <c r="CD753"/>
      <c r="CE753"/>
      <c r="CF753"/>
      <c r="CG753"/>
      <c r="CH753"/>
      <c r="CI753"/>
      <c r="CJ753"/>
      <c r="CK753"/>
      <c r="CL753"/>
      <c r="CM753"/>
    </row>
    <row r="754" spans="1:91">
      <c r="A754" s="327" t="s">
        <v>7744</v>
      </c>
      <c r="B754" s="328" t="s">
        <v>8289</v>
      </c>
      <c r="C754" s="328">
        <v>2</v>
      </c>
      <c r="D754" s="328">
        <v>370</v>
      </c>
      <c r="E754" s="113">
        <v>70</v>
      </c>
      <c r="F754" s="113">
        <v>3</v>
      </c>
      <c r="G754" s="329"/>
      <c r="H754" s="329"/>
      <c r="I754" s="328">
        <v>23.999999999999996</v>
      </c>
      <c r="J754" s="330"/>
      <c r="K754" s="331">
        <v>7</v>
      </c>
      <c r="L754" s="331"/>
      <c r="M754" s="328">
        <v>0.63</v>
      </c>
      <c r="N754" s="331"/>
      <c r="O754" s="328"/>
      <c r="P754" s="328"/>
      <c r="Q754" s="328"/>
      <c r="R754" s="332"/>
      <c r="S754" s="331">
        <v>0</v>
      </c>
      <c r="T754" s="331"/>
      <c r="U754" s="328">
        <v>10.8</v>
      </c>
      <c r="V754" s="328"/>
      <c r="W754" s="328"/>
      <c r="X754" s="328"/>
      <c r="Y754" s="333">
        <v>1.4256992000000002</v>
      </c>
      <c r="Z754" s="331"/>
      <c r="AA754" s="334">
        <v>15510.204081632652</v>
      </c>
      <c r="AB754" s="331"/>
      <c r="AC754" s="333">
        <v>5.6179200000000007</v>
      </c>
      <c r="AD754" s="331"/>
      <c r="AE754" s="331">
        <v>6.08</v>
      </c>
      <c r="AF754" s="331"/>
      <c r="AG754" s="328">
        <v>3.92</v>
      </c>
      <c r="AH754" s="328"/>
      <c r="AI754" s="328">
        <v>115</v>
      </c>
      <c r="AJ754" s="328"/>
      <c r="AK754" s="328"/>
      <c r="AL754" s="328"/>
      <c r="AM754" s="328"/>
      <c r="AN754" s="328"/>
      <c r="AO754" s="328">
        <v>80</v>
      </c>
      <c r="AP754" s="328"/>
      <c r="AQ754" s="335"/>
      <c r="AR754" s="335"/>
      <c r="AS754" s="328">
        <v>118</v>
      </c>
      <c r="AT754" s="328"/>
      <c r="AU754" s="328"/>
      <c r="AV754" s="328"/>
      <c r="AW754" s="328"/>
      <c r="AX754" s="328"/>
      <c r="AY754" s="328"/>
      <c r="AZ754" s="328"/>
      <c r="BA754" s="328"/>
      <c r="BB754" s="328"/>
      <c r="BC754" s="328"/>
      <c r="BD754" s="328"/>
      <c r="BE754" s="328"/>
      <c r="BF754" s="328"/>
      <c r="BG754" s="328"/>
      <c r="BH754" s="328"/>
      <c r="BI754" s="328"/>
      <c r="BJ754" s="328"/>
      <c r="BK754" s="328"/>
      <c r="BL754" s="328"/>
      <c r="BM754" s="328"/>
      <c r="BN754" s="328"/>
      <c r="BO754" s="328"/>
      <c r="BP754" s="328"/>
      <c r="BQ754" s="328"/>
      <c r="BR754" s="328"/>
      <c r="BS754" s="328"/>
      <c r="BT754" s="328"/>
      <c r="BU754" s="328"/>
      <c r="BV754" s="328"/>
      <c r="BW754" s="328" t="s">
        <v>8361</v>
      </c>
      <c r="BX754" s="339"/>
      <c r="BY754" s="328" t="s">
        <v>8237</v>
      </c>
      <c r="BZ754" s="328"/>
      <c r="CA754" s="328"/>
      <c r="CB754" s="337"/>
      <c r="CC754" s="328">
        <v>5.23</v>
      </c>
      <c r="CD754" s="328"/>
      <c r="CE754" s="328"/>
      <c r="CF754" s="328"/>
      <c r="CG754" s="328"/>
      <c r="CH754" s="328"/>
      <c r="CI754" s="328"/>
      <c r="CJ754" s="328"/>
      <c r="CK754" s="328" t="s">
        <v>8377</v>
      </c>
      <c r="CL754" s="328"/>
      <c r="CM754" s="328"/>
    </row>
    <row r="755" spans="1:91">
      <c r="A755" s="154" t="s">
        <v>7744</v>
      </c>
      <c r="B755" t="s">
        <v>8287</v>
      </c>
      <c r="C755">
        <v>1</v>
      </c>
      <c r="D755">
        <v>533</v>
      </c>
      <c r="E755" s="113">
        <v>33</v>
      </c>
      <c r="F755" s="113">
        <v>5</v>
      </c>
      <c r="I755">
        <v>27.499999999999996</v>
      </c>
      <c r="K755" s="320">
        <v>9</v>
      </c>
      <c r="L755" s="320"/>
      <c r="M755">
        <v>2.14</v>
      </c>
      <c r="N755" s="320"/>
      <c r="O755"/>
      <c r="P755"/>
      <c r="Q755"/>
      <c r="S755" s="320">
        <v>9.1033992906449992</v>
      </c>
      <c r="T755" s="320"/>
      <c r="U755">
        <v>10.8</v>
      </c>
      <c r="V755"/>
      <c r="W755"/>
      <c r="X755"/>
      <c r="Y755" s="321">
        <v>3.2546184</v>
      </c>
      <c r="Z755" s="320"/>
      <c r="AA755" s="322">
        <v>51881.443298969076</v>
      </c>
      <c r="AB755" s="320"/>
      <c r="AC755" s="321">
        <v>18.8261799</v>
      </c>
      <c r="AD755" s="320"/>
      <c r="AE755" s="320">
        <v>20.13</v>
      </c>
      <c r="AF755" s="320"/>
      <c r="AG755">
        <v>3.88</v>
      </c>
      <c r="AH755"/>
      <c r="AI755">
        <v>155</v>
      </c>
      <c r="AJ755"/>
      <c r="AK755"/>
      <c r="AL755"/>
      <c r="AM755"/>
      <c r="AN755"/>
      <c r="AO755">
        <v>90</v>
      </c>
      <c r="AP755"/>
      <c r="AQ755" s="323"/>
      <c r="AR755" s="323"/>
      <c r="AS755">
        <v>114</v>
      </c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>
        <v>49.597000000000001</v>
      </c>
      <c r="BH755"/>
      <c r="BI755">
        <v>4.0857999999999999</v>
      </c>
      <c r="BJ755"/>
      <c r="BK755">
        <v>0.80961000000000005</v>
      </c>
      <c r="BL755"/>
      <c r="BM755">
        <v>15.301</v>
      </c>
      <c r="BN755"/>
      <c r="BO755">
        <v>13.118</v>
      </c>
      <c r="BP755"/>
      <c r="BQ755">
        <v>10.45</v>
      </c>
      <c r="BR755"/>
      <c r="BS755">
        <v>48.354999999999997</v>
      </c>
      <c r="BT755"/>
      <c r="BU755">
        <v>20.949000000000002</v>
      </c>
      <c r="BV755"/>
      <c r="BW755">
        <v>78.459000000000003</v>
      </c>
      <c r="BX755" s="324"/>
      <c r="BY755">
        <v>6.1430000000000007</v>
      </c>
      <c r="BZ755"/>
      <c r="CA755"/>
      <c r="CC755">
        <v>7.53</v>
      </c>
      <c r="CD755"/>
      <c r="CE755"/>
      <c r="CF755"/>
      <c r="CG755"/>
      <c r="CH755"/>
      <c r="CI755"/>
      <c r="CJ755"/>
      <c r="CK755"/>
      <c r="CL755"/>
      <c r="CM755"/>
    </row>
    <row r="756" spans="1:91">
      <c r="A756" s="154" t="s">
        <v>7744</v>
      </c>
      <c r="B756" t="s">
        <v>8289</v>
      </c>
      <c r="C756">
        <v>1</v>
      </c>
      <c r="D756">
        <v>1003</v>
      </c>
      <c r="E756" s="113">
        <v>3</v>
      </c>
      <c r="F756" s="113">
        <v>10</v>
      </c>
      <c r="I756">
        <v>26.499999999999996</v>
      </c>
      <c r="K756" s="320">
        <v>9</v>
      </c>
      <c r="L756" s="320"/>
      <c r="M756">
        <v>2.2200000000000002</v>
      </c>
      <c r="N756" s="320"/>
      <c r="O756"/>
      <c r="P756"/>
      <c r="Q756"/>
      <c r="S756" s="320">
        <v>9.5445054672329999</v>
      </c>
      <c r="T756" s="320"/>
      <c r="U756">
        <v>10.8</v>
      </c>
      <c r="V756"/>
      <c r="W756"/>
      <c r="X756"/>
      <c r="Y756" s="321">
        <v>4.2193527</v>
      </c>
      <c r="Z756" s="320"/>
      <c r="AA756" s="322">
        <v>61580.459770114947</v>
      </c>
      <c r="AB756" s="320"/>
      <c r="AC756" s="321">
        <v>19.992261299999999</v>
      </c>
      <c r="AD756" s="320"/>
      <c r="AE756" s="320">
        <v>21.43</v>
      </c>
      <c r="AF756" s="320"/>
      <c r="AG756">
        <v>3.48</v>
      </c>
      <c r="AH756"/>
      <c r="AI756">
        <v>130</v>
      </c>
      <c r="AJ756"/>
      <c r="AK756"/>
      <c r="AL756"/>
      <c r="AM756"/>
      <c r="AN756"/>
      <c r="AO756">
        <v>90</v>
      </c>
      <c r="AP756"/>
      <c r="AQ756" s="323"/>
      <c r="AR756" s="323"/>
      <c r="AS756">
        <v>116</v>
      </c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>
        <v>53.997999999999998</v>
      </c>
      <c r="BH756"/>
      <c r="BI756">
        <v>4.7165999999999997</v>
      </c>
      <c r="BJ756"/>
      <c r="BK756">
        <v>0.71384000000000003</v>
      </c>
      <c r="BL756"/>
      <c r="BM756">
        <v>9.8661999999999992</v>
      </c>
      <c r="BN756"/>
      <c r="BO756">
        <v>14.416</v>
      </c>
      <c r="BP756"/>
      <c r="BQ756">
        <v>9.3932000000000002</v>
      </c>
      <c r="BR756"/>
      <c r="BS756">
        <v>47.741</v>
      </c>
      <c r="BT756"/>
      <c r="BU756">
        <v>21.966999999999999</v>
      </c>
      <c r="BV756"/>
      <c r="BW756">
        <v>81.671999999999997</v>
      </c>
      <c r="BX756" s="324"/>
      <c r="BY756">
        <v>6.2199999999999989</v>
      </c>
      <c r="BZ756"/>
      <c r="CA756"/>
      <c r="CC756">
        <v>5.14</v>
      </c>
      <c r="CD756"/>
      <c r="CE756"/>
      <c r="CF756"/>
      <c r="CG756"/>
      <c r="CH756"/>
      <c r="CI756"/>
      <c r="CJ756"/>
      <c r="CK756"/>
      <c r="CL756"/>
      <c r="CM756"/>
    </row>
    <row r="757" spans="1:91">
      <c r="A757" s="154" t="s">
        <v>7744</v>
      </c>
      <c r="B757" t="s">
        <v>8287</v>
      </c>
      <c r="C757">
        <v>2</v>
      </c>
      <c r="D757">
        <v>1643</v>
      </c>
      <c r="E757" s="113">
        <v>43</v>
      </c>
      <c r="F757" s="113">
        <v>16</v>
      </c>
      <c r="I757">
        <v>31</v>
      </c>
      <c r="K757" s="320">
        <v>8</v>
      </c>
      <c r="L757" s="320"/>
      <c r="M757">
        <v>1.56</v>
      </c>
      <c r="N757" s="320"/>
      <c r="O757"/>
      <c r="P757"/>
      <c r="Q757"/>
      <c r="S757" s="320">
        <v>7.0562175720959992</v>
      </c>
      <c r="T757" s="320"/>
      <c r="U757">
        <v>10.8</v>
      </c>
      <c r="V757"/>
      <c r="W757"/>
      <c r="X757"/>
      <c r="Y757" s="321">
        <v>2.5626479999999998</v>
      </c>
      <c r="Z757" s="320"/>
      <c r="AA757" s="322">
        <v>43488.372093023259</v>
      </c>
      <c r="AB757" s="320"/>
      <c r="AC757" s="321">
        <v>13.907713599999999</v>
      </c>
      <c r="AD757" s="320"/>
      <c r="AE757" s="320">
        <v>14.96</v>
      </c>
      <c r="AF757" s="320"/>
      <c r="AG757">
        <v>3.44</v>
      </c>
      <c r="AH757"/>
      <c r="AI757">
        <v>75</v>
      </c>
      <c r="AJ757"/>
      <c r="AK757"/>
      <c r="AL757"/>
      <c r="AM757"/>
      <c r="AN757"/>
      <c r="AO757">
        <v>85</v>
      </c>
      <c r="AP757"/>
      <c r="AQ757" s="323"/>
      <c r="AR757" s="323"/>
      <c r="AS757">
        <v>112</v>
      </c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>
        <v>55.276000000000003</v>
      </c>
      <c r="BH757"/>
      <c r="BI757">
        <v>4.1707999999999998</v>
      </c>
      <c r="BJ757"/>
      <c r="BK757">
        <v>0.81037999999999999</v>
      </c>
      <c r="BL757"/>
      <c r="BM757">
        <v>9.6559000000000008</v>
      </c>
      <c r="BN757"/>
      <c r="BO757">
        <v>13.914</v>
      </c>
      <c r="BP757"/>
      <c r="BQ757">
        <v>8.9308999999999994</v>
      </c>
      <c r="BR757"/>
      <c r="BS757">
        <v>50.735999999999997</v>
      </c>
      <c r="BT757"/>
      <c r="BU757">
        <v>19.655999999999999</v>
      </c>
      <c r="BV757"/>
      <c r="BW757">
        <v>60.917999999999999</v>
      </c>
      <c r="BX757" s="324"/>
      <c r="BY757">
        <v>5.8080000000000069</v>
      </c>
      <c r="BZ757"/>
      <c r="CA757"/>
      <c r="CC757">
        <v>5.78</v>
      </c>
      <c r="CD757"/>
      <c r="CE757"/>
      <c r="CF757"/>
      <c r="CG757"/>
      <c r="CH757"/>
      <c r="CI757"/>
      <c r="CJ757"/>
      <c r="CK757"/>
      <c r="CL757"/>
      <c r="CM757"/>
    </row>
    <row r="758" spans="1:91" s="338" customFormat="1">
      <c r="A758" s="154" t="s">
        <v>7745</v>
      </c>
      <c r="B758" t="s">
        <v>8287</v>
      </c>
      <c r="C758">
        <v>1</v>
      </c>
      <c r="D758">
        <v>330</v>
      </c>
      <c r="E758" s="113">
        <v>30</v>
      </c>
      <c r="F758" s="113">
        <v>3</v>
      </c>
      <c r="G758" s="113"/>
      <c r="H758" s="113"/>
      <c r="I758">
        <v>35.499999999999993</v>
      </c>
      <c r="J758" s="112"/>
      <c r="K758" s="320">
        <v>8</v>
      </c>
      <c r="L758" s="320"/>
      <c r="M758">
        <v>2.5</v>
      </c>
      <c r="N758" s="320"/>
      <c r="O758"/>
      <c r="P758"/>
      <c r="Q758"/>
      <c r="R758" s="153"/>
      <c r="S758" s="320">
        <v>11.12617215639</v>
      </c>
      <c r="T758" s="320"/>
      <c r="U758">
        <v>10.8</v>
      </c>
      <c r="V758"/>
      <c r="W758"/>
      <c r="X758"/>
      <c r="Y758" s="321">
        <v>4.4088260000000004</v>
      </c>
      <c r="Z758" s="320"/>
      <c r="AA758" s="322">
        <v>49574.468085106382</v>
      </c>
      <c r="AB758" s="320"/>
      <c r="AC758" s="321">
        <v>21.853303</v>
      </c>
      <c r="AD758" s="320"/>
      <c r="AE758" s="320">
        <v>23.3</v>
      </c>
      <c r="AF758" s="320"/>
      <c r="AG758">
        <v>4.7</v>
      </c>
      <c r="AH758"/>
      <c r="AI758">
        <v>155</v>
      </c>
      <c r="AJ758"/>
      <c r="AK758"/>
      <c r="AL758"/>
      <c r="AM758"/>
      <c r="AN758"/>
      <c r="AO758">
        <v>79</v>
      </c>
      <c r="AP758"/>
      <c r="AQ758" s="323"/>
      <c r="AR758" s="323"/>
      <c r="AS758">
        <v>118</v>
      </c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>
        <v>48.753999999999998</v>
      </c>
      <c r="BH758"/>
      <c r="BI758">
        <v>4.5326000000000004</v>
      </c>
      <c r="BJ758"/>
      <c r="BK758">
        <v>0.64166999999999996</v>
      </c>
      <c r="BL758"/>
      <c r="BM758">
        <v>12.526</v>
      </c>
      <c r="BN758"/>
      <c r="BO758">
        <v>16.141999999999999</v>
      </c>
      <c r="BP758"/>
      <c r="BQ758">
        <v>9.7364999999999995</v>
      </c>
      <c r="BR758"/>
      <c r="BS758">
        <v>50.912999999999997</v>
      </c>
      <c r="BT758"/>
      <c r="BU758">
        <v>19.087</v>
      </c>
      <c r="BV758"/>
      <c r="BW758">
        <v>69.992000000000004</v>
      </c>
      <c r="BX758" s="324"/>
      <c r="BY758">
        <v>5.9110000000000014</v>
      </c>
      <c r="BZ758"/>
      <c r="CA758"/>
      <c r="CB758" s="136"/>
      <c r="CC758">
        <v>8.39</v>
      </c>
      <c r="CD758"/>
      <c r="CE758"/>
      <c r="CF758"/>
      <c r="CG758"/>
      <c r="CH758"/>
      <c r="CI758"/>
      <c r="CJ758"/>
      <c r="CK758"/>
      <c r="CL758"/>
      <c r="CM758"/>
    </row>
    <row r="759" spans="1:91" s="338" customFormat="1">
      <c r="A759" s="154" t="s">
        <v>7745</v>
      </c>
      <c r="B759" t="s">
        <v>8289</v>
      </c>
      <c r="C759">
        <v>2</v>
      </c>
      <c r="D759">
        <v>753</v>
      </c>
      <c r="E759" s="113">
        <v>53</v>
      </c>
      <c r="F759" s="113">
        <v>7</v>
      </c>
      <c r="G759" s="113"/>
      <c r="H759" s="113"/>
      <c r="I759">
        <v>30.499999999999996</v>
      </c>
      <c r="J759" s="112"/>
      <c r="K759" s="320">
        <v>8</v>
      </c>
      <c r="L759" s="320"/>
      <c r="M759">
        <v>2.21</v>
      </c>
      <c r="N759" s="320"/>
      <c r="O759"/>
      <c r="P759"/>
      <c r="Q759"/>
      <c r="R759" s="153"/>
      <c r="S759" s="320">
        <v>9.5829260198319997</v>
      </c>
      <c r="T759" s="320"/>
      <c r="U759">
        <v>10.8</v>
      </c>
      <c r="V759"/>
      <c r="W759"/>
      <c r="X759"/>
      <c r="Y759" s="321">
        <v>4.0797691</v>
      </c>
      <c r="Z759" s="320"/>
      <c r="AA759" s="322">
        <v>51033.653846153844</v>
      </c>
      <c r="AB759" s="320"/>
      <c r="AC759" s="321">
        <v>19.802707099999999</v>
      </c>
      <c r="AD759" s="320"/>
      <c r="AE759" s="320">
        <v>21.23</v>
      </c>
      <c r="AF759" s="320"/>
      <c r="AG759">
        <v>4.16</v>
      </c>
      <c r="AH759"/>
      <c r="AI759">
        <v>140</v>
      </c>
      <c r="AJ759"/>
      <c r="AK759"/>
      <c r="AL759"/>
      <c r="AM759"/>
      <c r="AN759"/>
      <c r="AO759">
        <v>77</v>
      </c>
      <c r="AP759"/>
      <c r="AQ759" s="323"/>
      <c r="AR759" s="323"/>
      <c r="AS759">
        <v>118</v>
      </c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>
        <v>49.273000000000003</v>
      </c>
      <c r="BH759"/>
      <c r="BI759">
        <v>4.3531000000000004</v>
      </c>
      <c r="BJ759"/>
      <c r="BK759">
        <v>0.89527000000000001</v>
      </c>
      <c r="BL759"/>
      <c r="BM759">
        <v>8.8587000000000007</v>
      </c>
      <c r="BN759"/>
      <c r="BO759">
        <v>14.914999999999999</v>
      </c>
      <c r="BP759"/>
      <c r="BQ759">
        <v>8.7819000000000003</v>
      </c>
      <c r="BR759"/>
      <c r="BS759">
        <v>48.392000000000003</v>
      </c>
      <c r="BT759"/>
      <c r="BU759">
        <v>20.853000000000002</v>
      </c>
      <c r="BV759"/>
      <c r="BW759" s="325">
        <v>14.58</v>
      </c>
      <c r="BX759"/>
      <c r="BY759">
        <v>6.0999999999999943</v>
      </c>
      <c r="BZ759"/>
      <c r="CA759"/>
      <c r="CB759" s="136"/>
      <c r="CC759">
        <v>5.58</v>
      </c>
      <c r="CD759"/>
      <c r="CE759"/>
      <c r="CF759"/>
      <c r="CG759"/>
      <c r="CH759"/>
      <c r="CI759"/>
      <c r="CJ759"/>
      <c r="CK759"/>
      <c r="CL759"/>
      <c r="CM759"/>
    </row>
    <row r="760" spans="1:91" s="338" customFormat="1">
      <c r="A760" s="154" t="s">
        <v>7745</v>
      </c>
      <c r="B760" t="s">
        <v>8287</v>
      </c>
      <c r="C760">
        <v>2</v>
      </c>
      <c r="D760">
        <v>1175</v>
      </c>
      <c r="E760" s="113">
        <v>75</v>
      </c>
      <c r="F760" s="113">
        <v>11</v>
      </c>
      <c r="G760" s="113"/>
      <c r="H760" s="113"/>
      <c r="I760">
        <v>32.5</v>
      </c>
      <c r="J760" s="112"/>
      <c r="K760" s="320">
        <v>9</v>
      </c>
      <c r="L760" s="320"/>
      <c r="M760">
        <v>2.0699999999999998</v>
      </c>
      <c r="N760" s="320"/>
      <c r="O760"/>
      <c r="P760"/>
      <c r="Q760"/>
      <c r="R760" s="153"/>
      <c r="S760" s="320">
        <v>9.5910015616919999</v>
      </c>
      <c r="T760" s="320"/>
      <c r="U760">
        <v>10.8</v>
      </c>
      <c r="V760"/>
      <c r="W760"/>
      <c r="X760"/>
      <c r="Y760" s="321">
        <v>3.3845556000000001</v>
      </c>
      <c r="Z760" s="320"/>
      <c r="AA760" s="322">
        <v>47600.950118764842</v>
      </c>
      <c r="AB760" s="320"/>
      <c r="AC760" s="321">
        <v>18.7327908</v>
      </c>
      <c r="AD760" s="320"/>
      <c r="AE760" s="320">
        <v>20.04</v>
      </c>
      <c r="AF760" s="320"/>
      <c r="AG760">
        <v>4.21</v>
      </c>
      <c r="AH760"/>
      <c r="AI760">
        <v>128</v>
      </c>
      <c r="AJ760"/>
      <c r="AK760"/>
      <c r="AL760"/>
      <c r="AM760"/>
      <c r="AN760"/>
      <c r="AO760">
        <v>90</v>
      </c>
      <c r="AP760"/>
      <c r="AQ760" s="323"/>
      <c r="AR760" s="323"/>
      <c r="AS760">
        <v>116</v>
      </c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>
        <v>51.863999999999997</v>
      </c>
      <c r="BH760"/>
      <c r="BI760">
        <v>4.1315</v>
      </c>
      <c r="BJ760"/>
      <c r="BK760">
        <v>0.65322999999999998</v>
      </c>
      <c r="BL760"/>
      <c r="BM760">
        <v>3.0787</v>
      </c>
      <c r="BN760"/>
      <c r="BO760">
        <v>15.02</v>
      </c>
      <c r="BP760"/>
      <c r="BQ760">
        <v>9.5367999999999995</v>
      </c>
      <c r="BR760"/>
      <c r="BS760">
        <v>51.198999999999998</v>
      </c>
      <c r="BT760"/>
      <c r="BU760">
        <v>19.167000000000002</v>
      </c>
      <c r="BV760"/>
      <c r="BW760">
        <v>43.115000000000002</v>
      </c>
      <c r="BX760" s="324"/>
      <c r="BY760">
        <v>5.992999999999995</v>
      </c>
      <c r="BZ760"/>
      <c r="CA760"/>
      <c r="CB760" s="136"/>
      <c r="CC760">
        <v>4.84</v>
      </c>
      <c r="CD760"/>
      <c r="CE760"/>
      <c r="CF760"/>
      <c r="CG760"/>
      <c r="CH760"/>
      <c r="CI760"/>
      <c r="CJ760"/>
      <c r="CK760"/>
      <c r="CL760"/>
      <c r="CM760"/>
    </row>
    <row r="761" spans="1:91" s="338" customFormat="1">
      <c r="A761" s="154" t="s">
        <v>7745</v>
      </c>
      <c r="B761" t="s">
        <v>8289</v>
      </c>
      <c r="C761">
        <v>1</v>
      </c>
      <c r="D761">
        <v>1309</v>
      </c>
      <c r="E761" s="113">
        <v>9</v>
      </c>
      <c r="F761" s="113">
        <v>13</v>
      </c>
      <c r="G761" s="113"/>
      <c r="H761" s="113"/>
      <c r="I761">
        <v>29.5</v>
      </c>
      <c r="J761" s="112"/>
      <c r="K761" s="320">
        <v>9</v>
      </c>
      <c r="L761" s="320"/>
      <c r="M761">
        <v>2.35</v>
      </c>
      <c r="N761" s="320"/>
      <c r="O761"/>
      <c r="P761"/>
      <c r="Q761"/>
      <c r="R761" s="153"/>
      <c r="S761" s="320">
        <v>10.275054486144002</v>
      </c>
      <c r="T761" s="320"/>
      <c r="U761">
        <v>10.8</v>
      </c>
      <c r="V761"/>
      <c r="W761"/>
      <c r="X761"/>
      <c r="Y761" s="321">
        <v>4.1848341000000007</v>
      </c>
      <c r="Z761" s="320"/>
      <c r="AA761" s="322">
        <v>59867.021276595755</v>
      </c>
      <c r="AB761" s="320"/>
      <c r="AC761" s="321">
        <v>21.0261408</v>
      </c>
      <c r="AD761" s="320"/>
      <c r="AE761" s="320">
        <v>22.51</v>
      </c>
      <c r="AF761" s="320"/>
      <c r="AG761">
        <v>3.76</v>
      </c>
      <c r="AH761"/>
      <c r="AI761">
        <v>150</v>
      </c>
      <c r="AJ761"/>
      <c r="AK761"/>
      <c r="AL761"/>
      <c r="AM761"/>
      <c r="AN761"/>
      <c r="AO761">
        <v>81</v>
      </c>
      <c r="AP761"/>
      <c r="AQ761" s="323"/>
      <c r="AR761" s="323"/>
      <c r="AS761">
        <v>118</v>
      </c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>
        <v>40.396999999999998</v>
      </c>
      <c r="BH761"/>
      <c r="BI761">
        <v>4.3720999999999997</v>
      </c>
      <c r="BJ761"/>
      <c r="BK761">
        <v>0.92473000000000005</v>
      </c>
      <c r="BL761"/>
      <c r="BM761">
        <v>22.081</v>
      </c>
      <c r="BN761"/>
      <c r="BO761">
        <v>15.212</v>
      </c>
      <c r="BP761"/>
      <c r="BQ761">
        <v>10.528</v>
      </c>
      <c r="BR761"/>
      <c r="BS761">
        <v>48.868000000000002</v>
      </c>
      <c r="BT761"/>
      <c r="BU761">
        <v>21.411000000000001</v>
      </c>
      <c r="BV761"/>
      <c r="BW761">
        <v>58.338999999999999</v>
      </c>
      <c r="BX761" s="324"/>
      <c r="BY761">
        <v>5.8589999999999947</v>
      </c>
      <c r="BZ761"/>
      <c r="CA761"/>
      <c r="CB761" s="136"/>
      <c r="CC761">
        <v>5.86</v>
      </c>
      <c r="CD761"/>
      <c r="CE761"/>
      <c r="CF761"/>
      <c r="CG761"/>
      <c r="CH761"/>
      <c r="CI761"/>
      <c r="CJ761"/>
      <c r="CK761"/>
      <c r="CL761"/>
      <c r="CM761"/>
    </row>
    <row r="762" spans="1:91">
      <c r="A762" s="154" t="s">
        <v>7746</v>
      </c>
      <c r="B762" t="s">
        <v>8287</v>
      </c>
      <c r="C762">
        <v>1</v>
      </c>
      <c r="D762">
        <v>328</v>
      </c>
      <c r="E762" s="113">
        <v>28</v>
      </c>
      <c r="F762" s="113">
        <v>3</v>
      </c>
      <c r="I762">
        <v>27.499999999999996</v>
      </c>
      <c r="K762" s="320">
        <v>7</v>
      </c>
      <c r="L762" s="320"/>
      <c r="M762">
        <v>2.15</v>
      </c>
      <c r="N762" s="320"/>
      <c r="O762"/>
      <c r="P762"/>
      <c r="Q762"/>
      <c r="S762" s="320">
        <v>9.5084863157300017</v>
      </c>
      <c r="T762" s="320"/>
      <c r="U762">
        <v>10.8</v>
      </c>
      <c r="V762"/>
      <c r="W762"/>
      <c r="X762"/>
      <c r="Y762" s="321">
        <v>3.9430333000000002</v>
      </c>
      <c r="Z762" s="320"/>
      <c r="AA762" s="322">
        <v>48602.409638554214</v>
      </c>
      <c r="AB762" s="320"/>
      <c r="AC762" s="321">
        <v>18.811550500000003</v>
      </c>
      <c r="AD762" s="320"/>
      <c r="AE762" s="320">
        <v>20.170000000000002</v>
      </c>
      <c r="AF762" s="320"/>
      <c r="AG762">
        <v>4.1500000000000004</v>
      </c>
      <c r="AH762"/>
      <c r="AI762">
        <v>133</v>
      </c>
      <c r="AJ762"/>
      <c r="AK762"/>
      <c r="AL762"/>
      <c r="AM762"/>
      <c r="AN762"/>
      <c r="AO762">
        <v>77</v>
      </c>
      <c r="AP762"/>
      <c r="AQ762" s="323"/>
      <c r="AR762" s="323"/>
      <c r="AS762">
        <v>116</v>
      </c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>
        <v>49.542000000000002</v>
      </c>
      <c r="BH762"/>
      <c r="BI762">
        <v>3.8879000000000001</v>
      </c>
      <c r="BJ762"/>
      <c r="BK762">
        <v>0.77783999999999998</v>
      </c>
      <c r="BL762"/>
      <c r="BM762">
        <v>18.736000000000001</v>
      </c>
      <c r="BN762"/>
      <c r="BO762">
        <v>15.412000000000001</v>
      </c>
      <c r="BP762"/>
      <c r="BQ762">
        <v>10.220000000000001</v>
      </c>
      <c r="BR762"/>
      <c r="BS762">
        <v>50.545999999999999</v>
      </c>
      <c r="BT762"/>
      <c r="BU762">
        <v>19.004999999999999</v>
      </c>
      <c r="BV762"/>
      <c r="BW762">
        <v>43.631</v>
      </c>
      <c r="BX762" s="324"/>
      <c r="BY762">
        <v>6.5699999999999932</v>
      </c>
      <c r="BZ762"/>
      <c r="CA762"/>
      <c r="CC762">
        <v>7.78</v>
      </c>
      <c r="CD762"/>
      <c r="CE762"/>
      <c r="CF762"/>
      <c r="CG762"/>
      <c r="CH762"/>
      <c r="CI762"/>
      <c r="CJ762"/>
      <c r="CK762"/>
      <c r="CL762"/>
      <c r="CM762"/>
    </row>
    <row r="763" spans="1:91">
      <c r="A763" s="154" t="s">
        <v>7746</v>
      </c>
      <c r="B763" t="s">
        <v>8289</v>
      </c>
      <c r="C763">
        <v>2</v>
      </c>
      <c r="D763">
        <v>747</v>
      </c>
      <c r="E763" s="113">
        <v>47</v>
      </c>
      <c r="F763" s="113">
        <v>7</v>
      </c>
      <c r="I763">
        <v>35</v>
      </c>
      <c r="K763" s="320">
        <v>8</v>
      </c>
      <c r="L763" s="320"/>
      <c r="M763">
        <v>2.3199999999999998</v>
      </c>
      <c r="N763" s="320"/>
      <c r="O763"/>
      <c r="P763"/>
      <c r="Q763"/>
      <c r="S763" s="320">
        <v>10.250657693199999</v>
      </c>
      <c r="T763" s="320"/>
      <c r="U763">
        <v>10.8</v>
      </c>
      <c r="V763"/>
      <c r="W763"/>
      <c r="X763"/>
      <c r="Y763" s="321">
        <v>3.8561935999999992</v>
      </c>
      <c r="Z763" s="320"/>
      <c r="AA763" s="322">
        <v>56734.693877551013</v>
      </c>
      <c r="AB763" s="320"/>
      <c r="AC763" s="321">
        <v>20.862231999999999</v>
      </c>
      <c r="AD763" s="320"/>
      <c r="AE763" s="320">
        <v>22.24</v>
      </c>
      <c r="AF763" s="320"/>
      <c r="AG763">
        <v>3.92</v>
      </c>
      <c r="AH763"/>
      <c r="AI763">
        <v>133</v>
      </c>
      <c r="AJ763"/>
      <c r="AK763"/>
      <c r="AL763"/>
      <c r="AM763"/>
      <c r="AN763"/>
      <c r="AO763">
        <v>75</v>
      </c>
      <c r="AP763"/>
      <c r="AQ763" s="323"/>
      <c r="AR763" s="323"/>
      <c r="AS763">
        <v>112</v>
      </c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>
        <v>55.215000000000003</v>
      </c>
      <c r="BH763"/>
      <c r="BI763">
        <v>3.6865999999999999</v>
      </c>
      <c r="BJ763"/>
      <c r="BK763">
        <v>0.72970000000000002</v>
      </c>
      <c r="BL763"/>
      <c r="BM763">
        <v>10.538</v>
      </c>
      <c r="BN763"/>
      <c r="BO763">
        <v>13.769</v>
      </c>
      <c r="BP763"/>
      <c r="BQ763">
        <v>9.8594000000000008</v>
      </c>
      <c r="BR763"/>
      <c r="BS763">
        <v>49.134999999999998</v>
      </c>
      <c r="BT763"/>
      <c r="BU763">
        <v>20.094999999999999</v>
      </c>
      <c r="BV763"/>
      <c r="BW763">
        <v>46.325000000000003</v>
      </c>
      <c r="BX763" s="324"/>
      <c r="BY763">
        <v>6.4449999999999932</v>
      </c>
      <c r="BZ763"/>
      <c r="CA763"/>
      <c r="CC763">
        <v>5.77</v>
      </c>
      <c r="CD763"/>
      <c r="CE763"/>
      <c r="CF763"/>
      <c r="CG763"/>
      <c r="CH763"/>
      <c r="CI763"/>
      <c r="CJ763"/>
      <c r="CK763"/>
      <c r="CL763"/>
      <c r="CM763"/>
    </row>
    <row r="764" spans="1:91">
      <c r="A764" s="154" t="s">
        <v>7746</v>
      </c>
      <c r="B764" t="s">
        <v>8287</v>
      </c>
      <c r="C764">
        <v>2</v>
      </c>
      <c r="D764">
        <v>1373</v>
      </c>
      <c r="E764" s="113">
        <v>73</v>
      </c>
      <c r="F764" s="113">
        <v>13</v>
      </c>
      <c r="I764">
        <v>27.499999999999996</v>
      </c>
      <c r="K764" s="320">
        <v>9</v>
      </c>
      <c r="L764" s="320"/>
      <c r="M764">
        <v>2</v>
      </c>
      <c r="N764" s="320"/>
      <c r="O764"/>
      <c r="P764"/>
      <c r="Q764"/>
      <c r="S764" s="320">
        <v>9.2399508639360004</v>
      </c>
      <c r="T764" s="320"/>
      <c r="U764">
        <v>10.8</v>
      </c>
      <c r="V764"/>
      <c r="W764"/>
      <c r="X764"/>
      <c r="Y764" s="321">
        <v>3.6238193999999999</v>
      </c>
      <c r="Z764" s="320"/>
      <c r="AA764" s="322">
        <v>50365.535248041779</v>
      </c>
      <c r="AB764" s="320"/>
      <c r="AC764" s="321">
        <v>18.135686400000001</v>
      </c>
      <c r="AD764" s="320"/>
      <c r="AE764" s="320">
        <v>19.29</v>
      </c>
      <c r="AF764" s="320"/>
      <c r="AG764">
        <v>3.83</v>
      </c>
      <c r="AH764"/>
      <c r="AI764">
        <v>133</v>
      </c>
      <c r="AJ764"/>
      <c r="AK764"/>
      <c r="AL764"/>
      <c r="AM764"/>
      <c r="AN764"/>
      <c r="AO764">
        <v>77</v>
      </c>
      <c r="AP764"/>
      <c r="AQ764" s="323"/>
      <c r="AR764" s="323"/>
      <c r="AS764">
        <v>112</v>
      </c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>
        <v>53.767000000000003</v>
      </c>
      <c r="BH764"/>
      <c r="BI764">
        <v>4.3681000000000001</v>
      </c>
      <c r="BJ764"/>
      <c r="BK764">
        <v>0.63224999999999998</v>
      </c>
      <c r="BL764"/>
      <c r="BM764">
        <v>15.003</v>
      </c>
      <c r="BN764"/>
      <c r="BO764">
        <v>14.808999999999999</v>
      </c>
      <c r="BP764"/>
      <c r="BQ764">
        <v>10.074999999999999</v>
      </c>
      <c r="BR764"/>
      <c r="BS764">
        <v>50.948999999999998</v>
      </c>
      <c r="BT764"/>
      <c r="BU764">
        <v>17.984999999999999</v>
      </c>
      <c r="BV764"/>
      <c r="BW764">
        <v>48.478000000000002</v>
      </c>
      <c r="BX764" s="324"/>
      <c r="BY764">
        <v>6.3370000000000033</v>
      </c>
      <c r="BZ764"/>
      <c r="CA764"/>
      <c r="CC764">
        <v>5.2</v>
      </c>
      <c r="CD764"/>
      <c r="CE764"/>
      <c r="CF764"/>
      <c r="CG764"/>
      <c r="CH764"/>
      <c r="CI764"/>
      <c r="CJ764"/>
      <c r="CK764"/>
      <c r="CL764"/>
      <c r="CM764"/>
    </row>
    <row r="765" spans="1:91">
      <c r="A765" s="154" t="s">
        <v>7746</v>
      </c>
      <c r="B765" t="s">
        <v>8289</v>
      </c>
      <c r="C765">
        <v>1</v>
      </c>
      <c r="D765">
        <v>1404</v>
      </c>
      <c r="E765" s="113">
        <v>4</v>
      </c>
      <c r="F765" s="113">
        <v>14</v>
      </c>
      <c r="I765">
        <v>27.999999999999996</v>
      </c>
      <c r="K765" s="320">
        <v>9</v>
      </c>
      <c r="L765" s="320"/>
      <c r="M765">
        <v>2.27</v>
      </c>
      <c r="N765" s="320"/>
      <c r="O765"/>
      <c r="P765"/>
      <c r="Q765"/>
      <c r="S765" s="320">
        <v>9.7374046387199993</v>
      </c>
      <c r="T765" s="320"/>
      <c r="U765">
        <v>10.8</v>
      </c>
      <c r="V765"/>
      <c r="W765"/>
      <c r="X765"/>
      <c r="Y765" s="321">
        <v>4.0397440000000007</v>
      </c>
      <c r="Z765" s="320"/>
      <c r="AA765" s="322">
        <v>60110.49723756907</v>
      </c>
      <c r="AB765" s="320"/>
      <c r="AC765" s="321">
        <v>20.364748800000001</v>
      </c>
      <c r="AD765" s="320"/>
      <c r="AE765" s="320">
        <v>21.76</v>
      </c>
      <c r="AF765" s="320"/>
      <c r="AG765">
        <v>3.62</v>
      </c>
      <c r="AH765"/>
      <c r="AI765">
        <v>135</v>
      </c>
      <c r="AJ765"/>
      <c r="AK765"/>
      <c r="AL765"/>
      <c r="AM765"/>
      <c r="AN765"/>
      <c r="AO765">
        <v>77</v>
      </c>
      <c r="AP765"/>
      <c r="AQ765" s="323"/>
      <c r="AR765" s="323"/>
      <c r="AS765">
        <v>112</v>
      </c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>
        <v>48.194000000000003</v>
      </c>
      <c r="BH765"/>
      <c r="BI765">
        <v>3.9178999999999999</v>
      </c>
      <c r="BJ765"/>
      <c r="BK765">
        <v>0.72231999999999996</v>
      </c>
      <c r="BL765"/>
      <c r="BM765">
        <v>16.283000000000001</v>
      </c>
      <c r="BN765"/>
      <c r="BO765">
        <v>15.153</v>
      </c>
      <c r="BP765"/>
      <c r="BQ765">
        <v>10.913</v>
      </c>
      <c r="BR765"/>
      <c r="BS765">
        <v>47.814999999999998</v>
      </c>
      <c r="BT765"/>
      <c r="BU765">
        <v>21.111000000000001</v>
      </c>
      <c r="BV765"/>
      <c r="BW765">
        <v>61.225000000000001</v>
      </c>
      <c r="BX765" s="324"/>
      <c r="BY765">
        <v>6.3730000000000047</v>
      </c>
      <c r="BZ765"/>
      <c r="CA765"/>
      <c r="CC765">
        <v>5.78</v>
      </c>
      <c r="CD765"/>
      <c r="CE765"/>
      <c r="CF765"/>
      <c r="CG765"/>
      <c r="CH765"/>
      <c r="CI765"/>
      <c r="CJ765"/>
      <c r="CK765"/>
      <c r="CL765"/>
      <c r="CM765"/>
    </row>
    <row r="766" spans="1:91">
      <c r="A766" s="154" t="s">
        <v>7747</v>
      </c>
      <c r="B766" t="s">
        <v>8289</v>
      </c>
      <c r="C766">
        <v>2</v>
      </c>
      <c r="D766">
        <v>255</v>
      </c>
      <c r="E766" s="113">
        <v>55</v>
      </c>
      <c r="F766" s="113">
        <v>2</v>
      </c>
      <c r="I766">
        <v>37.5</v>
      </c>
      <c r="K766" s="320">
        <v>8</v>
      </c>
      <c r="L766" s="320"/>
      <c r="M766">
        <v>2.2400000000000002</v>
      </c>
      <c r="N766" s="320"/>
      <c r="O766"/>
      <c r="P766"/>
      <c r="Q766"/>
      <c r="S766" s="320">
        <v>9.2703447473039997</v>
      </c>
      <c r="T766" s="320"/>
      <c r="U766">
        <v>10.8</v>
      </c>
      <c r="V766"/>
      <c r="W766"/>
      <c r="X766"/>
      <c r="Y766" s="321">
        <v>3.9363300000000003</v>
      </c>
      <c r="Z766" s="320"/>
      <c r="AA766" s="322">
        <v>43808.553971486763</v>
      </c>
      <c r="AB766" s="320"/>
      <c r="AC766" s="321">
        <v>20.186274600000001</v>
      </c>
      <c r="AD766" s="320"/>
      <c r="AE766" s="320">
        <v>21.51</v>
      </c>
      <c r="AF766" s="320"/>
      <c r="AG766">
        <v>4.91</v>
      </c>
      <c r="AH766"/>
      <c r="AI766">
        <v>133</v>
      </c>
      <c r="AJ766"/>
      <c r="AK766"/>
      <c r="AL766"/>
      <c r="AM766"/>
      <c r="AN766"/>
      <c r="AO766">
        <v>80</v>
      </c>
      <c r="AP766"/>
      <c r="AQ766" s="323"/>
      <c r="AR766" s="323"/>
      <c r="AS766">
        <v>118</v>
      </c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>
        <v>55.722000000000001</v>
      </c>
      <c r="BH766"/>
      <c r="BI766">
        <v>4.4943999999999997</v>
      </c>
      <c r="BJ766"/>
      <c r="BK766">
        <v>0.76607000000000003</v>
      </c>
      <c r="BL766"/>
      <c r="BM766">
        <v>9.3664000000000005</v>
      </c>
      <c r="BN766"/>
      <c r="BO766">
        <v>17.888000000000002</v>
      </c>
      <c r="BP766"/>
      <c r="BQ766">
        <v>9.2156000000000002</v>
      </c>
      <c r="BR766"/>
      <c r="BS766">
        <v>45.923999999999999</v>
      </c>
      <c r="BT766"/>
      <c r="BU766">
        <v>21.154</v>
      </c>
      <c r="BV766"/>
      <c r="BW766" s="325">
        <v>28.21</v>
      </c>
      <c r="BX766"/>
      <c r="BY766">
        <v>5.9689999999999941</v>
      </c>
      <c r="BZ766"/>
      <c r="CA766"/>
      <c r="CC766">
        <v>5.61</v>
      </c>
      <c r="CD766"/>
      <c r="CE766"/>
      <c r="CF766"/>
      <c r="CG766"/>
      <c r="CH766"/>
      <c r="CI766"/>
      <c r="CJ766"/>
      <c r="CK766"/>
      <c r="CL766"/>
      <c r="CM766"/>
    </row>
    <row r="767" spans="1:91">
      <c r="A767" s="154" t="s">
        <v>7747</v>
      </c>
      <c r="B767" t="s">
        <v>8287</v>
      </c>
      <c r="C767">
        <v>1</v>
      </c>
      <c r="D767">
        <v>615</v>
      </c>
      <c r="E767" s="113">
        <v>15</v>
      </c>
      <c r="F767" s="113">
        <v>6</v>
      </c>
      <c r="I767">
        <v>30.499999999999996</v>
      </c>
      <c r="K767" s="320">
        <v>7</v>
      </c>
      <c r="L767" s="320"/>
      <c r="M767">
        <v>2.12</v>
      </c>
      <c r="N767" s="320"/>
      <c r="O767"/>
      <c r="P767"/>
      <c r="Q767"/>
      <c r="S767" s="320">
        <v>8.8257402165599999</v>
      </c>
      <c r="T767" s="320"/>
      <c r="U767">
        <v>10.8</v>
      </c>
      <c r="V767"/>
      <c r="W767"/>
      <c r="X767"/>
      <c r="Y767" s="321">
        <v>3.5288972999999997</v>
      </c>
      <c r="Z767" s="320"/>
      <c r="AA767" s="322">
        <v>46027.088036117384</v>
      </c>
      <c r="AB767" s="320"/>
      <c r="AC767" s="321">
        <v>19.0538433</v>
      </c>
      <c r="AD767" s="320"/>
      <c r="AE767" s="320">
        <v>20.39</v>
      </c>
      <c r="AF767" s="320"/>
      <c r="AG767">
        <v>4.43</v>
      </c>
      <c r="AH767"/>
      <c r="AI767">
        <v>133</v>
      </c>
      <c r="AJ767"/>
      <c r="AK767"/>
      <c r="AL767"/>
      <c r="AM767"/>
      <c r="AN767"/>
      <c r="AO767">
        <v>80</v>
      </c>
      <c r="AP767"/>
      <c r="AQ767" s="323"/>
      <c r="AR767" s="323"/>
      <c r="AS767">
        <v>112</v>
      </c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>
        <v>52.32</v>
      </c>
      <c r="BH767"/>
      <c r="BI767">
        <v>4.2670000000000003</v>
      </c>
      <c r="BJ767"/>
      <c r="BK767">
        <v>0.77769999999999995</v>
      </c>
      <c r="BL767"/>
      <c r="BM767">
        <v>13.976000000000001</v>
      </c>
      <c r="BN767"/>
      <c r="BO767">
        <v>16.981000000000002</v>
      </c>
      <c r="BP767"/>
      <c r="BQ767">
        <v>9.4201999999999995</v>
      </c>
      <c r="BR767"/>
      <c r="BS767">
        <v>46.32</v>
      </c>
      <c r="BT767"/>
      <c r="BU767">
        <v>20.998999999999999</v>
      </c>
      <c r="BV767"/>
      <c r="BW767">
        <v>62.072000000000003</v>
      </c>
      <c r="BX767" s="324"/>
      <c r="BY767">
        <v>6.4699999999999989</v>
      </c>
      <c r="BZ767"/>
      <c r="CA767"/>
      <c r="CC767">
        <v>5.48</v>
      </c>
      <c r="CD767"/>
      <c r="CE767"/>
      <c r="CF767"/>
      <c r="CG767"/>
      <c r="CH767"/>
      <c r="CI767"/>
      <c r="CJ767"/>
      <c r="CK767"/>
      <c r="CL767"/>
      <c r="CM767"/>
    </row>
    <row r="768" spans="1:91">
      <c r="A768" s="154" t="s">
        <v>7747</v>
      </c>
      <c r="B768" t="s">
        <v>8289</v>
      </c>
      <c r="C768">
        <v>1</v>
      </c>
      <c r="D768">
        <v>1107</v>
      </c>
      <c r="E768" s="113">
        <v>7</v>
      </c>
      <c r="F768" s="113">
        <v>11</v>
      </c>
      <c r="I768">
        <v>23</v>
      </c>
      <c r="K768" s="320">
        <v>9</v>
      </c>
      <c r="L768" s="320"/>
      <c r="M768">
        <v>1.49</v>
      </c>
      <c r="N768" s="320"/>
      <c r="O768"/>
      <c r="P768"/>
      <c r="Q768"/>
      <c r="S768" s="320">
        <v>5.8972552920960002</v>
      </c>
      <c r="T768" s="320"/>
      <c r="U768">
        <v>10.8</v>
      </c>
      <c r="V768"/>
      <c r="W768"/>
      <c r="X768"/>
      <c r="Y768" s="321">
        <v>2.6855539999999998</v>
      </c>
      <c r="Z768" s="320"/>
      <c r="AA768" s="322">
        <v>35670.886075949369</v>
      </c>
      <c r="AB768" s="320"/>
      <c r="AC768" s="321">
        <v>13.229664600000001</v>
      </c>
      <c r="AD768" s="320"/>
      <c r="AE768" s="320">
        <v>14.09</v>
      </c>
      <c r="AF768" s="320"/>
      <c r="AG768">
        <v>3.95</v>
      </c>
      <c r="AH768"/>
      <c r="AI768">
        <v>125</v>
      </c>
      <c r="AJ768"/>
      <c r="AK768"/>
      <c r="AL768"/>
      <c r="AM768"/>
      <c r="AN768"/>
      <c r="AO768">
        <v>79</v>
      </c>
      <c r="AP768"/>
      <c r="AQ768" s="323"/>
      <c r="AR768" s="323"/>
      <c r="AS768">
        <v>112</v>
      </c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>
        <v>45.695999999999998</v>
      </c>
      <c r="BH768"/>
      <c r="BI768">
        <v>4.4466000000000001</v>
      </c>
      <c r="BJ768"/>
      <c r="BK768">
        <v>0.94799</v>
      </c>
      <c r="BL768"/>
      <c r="BM768">
        <v>16.045999999999999</v>
      </c>
      <c r="BN768"/>
      <c r="BO768">
        <v>17.904</v>
      </c>
      <c r="BP768"/>
      <c r="BQ768">
        <v>8.9417000000000009</v>
      </c>
      <c r="BR768"/>
      <c r="BS768">
        <v>44.576000000000001</v>
      </c>
      <c r="BT768"/>
      <c r="BU768">
        <v>21.481999999999999</v>
      </c>
      <c r="BV768"/>
      <c r="BW768" s="325">
        <v>17.97</v>
      </c>
      <c r="BX768"/>
      <c r="BY768">
        <v>6.8870000000000005</v>
      </c>
      <c r="BZ768"/>
      <c r="CA768"/>
      <c r="CC768">
        <v>7.07</v>
      </c>
      <c r="CD768"/>
      <c r="CE768"/>
      <c r="CF768"/>
      <c r="CG768"/>
      <c r="CH768"/>
      <c r="CI768"/>
      <c r="CJ768"/>
      <c r="CK768"/>
      <c r="CL768"/>
      <c r="CM768"/>
    </row>
    <row r="769" spans="1:91">
      <c r="A769" s="154" t="s">
        <v>7747</v>
      </c>
      <c r="B769" t="s">
        <v>8287</v>
      </c>
      <c r="C769">
        <v>2</v>
      </c>
      <c r="D769">
        <v>1560</v>
      </c>
      <c r="E769" s="113">
        <v>60</v>
      </c>
      <c r="F769" s="113">
        <v>15</v>
      </c>
      <c r="I769">
        <v>36</v>
      </c>
      <c r="K769" s="320">
        <v>8</v>
      </c>
      <c r="L769" s="320"/>
      <c r="M769">
        <v>2.13</v>
      </c>
      <c r="N769" s="320"/>
      <c r="O769"/>
      <c r="P769"/>
      <c r="Q769"/>
      <c r="S769" s="320">
        <v>8.6049299400300008</v>
      </c>
      <c r="T769" s="320"/>
      <c r="U769">
        <v>10.8</v>
      </c>
      <c r="V769"/>
      <c r="W769"/>
      <c r="X769"/>
      <c r="Y769" s="321">
        <v>3.4984199999999994</v>
      </c>
      <c r="Z769" s="320"/>
      <c r="AA769" s="322">
        <v>43929.359823399558</v>
      </c>
      <c r="AB769" s="320"/>
      <c r="AC769" s="321">
        <v>18.626598999999999</v>
      </c>
      <c r="AD769" s="320"/>
      <c r="AE769" s="320">
        <v>19.899999999999999</v>
      </c>
      <c r="AF769" s="320"/>
      <c r="AG769">
        <v>4.53</v>
      </c>
      <c r="AH769"/>
      <c r="AI769">
        <v>123</v>
      </c>
      <c r="AJ769"/>
      <c r="AK769"/>
      <c r="AL769"/>
      <c r="AM769"/>
      <c r="AN769"/>
      <c r="AO769">
        <v>79</v>
      </c>
      <c r="AP769"/>
      <c r="AQ769" s="323"/>
      <c r="AR769" s="323"/>
      <c r="AS769">
        <v>112</v>
      </c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>
        <v>52.715000000000003</v>
      </c>
      <c r="BH769"/>
      <c r="BI769">
        <v>4.6741000000000001</v>
      </c>
      <c r="BJ769"/>
      <c r="BK769">
        <v>0.71660999999999997</v>
      </c>
      <c r="BL769"/>
      <c r="BM769">
        <v>12.151999999999999</v>
      </c>
      <c r="BN769"/>
      <c r="BO769">
        <v>19.105</v>
      </c>
      <c r="BP769"/>
      <c r="BQ769">
        <v>8.6042000000000005</v>
      </c>
      <c r="BR769"/>
      <c r="BS769">
        <v>46.197000000000003</v>
      </c>
      <c r="BT769"/>
      <c r="BU769">
        <v>19.498000000000001</v>
      </c>
      <c r="BV769"/>
      <c r="BW769">
        <v>57.351999999999997</v>
      </c>
      <c r="BX769" s="324"/>
      <c r="BY769">
        <v>6.7560000000000002</v>
      </c>
      <c r="BZ769"/>
      <c r="CA769"/>
      <c r="CC769">
        <v>8.1999999999999993</v>
      </c>
      <c r="CD769"/>
      <c r="CE769"/>
      <c r="CF769"/>
      <c r="CG769"/>
      <c r="CH769"/>
      <c r="CI769"/>
      <c r="CJ769"/>
      <c r="CK769"/>
      <c r="CL769"/>
      <c r="CM769"/>
    </row>
    <row r="770" spans="1:91">
      <c r="A770" s="154" t="s">
        <v>7748</v>
      </c>
      <c r="B770" t="s">
        <v>8289</v>
      </c>
      <c r="C770">
        <v>2</v>
      </c>
      <c r="D770">
        <v>444</v>
      </c>
      <c r="E770" s="113">
        <v>44</v>
      </c>
      <c r="F770" s="113">
        <v>4</v>
      </c>
      <c r="I770">
        <v>30.499999999999996</v>
      </c>
      <c r="K770" s="320">
        <v>8</v>
      </c>
      <c r="L770" s="320"/>
      <c r="M770">
        <v>2.88</v>
      </c>
      <c r="N770" s="320"/>
      <c r="O770"/>
      <c r="P770"/>
      <c r="Q770"/>
      <c r="S770" s="320">
        <v>13.074274947215999</v>
      </c>
      <c r="T770" s="320"/>
      <c r="U770">
        <v>10.8</v>
      </c>
      <c r="V770"/>
      <c r="W770"/>
      <c r="X770"/>
      <c r="Y770" s="321">
        <v>4.8951137999999998</v>
      </c>
      <c r="Z770" s="320"/>
      <c r="AA770" s="322">
        <v>64755.244755244756</v>
      </c>
      <c r="AB770" s="320"/>
      <c r="AC770" s="321">
        <v>26.053195200000001</v>
      </c>
      <c r="AD770" s="320"/>
      <c r="AE770" s="320">
        <v>27.78</v>
      </c>
      <c r="AF770" s="320"/>
      <c r="AG770">
        <v>4.29</v>
      </c>
      <c r="AH770"/>
      <c r="AI770">
        <v>135</v>
      </c>
      <c r="AJ770"/>
      <c r="AK770"/>
      <c r="AL770"/>
      <c r="AM770"/>
      <c r="AN770"/>
      <c r="AO770">
        <v>72</v>
      </c>
      <c r="AP770"/>
      <c r="AQ770" s="323"/>
      <c r="AR770" s="323"/>
      <c r="AS770">
        <v>110</v>
      </c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>
        <v>56.945</v>
      </c>
      <c r="BH770"/>
      <c r="BI770">
        <v>4.1341000000000001</v>
      </c>
      <c r="BJ770"/>
      <c r="BK770">
        <v>0.69160999999999995</v>
      </c>
      <c r="BL770"/>
      <c r="BM770">
        <v>2.4876</v>
      </c>
      <c r="BN770"/>
      <c r="BO770">
        <v>15.313000000000001</v>
      </c>
      <c r="BP770"/>
      <c r="BQ770">
        <v>9.7660999999999998</v>
      </c>
      <c r="BR770"/>
      <c r="BS770">
        <v>50.183</v>
      </c>
      <c r="BT770"/>
      <c r="BU770">
        <v>19.029</v>
      </c>
      <c r="BV770"/>
      <c r="BW770">
        <v>41.921999999999997</v>
      </c>
      <c r="BX770" s="324"/>
      <c r="BY770">
        <v>5.9140000000000015</v>
      </c>
      <c r="BZ770"/>
      <c r="CA770"/>
      <c r="CC770">
        <v>5.21</v>
      </c>
      <c r="CD770"/>
      <c r="CE770"/>
      <c r="CF770"/>
      <c r="CG770"/>
      <c r="CH770"/>
      <c r="CI770"/>
      <c r="CJ770"/>
      <c r="CK770"/>
      <c r="CL770"/>
      <c r="CM770"/>
    </row>
    <row r="771" spans="1:91">
      <c r="A771" s="154" t="s">
        <v>7748</v>
      </c>
      <c r="B771" t="s">
        <v>8287</v>
      </c>
      <c r="C771">
        <v>1</v>
      </c>
      <c r="D771">
        <v>716</v>
      </c>
      <c r="E771" s="113">
        <v>16</v>
      </c>
      <c r="F771" s="113">
        <v>7</v>
      </c>
      <c r="I771">
        <v>32.5</v>
      </c>
      <c r="K771" s="320">
        <v>8</v>
      </c>
      <c r="L771" s="320"/>
      <c r="M771">
        <v>2.34</v>
      </c>
      <c r="N771" s="320"/>
      <c r="O771"/>
      <c r="P771"/>
      <c r="Q771"/>
      <c r="S771" s="320">
        <v>10.602500290368001</v>
      </c>
      <c r="T771" s="320"/>
      <c r="U771">
        <v>10.8</v>
      </c>
      <c r="V771"/>
      <c r="W771"/>
      <c r="X771"/>
      <c r="Y771" s="321">
        <v>4.5212172000000006</v>
      </c>
      <c r="Z771" s="320"/>
      <c r="AA771" s="322">
        <v>51422.018348623853</v>
      </c>
      <c r="AB771" s="320"/>
      <c r="AC771" s="321">
        <v>20.995881600000001</v>
      </c>
      <c r="AD771" s="320"/>
      <c r="AE771" s="320">
        <v>22.42</v>
      </c>
      <c r="AF771" s="320"/>
      <c r="AG771">
        <v>4.3600000000000003</v>
      </c>
      <c r="AH771"/>
      <c r="AI771">
        <v>135</v>
      </c>
      <c r="AJ771"/>
      <c r="AK771"/>
      <c r="AL771"/>
      <c r="AM771"/>
      <c r="AN771"/>
      <c r="AO771">
        <v>72</v>
      </c>
      <c r="AP771"/>
      <c r="AQ771" s="323"/>
      <c r="AR771" s="323"/>
      <c r="AS771">
        <v>112</v>
      </c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>
        <v>50.466999999999999</v>
      </c>
      <c r="BH771"/>
      <c r="BI771">
        <v>4.0206</v>
      </c>
      <c r="BJ771"/>
      <c r="BK771">
        <v>0.93406</v>
      </c>
      <c r="BL771"/>
      <c r="BM771">
        <v>16.611999999999998</v>
      </c>
      <c r="BN771"/>
      <c r="BO771">
        <v>13.946</v>
      </c>
      <c r="BP771"/>
      <c r="BQ771">
        <v>9.9604999999999997</v>
      </c>
      <c r="BR771"/>
      <c r="BS771">
        <v>50.497999999999998</v>
      </c>
      <c r="BT771"/>
      <c r="BU771">
        <v>18.677</v>
      </c>
      <c r="BV771"/>
      <c r="BW771">
        <v>41.081000000000003</v>
      </c>
      <c r="BX771" s="324"/>
      <c r="BY771">
        <v>6.1419999999999959</v>
      </c>
      <c r="BZ771"/>
      <c r="CA771"/>
      <c r="CC771">
        <v>5.85</v>
      </c>
      <c r="CD771"/>
      <c r="CE771"/>
      <c r="CF771"/>
      <c r="CG771"/>
      <c r="CH771"/>
      <c r="CI771"/>
      <c r="CJ771"/>
      <c r="CK771"/>
      <c r="CL771"/>
      <c r="CM771"/>
    </row>
    <row r="772" spans="1:91">
      <c r="A772" s="154" t="s">
        <v>7748</v>
      </c>
      <c r="B772" t="s">
        <v>8287</v>
      </c>
      <c r="C772">
        <v>2</v>
      </c>
      <c r="D772">
        <v>1371</v>
      </c>
      <c r="E772" s="113">
        <v>71</v>
      </c>
      <c r="F772" s="113">
        <v>13</v>
      </c>
      <c r="I772">
        <v>30.499999999999996</v>
      </c>
      <c r="K772" s="320">
        <v>9</v>
      </c>
      <c r="L772" s="320"/>
      <c r="M772">
        <v>2.08</v>
      </c>
      <c r="N772" s="320"/>
      <c r="O772"/>
      <c r="P772"/>
      <c r="Q772"/>
      <c r="S772" s="320">
        <v>9.6641172644799997</v>
      </c>
      <c r="T772" s="320"/>
      <c r="U772">
        <v>10.8</v>
      </c>
      <c r="V772"/>
      <c r="W772"/>
      <c r="X772"/>
      <c r="Y772" s="321">
        <v>3.9471908</v>
      </c>
      <c r="Z772" s="320"/>
      <c r="AA772" s="322">
        <v>47541.371158392431</v>
      </c>
      <c r="AB772" s="320"/>
      <c r="AC772" s="321">
        <v>18.787164199999999</v>
      </c>
      <c r="AD772" s="320"/>
      <c r="AE772" s="320">
        <v>20.11</v>
      </c>
      <c r="AF772" s="320"/>
      <c r="AG772">
        <v>4.2300000000000004</v>
      </c>
      <c r="AH772"/>
      <c r="AI772">
        <v>128</v>
      </c>
      <c r="AJ772"/>
      <c r="AK772"/>
      <c r="AL772"/>
      <c r="AM772"/>
      <c r="AN772"/>
      <c r="AO772">
        <v>72</v>
      </c>
      <c r="AP772"/>
      <c r="AQ772" s="323"/>
      <c r="AR772" s="323"/>
      <c r="AS772">
        <v>112</v>
      </c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>
        <v>58.01</v>
      </c>
      <c r="BH772"/>
      <c r="BI772">
        <v>4.7587000000000002</v>
      </c>
      <c r="BJ772"/>
      <c r="BK772">
        <v>0.68589999999999995</v>
      </c>
      <c r="BL772"/>
      <c r="BM772">
        <v>6.5839999999999996</v>
      </c>
      <c r="BN772"/>
      <c r="BO772">
        <v>14.714</v>
      </c>
      <c r="BP772"/>
      <c r="BQ772">
        <v>9.8069000000000006</v>
      </c>
      <c r="BR772"/>
      <c r="BS772">
        <v>51.44</v>
      </c>
      <c r="BT772"/>
      <c r="BU772">
        <v>17.888999999999999</v>
      </c>
      <c r="BV772"/>
      <c r="BW772">
        <v>73.617000000000004</v>
      </c>
      <c r="BX772" s="324"/>
      <c r="BY772">
        <v>5.8790000000000049</v>
      </c>
      <c r="BZ772"/>
      <c r="CA772"/>
      <c r="CC772">
        <v>4.96</v>
      </c>
      <c r="CD772"/>
      <c r="CE772"/>
      <c r="CF772"/>
      <c r="CG772"/>
      <c r="CH772"/>
      <c r="CI772"/>
      <c r="CJ772"/>
      <c r="CK772"/>
      <c r="CL772"/>
      <c r="CM772"/>
    </row>
    <row r="773" spans="1:91">
      <c r="A773" s="154" t="s">
        <v>7748</v>
      </c>
      <c r="B773" t="s">
        <v>8289</v>
      </c>
      <c r="C773">
        <v>1</v>
      </c>
      <c r="D773">
        <v>1721</v>
      </c>
      <c r="E773" s="113">
        <v>21</v>
      </c>
      <c r="F773" s="113">
        <v>17</v>
      </c>
      <c r="I773">
        <v>34.5</v>
      </c>
      <c r="K773" s="320">
        <v>8</v>
      </c>
      <c r="L773" s="320"/>
      <c r="M773">
        <v>2.5499999999999998</v>
      </c>
      <c r="N773" s="320"/>
      <c r="O773"/>
      <c r="P773"/>
      <c r="Q773"/>
      <c r="S773" s="320">
        <v>10.523340372779998</v>
      </c>
      <c r="T773" s="320"/>
      <c r="U773">
        <v>10.8</v>
      </c>
      <c r="V773"/>
      <c r="W773"/>
      <c r="X773"/>
      <c r="Y773" s="321">
        <v>4.4846051999999998</v>
      </c>
      <c r="Z773" s="320"/>
      <c r="AA773" s="322">
        <v>65093.333333333328</v>
      </c>
      <c r="AB773" s="320"/>
      <c r="AC773" s="321">
        <v>22.792593399999998</v>
      </c>
      <c r="AD773" s="320"/>
      <c r="AE773" s="320">
        <v>24.41</v>
      </c>
      <c r="AF773" s="320"/>
      <c r="AG773">
        <v>3.75</v>
      </c>
      <c r="AH773"/>
      <c r="AI773">
        <v>103</v>
      </c>
      <c r="AJ773"/>
      <c r="AK773"/>
      <c r="AL773"/>
      <c r="AM773"/>
      <c r="AN773"/>
      <c r="AO773">
        <v>77</v>
      </c>
      <c r="AP773"/>
      <c r="AQ773" s="323"/>
      <c r="AR773" s="323"/>
      <c r="AS773">
        <v>112</v>
      </c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>
        <v>47.231000000000002</v>
      </c>
      <c r="BH773"/>
      <c r="BI773">
        <v>4.4452999999999996</v>
      </c>
      <c r="BJ773"/>
      <c r="BK773">
        <v>0.9032</v>
      </c>
      <c r="BL773"/>
      <c r="BM773">
        <v>17.719000000000001</v>
      </c>
      <c r="BN773"/>
      <c r="BO773">
        <v>14.262</v>
      </c>
      <c r="BP773"/>
      <c r="BQ773">
        <v>11.132999999999999</v>
      </c>
      <c r="BR773"/>
      <c r="BS773">
        <v>46.17</v>
      </c>
      <c r="BT773"/>
      <c r="BU773">
        <v>21.981000000000002</v>
      </c>
      <c r="BV773"/>
      <c r="BW773" s="324">
        <v>35.838000000000001</v>
      </c>
      <c r="BX773" s="324"/>
      <c r="BY773">
        <v>6.3940000000000055</v>
      </c>
      <c r="BZ773"/>
      <c r="CA773"/>
      <c r="CC773">
        <v>5.91</v>
      </c>
      <c r="CD773"/>
      <c r="CE773"/>
      <c r="CF773"/>
      <c r="CG773"/>
      <c r="CH773"/>
      <c r="CI773"/>
      <c r="CJ773"/>
      <c r="CK773"/>
      <c r="CL773"/>
      <c r="CM773"/>
    </row>
    <row r="774" spans="1:91">
      <c r="A774" s="154" t="s">
        <v>7749</v>
      </c>
      <c r="B774" t="s">
        <v>8287</v>
      </c>
      <c r="C774">
        <v>1</v>
      </c>
      <c r="D774">
        <v>704</v>
      </c>
      <c r="E774" s="113">
        <v>4</v>
      </c>
      <c r="F774" s="113">
        <v>7</v>
      </c>
      <c r="I774">
        <v>26</v>
      </c>
      <c r="K774" s="320">
        <v>9</v>
      </c>
      <c r="L774" s="320"/>
      <c r="M774">
        <v>2.84</v>
      </c>
      <c r="N774" s="320"/>
      <c r="O774"/>
      <c r="P774"/>
      <c r="Q774"/>
      <c r="S774" s="320">
        <v>14.236412715108001</v>
      </c>
      <c r="T774" s="320"/>
      <c r="U774">
        <v>10.8</v>
      </c>
      <c r="V774"/>
      <c r="W774"/>
      <c r="X774"/>
      <c r="Y774" s="321">
        <v>4.9704065999999996</v>
      </c>
      <c r="Z774" s="320"/>
      <c r="AA774" s="322">
        <v>63356.643356643355</v>
      </c>
      <c r="AB774" s="320"/>
      <c r="AC774" s="321">
        <v>25.484511600000001</v>
      </c>
      <c r="AD774" s="320"/>
      <c r="AE774" s="320">
        <v>27.18</v>
      </c>
      <c r="AF774" s="320"/>
      <c r="AG774">
        <v>4.29</v>
      </c>
      <c r="AH774"/>
      <c r="AI774">
        <v>140</v>
      </c>
      <c r="AJ774"/>
      <c r="AK774"/>
      <c r="AL774"/>
      <c r="AM774"/>
      <c r="AN774"/>
      <c r="AO774">
        <v>81</v>
      </c>
      <c r="AP774"/>
      <c r="AQ774" s="323"/>
      <c r="AR774" s="323"/>
      <c r="AS774">
        <v>112</v>
      </c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>
        <v>53.984000000000002</v>
      </c>
      <c r="BH774"/>
      <c r="BI774"/>
      <c r="BJ774"/>
      <c r="BK774">
        <v>0.88402000000000003</v>
      </c>
      <c r="BL774"/>
      <c r="BM774">
        <v>11.686999999999999</v>
      </c>
      <c r="BN774"/>
      <c r="BO774">
        <v>9.1804000000000006</v>
      </c>
      <c r="BP774"/>
      <c r="BQ774">
        <v>11.459</v>
      </c>
      <c r="BR774"/>
      <c r="BS774">
        <v>55.863</v>
      </c>
      <c r="BT774"/>
      <c r="BU774">
        <v>17.440999999999999</v>
      </c>
      <c r="BV774"/>
      <c r="BW774" s="325">
        <v>10.82</v>
      </c>
      <c r="BX774"/>
      <c r="BY774">
        <v>6.0019999999999953</v>
      </c>
      <c r="BZ774"/>
      <c r="CA774"/>
      <c r="CC774">
        <v>5.93</v>
      </c>
      <c r="CD774"/>
      <c r="CE774"/>
      <c r="CF774"/>
      <c r="CG774"/>
      <c r="CH774"/>
      <c r="CI774"/>
      <c r="CJ774"/>
      <c r="CK774"/>
      <c r="CL774"/>
      <c r="CM774"/>
    </row>
    <row r="775" spans="1:91">
      <c r="A775" s="327" t="s">
        <v>7749</v>
      </c>
      <c r="B775" s="328" t="s">
        <v>8289</v>
      </c>
      <c r="C775" s="328">
        <v>2</v>
      </c>
      <c r="D775" s="328">
        <v>858</v>
      </c>
      <c r="E775" s="113">
        <v>58</v>
      </c>
      <c r="F775" s="113">
        <v>8</v>
      </c>
      <c r="G775" s="329"/>
      <c r="H775" s="329"/>
      <c r="I775" s="328">
        <v>29.999999999999996</v>
      </c>
      <c r="J775" s="330"/>
      <c r="K775" s="331">
        <v>8</v>
      </c>
      <c r="L775" s="331"/>
      <c r="M775" s="328">
        <v>2.74</v>
      </c>
      <c r="N775" s="331"/>
      <c r="O775" s="328"/>
      <c r="P775" s="328"/>
      <c r="Q775" s="328"/>
      <c r="R775" s="332"/>
      <c r="S775" s="331">
        <v>11.948864918328002</v>
      </c>
      <c r="T775" s="331"/>
      <c r="U775" s="328">
        <v>10.8</v>
      </c>
      <c r="V775" s="328"/>
      <c r="W775" s="328"/>
      <c r="X775" s="328"/>
      <c r="Y775" s="333">
        <v>4.8858575999999996</v>
      </c>
      <c r="Z775" s="331"/>
      <c r="AA775" s="334">
        <v>52073.921971252559</v>
      </c>
      <c r="AB775" s="331"/>
      <c r="AC775" s="333">
        <v>23.529261600000002</v>
      </c>
      <c r="AD775" s="331"/>
      <c r="AE775" s="331">
        <v>25.36</v>
      </c>
      <c r="AF775" s="331"/>
      <c r="AG775" s="328">
        <v>4.87</v>
      </c>
      <c r="AH775" s="328"/>
      <c r="AI775" s="328">
        <v>105</v>
      </c>
      <c r="AJ775" s="328"/>
      <c r="AK775" s="328"/>
      <c r="AL775" s="328"/>
      <c r="AM775" s="328"/>
      <c r="AN775" s="328"/>
      <c r="AO775" s="328">
        <v>81</v>
      </c>
      <c r="AP775" s="328"/>
      <c r="AQ775" s="335"/>
      <c r="AR775" s="335"/>
      <c r="AS775" s="328">
        <v>114</v>
      </c>
      <c r="AT775" s="328"/>
      <c r="AU775" s="328"/>
      <c r="AV775" s="328"/>
      <c r="AW775" s="328"/>
      <c r="AX775" s="328"/>
      <c r="AY775" s="328"/>
      <c r="AZ775" s="328"/>
      <c r="BA775" s="328"/>
      <c r="BB775" s="328"/>
      <c r="BC775" s="328"/>
      <c r="BD775" s="328"/>
      <c r="BE775" s="328"/>
      <c r="BF775" s="328"/>
      <c r="BG775" s="328">
        <v>52.286999999999999</v>
      </c>
      <c r="BH775" s="328"/>
      <c r="BI775" s="328">
        <v>3.9624000000000001</v>
      </c>
      <c r="BJ775" s="328"/>
      <c r="BK775" s="328">
        <v>1.026</v>
      </c>
      <c r="BL775" s="328"/>
      <c r="BM775" s="328">
        <v>17.725999999999999</v>
      </c>
      <c r="BN775" s="328"/>
      <c r="BO775" s="328">
        <v>10.68</v>
      </c>
      <c r="BP775" s="328"/>
      <c r="BQ775" s="328">
        <v>9.1504999999999992</v>
      </c>
      <c r="BR775" s="328"/>
      <c r="BS775" s="328">
        <v>50.783000000000001</v>
      </c>
      <c r="BT775" s="328"/>
      <c r="BU775" s="328">
        <v>20.158999999999999</v>
      </c>
      <c r="BV775" s="328"/>
      <c r="BW775" s="336">
        <v>6.63</v>
      </c>
      <c r="BX775" s="328"/>
      <c r="BY775" s="328">
        <v>6.3840000000000003</v>
      </c>
      <c r="BZ775" s="328"/>
      <c r="CA775" s="328"/>
      <c r="CB775" s="337"/>
      <c r="CC775" s="328">
        <v>9.02</v>
      </c>
      <c r="CD775" s="328"/>
      <c r="CE775" s="328"/>
      <c r="CF775" s="328"/>
      <c r="CG775" s="328"/>
      <c r="CH775" s="328"/>
      <c r="CI775" s="328"/>
      <c r="CJ775" s="328"/>
      <c r="CK775" s="328" t="s">
        <v>8377</v>
      </c>
      <c r="CL775" s="328"/>
      <c r="CM775" s="328"/>
    </row>
    <row r="776" spans="1:91">
      <c r="A776" s="154" t="s">
        <v>7749</v>
      </c>
      <c r="B776" t="s">
        <v>8287</v>
      </c>
      <c r="C776">
        <v>2</v>
      </c>
      <c r="D776">
        <v>1049</v>
      </c>
      <c r="E776" s="113">
        <v>49</v>
      </c>
      <c r="F776" s="113">
        <v>10</v>
      </c>
      <c r="I776">
        <v>31</v>
      </c>
      <c r="K776" s="320">
        <v>9</v>
      </c>
      <c r="L776" s="320"/>
      <c r="M776">
        <v>2.58</v>
      </c>
      <c r="N776" s="320"/>
      <c r="O776"/>
      <c r="P776"/>
      <c r="Q776"/>
      <c r="S776" s="320">
        <v>11.96466646128</v>
      </c>
      <c r="T776" s="320"/>
      <c r="U776">
        <v>10.8</v>
      </c>
      <c r="V776"/>
      <c r="W776"/>
      <c r="X776"/>
      <c r="Y776" s="321">
        <v>4.2819800000000008</v>
      </c>
      <c r="Z776" s="320"/>
      <c r="AA776" s="322">
        <v>55212.527964205816</v>
      </c>
      <c r="AB776" s="320"/>
      <c r="AC776" s="321">
        <v>23.0266868</v>
      </c>
      <c r="AD776" s="320"/>
      <c r="AE776" s="320">
        <v>24.68</v>
      </c>
      <c r="AF776" s="320"/>
      <c r="AG776">
        <v>4.47</v>
      </c>
      <c r="AH776"/>
      <c r="AI776">
        <v>135</v>
      </c>
      <c r="AJ776"/>
      <c r="AK776"/>
      <c r="AL776"/>
      <c r="AM776"/>
      <c r="AN776"/>
      <c r="AO776">
        <v>81</v>
      </c>
      <c r="AP776"/>
      <c r="AQ776" s="323"/>
      <c r="AR776" s="323"/>
      <c r="AS776">
        <v>112</v>
      </c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>
        <v>57.689</v>
      </c>
      <c r="BH776"/>
      <c r="BI776"/>
      <c r="BJ776"/>
      <c r="BK776">
        <v>0.85940000000000005</v>
      </c>
      <c r="BL776"/>
      <c r="BM776">
        <v>6.6890000000000001</v>
      </c>
      <c r="BN776"/>
      <c r="BO776">
        <v>10.125999999999999</v>
      </c>
      <c r="BP776"/>
      <c r="BQ776">
        <v>10.238</v>
      </c>
      <c r="BR776"/>
      <c r="BS776">
        <v>51.96</v>
      </c>
      <c r="BT776"/>
      <c r="BU776">
        <v>19.803000000000001</v>
      </c>
      <c r="BV776"/>
      <c r="BW776">
        <v>41.926000000000002</v>
      </c>
      <c r="BX776" s="324"/>
      <c r="BY776">
        <v>6.0409999999999968</v>
      </c>
      <c r="BZ776"/>
      <c r="CA776"/>
      <c r="CC776">
        <v>5.99</v>
      </c>
      <c r="CD776"/>
      <c r="CE776"/>
      <c r="CF776"/>
      <c r="CG776"/>
      <c r="CH776"/>
      <c r="CI776"/>
      <c r="CJ776"/>
      <c r="CK776"/>
      <c r="CL776"/>
      <c r="CM776"/>
    </row>
    <row r="777" spans="1:91">
      <c r="A777" s="154" t="s">
        <v>7749</v>
      </c>
      <c r="B777" t="s">
        <v>8289</v>
      </c>
      <c r="C777">
        <v>1</v>
      </c>
      <c r="D777">
        <v>1521</v>
      </c>
      <c r="E777" s="113">
        <v>21</v>
      </c>
      <c r="F777" s="113">
        <v>15</v>
      </c>
      <c r="I777">
        <v>31</v>
      </c>
      <c r="K777" s="320">
        <v>8</v>
      </c>
      <c r="L777" s="320"/>
      <c r="M777">
        <v>3.56</v>
      </c>
      <c r="N777" s="320"/>
      <c r="O777"/>
      <c r="P777"/>
      <c r="Q777"/>
      <c r="S777" s="320">
        <v>16.643952594606002</v>
      </c>
      <c r="T777" s="320"/>
      <c r="U777">
        <v>10.8</v>
      </c>
      <c r="V777"/>
      <c r="W777"/>
      <c r="X777"/>
      <c r="Y777" s="321">
        <v>7.5095789999999996</v>
      </c>
      <c r="Z777" s="320"/>
      <c r="AA777" s="322">
        <v>74553.376906318081</v>
      </c>
      <c r="AB777" s="320"/>
      <c r="AC777" s="321">
        <v>32.037790600000001</v>
      </c>
      <c r="AD777" s="320"/>
      <c r="AE777" s="320">
        <v>34.22</v>
      </c>
      <c r="AF777" s="320"/>
      <c r="AG777">
        <v>4.59</v>
      </c>
      <c r="AH777"/>
      <c r="AI777">
        <v>128</v>
      </c>
      <c r="AJ777"/>
      <c r="AK777"/>
      <c r="AL777"/>
      <c r="AM777"/>
      <c r="AN777"/>
      <c r="AO777">
        <v>81</v>
      </c>
      <c r="AP777"/>
      <c r="AQ777" s="323"/>
      <c r="AR777" s="323"/>
      <c r="AS777">
        <v>112</v>
      </c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>
        <v>55.878999999999998</v>
      </c>
      <c r="BH777"/>
      <c r="BI777"/>
      <c r="BJ777"/>
      <c r="BK777">
        <v>0.94389000000000001</v>
      </c>
      <c r="BL777"/>
      <c r="BM777">
        <v>16.294</v>
      </c>
      <c r="BN777"/>
      <c r="BO777">
        <v>11.162000000000001</v>
      </c>
      <c r="BP777"/>
      <c r="BQ777">
        <v>9.1318999999999999</v>
      </c>
      <c r="BR777"/>
      <c r="BS777">
        <v>51.951000000000001</v>
      </c>
      <c r="BT777"/>
      <c r="BU777">
        <v>20.46</v>
      </c>
      <c r="BV777"/>
      <c r="BW777">
        <v>52.936</v>
      </c>
      <c r="BX777" s="324"/>
      <c r="BY777">
        <v>5.8239999999999981</v>
      </c>
      <c r="BZ777"/>
      <c r="CA777"/>
      <c r="CC777">
        <v>5.54</v>
      </c>
      <c r="CD777"/>
      <c r="CE777"/>
      <c r="CF777"/>
      <c r="CG777"/>
      <c r="CH777"/>
      <c r="CI777"/>
      <c r="CJ777"/>
      <c r="CK777"/>
      <c r="CL777"/>
      <c r="CM777"/>
    </row>
    <row r="778" spans="1:91">
      <c r="A778" s="327" t="s">
        <v>7750</v>
      </c>
      <c r="B778" s="328" t="s">
        <v>8289</v>
      </c>
      <c r="C778" s="328">
        <v>2</v>
      </c>
      <c r="D778" s="328">
        <v>347</v>
      </c>
      <c r="E778" s="113">
        <v>47</v>
      </c>
      <c r="F778" s="113">
        <v>3</v>
      </c>
      <c r="G778" s="329"/>
      <c r="H778" s="329"/>
      <c r="I778" s="328">
        <v>31</v>
      </c>
      <c r="J778" s="330"/>
      <c r="K778" s="331">
        <v>8</v>
      </c>
      <c r="L778" s="331"/>
      <c r="M778" s="328">
        <v>2.42</v>
      </c>
      <c r="N778" s="331"/>
      <c r="O778" s="328"/>
      <c r="P778" s="328"/>
      <c r="Q778" s="328"/>
      <c r="R778" s="332"/>
      <c r="S778" s="331">
        <v>10.442288301104</v>
      </c>
      <c r="T778" s="331"/>
      <c r="U778" s="328">
        <v>10.8</v>
      </c>
      <c r="V778" s="328"/>
      <c r="W778" s="328"/>
      <c r="X778" s="328"/>
      <c r="Y778" s="333">
        <v>4.219754</v>
      </c>
      <c r="Z778" s="331"/>
      <c r="AA778" s="334">
        <v>65875.706214689271</v>
      </c>
      <c r="AB778" s="331"/>
      <c r="AC778" s="333">
        <v>21.887918799999998</v>
      </c>
      <c r="AD778" s="331"/>
      <c r="AE778" s="331">
        <v>23.32</v>
      </c>
      <c r="AF778" s="331"/>
      <c r="AG778" s="328">
        <v>3.54</v>
      </c>
      <c r="AH778" s="328"/>
      <c r="AI778" s="328">
        <v>163</v>
      </c>
      <c r="AJ778" s="328"/>
      <c r="AK778" s="328"/>
      <c r="AL778" s="328"/>
      <c r="AM778" s="328"/>
      <c r="AN778" s="328"/>
      <c r="AO778" s="328">
        <v>72</v>
      </c>
      <c r="AP778" s="328"/>
      <c r="AQ778" s="335"/>
      <c r="AR778" s="335"/>
      <c r="AS778" s="328">
        <v>118</v>
      </c>
      <c r="AT778" s="328"/>
      <c r="AU778" s="328"/>
      <c r="AV778" s="328"/>
      <c r="AW778" s="328"/>
      <c r="AX778" s="328"/>
      <c r="AY778" s="328"/>
      <c r="AZ778" s="328"/>
      <c r="BA778" s="328"/>
      <c r="BB778" s="328"/>
      <c r="BC778" s="328"/>
      <c r="BD778" s="328"/>
      <c r="BE778" s="328"/>
      <c r="BF778" s="328"/>
      <c r="BG778" s="328">
        <v>55.561</v>
      </c>
      <c r="BH778" s="328"/>
      <c r="BI778" s="328">
        <v>3.96</v>
      </c>
      <c r="BJ778" s="328"/>
      <c r="BK778" s="328">
        <v>0.87326000000000004</v>
      </c>
      <c r="BL778" s="328"/>
      <c r="BM778" s="328">
        <v>13.981999999999999</v>
      </c>
      <c r="BN778" s="328"/>
      <c r="BO778" s="328">
        <v>13.882</v>
      </c>
      <c r="BP778" s="328"/>
      <c r="BQ778" s="328">
        <v>11.744</v>
      </c>
      <c r="BR778" s="328"/>
      <c r="BS778" s="328">
        <v>47.707999999999998</v>
      </c>
      <c r="BT778" s="328"/>
      <c r="BU778" s="328">
        <v>21.271000000000001</v>
      </c>
      <c r="BV778" s="328"/>
      <c r="BW778" s="336">
        <v>28.84</v>
      </c>
      <c r="BX778" s="328"/>
      <c r="BY778" s="328">
        <v>6.7669999999999959</v>
      </c>
      <c r="BZ778" s="328"/>
      <c r="CA778" s="328"/>
      <c r="CB778" s="337"/>
      <c r="CC778" s="328">
        <v>5.31</v>
      </c>
      <c r="CD778" s="328"/>
      <c r="CE778" s="328"/>
      <c r="CF778" s="328"/>
      <c r="CG778" s="328"/>
      <c r="CH778" s="328"/>
      <c r="CI778" s="328"/>
      <c r="CJ778" s="328"/>
      <c r="CK778" s="328" t="s">
        <v>8377</v>
      </c>
      <c r="CL778" s="328"/>
      <c r="CM778" s="328"/>
    </row>
    <row r="779" spans="1:91">
      <c r="A779" s="154" t="s">
        <v>7750</v>
      </c>
      <c r="B779" t="s">
        <v>8287</v>
      </c>
      <c r="C779">
        <v>1</v>
      </c>
      <c r="D779">
        <v>720</v>
      </c>
      <c r="E779" s="113">
        <v>20</v>
      </c>
      <c r="F779" s="113">
        <v>7</v>
      </c>
      <c r="I779">
        <v>26.499999999999996</v>
      </c>
      <c r="K779" s="320">
        <v>9</v>
      </c>
      <c r="L779" s="320"/>
      <c r="M779">
        <v>2.2999999999999998</v>
      </c>
      <c r="N779" s="320"/>
      <c r="O779"/>
      <c r="P779"/>
      <c r="Q779"/>
      <c r="S779" s="320">
        <v>10.513506313332</v>
      </c>
      <c r="T779" s="320"/>
      <c r="U779">
        <v>10.8</v>
      </c>
      <c r="V779"/>
      <c r="W779"/>
      <c r="X779"/>
      <c r="Y779" s="321">
        <v>3.8640942000000003</v>
      </c>
      <c r="Z779" s="320"/>
      <c r="AA779" s="322">
        <v>70285.71428571429</v>
      </c>
      <c r="AB779" s="320"/>
      <c r="AC779" s="321">
        <v>20.696693400000001</v>
      </c>
      <c r="AD779" s="320"/>
      <c r="AE779" s="320">
        <v>22.14</v>
      </c>
      <c r="AF779" s="320"/>
      <c r="AG779">
        <v>3.15</v>
      </c>
      <c r="AH779"/>
      <c r="AI779">
        <v>168</v>
      </c>
      <c r="AJ779"/>
      <c r="AK779"/>
      <c r="AL779"/>
      <c r="AM779"/>
      <c r="AN779"/>
      <c r="AO779">
        <v>85</v>
      </c>
      <c r="AP779"/>
      <c r="AQ779" s="323"/>
      <c r="AR779" s="323"/>
      <c r="AS779">
        <v>116</v>
      </c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>
        <v>48.317999999999998</v>
      </c>
      <c r="BH779"/>
      <c r="BI779">
        <v>4.1051000000000002</v>
      </c>
      <c r="BJ779"/>
      <c r="BK779">
        <v>0.86624999999999996</v>
      </c>
      <c r="BL779"/>
      <c r="BM779">
        <v>14.757999999999999</v>
      </c>
      <c r="BN779"/>
      <c r="BO779">
        <v>15.851000000000001</v>
      </c>
      <c r="BP779"/>
      <c r="BQ779">
        <v>10.946999999999999</v>
      </c>
      <c r="BR779"/>
      <c r="BS779">
        <v>50.798000000000002</v>
      </c>
      <c r="BT779"/>
      <c r="BU779">
        <v>18.956</v>
      </c>
      <c r="BV779"/>
      <c r="BW779" s="325">
        <v>25.35</v>
      </c>
      <c r="BX779"/>
      <c r="BY779">
        <v>6.5490000000000066</v>
      </c>
      <c r="BZ779"/>
      <c r="CA779"/>
      <c r="CC779">
        <v>5.41</v>
      </c>
      <c r="CD779"/>
      <c r="CE779"/>
      <c r="CF779"/>
      <c r="CG779"/>
      <c r="CH779"/>
      <c r="CI779"/>
      <c r="CJ779"/>
      <c r="CK779"/>
      <c r="CL779"/>
      <c r="CM779"/>
    </row>
    <row r="780" spans="1:91">
      <c r="A780" s="154" t="s">
        <v>7750</v>
      </c>
      <c r="B780" t="s">
        <v>8287</v>
      </c>
      <c r="C780">
        <v>2</v>
      </c>
      <c r="D780">
        <v>1366</v>
      </c>
      <c r="E780" s="113">
        <v>66</v>
      </c>
      <c r="F780" s="113">
        <v>13</v>
      </c>
      <c r="I780">
        <v>29.999999999999996</v>
      </c>
      <c r="K780" s="320">
        <v>9</v>
      </c>
      <c r="L780" s="320"/>
      <c r="M780">
        <v>1.85</v>
      </c>
      <c r="N780" s="320"/>
      <c r="O780"/>
      <c r="P780"/>
      <c r="Q780"/>
      <c r="S780" s="320">
        <v>8.2149202114560005</v>
      </c>
      <c r="T780" s="320"/>
      <c r="U780">
        <v>10.8</v>
      </c>
      <c r="V780"/>
      <c r="W780"/>
      <c r="X780"/>
      <c r="Y780" s="321">
        <v>2.8278623999999994</v>
      </c>
      <c r="Z780" s="320"/>
      <c r="AA780" s="322">
        <v>61614.035087719298</v>
      </c>
      <c r="AB780" s="320"/>
      <c r="AC780" s="321">
        <v>16.4614464</v>
      </c>
      <c r="AD780" s="320"/>
      <c r="AE780" s="320">
        <v>17.559999999999999</v>
      </c>
      <c r="AF780" s="320"/>
      <c r="AG780">
        <v>2.85</v>
      </c>
      <c r="AH780"/>
      <c r="AI780">
        <v>160</v>
      </c>
      <c r="AJ780"/>
      <c r="AK780"/>
      <c r="AL780"/>
      <c r="AM780"/>
      <c r="AN780"/>
      <c r="AO780">
        <v>83</v>
      </c>
      <c r="AP780"/>
      <c r="AQ780" s="323"/>
      <c r="AR780" s="323"/>
      <c r="AS780">
        <v>112</v>
      </c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>
        <v>54.956000000000003</v>
      </c>
      <c r="BH780"/>
      <c r="BI780">
        <v>4.4557000000000002</v>
      </c>
      <c r="BJ780"/>
      <c r="BK780">
        <v>0.80498000000000003</v>
      </c>
      <c r="BL780"/>
      <c r="BM780">
        <v>14.005000000000001</v>
      </c>
      <c r="BN780"/>
      <c r="BO780">
        <v>16.231000000000002</v>
      </c>
      <c r="BP780"/>
      <c r="BQ780">
        <v>10.52</v>
      </c>
      <c r="BR780"/>
      <c r="BS780">
        <v>49.904000000000003</v>
      </c>
      <c r="BT780"/>
      <c r="BU780">
        <v>18.856999999999999</v>
      </c>
      <c r="BV780"/>
      <c r="BW780" s="325">
        <v>24.82</v>
      </c>
      <c r="BX780"/>
      <c r="BY780">
        <v>6.9240000000000066</v>
      </c>
      <c r="BZ780"/>
      <c r="CA780"/>
      <c r="CC780">
        <v>6.71</v>
      </c>
      <c r="CD780"/>
      <c r="CE780"/>
      <c r="CF780"/>
      <c r="CG780"/>
      <c r="CH780"/>
      <c r="CI780"/>
      <c r="CJ780"/>
      <c r="CK780"/>
      <c r="CL780"/>
      <c r="CM780"/>
    </row>
    <row r="781" spans="1:91">
      <c r="A781" s="154" t="s">
        <v>7750</v>
      </c>
      <c r="B781" t="s">
        <v>8289</v>
      </c>
      <c r="C781">
        <v>1</v>
      </c>
      <c r="D781">
        <v>1706</v>
      </c>
      <c r="E781" s="113">
        <v>6</v>
      </c>
      <c r="F781" s="113">
        <v>17</v>
      </c>
      <c r="I781">
        <v>25.499999999999996</v>
      </c>
      <c r="K781" s="320">
        <v>8</v>
      </c>
      <c r="L781" s="320"/>
      <c r="M781">
        <v>2.36</v>
      </c>
      <c r="N781" s="320"/>
      <c r="O781"/>
      <c r="P781"/>
      <c r="Q781"/>
      <c r="S781" s="320">
        <v>10.245562696196</v>
      </c>
      <c r="T781" s="320"/>
      <c r="U781">
        <v>10.8</v>
      </c>
      <c r="V781"/>
      <c r="W781"/>
      <c r="X781"/>
      <c r="Y781" s="321">
        <v>3.9433836000000002</v>
      </c>
      <c r="Z781" s="320"/>
      <c r="AA781" s="322">
        <v>75067.114093959739</v>
      </c>
      <c r="AB781" s="320"/>
      <c r="AC781" s="321">
        <v>21.0649342</v>
      </c>
      <c r="AD781" s="320"/>
      <c r="AE781" s="320">
        <v>22.37</v>
      </c>
      <c r="AF781" s="320"/>
      <c r="AG781">
        <v>2.98</v>
      </c>
      <c r="AH781"/>
      <c r="AI781">
        <v>143</v>
      </c>
      <c r="AJ781"/>
      <c r="AK781"/>
      <c r="AL781"/>
      <c r="AM781"/>
      <c r="AN781"/>
      <c r="AO781">
        <v>83</v>
      </c>
      <c r="AP781"/>
      <c r="AQ781" s="323"/>
      <c r="AR781" s="323"/>
      <c r="AS781">
        <v>118</v>
      </c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>
        <v>50.378</v>
      </c>
      <c r="BH781"/>
      <c r="BI781">
        <v>4.1466000000000003</v>
      </c>
      <c r="BJ781"/>
      <c r="BK781">
        <v>0.85394999999999999</v>
      </c>
      <c r="BL781"/>
      <c r="BM781">
        <v>15.19</v>
      </c>
      <c r="BN781"/>
      <c r="BO781">
        <v>15.456</v>
      </c>
      <c r="BP781"/>
      <c r="BQ781">
        <v>11.8</v>
      </c>
      <c r="BR781"/>
      <c r="BS781">
        <v>48.637999999999998</v>
      </c>
      <c r="BT781"/>
      <c r="BU781">
        <v>20.187000000000001</v>
      </c>
      <c r="BV781"/>
      <c r="BW781" s="325">
        <v>45.92</v>
      </c>
      <c r="BX781"/>
      <c r="BY781">
        <v>6.6189999999999998</v>
      </c>
      <c r="BZ781"/>
      <c r="CA781"/>
      <c r="CC781">
        <v>6.84</v>
      </c>
      <c r="CD781"/>
      <c r="CE781"/>
      <c r="CF781"/>
      <c r="CG781"/>
      <c r="CH781"/>
      <c r="CI781"/>
      <c r="CJ781"/>
      <c r="CK781"/>
      <c r="CL781"/>
      <c r="CM781"/>
    </row>
    <row r="782" spans="1:91">
      <c r="A782" s="154" t="s">
        <v>7751</v>
      </c>
      <c r="B782" t="s">
        <v>8289</v>
      </c>
      <c r="C782">
        <v>2</v>
      </c>
      <c r="D782">
        <v>745</v>
      </c>
      <c r="E782" s="113">
        <v>45</v>
      </c>
      <c r="F782" s="113">
        <v>7</v>
      </c>
      <c r="I782">
        <v>28.5</v>
      </c>
      <c r="K782" s="320">
        <v>9</v>
      </c>
      <c r="L782" s="320"/>
      <c r="M782">
        <v>2.41</v>
      </c>
      <c r="N782" s="320"/>
      <c r="O782"/>
      <c r="P782"/>
      <c r="Q782"/>
      <c r="S782" s="320">
        <v>10.607900985948</v>
      </c>
      <c r="T782" s="320"/>
      <c r="U782">
        <v>10.8</v>
      </c>
      <c r="V782"/>
      <c r="W782"/>
      <c r="X782"/>
      <c r="Y782" s="321">
        <v>4.6892085999999997</v>
      </c>
      <c r="Z782" s="320"/>
      <c r="AA782" s="322">
        <v>57506.172839506165</v>
      </c>
      <c r="AB782" s="320"/>
      <c r="AC782" s="321">
        <v>21.881886599999998</v>
      </c>
      <c r="AD782" s="320"/>
      <c r="AE782" s="320">
        <v>23.29</v>
      </c>
      <c r="AF782" s="320"/>
      <c r="AG782">
        <v>4.05</v>
      </c>
      <c r="AH782"/>
      <c r="AI782">
        <v>133</v>
      </c>
      <c r="AJ782"/>
      <c r="AK782"/>
      <c r="AL782"/>
      <c r="AM782"/>
      <c r="AN782"/>
      <c r="AO782">
        <v>80</v>
      </c>
      <c r="AP782"/>
      <c r="AQ782" s="323"/>
      <c r="AR782" s="323"/>
      <c r="AS782">
        <v>112</v>
      </c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>
        <v>51.664000000000001</v>
      </c>
      <c r="BH782"/>
      <c r="BI782">
        <v>4.2380000000000004</v>
      </c>
      <c r="BJ782"/>
      <c r="BK782">
        <v>0.79596999999999996</v>
      </c>
      <c r="BL782"/>
      <c r="BM782">
        <v>13.24</v>
      </c>
      <c r="BN782"/>
      <c r="BO782">
        <v>16.337</v>
      </c>
      <c r="BP782"/>
      <c r="BQ782">
        <v>10.617000000000001</v>
      </c>
      <c r="BR782"/>
      <c r="BS782">
        <v>48.478000000000002</v>
      </c>
      <c r="BT782"/>
      <c r="BU782">
        <v>19.971</v>
      </c>
      <c r="BV782"/>
      <c r="BW782">
        <v>50.116999999999997</v>
      </c>
      <c r="BX782" s="324"/>
      <c r="BY782">
        <v>6.4189999999999969</v>
      </c>
      <c r="BZ782"/>
      <c r="CA782"/>
      <c r="CC782">
        <v>5.01</v>
      </c>
      <c r="CD782"/>
      <c r="CE782"/>
      <c r="CF782"/>
      <c r="CG782"/>
      <c r="CH782"/>
      <c r="CI782"/>
      <c r="CJ782"/>
      <c r="CK782"/>
      <c r="CL782"/>
      <c r="CM782"/>
    </row>
    <row r="783" spans="1:91">
      <c r="A783" s="327" t="s">
        <v>7751</v>
      </c>
      <c r="B783" s="328" t="s">
        <v>8287</v>
      </c>
      <c r="C783" s="328">
        <v>1</v>
      </c>
      <c r="D783" s="328">
        <v>811</v>
      </c>
      <c r="E783" s="113">
        <v>11</v>
      </c>
      <c r="F783" s="113">
        <v>8</v>
      </c>
      <c r="G783" s="329"/>
      <c r="H783" s="329"/>
      <c r="I783" s="328">
        <v>28.5</v>
      </c>
      <c r="J783" s="330"/>
      <c r="K783" s="331">
        <v>8</v>
      </c>
      <c r="L783" s="331"/>
      <c r="M783" s="328">
        <v>2.0699999999999998</v>
      </c>
      <c r="N783" s="331"/>
      <c r="O783" s="328"/>
      <c r="P783" s="328"/>
      <c r="Q783" s="328"/>
      <c r="R783" s="332"/>
      <c r="S783" s="331">
        <v>9.4025533129920014</v>
      </c>
      <c r="T783" s="331"/>
      <c r="U783" s="328">
        <v>10.8</v>
      </c>
      <c r="V783" s="328"/>
      <c r="W783" s="328"/>
      <c r="X783" s="328"/>
      <c r="Y783" s="333">
        <v>3.5396339999999999</v>
      </c>
      <c r="Z783" s="331"/>
      <c r="AA783" s="334">
        <v>44674.157303370775</v>
      </c>
      <c r="AB783" s="331"/>
      <c r="AC783" s="333">
        <v>18.587998800000001</v>
      </c>
      <c r="AD783" s="331"/>
      <c r="AE783" s="331">
        <v>19.88</v>
      </c>
      <c r="AF783" s="331"/>
      <c r="AG783" s="328">
        <v>4.45</v>
      </c>
      <c r="AH783" s="328"/>
      <c r="AI783" s="328">
        <v>120</v>
      </c>
      <c r="AJ783" s="328"/>
      <c r="AK783" s="328"/>
      <c r="AL783" s="328"/>
      <c r="AM783" s="328"/>
      <c r="AN783" s="328"/>
      <c r="AO783" s="328">
        <v>77</v>
      </c>
      <c r="AP783" s="328"/>
      <c r="AQ783" s="335"/>
      <c r="AR783" s="335"/>
      <c r="AS783" s="328">
        <v>112</v>
      </c>
      <c r="AT783" s="328"/>
      <c r="AU783" s="328"/>
      <c r="AV783" s="328"/>
      <c r="AW783" s="328"/>
      <c r="AX783" s="328"/>
      <c r="AY783" s="328"/>
      <c r="AZ783" s="328"/>
      <c r="BA783" s="328"/>
      <c r="BB783" s="328"/>
      <c r="BC783" s="328"/>
      <c r="BD783" s="328"/>
      <c r="BE783" s="328"/>
      <c r="BF783" s="328"/>
      <c r="BG783" s="328">
        <v>39.161999999999999</v>
      </c>
      <c r="BH783" s="328"/>
      <c r="BI783" s="328">
        <v>4.5128000000000004</v>
      </c>
      <c r="BJ783" s="328"/>
      <c r="BK783" s="328">
        <v>0.93262999999999996</v>
      </c>
      <c r="BL783" s="328"/>
      <c r="BM783" s="328">
        <v>25.353000000000002</v>
      </c>
      <c r="BN783" s="328"/>
      <c r="BO783" s="328">
        <v>16.402000000000001</v>
      </c>
      <c r="BP783" s="328"/>
      <c r="BQ783" s="328">
        <v>10.422000000000001</v>
      </c>
      <c r="BR783" s="328"/>
      <c r="BS783" s="328">
        <v>50.584000000000003</v>
      </c>
      <c r="BT783" s="328"/>
      <c r="BU783" s="328">
        <v>18.311</v>
      </c>
      <c r="BV783" s="328"/>
      <c r="BW783" s="328">
        <v>46.226999999999997</v>
      </c>
      <c r="BX783" s="339"/>
      <c r="BY783" s="328">
        <v>6.4260000000000019</v>
      </c>
      <c r="BZ783" s="328"/>
      <c r="CA783" s="328"/>
      <c r="CB783" s="337"/>
      <c r="CC783" s="328">
        <v>5.61</v>
      </c>
      <c r="CD783" s="328"/>
      <c r="CE783" s="328"/>
      <c r="CF783" s="328"/>
      <c r="CG783" s="328"/>
      <c r="CH783" s="328"/>
      <c r="CI783" s="328"/>
      <c r="CJ783" s="328"/>
      <c r="CK783" s="328" t="s">
        <v>8377</v>
      </c>
      <c r="CL783" s="328"/>
      <c r="CM783" s="328"/>
    </row>
    <row r="784" spans="1:91">
      <c r="A784" s="154" t="s">
        <v>7751</v>
      </c>
      <c r="B784" t="s">
        <v>8289</v>
      </c>
      <c r="C784">
        <v>1</v>
      </c>
      <c r="D784">
        <v>1210</v>
      </c>
      <c r="E784" s="113">
        <v>10</v>
      </c>
      <c r="F784" s="113">
        <v>12</v>
      </c>
      <c r="I784">
        <v>26.499999999999996</v>
      </c>
      <c r="K784" s="320">
        <v>9</v>
      </c>
      <c r="L784" s="320"/>
      <c r="M784">
        <v>2.33</v>
      </c>
      <c r="N784" s="320"/>
      <c r="O784"/>
      <c r="P784"/>
      <c r="Q784"/>
      <c r="S784" s="320">
        <v>9.7761954101759994</v>
      </c>
      <c r="T784" s="320"/>
      <c r="U784">
        <v>10.8</v>
      </c>
      <c r="V784"/>
      <c r="W784"/>
      <c r="X784"/>
      <c r="Y784" s="321">
        <v>4.1511339999999999</v>
      </c>
      <c r="Z784" s="320"/>
      <c r="AA784" s="322">
        <v>53750</v>
      </c>
      <c r="AB784" s="320"/>
      <c r="AC784" s="321">
        <v>20.953779600000001</v>
      </c>
      <c r="AD784" s="320"/>
      <c r="AE784" s="320">
        <v>22.36</v>
      </c>
      <c r="AF784" s="320"/>
      <c r="AG784">
        <v>4.16</v>
      </c>
      <c r="AH784"/>
      <c r="AI784">
        <v>130</v>
      </c>
      <c r="AJ784"/>
      <c r="AK784"/>
      <c r="AL784"/>
      <c r="AM784"/>
      <c r="AN784"/>
      <c r="AO784">
        <v>79</v>
      </c>
      <c r="AP784"/>
      <c r="AQ784" s="323"/>
      <c r="AR784" s="323"/>
      <c r="AS784">
        <v>112</v>
      </c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>
        <v>45.41</v>
      </c>
      <c r="BH784"/>
      <c r="BI784">
        <v>4.1794000000000002</v>
      </c>
      <c r="BJ784"/>
      <c r="BK784">
        <v>0.99033000000000004</v>
      </c>
      <c r="BL784"/>
      <c r="BM784">
        <v>16.035</v>
      </c>
      <c r="BN784"/>
      <c r="BO784">
        <v>15.489000000000001</v>
      </c>
      <c r="BP784"/>
      <c r="BQ784">
        <v>9.9852000000000007</v>
      </c>
      <c r="BR784"/>
      <c r="BS784">
        <v>46.655999999999999</v>
      </c>
      <c r="BT784"/>
      <c r="BU784">
        <v>21.364999999999998</v>
      </c>
      <c r="BV784"/>
      <c r="BW784" s="325">
        <v>19.09</v>
      </c>
      <c r="BX784"/>
      <c r="BY784">
        <v>6.8289999999999935</v>
      </c>
      <c r="BZ784"/>
      <c r="CA784"/>
      <c r="CC784">
        <v>5.69</v>
      </c>
      <c r="CD784"/>
      <c r="CE784"/>
      <c r="CF784"/>
      <c r="CG784"/>
      <c r="CH784"/>
      <c r="CI784"/>
      <c r="CJ784"/>
      <c r="CK784"/>
      <c r="CL784"/>
      <c r="CM784"/>
    </row>
    <row r="785" spans="1:91">
      <c r="A785" s="154" t="s">
        <v>7751</v>
      </c>
      <c r="B785" t="s">
        <v>8287</v>
      </c>
      <c r="C785">
        <v>2</v>
      </c>
      <c r="D785">
        <v>1363</v>
      </c>
      <c r="E785" s="113">
        <v>63</v>
      </c>
      <c r="F785" s="113">
        <v>13</v>
      </c>
      <c r="I785">
        <v>29.5</v>
      </c>
      <c r="K785" s="320">
        <v>9</v>
      </c>
      <c r="L785" s="320"/>
      <c r="M785">
        <v>2.5099999999999998</v>
      </c>
      <c r="N785" s="320"/>
      <c r="O785"/>
      <c r="P785"/>
      <c r="Q785"/>
      <c r="S785" s="320">
        <v>11.093170009950002</v>
      </c>
      <c r="T785" s="320"/>
      <c r="U785">
        <v>10.8</v>
      </c>
      <c r="V785"/>
      <c r="W785"/>
      <c r="X785"/>
      <c r="Y785" s="321">
        <v>3.5890821000000006</v>
      </c>
      <c r="Z785" s="320"/>
      <c r="AA785" s="322">
        <v>57591.240875912408</v>
      </c>
      <c r="AB785" s="320"/>
      <c r="AC785" s="321">
        <v>22.090027500000001</v>
      </c>
      <c r="AD785" s="320"/>
      <c r="AE785" s="320">
        <v>23.67</v>
      </c>
      <c r="AF785" s="320"/>
      <c r="AG785">
        <v>4.1100000000000003</v>
      </c>
      <c r="AH785"/>
      <c r="AI785">
        <v>133</v>
      </c>
      <c r="AJ785"/>
      <c r="AK785"/>
      <c r="AL785"/>
      <c r="AM785"/>
      <c r="AN785"/>
      <c r="AO785">
        <v>79</v>
      </c>
      <c r="AP785"/>
      <c r="AQ785" s="323"/>
      <c r="AR785" s="323"/>
      <c r="AS785">
        <v>112</v>
      </c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>
        <v>45.167000000000002</v>
      </c>
      <c r="BH785"/>
      <c r="BI785">
        <v>4.4851999999999999</v>
      </c>
      <c r="BJ785"/>
      <c r="BK785">
        <v>0.81201000000000001</v>
      </c>
      <c r="BL785"/>
      <c r="BM785">
        <v>24.035</v>
      </c>
      <c r="BN785"/>
      <c r="BO785">
        <v>15.182</v>
      </c>
      <c r="BP785"/>
      <c r="BQ785">
        <v>10.71</v>
      </c>
      <c r="BR785"/>
      <c r="BS785">
        <v>50.218000000000004</v>
      </c>
      <c r="BT785"/>
      <c r="BU785">
        <v>18.338000000000001</v>
      </c>
      <c r="BV785"/>
      <c r="BW785">
        <v>64.909000000000006</v>
      </c>
      <c r="BX785" s="324"/>
      <c r="BY785">
        <v>6.438999999999993</v>
      </c>
      <c r="BZ785"/>
      <c r="CA785"/>
      <c r="CC785">
        <v>7.31</v>
      </c>
      <c r="CD785"/>
      <c r="CE785"/>
      <c r="CF785"/>
      <c r="CG785"/>
      <c r="CH785"/>
      <c r="CI785"/>
      <c r="CJ785"/>
      <c r="CK785"/>
      <c r="CL785"/>
      <c r="CM785"/>
    </row>
    <row r="786" spans="1:91">
      <c r="A786" s="154" t="s">
        <v>7752</v>
      </c>
      <c r="B786" t="s">
        <v>8289</v>
      </c>
      <c r="C786">
        <v>2</v>
      </c>
      <c r="D786">
        <v>251</v>
      </c>
      <c r="E786" s="113">
        <v>51</v>
      </c>
      <c r="F786" s="113">
        <v>2</v>
      </c>
      <c r="I786">
        <v>32.999999999999993</v>
      </c>
      <c r="K786" s="320">
        <v>9</v>
      </c>
      <c r="L786" s="320"/>
      <c r="M786">
        <v>2.76</v>
      </c>
      <c r="N786" s="320"/>
      <c r="O786"/>
      <c r="P786"/>
      <c r="Q786"/>
      <c r="S786" s="320">
        <v>11.725399927472001</v>
      </c>
      <c r="T786" s="320"/>
      <c r="U786">
        <v>10.8</v>
      </c>
      <c r="V786"/>
      <c r="W786"/>
      <c r="X786"/>
      <c r="Y786" s="321">
        <v>4.8501639999999995</v>
      </c>
      <c r="Z786" s="320"/>
      <c r="AA786" s="322">
        <v>54215.885947046845</v>
      </c>
      <c r="AB786" s="320"/>
      <c r="AC786" s="321">
        <v>24.928565200000001</v>
      </c>
      <c r="AD786" s="320"/>
      <c r="AE786" s="320">
        <v>26.62</v>
      </c>
      <c r="AF786" s="320"/>
      <c r="AG786">
        <v>4.91</v>
      </c>
      <c r="AH786"/>
      <c r="AI786">
        <v>115</v>
      </c>
      <c r="AJ786"/>
      <c r="AK786"/>
      <c r="AL786"/>
      <c r="AM786"/>
      <c r="AN786"/>
      <c r="AO786">
        <v>77</v>
      </c>
      <c r="AP786"/>
      <c r="AQ786" s="323"/>
      <c r="AR786" s="323"/>
      <c r="AS786">
        <v>112</v>
      </c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>
        <v>3.3039999999999998</v>
      </c>
      <c r="BH786"/>
      <c r="BI786">
        <v>4.7161</v>
      </c>
      <c r="BJ786"/>
      <c r="BK786">
        <v>1.468</v>
      </c>
      <c r="BL786"/>
      <c r="BM786">
        <v>60.22</v>
      </c>
      <c r="BN786"/>
      <c r="BO786">
        <v>18.984000000000002</v>
      </c>
      <c r="BP786"/>
      <c r="BQ786">
        <v>10.462999999999999</v>
      </c>
      <c r="BR786"/>
      <c r="BS786">
        <v>47.036000000000001</v>
      </c>
      <c r="BT786"/>
      <c r="BU786">
        <v>21.303999999999998</v>
      </c>
      <c r="BV786"/>
      <c r="BW786" s="325">
        <v>29.85</v>
      </c>
      <c r="BX786"/>
      <c r="BY786">
        <v>6.4419999999999931</v>
      </c>
      <c r="BZ786"/>
      <c r="CA786"/>
      <c r="CC786">
        <v>5.22</v>
      </c>
      <c r="CD786"/>
      <c r="CE786"/>
      <c r="CF786"/>
      <c r="CG786"/>
      <c r="CH786"/>
      <c r="CI786"/>
      <c r="CJ786"/>
      <c r="CK786"/>
      <c r="CL786"/>
      <c r="CM786"/>
    </row>
    <row r="787" spans="1:91">
      <c r="A787" s="327" t="s">
        <v>7752</v>
      </c>
      <c r="B787" s="328" t="s">
        <v>8287</v>
      </c>
      <c r="C787" s="328">
        <v>1</v>
      </c>
      <c r="D787" s="328">
        <v>827</v>
      </c>
      <c r="E787" s="113">
        <v>27</v>
      </c>
      <c r="F787" s="113">
        <v>8</v>
      </c>
      <c r="G787" s="329"/>
      <c r="H787" s="329"/>
      <c r="I787" s="328">
        <v>29.999999999999996</v>
      </c>
      <c r="J787" s="330"/>
      <c r="K787" s="331">
        <v>7</v>
      </c>
      <c r="L787" s="331"/>
      <c r="M787" s="328">
        <v>1.31</v>
      </c>
      <c r="N787" s="331"/>
      <c r="O787" s="328"/>
      <c r="P787" s="328"/>
      <c r="Q787" s="328"/>
      <c r="R787" s="332"/>
      <c r="S787" s="331">
        <v>5.5790498330800009</v>
      </c>
      <c r="T787" s="331"/>
      <c r="U787" s="328">
        <v>10.8</v>
      </c>
      <c r="V787" s="328"/>
      <c r="W787" s="328"/>
      <c r="X787" s="328"/>
      <c r="Y787" s="333">
        <v>2.1987907999999998</v>
      </c>
      <c r="Z787" s="331"/>
      <c r="AA787" s="334">
        <v>24711.934156378597</v>
      </c>
      <c r="AB787" s="331"/>
      <c r="AC787" s="333">
        <v>11.232232400000001</v>
      </c>
      <c r="AD787" s="331"/>
      <c r="AE787" s="331">
        <v>12.01</v>
      </c>
      <c r="AF787" s="331"/>
      <c r="AG787" s="328">
        <v>4.8600000000000003</v>
      </c>
      <c r="AH787" s="328"/>
      <c r="AI787" s="328">
        <v>100</v>
      </c>
      <c r="AJ787" s="328"/>
      <c r="AK787" s="328"/>
      <c r="AL787" s="328"/>
      <c r="AM787" s="328"/>
      <c r="AN787" s="328"/>
      <c r="AO787" s="328">
        <v>79</v>
      </c>
      <c r="AP787" s="328"/>
      <c r="AQ787" s="335"/>
      <c r="AR787" s="335"/>
      <c r="AS787" s="328">
        <v>112</v>
      </c>
      <c r="AT787" s="328"/>
      <c r="AU787" s="328"/>
      <c r="AV787" s="328"/>
      <c r="AW787" s="328"/>
      <c r="AX787" s="328"/>
      <c r="AY787" s="328"/>
      <c r="AZ787" s="328"/>
      <c r="BA787" s="328"/>
      <c r="BB787" s="328"/>
      <c r="BC787" s="328"/>
      <c r="BD787" s="328"/>
      <c r="BE787" s="328"/>
      <c r="BF787" s="328"/>
      <c r="BG787" s="328">
        <v>-3.4908999999999999</v>
      </c>
      <c r="BH787" s="328"/>
      <c r="BI787" s="328">
        <v>4.7507000000000001</v>
      </c>
      <c r="BJ787" s="328"/>
      <c r="BK787" s="328">
        <v>1.3920999999999999</v>
      </c>
      <c r="BL787" s="328"/>
      <c r="BM787" s="328">
        <v>64.707999999999998</v>
      </c>
      <c r="BN787" s="328"/>
      <c r="BO787" s="328">
        <v>19.524000000000001</v>
      </c>
      <c r="BP787" s="328"/>
      <c r="BQ787" s="328">
        <v>9.7254000000000005</v>
      </c>
      <c r="BR787" s="328"/>
      <c r="BS787" s="328">
        <v>49.67</v>
      </c>
      <c r="BT787" s="328"/>
      <c r="BU787" s="328">
        <v>18.748999999999999</v>
      </c>
      <c r="BV787" s="328"/>
      <c r="BW787" s="336">
        <v>50.13</v>
      </c>
      <c r="BX787" s="328"/>
      <c r="BY787" s="328">
        <v>6.6430000000000007</v>
      </c>
      <c r="BZ787" s="328"/>
      <c r="CA787" s="328"/>
      <c r="CB787" s="337"/>
      <c r="CC787" s="328">
        <v>9.9</v>
      </c>
      <c r="CD787" s="328"/>
      <c r="CE787" s="328"/>
      <c r="CF787" s="328"/>
      <c r="CG787" s="328"/>
      <c r="CH787" s="328"/>
      <c r="CI787" s="328"/>
      <c r="CJ787" s="328"/>
      <c r="CK787" s="328" t="s">
        <v>8377</v>
      </c>
      <c r="CL787" s="328"/>
      <c r="CM787" s="328"/>
    </row>
    <row r="788" spans="1:91">
      <c r="A788" s="154" t="s">
        <v>7752</v>
      </c>
      <c r="B788" t="s">
        <v>8289</v>
      </c>
      <c r="C788">
        <v>1</v>
      </c>
      <c r="D788">
        <v>1134</v>
      </c>
      <c r="E788" s="113">
        <v>34</v>
      </c>
      <c r="F788" s="113">
        <v>11</v>
      </c>
      <c r="I788">
        <v>31.499999999999996</v>
      </c>
      <c r="K788" s="320">
        <v>8</v>
      </c>
      <c r="L788" s="320"/>
      <c r="M788">
        <v>2.81</v>
      </c>
      <c r="N788" s="320"/>
      <c r="O788"/>
      <c r="P788"/>
      <c r="Q788"/>
      <c r="S788" s="320">
        <v>11.837286209231999</v>
      </c>
      <c r="T788" s="320"/>
      <c r="U788">
        <v>10.8</v>
      </c>
      <c r="V788"/>
      <c r="W788"/>
      <c r="X788"/>
      <c r="Y788" s="321">
        <v>4.9461841999999994</v>
      </c>
      <c r="Z788" s="320"/>
      <c r="AA788" s="322">
        <v>62576.832151300223</v>
      </c>
      <c r="AB788" s="320"/>
      <c r="AC788" s="321">
        <v>24.737803199999998</v>
      </c>
      <c r="AD788" s="320"/>
      <c r="AE788" s="320">
        <v>26.47</v>
      </c>
      <c r="AF788" s="320"/>
      <c r="AG788">
        <v>4.2300000000000004</v>
      </c>
      <c r="AH788"/>
      <c r="AI788">
        <v>113</v>
      </c>
      <c r="AJ788"/>
      <c r="AK788"/>
      <c r="AL788"/>
      <c r="AM788"/>
      <c r="AN788"/>
      <c r="AO788">
        <v>79</v>
      </c>
      <c r="AP788"/>
      <c r="AQ788" s="323"/>
      <c r="AR788" s="323"/>
      <c r="AS788">
        <v>112</v>
      </c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>
        <v>2.0651999999999999</v>
      </c>
      <c r="BH788"/>
      <c r="BI788">
        <v>4.3750999999999998</v>
      </c>
      <c r="BJ788"/>
      <c r="BK788">
        <v>1.3793</v>
      </c>
      <c r="BL788"/>
      <c r="BM788">
        <v>63.881</v>
      </c>
      <c r="BN788"/>
      <c r="BO788">
        <v>18.452000000000002</v>
      </c>
      <c r="BP788"/>
      <c r="BQ788">
        <v>10.682</v>
      </c>
      <c r="BR788"/>
      <c r="BS788">
        <v>47.850999999999999</v>
      </c>
      <c r="BT788"/>
      <c r="BU788">
        <v>20.544</v>
      </c>
      <c r="BV788"/>
      <c r="BW788">
        <v>59.813000000000002</v>
      </c>
      <c r="BX788" s="324"/>
      <c r="BY788">
        <v>6.5919999999999987</v>
      </c>
      <c r="BZ788"/>
      <c r="CA788"/>
      <c r="CC788">
        <v>7.42</v>
      </c>
      <c r="CD788"/>
      <c r="CE788"/>
      <c r="CF788"/>
      <c r="CG788"/>
      <c r="CH788"/>
      <c r="CI788"/>
      <c r="CJ788"/>
      <c r="CK788"/>
      <c r="CL788"/>
      <c r="CM788"/>
    </row>
    <row r="789" spans="1:91">
      <c r="A789" s="154" t="s">
        <v>7752</v>
      </c>
      <c r="B789" t="s">
        <v>8287</v>
      </c>
      <c r="C789">
        <v>2</v>
      </c>
      <c r="D789">
        <v>1772</v>
      </c>
      <c r="E789" s="113">
        <v>72</v>
      </c>
      <c r="F789" s="113">
        <v>17</v>
      </c>
      <c r="I789">
        <v>29.5</v>
      </c>
      <c r="K789" s="320">
        <v>8</v>
      </c>
      <c r="L789" s="320"/>
      <c r="M789">
        <v>2.81</v>
      </c>
      <c r="N789" s="320"/>
      <c r="O789"/>
      <c r="P789"/>
      <c r="Q789"/>
      <c r="S789" s="320">
        <v>12.365017175936</v>
      </c>
      <c r="T789" s="320"/>
      <c r="U789">
        <v>10.8</v>
      </c>
      <c r="V789"/>
      <c r="W789"/>
      <c r="X789"/>
      <c r="Y789" s="321">
        <v>4.6213991999999999</v>
      </c>
      <c r="Z789" s="320"/>
      <c r="AA789" s="322">
        <v>64009.433962264149</v>
      </c>
      <c r="AB789" s="320"/>
      <c r="AC789" s="321">
        <v>25.3683008</v>
      </c>
      <c r="AD789" s="320"/>
      <c r="AE789" s="320">
        <v>27.14</v>
      </c>
      <c r="AF789" s="320"/>
      <c r="AG789">
        <v>4.24</v>
      </c>
      <c r="AH789"/>
      <c r="AI789">
        <v>113</v>
      </c>
      <c r="AJ789"/>
      <c r="AK789"/>
      <c r="AL789"/>
      <c r="AM789"/>
      <c r="AN789"/>
      <c r="AO789">
        <v>79</v>
      </c>
      <c r="AP789"/>
      <c r="AQ789" s="323"/>
      <c r="AR789" s="323"/>
      <c r="AS789">
        <v>112</v>
      </c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>
        <v>1.1301000000000001</v>
      </c>
      <c r="BH789"/>
      <c r="BI789">
        <v>4.5038</v>
      </c>
      <c r="BJ789"/>
      <c r="BK789">
        <v>1.3101</v>
      </c>
      <c r="BL789"/>
      <c r="BM789">
        <v>62.746000000000002</v>
      </c>
      <c r="BN789"/>
      <c r="BO789">
        <v>18.745000000000001</v>
      </c>
      <c r="BP789"/>
      <c r="BQ789">
        <v>10.234999999999999</v>
      </c>
      <c r="BR789"/>
      <c r="BS789">
        <v>48.741999999999997</v>
      </c>
      <c r="BT789"/>
      <c r="BU789">
        <v>19.451000000000001</v>
      </c>
      <c r="BV789"/>
      <c r="BW789">
        <v>64.498000000000005</v>
      </c>
      <c r="BX789" s="324"/>
      <c r="BY789">
        <v>6.5589999999999975</v>
      </c>
      <c r="BZ789"/>
      <c r="CA789"/>
      <c r="CC789">
        <v>5.09</v>
      </c>
      <c r="CD789"/>
      <c r="CE789"/>
      <c r="CF789"/>
      <c r="CG789"/>
      <c r="CH789"/>
      <c r="CI789"/>
      <c r="CJ789"/>
      <c r="CK789"/>
      <c r="CL789"/>
      <c r="CM789"/>
    </row>
    <row r="790" spans="1:91">
      <c r="A790" s="154" t="s">
        <v>7803</v>
      </c>
      <c r="B790" t="s">
        <v>8287</v>
      </c>
      <c r="C790">
        <v>1</v>
      </c>
      <c r="D790">
        <v>233</v>
      </c>
      <c r="E790" s="113">
        <v>33</v>
      </c>
      <c r="F790" s="113">
        <v>2</v>
      </c>
      <c r="I790">
        <v>35</v>
      </c>
      <c r="K790" s="320">
        <v>9</v>
      </c>
      <c r="L790" s="320"/>
      <c r="M790">
        <v>4.28</v>
      </c>
      <c r="N790" s="320"/>
      <c r="O790"/>
      <c r="P790"/>
      <c r="Q790"/>
      <c r="S790" s="320">
        <v>19.694605469760003</v>
      </c>
      <c r="T790" s="320"/>
      <c r="U790">
        <v>10.8</v>
      </c>
      <c r="V790"/>
      <c r="W790"/>
      <c r="X790"/>
      <c r="Y790" s="321">
        <v>6.9190104000000012</v>
      </c>
      <c r="Z790" s="320"/>
      <c r="AA790" s="322">
        <v>85641.025641025641</v>
      </c>
      <c r="AB790" s="320"/>
      <c r="AC790" s="321">
        <v>37.499248800000004</v>
      </c>
      <c r="AD790" s="320"/>
      <c r="AE790" s="320">
        <v>40.08</v>
      </c>
      <c r="AF790" s="320"/>
      <c r="AG790">
        <v>4.68</v>
      </c>
      <c r="AH790"/>
      <c r="AI790">
        <v>143</v>
      </c>
      <c r="AJ790"/>
      <c r="AK790"/>
      <c r="AL790"/>
      <c r="AM790"/>
      <c r="AN790"/>
      <c r="AO790">
        <v>80</v>
      </c>
      <c r="AP790"/>
      <c r="AQ790" s="323"/>
      <c r="AR790" s="323"/>
      <c r="AS790">
        <v>118</v>
      </c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>
        <v>0.83374999999999999</v>
      </c>
      <c r="BH790"/>
      <c r="BI790">
        <v>4.7568999999999999</v>
      </c>
      <c r="BJ790"/>
      <c r="BK790">
        <v>1.2835000000000001</v>
      </c>
      <c r="BL790"/>
      <c r="BM790">
        <v>56.155999999999999</v>
      </c>
      <c r="BN790"/>
      <c r="BO790">
        <v>22.228999999999999</v>
      </c>
      <c r="BP790"/>
      <c r="BQ790">
        <v>10.601000000000001</v>
      </c>
      <c r="BR790"/>
      <c r="BS790">
        <v>52.52</v>
      </c>
      <c r="BT790"/>
      <c r="BU790">
        <v>17.420000000000002</v>
      </c>
      <c r="BV790"/>
      <c r="BW790" s="325">
        <v>8.6999999999999993</v>
      </c>
      <c r="BX790"/>
      <c r="BY790">
        <v>5.9770000000000039</v>
      </c>
      <c r="BZ790"/>
      <c r="CA790"/>
      <c r="CC790">
        <v>7.97</v>
      </c>
      <c r="CD790"/>
      <c r="CE790"/>
      <c r="CF790"/>
      <c r="CG790"/>
      <c r="CH790"/>
      <c r="CI790"/>
      <c r="CJ790"/>
      <c r="CK790"/>
      <c r="CL790"/>
      <c r="CM790"/>
    </row>
    <row r="791" spans="1:91">
      <c r="A791" s="327" t="s">
        <v>7803</v>
      </c>
      <c r="B791" s="328" t="s">
        <v>8289</v>
      </c>
      <c r="C791" s="328">
        <v>2</v>
      </c>
      <c r="D791" s="328">
        <v>975</v>
      </c>
      <c r="E791" s="113">
        <v>75</v>
      </c>
      <c r="F791" s="113">
        <v>9</v>
      </c>
      <c r="G791" s="329"/>
      <c r="H791" s="329"/>
      <c r="I791" s="328">
        <v>32.5</v>
      </c>
      <c r="J791" s="330"/>
      <c r="K791" s="331">
        <v>7</v>
      </c>
      <c r="L791" s="331"/>
      <c r="M791" s="328">
        <v>1.29</v>
      </c>
      <c r="N791" s="331"/>
      <c r="O791" s="328"/>
      <c r="P791" s="328"/>
      <c r="Q791" s="328"/>
      <c r="R791" s="332"/>
      <c r="S791" s="331" t="s">
        <v>8361</v>
      </c>
      <c r="T791" s="331"/>
      <c r="U791" s="328">
        <v>10.8</v>
      </c>
      <c r="V791" s="328"/>
      <c r="W791" s="328"/>
      <c r="X791" s="328"/>
      <c r="Y791" s="333">
        <v>0</v>
      </c>
      <c r="Z791" s="331"/>
      <c r="AA791" s="334">
        <v>27146.067415730337</v>
      </c>
      <c r="AB791" s="331"/>
      <c r="AC791" s="333" t="s">
        <v>8361</v>
      </c>
      <c r="AD791" s="331"/>
      <c r="AE791" s="331">
        <v>12.08</v>
      </c>
      <c r="AF791" s="331"/>
      <c r="AG791" s="328">
        <v>4.45</v>
      </c>
      <c r="AH791" s="328"/>
      <c r="AI791" s="328"/>
      <c r="AJ791" s="328"/>
      <c r="AK791" s="328"/>
      <c r="AL791" s="328"/>
      <c r="AM791" s="328"/>
      <c r="AN791" s="328"/>
      <c r="AO791" s="328">
        <v>81</v>
      </c>
      <c r="AP791" s="328"/>
      <c r="AQ791" s="335"/>
      <c r="AR791" s="335"/>
      <c r="AS791" s="328">
        <v>114</v>
      </c>
      <c r="AT791" s="328"/>
      <c r="AU791" s="328"/>
      <c r="AV791" s="328"/>
      <c r="AW791" s="328"/>
      <c r="AX791" s="328"/>
      <c r="AY791" s="328"/>
      <c r="AZ791" s="328"/>
      <c r="BA791" s="328"/>
      <c r="BB791" s="328"/>
      <c r="BC791" s="328"/>
      <c r="BD791" s="328"/>
      <c r="BE791" s="328"/>
      <c r="BF791" s="328"/>
      <c r="BG791" s="328">
        <v>-1.8532E-2</v>
      </c>
      <c r="BH791" s="328"/>
      <c r="BI791" s="328">
        <v>5.0614999999999997</v>
      </c>
      <c r="BJ791" s="328"/>
      <c r="BK791" s="328">
        <v>1.4898</v>
      </c>
      <c r="BL791" s="328"/>
      <c r="BM791" s="328">
        <v>58.406999999999996</v>
      </c>
      <c r="BN791" s="328"/>
      <c r="BO791" s="328">
        <v>22.649000000000001</v>
      </c>
      <c r="BP791" s="328"/>
      <c r="BQ791" s="328">
        <v>8.2589000000000006</v>
      </c>
      <c r="BR791" s="328"/>
      <c r="BS791" s="328">
        <v>45.188000000000002</v>
      </c>
      <c r="BT791" s="328"/>
      <c r="BU791" s="328">
        <v>20.398</v>
      </c>
      <c r="BV791" s="328"/>
      <c r="BW791" s="336">
        <v>8.18</v>
      </c>
      <c r="BX791" s="328"/>
      <c r="BY791" s="328">
        <v>6.6200000000000045</v>
      </c>
      <c r="BZ791" s="328"/>
      <c r="CA791" s="328"/>
      <c r="CB791" s="337"/>
      <c r="CC791" s="328">
        <v>8</v>
      </c>
      <c r="CD791" s="328"/>
      <c r="CE791" s="328"/>
      <c r="CF791" s="328"/>
      <c r="CG791" s="328"/>
      <c r="CH791" s="328"/>
      <c r="CI791" s="328"/>
      <c r="CJ791" s="328"/>
      <c r="CK791" s="328" t="s">
        <v>8377</v>
      </c>
      <c r="CL791" s="328"/>
      <c r="CM791" s="328"/>
    </row>
    <row r="792" spans="1:91">
      <c r="A792" s="154" t="s">
        <v>7803</v>
      </c>
      <c r="B792" t="s">
        <v>8287</v>
      </c>
      <c r="C792">
        <v>2</v>
      </c>
      <c r="D792">
        <v>1341</v>
      </c>
      <c r="E792" s="113">
        <v>41</v>
      </c>
      <c r="F792" s="113">
        <v>13</v>
      </c>
      <c r="I792">
        <v>31.499999999999996</v>
      </c>
      <c r="K792" s="320">
        <v>9</v>
      </c>
      <c r="L792" s="320"/>
      <c r="M792">
        <v>3.22</v>
      </c>
      <c r="N792" s="320"/>
      <c r="O792"/>
      <c r="P792"/>
      <c r="Q792"/>
      <c r="S792" s="320" t="s">
        <v>8361</v>
      </c>
      <c r="T792" s="320"/>
      <c r="U792">
        <v>10.8</v>
      </c>
      <c r="V792"/>
      <c r="W792"/>
      <c r="X792"/>
      <c r="Y792" s="321">
        <v>0</v>
      </c>
      <c r="Z792" s="320"/>
      <c r="AA792" s="322">
        <v>66185.344827586203</v>
      </c>
      <c r="AB792" s="320"/>
      <c r="AC792" s="321" t="s">
        <v>8361</v>
      </c>
      <c r="AD792" s="320"/>
      <c r="AE792" s="320">
        <v>30.71</v>
      </c>
      <c r="AF792" s="320"/>
      <c r="AG792">
        <v>4.6399999999999997</v>
      </c>
      <c r="AH792"/>
      <c r="AI792">
        <v>133</v>
      </c>
      <c r="AJ792"/>
      <c r="AK792"/>
      <c r="AL792"/>
      <c r="AM792"/>
      <c r="AN792"/>
      <c r="AO792">
        <v>81</v>
      </c>
      <c r="AP792"/>
      <c r="AQ792" s="323"/>
      <c r="AR792" s="323"/>
      <c r="AS792">
        <v>114</v>
      </c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>
        <v>0.24368000000000001</v>
      </c>
      <c r="BH792"/>
      <c r="BI792">
        <v>4.7656000000000001</v>
      </c>
      <c r="BJ792"/>
      <c r="BK792">
        <v>1.3395999999999999</v>
      </c>
      <c r="BL792"/>
      <c r="BM792">
        <v>60.222999999999999</v>
      </c>
      <c r="BN792"/>
      <c r="BO792">
        <v>22.164999999999999</v>
      </c>
      <c r="BP792"/>
      <c r="BQ792">
        <v>9.9512999999999998</v>
      </c>
      <c r="BR792"/>
      <c r="BS792">
        <v>53.343000000000004</v>
      </c>
      <c r="BT792"/>
      <c r="BU792">
        <v>16.187999999999999</v>
      </c>
      <c r="BV792"/>
      <c r="BW792" s="325">
        <v>9.4700000000000006</v>
      </c>
      <c r="BX792"/>
      <c r="BY792">
        <v>6.034000000000006</v>
      </c>
      <c r="BZ792"/>
      <c r="CA792"/>
      <c r="CC792">
        <v>6.28</v>
      </c>
      <c r="CD792"/>
      <c r="CE792"/>
      <c r="CF792"/>
      <c r="CG792"/>
      <c r="CH792"/>
      <c r="CI792"/>
      <c r="CJ792"/>
      <c r="CK792"/>
      <c r="CL792"/>
      <c r="CM792"/>
    </row>
    <row r="793" spans="1:91">
      <c r="A793" s="154" t="s">
        <v>7803</v>
      </c>
      <c r="B793" t="s">
        <v>8289</v>
      </c>
      <c r="C793">
        <v>1</v>
      </c>
      <c r="D793">
        <v>1313</v>
      </c>
      <c r="E793" s="113">
        <v>13</v>
      </c>
      <c r="F793" s="113">
        <v>13</v>
      </c>
      <c r="I793">
        <v>27.999999999999996</v>
      </c>
      <c r="K793" s="320">
        <v>9</v>
      </c>
      <c r="L793" s="320"/>
      <c r="M793">
        <v>4.0199999999999996</v>
      </c>
      <c r="N793" s="320"/>
      <c r="O793"/>
      <c r="P793"/>
      <c r="Q793"/>
      <c r="S793" s="320">
        <v>17.5425282012</v>
      </c>
      <c r="T793" s="320"/>
      <c r="U793">
        <v>10.8</v>
      </c>
      <c r="V793"/>
      <c r="W793"/>
      <c r="X793"/>
      <c r="Y793" s="321">
        <v>7.2148918000000002</v>
      </c>
      <c r="Z793" s="320"/>
      <c r="AA793" s="322">
        <v>94630.541871921188</v>
      </c>
      <c r="AB793" s="320"/>
      <c r="AC793" s="321">
        <v>35.874290799999997</v>
      </c>
      <c r="AD793" s="320"/>
      <c r="AE793" s="320">
        <v>38.42</v>
      </c>
      <c r="AF793" s="320"/>
      <c r="AG793">
        <v>4.0599999999999996</v>
      </c>
      <c r="AH793"/>
      <c r="AI793">
        <v>130</v>
      </c>
      <c r="AJ793"/>
      <c r="AK793"/>
      <c r="AL793"/>
      <c r="AM793"/>
      <c r="AN793"/>
      <c r="AO793">
        <v>83</v>
      </c>
      <c r="AP793"/>
      <c r="AQ793" s="323"/>
      <c r="AR793" s="323"/>
      <c r="AS793">
        <v>118</v>
      </c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>
        <v>0.52363000000000004</v>
      </c>
      <c r="BH793"/>
      <c r="BI793">
        <v>4.4767000000000001</v>
      </c>
      <c r="BJ793"/>
      <c r="BK793">
        <v>1.3817999999999999</v>
      </c>
      <c r="BL793"/>
      <c r="BM793">
        <v>60.137999999999998</v>
      </c>
      <c r="BN793"/>
      <c r="BO793">
        <v>22.683</v>
      </c>
      <c r="BP793"/>
      <c r="BQ793">
        <v>10.362</v>
      </c>
      <c r="BR793"/>
      <c r="BS793">
        <v>48.9</v>
      </c>
      <c r="BT793"/>
      <c r="BU793">
        <v>20.265999999999998</v>
      </c>
      <c r="BV793"/>
      <c r="BW793" s="325">
        <v>14.96</v>
      </c>
      <c r="BX793"/>
      <c r="BY793">
        <v>6.1490000000000009</v>
      </c>
      <c r="BZ793"/>
      <c r="CA793"/>
      <c r="CC793">
        <v>6.08</v>
      </c>
      <c r="CD793"/>
      <c r="CE793"/>
      <c r="CF793"/>
      <c r="CG793"/>
      <c r="CH793"/>
      <c r="CI793"/>
      <c r="CJ793"/>
      <c r="CK793"/>
      <c r="CL793"/>
      <c r="CM793"/>
    </row>
    <row r="794" spans="1:91">
      <c r="A794" s="154" t="s">
        <v>7804</v>
      </c>
      <c r="B794" t="s">
        <v>8287</v>
      </c>
      <c r="C794">
        <v>1</v>
      </c>
      <c r="D794">
        <v>204</v>
      </c>
      <c r="E794" s="113">
        <v>4</v>
      </c>
      <c r="F794" s="113">
        <v>2</v>
      </c>
      <c r="I794">
        <v>31.499999999999996</v>
      </c>
      <c r="K794" s="320">
        <v>9</v>
      </c>
      <c r="L794" s="320"/>
      <c r="M794">
        <v>4.0999999999999996</v>
      </c>
      <c r="N794" s="320"/>
      <c r="O794"/>
      <c r="P794"/>
      <c r="Q794"/>
      <c r="S794" s="320">
        <v>18.475482493440001</v>
      </c>
      <c r="T794" s="320"/>
      <c r="U794">
        <v>10.8</v>
      </c>
      <c r="V794"/>
      <c r="W794"/>
      <c r="X794"/>
      <c r="Y794" s="321">
        <v>7.9541784000000009</v>
      </c>
      <c r="Z794" s="320"/>
      <c r="AA794" s="322">
        <v>82929.936305732495</v>
      </c>
      <c r="AB794" s="320"/>
      <c r="AC794" s="321">
        <v>36.497664</v>
      </c>
      <c r="AD794" s="320"/>
      <c r="AE794" s="320">
        <v>39.06</v>
      </c>
      <c r="AF794" s="320"/>
      <c r="AG794">
        <v>4.71</v>
      </c>
      <c r="AH794"/>
      <c r="AI794">
        <v>148</v>
      </c>
      <c r="AJ794"/>
      <c r="AK794"/>
      <c r="AL794"/>
      <c r="AM794"/>
      <c r="AN794"/>
      <c r="AO794">
        <v>81</v>
      </c>
      <c r="AP794"/>
      <c r="AQ794" s="323"/>
      <c r="AR794" s="323"/>
      <c r="AS794">
        <v>115</v>
      </c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>
        <v>-4.5279999999999996</v>
      </c>
      <c r="BH794"/>
      <c r="BI794">
        <v>4.4820000000000002</v>
      </c>
      <c r="BJ794"/>
      <c r="BK794">
        <v>1.6274999999999999</v>
      </c>
      <c r="BL794"/>
      <c r="BM794">
        <v>66.072999999999993</v>
      </c>
      <c r="BN794"/>
      <c r="BO794">
        <v>20.866</v>
      </c>
      <c r="BP794"/>
      <c r="BQ794">
        <v>9.3661999999999992</v>
      </c>
      <c r="BR794"/>
      <c r="BS794">
        <v>50.621000000000002</v>
      </c>
      <c r="BT794"/>
      <c r="BU794">
        <v>17.946000000000002</v>
      </c>
      <c r="BV794"/>
      <c r="BW794" s="325">
        <v>14.78</v>
      </c>
      <c r="BX794"/>
      <c r="BY794">
        <v>6.4639999999999986</v>
      </c>
      <c r="BZ794"/>
      <c r="CA794"/>
      <c r="CC794">
        <v>6.38</v>
      </c>
      <c r="CD794"/>
      <c r="CE794"/>
      <c r="CF794"/>
      <c r="CG794"/>
      <c r="CH794"/>
      <c r="CI794"/>
      <c r="CJ794"/>
      <c r="CK794"/>
      <c r="CL794"/>
      <c r="CM794"/>
    </row>
    <row r="795" spans="1:91">
      <c r="A795" s="154" t="s">
        <v>7804</v>
      </c>
      <c r="B795" t="s">
        <v>8289</v>
      </c>
      <c r="C795">
        <v>2</v>
      </c>
      <c r="D795">
        <v>749</v>
      </c>
      <c r="E795" s="113">
        <v>49</v>
      </c>
      <c r="F795" s="113">
        <v>7</v>
      </c>
      <c r="I795">
        <v>31.499999999999996</v>
      </c>
      <c r="K795" s="320">
        <v>8</v>
      </c>
      <c r="L795" s="320"/>
      <c r="M795">
        <v>3.36</v>
      </c>
      <c r="N795" s="320"/>
      <c r="O795"/>
      <c r="P795"/>
      <c r="Q795"/>
      <c r="S795" s="320">
        <v>14.33784363639</v>
      </c>
      <c r="T795" s="320"/>
      <c r="U795">
        <v>10.8</v>
      </c>
      <c r="V795"/>
      <c r="W795"/>
      <c r="X795"/>
      <c r="Y795" s="321">
        <v>6.0437701999999991</v>
      </c>
      <c r="Z795" s="320"/>
      <c r="AA795" s="322">
        <v>75537.383177570082</v>
      </c>
      <c r="AB795" s="320"/>
      <c r="AC795" s="321">
        <v>30.226933500000001</v>
      </c>
      <c r="AD795" s="320"/>
      <c r="AE795" s="320">
        <v>32.33</v>
      </c>
      <c r="AF795" s="320"/>
      <c r="AG795">
        <v>4.28</v>
      </c>
      <c r="AH795"/>
      <c r="AI795">
        <v>130</v>
      </c>
      <c r="AJ795"/>
      <c r="AK795"/>
      <c r="AL795"/>
      <c r="AM795"/>
      <c r="AN795"/>
      <c r="AO795">
        <v>80</v>
      </c>
      <c r="AP795"/>
      <c r="AQ795" s="323"/>
      <c r="AR795" s="323"/>
      <c r="AS795">
        <v>112</v>
      </c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>
        <v>0.76648000000000005</v>
      </c>
      <c r="BH795"/>
      <c r="BI795">
        <v>4.8978999999999999</v>
      </c>
      <c r="BJ795"/>
      <c r="BK795">
        <v>1.5277000000000001</v>
      </c>
      <c r="BL795"/>
      <c r="BM795">
        <v>55.935000000000002</v>
      </c>
      <c r="BN795"/>
      <c r="BO795">
        <v>20.888999999999999</v>
      </c>
      <c r="BP795"/>
      <c r="BQ795">
        <v>9.9097000000000008</v>
      </c>
      <c r="BR795"/>
      <c r="BS795">
        <v>47.433999999999997</v>
      </c>
      <c r="BT795"/>
      <c r="BU795">
        <v>18.497</v>
      </c>
      <c r="BV795"/>
      <c r="BW795" s="325">
        <v>5.85</v>
      </c>
      <c r="BX795"/>
      <c r="BY795">
        <v>6.7420000000000044</v>
      </c>
      <c r="BZ795"/>
      <c r="CA795"/>
      <c r="CC795">
        <v>5.44</v>
      </c>
      <c r="CD795"/>
      <c r="CE795"/>
      <c r="CF795"/>
      <c r="CG795"/>
      <c r="CH795"/>
      <c r="CI795"/>
      <c r="CJ795"/>
      <c r="CK795"/>
      <c r="CL795"/>
      <c r="CM795"/>
    </row>
    <row r="796" spans="1:91">
      <c r="A796" s="154" t="s">
        <v>7804</v>
      </c>
      <c r="B796" t="s">
        <v>8289</v>
      </c>
      <c r="C796">
        <v>1</v>
      </c>
      <c r="D796">
        <v>1222</v>
      </c>
      <c r="E796" s="113">
        <v>22</v>
      </c>
      <c r="F796" s="113">
        <v>12</v>
      </c>
      <c r="I796">
        <v>35.499999999999993</v>
      </c>
      <c r="K796" s="320">
        <v>9</v>
      </c>
      <c r="L796" s="320"/>
      <c r="M796">
        <v>3.6</v>
      </c>
      <c r="N796" s="320"/>
      <c r="O796"/>
      <c r="P796"/>
      <c r="Q796"/>
      <c r="S796" s="320">
        <v>15.020828235839996</v>
      </c>
      <c r="T796" s="320"/>
      <c r="U796">
        <v>10.8</v>
      </c>
      <c r="V796"/>
      <c r="W796"/>
      <c r="X796"/>
      <c r="Y796" s="321">
        <v>7.2497999999999987</v>
      </c>
      <c r="Z796" s="320"/>
      <c r="AA796" s="322">
        <v>84520.884520884516</v>
      </c>
      <c r="AB796" s="320"/>
      <c r="AC796" s="321">
        <v>32.223855999999998</v>
      </c>
      <c r="AD796" s="320"/>
      <c r="AE796" s="320">
        <v>34.4</v>
      </c>
      <c r="AF796" s="320"/>
      <c r="AG796">
        <v>4.07</v>
      </c>
      <c r="AH796"/>
      <c r="AI796">
        <v>125</v>
      </c>
      <c r="AJ796"/>
      <c r="AK796"/>
      <c r="AL796"/>
      <c r="AM796"/>
      <c r="AN796"/>
      <c r="AO796">
        <v>81</v>
      </c>
      <c r="AP796"/>
      <c r="AQ796" s="323"/>
      <c r="AR796" s="323"/>
      <c r="AS796">
        <v>112</v>
      </c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>
        <v>-0.81933999999999996</v>
      </c>
      <c r="BH796"/>
      <c r="BI796">
        <v>5.0858999999999996</v>
      </c>
      <c r="BJ796"/>
      <c r="BK796">
        <v>1.5244</v>
      </c>
      <c r="BL796"/>
      <c r="BM796">
        <v>62.817999999999998</v>
      </c>
      <c r="BN796"/>
      <c r="BO796">
        <v>20.757999999999999</v>
      </c>
      <c r="BP796"/>
      <c r="BQ796">
        <v>9.6165000000000003</v>
      </c>
      <c r="BR796"/>
      <c r="BS796">
        <v>46.613999999999997</v>
      </c>
      <c r="BT796"/>
      <c r="BU796">
        <v>19.285</v>
      </c>
      <c r="BV796"/>
      <c r="BW796" s="325">
        <v>8.69</v>
      </c>
      <c r="BX796"/>
      <c r="BY796">
        <v>6.9860000000000042</v>
      </c>
      <c r="BZ796"/>
      <c r="CA796"/>
      <c r="CC796">
        <v>6.09</v>
      </c>
      <c r="CD796"/>
      <c r="CE796"/>
      <c r="CF796"/>
      <c r="CG796"/>
      <c r="CH796"/>
      <c r="CI796"/>
      <c r="CJ796"/>
      <c r="CK796"/>
      <c r="CL796"/>
      <c r="CM796"/>
    </row>
    <row r="797" spans="1:91">
      <c r="A797" s="154" t="s">
        <v>7804</v>
      </c>
      <c r="B797" t="s">
        <v>8287</v>
      </c>
      <c r="C797">
        <v>2</v>
      </c>
      <c r="D797">
        <v>1375</v>
      </c>
      <c r="E797" s="113">
        <v>75</v>
      </c>
      <c r="F797" s="113">
        <v>13</v>
      </c>
      <c r="I797">
        <v>30.499999999999996</v>
      </c>
      <c r="K797" s="320">
        <v>9</v>
      </c>
      <c r="L797" s="320"/>
      <c r="M797">
        <v>4.1100000000000003</v>
      </c>
      <c r="N797" s="320"/>
      <c r="O797"/>
      <c r="P797"/>
      <c r="Q797"/>
      <c r="S797" s="320">
        <v>19.141596132914998</v>
      </c>
      <c r="T797" s="320"/>
      <c r="U797">
        <v>10.8</v>
      </c>
      <c r="V797"/>
      <c r="W797"/>
      <c r="X797"/>
      <c r="Y797" s="321">
        <v>6.3339699000000005</v>
      </c>
      <c r="Z797" s="320"/>
      <c r="AA797" s="322">
        <v>90965.517241379319</v>
      </c>
      <c r="AB797" s="320"/>
      <c r="AC797" s="321">
        <v>37.092522299999999</v>
      </c>
      <c r="AD797" s="320"/>
      <c r="AE797" s="320">
        <v>39.57</v>
      </c>
      <c r="AF797" s="320"/>
      <c r="AG797">
        <v>4.3499999999999996</v>
      </c>
      <c r="AH797"/>
      <c r="AI797">
        <v>130</v>
      </c>
      <c r="AJ797"/>
      <c r="AK797"/>
      <c r="AL797"/>
      <c r="AM797"/>
      <c r="AN797"/>
      <c r="AO797">
        <v>79</v>
      </c>
      <c r="AP797"/>
      <c r="AQ797" s="323"/>
      <c r="AR797" s="323"/>
      <c r="AS797">
        <v>112</v>
      </c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>
        <v>1.1749000000000001</v>
      </c>
      <c r="BH797"/>
      <c r="BI797">
        <v>4.8933</v>
      </c>
      <c r="BJ797"/>
      <c r="BK797">
        <v>1.4915</v>
      </c>
      <c r="BL797"/>
      <c r="BM797">
        <v>62.704000000000001</v>
      </c>
      <c r="BN797"/>
      <c r="BO797">
        <v>21.038</v>
      </c>
      <c r="BP797"/>
      <c r="BQ797">
        <v>8.8946000000000005</v>
      </c>
      <c r="BR797"/>
      <c r="BS797">
        <v>51.604999999999997</v>
      </c>
      <c r="BT797"/>
      <c r="BU797">
        <v>16.728999999999999</v>
      </c>
      <c r="BV797"/>
      <c r="BW797" s="325">
        <v>16.350000000000001</v>
      </c>
      <c r="BX797"/>
      <c r="BY797">
        <v>6.6820000000000022</v>
      </c>
      <c r="BZ797"/>
      <c r="CA797"/>
      <c r="CC797">
        <v>5.37</v>
      </c>
      <c r="CD797"/>
      <c r="CE797"/>
      <c r="CF797"/>
      <c r="CG797"/>
      <c r="CH797"/>
      <c r="CI797"/>
      <c r="CJ797"/>
      <c r="CK797"/>
      <c r="CL797"/>
      <c r="CM797"/>
    </row>
    <row r="798" spans="1:91">
      <c r="A798" s="154" t="s">
        <v>7805</v>
      </c>
      <c r="B798" t="s">
        <v>8289</v>
      </c>
      <c r="C798">
        <v>2</v>
      </c>
      <c r="D798">
        <v>652</v>
      </c>
      <c r="E798" s="113">
        <v>52</v>
      </c>
      <c r="F798" s="113">
        <v>6</v>
      </c>
      <c r="I798">
        <v>31.499999999999996</v>
      </c>
      <c r="K798" s="320">
        <v>9</v>
      </c>
      <c r="L798" s="320"/>
      <c r="M798">
        <v>3.41</v>
      </c>
      <c r="N798" s="320"/>
      <c r="O798"/>
      <c r="P798"/>
      <c r="Q798"/>
      <c r="S798" s="320">
        <v>14.358670769484</v>
      </c>
      <c r="T798" s="320"/>
      <c r="U798">
        <v>10.8</v>
      </c>
      <c r="V798"/>
      <c r="W798"/>
      <c r="X798"/>
      <c r="Y798" s="321">
        <v>6.6555037000000006</v>
      </c>
      <c r="Z798" s="320"/>
      <c r="AA798" s="322">
        <v>90609.418282548475</v>
      </c>
      <c r="AB798" s="320"/>
      <c r="AC798" s="321">
        <v>30.495860099999998</v>
      </c>
      <c r="AD798" s="320"/>
      <c r="AE798" s="320">
        <v>32.71</v>
      </c>
      <c r="AF798" s="320"/>
      <c r="AG798">
        <v>3.61</v>
      </c>
      <c r="AH798"/>
      <c r="AI798">
        <v>125</v>
      </c>
      <c r="AJ798"/>
      <c r="AK798"/>
      <c r="AL798"/>
      <c r="AM798"/>
      <c r="AN798"/>
      <c r="AO798">
        <v>82</v>
      </c>
      <c r="AP798"/>
      <c r="AQ798" s="323"/>
      <c r="AR798" s="323"/>
      <c r="AS798">
        <v>112</v>
      </c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>
        <v>-4.6376999999999997</v>
      </c>
      <c r="BH798"/>
      <c r="BI798">
        <v>4.9406999999999996</v>
      </c>
      <c r="BJ798"/>
      <c r="BK798">
        <v>1.6264000000000001</v>
      </c>
      <c r="BL798"/>
      <c r="BM798">
        <v>60.247999999999998</v>
      </c>
      <c r="BN798"/>
      <c r="BO798">
        <v>21.096</v>
      </c>
      <c r="BP798"/>
      <c r="BQ798">
        <v>9.5841999999999992</v>
      </c>
      <c r="BR798"/>
      <c r="BS798">
        <v>47.084000000000003</v>
      </c>
      <c r="BT798"/>
      <c r="BU798">
        <v>18.456</v>
      </c>
      <c r="BV798"/>
      <c r="BW798" s="325">
        <v>5.81</v>
      </c>
      <c r="BX798"/>
      <c r="BY798">
        <v>7.007000000000005</v>
      </c>
      <c r="BZ798"/>
      <c r="CA798"/>
      <c r="CC798">
        <v>5.72</v>
      </c>
      <c r="CD798"/>
      <c r="CE798"/>
      <c r="CF798"/>
      <c r="CG798"/>
      <c r="CH798"/>
      <c r="CI798"/>
      <c r="CJ798"/>
      <c r="CK798"/>
      <c r="CL798"/>
      <c r="CM798"/>
    </row>
    <row r="799" spans="1:91">
      <c r="A799" s="327" t="s">
        <v>7805</v>
      </c>
      <c r="B799" s="328" t="s">
        <v>8287</v>
      </c>
      <c r="C799" s="328">
        <v>1</v>
      </c>
      <c r="D799" s="328">
        <v>825</v>
      </c>
      <c r="E799" s="113">
        <v>25</v>
      </c>
      <c r="F799" s="113">
        <v>8</v>
      </c>
      <c r="G799" s="329"/>
      <c r="H799" s="329"/>
      <c r="I799" s="328">
        <v>24.5</v>
      </c>
      <c r="J799" s="330"/>
      <c r="K799" s="331">
        <v>7</v>
      </c>
      <c r="L799" s="331"/>
      <c r="M799" s="328">
        <v>2.78</v>
      </c>
      <c r="N799" s="331"/>
      <c r="O799" s="328"/>
      <c r="P799" s="328"/>
      <c r="Q799" s="328"/>
      <c r="R799" s="332"/>
      <c r="S799" s="331">
        <v>12.514741825982998</v>
      </c>
      <c r="T799" s="331"/>
      <c r="U799" s="328">
        <v>10.8</v>
      </c>
      <c r="V799" s="328"/>
      <c r="W799" s="328"/>
      <c r="X799" s="328"/>
      <c r="Y799" s="333">
        <v>4.8588624000000005</v>
      </c>
      <c r="Z799" s="331"/>
      <c r="AA799" s="334">
        <v>57011.235955056181</v>
      </c>
      <c r="AB799" s="331"/>
      <c r="AC799" s="333">
        <v>23.654226899999998</v>
      </c>
      <c r="AD799" s="331"/>
      <c r="AE799" s="331">
        <v>25.37</v>
      </c>
      <c r="AF799" s="331"/>
      <c r="AG799" s="328">
        <v>4.45</v>
      </c>
      <c r="AH799" s="328"/>
      <c r="AI799" s="328">
        <v>105</v>
      </c>
      <c r="AJ799" s="328"/>
      <c r="AK799" s="328"/>
      <c r="AL799" s="328"/>
      <c r="AM799" s="328"/>
      <c r="AN799" s="328"/>
      <c r="AO799" s="328">
        <v>79</v>
      </c>
      <c r="AP799" s="328"/>
      <c r="AQ799" s="335"/>
      <c r="AR799" s="335"/>
      <c r="AS799" s="328">
        <v>112</v>
      </c>
      <c r="AT799" s="328"/>
      <c r="AU799" s="328"/>
      <c r="AV799" s="328"/>
      <c r="AW799" s="328"/>
      <c r="AX799" s="328"/>
      <c r="AY799" s="328"/>
      <c r="AZ799" s="328"/>
      <c r="BA799" s="328"/>
      <c r="BB799" s="328"/>
      <c r="BC799" s="328"/>
      <c r="BD799" s="328"/>
      <c r="BE799" s="328"/>
      <c r="BF799" s="328"/>
      <c r="BG799" s="328">
        <v>4.6813000000000002</v>
      </c>
      <c r="BH799" s="328"/>
      <c r="BI799" s="328">
        <v>4.7065999999999999</v>
      </c>
      <c r="BJ799" s="328"/>
      <c r="BK799" s="328">
        <v>1.4488000000000001</v>
      </c>
      <c r="BL799" s="328"/>
      <c r="BM799" s="328">
        <v>57.715000000000003</v>
      </c>
      <c r="BN799" s="328"/>
      <c r="BO799" s="328">
        <v>20.968</v>
      </c>
      <c r="BP799" s="328"/>
      <c r="BQ799" s="328">
        <v>9.2490000000000006</v>
      </c>
      <c r="BR799" s="328"/>
      <c r="BS799" s="328">
        <v>52.906999999999996</v>
      </c>
      <c r="BT799" s="328"/>
      <c r="BU799" s="328">
        <v>16.13</v>
      </c>
      <c r="BV799" s="328"/>
      <c r="BW799" s="336">
        <v>10.44</v>
      </c>
      <c r="BX799" s="328"/>
      <c r="BY799" s="328">
        <v>6.4740000000000038</v>
      </c>
      <c r="BZ799" s="328"/>
      <c r="CA799" s="328"/>
      <c r="CB799" s="337"/>
      <c r="CC799" s="328">
        <v>10.31</v>
      </c>
      <c r="CD799" s="328"/>
      <c r="CE799" s="328"/>
      <c r="CF799" s="328"/>
      <c r="CG799" s="328"/>
      <c r="CH799" s="328"/>
      <c r="CI799" s="328"/>
      <c r="CJ799" s="328"/>
      <c r="CK799" s="328" t="s">
        <v>8377</v>
      </c>
      <c r="CL799" s="328"/>
      <c r="CM799" s="328"/>
    </row>
    <row r="800" spans="1:91">
      <c r="A800" s="154" t="s">
        <v>7805</v>
      </c>
      <c r="B800" t="s">
        <v>8287</v>
      </c>
      <c r="C800">
        <v>2</v>
      </c>
      <c r="D800">
        <v>1459</v>
      </c>
      <c r="E800" s="113">
        <v>59</v>
      </c>
      <c r="F800" s="113">
        <v>14</v>
      </c>
      <c r="I800">
        <v>30.499999999999996</v>
      </c>
      <c r="K800" s="320">
        <v>9</v>
      </c>
      <c r="L800" s="320"/>
      <c r="M800">
        <v>3.86</v>
      </c>
      <c r="N800" s="320"/>
      <c r="O800"/>
      <c r="P800"/>
      <c r="Q800"/>
      <c r="S800" s="320">
        <v>17.142838670052001</v>
      </c>
      <c r="T800" s="320"/>
      <c r="U800">
        <v>10.8</v>
      </c>
      <c r="V800"/>
      <c r="W800"/>
      <c r="X800"/>
      <c r="Y800" s="321">
        <v>6.1154208000000008</v>
      </c>
      <c r="Z800" s="320"/>
      <c r="AA800" s="322">
        <v>110738.46153846155</v>
      </c>
      <c r="AB800" s="320"/>
      <c r="AC800" s="321">
        <v>33.639133200000003</v>
      </c>
      <c r="AD800" s="320"/>
      <c r="AE800" s="320">
        <v>35.99</v>
      </c>
      <c r="AF800" s="320"/>
      <c r="AG800">
        <v>3.25</v>
      </c>
      <c r="AH800"/>
      <c r="AI800">
        <v>130</v>
      </c>
      <c r="AJ800"/>
      <c r="AK800"/>
      <c r="AL800"/>
      <c r="AM800"/>
      <c r="AN800"/>
      <c r="AO800">
        <v>77</v>
      </c>
      <c r="AP800"/>
      <c r="AQ800" s="323"/>
      <c r="AR800" s="323"/>
      <c r="AS800">
        <v>112</v>
      </c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>
        <v>-1.1619999999999999</v>
      </c>
      <c r="BH800"/>
      <c r="BI800">
        <v>4.8475000000000001</v>
      </c>
      <c r="BJ800"/>
      <c r="BK800">
        <v>1.4765999999999999</v>
      </c>
      <c r="BL800"/>
      <c r="BM800">
        <v>58.189</v>
      </c>
      <c r="BN800"/>
      <c r="BO800">
        <v>21.423999999999999</v>
      </c>
      <c r="BP800"/>
      <c r="BQ800">
        <v>9.2652000000000001</v>
      </c>
      <c r="BR800"/>
      <c r="BS800">
        <v>50.960999999999999</v>
      </c>
      <c r="BT800"/>
      <c r="BU800">
        <v>16.548999999999999</v>
      </c>
      <c r="BV800"/>
      <c r="BW800" s="325">
        <v>5.63</v>
      </c>
      <c r="BX800"/>
      <c r="BY800">
        <v>6.4170000000000016</v>
      </c>
      <c r="BZ800"/>
      <c r="CA800"/>
      <c r="CC800">
        <v>8.3699999999999992</v>
      </c>
      <c r="CD800"/>
      <c r="CE800"/>
      <c r="CF800"/>
      <c r="CG800"/>
      <c r="CH800"/>
      <c r="CI800"/>
      <c r="CJ800"/>
      <c r="CK800"/>
      <c r="CL800"/>
      <c r="CM800"/>
    </row>
    <row r="801" spans="1:91">
      <c r="A801" s="154" t="s">
        <v>7805</v>
      </c>
      <c r="B801" t="s">
        <v>8289</v>
      </c>
      <c r="C801">
        <v>1</v>
      </c>
      <c r="D801">
        <v>1418</v>
      </c>
      <c r="E801" s="113">
        <v>18</v>
      </c>
      <c r="F801" s="113">
        <v>14</v>
      </c>
      <c r="I801">
        <v>28.999999999999996</v>
      </c>
      <c r="K801" s="320">
        <v>9</v>
      </c>
      <c r="L801" s="320"/>
      <c r="M801">
        <v>3.51</v>
      </c>
      <c r="N801" s="320"/>
      <c r="O801"/>
      <c r="P801"/>
      <c r="Q801"/>
      <c r="S801" s="320">
        <v>15.201346444956</v>
      </c>
      <c r="T801" s="320"/>
      <c r="U801">
        <v>10.8</v>
      </c>
      <c r="V801"/>
      <c r="W801"/>
      <c r="X801"/>
      <c r="Y801" s="321">
        <v>6.0589494000000004</v>
      </c>
      <c r="Z801" s="320"/>
      <c r="AA801" s="322">
        <v>94589.235127478765</v>
      </c>
      <c r="AB801" s="320"/>
      <c r="AC801" s="321">
        <v>31.377918600000001</v>
      </c>
      <c r="AD801" s="320"/>
      <c r="AE801" s="320">
        <v>33.39</v>
      </c>
      <c r="AF801" s="320"/>
      <c r="AG801">
        <v>3.53</v>
      </c>
      <c r="AH801"/>
      <c r="AI801">
        <v>125</v>
      </c>
      <c r="AJ801"/>
      <c r="AK801"/>
      <c r="AL801"/>
      <c r="AM801"/>
      <c r="AN801"/>
      <c r="AO801">
        <v>77</v>
      </c>
      <c r="AP801"/>
      <c r="AQ801" s="323"/>
      <c r="AR801" s="323"/>
      <c r="AS801">
        <v>112</v>
      </c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>
        <v>5.7224000000000004</v>
      </c>
      <c r="BH801"/>
      <c r="BI801">
        <v>4.7308000000000003</v>
      </c>
      <c r="BJ801"/>
      <c r="BK801">
        <v>1.4814000000000001</v>
      </c>
      <c r="BL801"/>
      <c r="BM801">
        <v>59.012</v>
      </c>
      <c r="BN801"/>
      <c r="BO801">
        <v>21.225999999999999</v>
      </c>
      <c r="BP801"/>
      <c r="BQ801">
        <v>10.250999999999999</v>
      </c>
      <c r="BR801"/>
      <c r="BS801">
        <v>48.445999999999998</v>
      </c>
      <c r="BT801"/>
      <c r="BU801">
        <v>19.207000000000001</v>
      </c>
      <c r="BV801"/>
      <c r="BW801" s="325">
        <v>6.01</v>
      </c>
      <c r="BX801"/>
      <c r="BY801">
        <v>6.1629999999999967</v>
      </c>
      <c r="BZ801"/>
      <c r="CA801"/>
      <c r="CC801">
        <v>6.52</v>
      </c>
      <c r="CD801"/>
      <c r="CE801"/>
      <c r="CF801"/>
      <c r="CG801"/>
      <c r="CH801"/>
      <c r="CI801"/>
      <c r="CJ801"/>
      <c r="CK801"/>
      <c r="CL801"/>
      <c r="CM801"/>
    </row>
    <row r="802" spans="1:91">
      <c r="A802" s="154" t="s">
        <v>7806</v>
      </c>
      <c r="B802" t="s">
        <v>8287</v>
      </c>
      <c r="C802">
        <v>1</v>
      </c>
      <c r="D802">
        <v>605</v>
      </c>
      <c r="E802" s="113">
        <v>5</v>
      </c>
      <c r="F802" s="113">
        <v>6</v>
      </c>
      <c r="I802">
        <v>32.999999999999993</v>
      </c>
      <c r="K802" s="320">
        <v>9</v>
      </c>
      <c r="L802" s="320"/>
      <c r="M802">
        <v>4.28</v>
      </c>
      <c r="N802" s="320"/>
      <c r="O802"/>
      <c r="P802"/>
      <c r="Q802"/>
      <c r="S802" s="320">
        <v>18.976152147785999</v>
      </c>
      <c r="T802" s="320"/>
      <c r="U802">
        <v>10.8</v>
      </c>
      <c r="V802"/>
      <c r="W802"/>
      <c r="X802"/>
      <c r="Y802" s="321">
        <v>7.7181989999999994</v>
      </c>
      <c r="Z802" s="320"/>
      <c r="AA802" s="322">
        <v>95330.188679245286</v>
      </c>
      <c r="AB802" s="320"/>
      <c r="AC802" s="321">
        <v>37.725198599999999</v>
      </c>
      <c r="AD802" s="320"/>
      <c r="AE802" s="320">
        <v>40.42</v>
      </c>
      <c r="AF802" s="320"/>
      <c r="AG802">
        <v>4.24</v>
      </c>
      <c r="AH802"/>
      <c r="AI802">
        <v>138</v>
      </c>
      <c r="AJ802"/>
      <c r="AK802"/>
      <c r="AL802"/>
      <c r="AM802"/>
      <c r="AN802"/>
      <c r="AO802">
        <v>83</v>
      </c>
      <c r="AP802"/>
      <c r="AQ802" s="323"/>
      <c r="AR802" s="323"/>
      <c r="AS802">
        <v>112</v>
      </c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>
        <v>-1.7961</v>
      </c>
      <c r="BH802"/>
      <c r="BI802">
        <v>4.6550000000000002</v>
      </c>
      <c r="BJ802"/>
      <c r="BK802">
        <v>1.4078999999999999</v>
      </c>
      <c r="BL802"/>
      <c r="BM802">
        <v>62.249000000000002</v>
      </c>
      <c r="BN802"/>
      <c r="BO802">
        <v>21.335000000000001</v>
      </c>
      <c r="BP802"/>
      <c r="BQ802">
        <v>10.6</v>
      </c>
      <c r="BR802"/>
      <c r="BS802">
        <v>50.301000000000002</v>
      </c>
      <c r="BT802"/>
      <c r="BU802">
        <v>17.902999999999999</v>
      </c>
      <c r="BV802"/>
      <c r="BW802" s="325">
        <v>7.43</v>
      </c>
      <c r="BX802"/>
      <c r="BY802">
        <v>6.7339999999999947</v>
      </c>
      <c r="BZ802"/>
      <c r="CA802"/>
      <c r="CC802">
        <v>7.19</v>
      </c>
      <c r="CD802"/>
      <c r="CE802"/>
      <c r="CF802"/>
      <c r="CG802"/>
      <c r="CH802"/>
      <c r="CI802"/>
      <c r="CJ802"/>
      <c r="CK802"/>
      <c r="CL802"/>
      <c r="CM802"/>
    </row>
    <row r="803" spans="1:91">
      <c r="A803" s="154" t="s">
        <v>7806</v>
      </c>
      <c r="B803" t="s">
        <v>8289</v>
      </c>
      <c r="C803">
        <v>2</v>
      </c>
      <c r="D803">
        <v>642</v>
      </c>
      <c r="E803" s="113">
        <v>42</v>
      </c>
      <c r="F803" s="113">
        <v>6</v>
      </c>
      <c r="I803">
        <v>27.999999999999996</v>
      </c>
      <c r="K803" s="320">
        <v>9</v>
      </c>
      <c r="L803" s="320"/>
      <c r="M803">
        <v>4.3899999999999997</v>
      </c>
      <c r="N803" s="320"/>
      <c r="O803"/>
      <c r="P803"/>
      <c r="Q803"/>
      <c r="S803" s="320">
        <v>19.322455828103998</v>
      </c>
      <c r="T803" s="320"/>
      <c r="U803">
        <v>10.8</v>
      </c>
      <c r="V803"/>
      <c r="W803"/>
      <c r="X803"/>
      <c r="Y803" s="321">
        <v>8.4063095999999984</v>
      </c>
      <c r="Z803" s="320"/>
      <c r="AA803" s="322">
        <v>104257.42574257425</v>
      </c>
      <c r="AB803" s="320"/>
      <c r="AC803" s="321">
        <v>39.460964399999995</v>
      </c>
      <c r="AD803" s="320"/>
      <c r="AE803" s="320">
        <v>42.12</v>
      </c>
      <c r="AF803" s="320"/>
      <c r="AG803">
        <v>4.04</v>
      </c>
      <c r="AH803"/>
      <c r="AI803">
        <v>130</v>
      </c>
      <c r="AJ803"/>
      <c r="AK803"/>
      <c r="AL803"/>
      <c r="AM803"/>
      <c r="AN803"/>
      <c r="AO803">
        <v>78</v>
      </c>
      <c r="AP803"/>
      <c r="AQ803" s="323"/>
      <c r="AR803" s="323"/>
      <c r="AS803">
        <v>112</v>
      </c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>
        <v>1.5501</v>
      </c>
      <c r="BH803"/>
      <c r="BI803">
        <v>4.3907999999999996</v>
      </c>
      <c r="BJ803"/>
      <c r="BK803">
        <v>1.3461000000000001</v>
      </c>
      <c r="BL803"/>
      <c r="BM803">
        <v>55.051000000000002</v>
      </c>
      <c r="BN803"/>
      <c r="BO803">
        <v>19.97</v>
      </c>
      <c r="BP803"/>
      <c r="BQ803">
        <v>11.087999999999999</v>
      </c>
      <c r="BR803"/>
      <c r="BS803">
        <v>48.966000000000001</v>
      </c>
      <c r="BT803"/>
      <c r="BU803">
        <v>18.949000000000002</v>
      </c>
      <c r="BV803"/>
      <c r="BW803" s="325">
        <v>11.57</v>
      </c>
      <c r="BX803"/>
      <c r="BY803">
        <v>6.777000000000001</v>
      </c>
      <c r="BZ803"/>
      <c r="CA803"/>
      <c r="CC803">
        <v>5.7</v>
      </c>
      <c r="CD803"/>
      <c r="CE803"/>
      <c r="CF803"/>
      <c r="CG803"/>
      <c r="CH803"/>
      <c r="CI803"/>
      <c r="CJ803"/>
      <c r="CK803"/>
      <c r="CL803"/>
      <c r="CM803"/>
    </row>
    <row r="804" spans="1:91">
      <c r="A804" s="154" t="s">
        <v>7806</v>
      </c>
      <c r="B804" t="s">
        <v>8287</v>
      </c>
      <c r="C804">
        <v>2</v>
      </c>
      <c r="D804">
        <v>1172</v>
      </c>
      <c r="E804" s="113">
        <v>72</v>
      </c>
      <c r="F804" s="113">
        <v>11</v>
      </c>
      <c r="I804">
        <v>35</v>
      </c>
      <c r="K804" s="320">
        <v>9</v>
      </c>
      <c r="L804" s="320"/>
      <c r="M804">
        <v>3.75</v>
      </c>
      <c r="N804" s="320"/>
      <c r="O804"/>
      <c r="P804"/>
      <c r="Q804"/>
      <c r="S804" s="320">
        <v>17.192623128823996</v>
      </c>
      <c r="T804" s="320"/>
      <c r="U804">
        <v>10.8</v>
      </c>
      <c r="V804"/>
      <c r="W804"/>
      <c r="X804"/>
      <c r="Y804" s="321">
        <v>6.3132732000000003</v>
      </c>
      <c r="Z804" s="320"/>
      <c r="AA804" s="322">
        <v>87829.268292682929</v>
      </c>
      <c r="AB804" s="320"/>
      <c r="AC804" s="321">
        <v>33.845078799999996</v>
      </c>
      <c r="AD804" s="320"/>
      <c r="AE804" s="320">
        <v>36.01</v>
      </c>
      <c r="AF804" s="320"/>
      <c r="AG804">
        <v>4.0999999999999996</v>
      </c>
      <c r="AH804"/>
      <c r="AI804">
        <v>115</v>
      </c>
      <c r="AJ804"/>
      <c r="AK804"/>
      <c r="AL804"/>
      <c r="AM804"/>
      <c r="AN804"/>
      <c r="AO804">
        <v>79</v>
      </c>
      <c r="AP804"/>
      <c r="AQ804" s="323"/>
      <c r="AR804" s="323"/>
      <c r="AS804">
        <v>112</v>
      </c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>
        <v>3.3149000000000002</v>
      </c>
      <c r="BH804"/>
      <c r="BI804">
        <v>4.681</v>
      </c>
      <c r="BJ804"/>
      <c r="BK804">
        <v>1.4255</v>
      </c>
      <c r="BL804"/>
      <c r="BM804">
        <v>57.427</v>
      </c>
      <c r="BN804"/>
      <c r="BO804">
        <v>21.087</v>
      </c>
      <c r="BP804"/>
      <c r="BQ804">
        <v>10.933999999999999</v>
      </c>
      <c r="BR804"/>
      <c r="BS804">
        <v>50.798000000000002</v>
      </c>
      <c r="BT804"/>
      <c r="BU804">
        <v>17.149999999999999</v>
      </c>
      <c r="BV804"/>
      <c r="BW804" s="325">
        <v>13.25</v>
      </c>
      <c r="BX804"/>
      <c r="BY804">
        <v>6.7480000000000047</v>
      </c>
      <c r="BZ804"/>
      <c r="CA804"/>
      <c r="CC804">
        <v>5.62</v>
      </c>
      <c r="CD804"/>
      <c r="CE804"/>
      <c r="CF804"/>
      <c r="CG804"/>
      <c r="CH804"/>
      <c r="CI804"/>
      <c r="CJ804"/>
      <c r="CK804"/>
      <c r="CL804"/>
      <c r="CM804"/>
    </row>
    <row r="805" spans="1:91">
      <c r="A805" s="154" t="s">
        <v>7806</v>
      </c>
      <c r="B805" t="s">
        <v>8289</v>
      </c>
      <c r="C805">
        <v>1</v>
      </c>
      <c r="D805">
        <v>1525</v>
      </c>
      <c r="E805" s="113">
        <v>25</v>
      </c>
      <c r="F805" s="113">
        <v>15</v>
      </c>
      <c r="I805">
        <v>28.999999999999996</v>
      </c>
      <c r="K805" s="320">
        <v>8</v>
      </c>
      <c r="L805" s="320"/>
      <c r="M805">
        <v>4.03</v>
      </c>
      <c r="N805" s="320"/>
      <c r="O805"/>
      <c r="P805"/>
      <c r="Q805"/>
      <c r="S805" s="320">
        <v>16.392982122149999</v>
      </c>
      <c r="T805" s="320"/>
      <c r="U805">
        <v>10.8</v>
      </c>
      <c r="V805"/>
      <c r="W805"/>
      <c r="X805"/>
      <c r="Y805" s="321">
        <v>7.7049176999999993</v>
      </c>
      <c r="Z805" s="320"/>
      <c r="AA805" s="322">
        <v>93123.425692695208</v>
      </c>
      <c r="AB805" s="320"/>
      <c r="AC805" s="321">
        <v>34.696344999999994</v>
      </c>
      <c r="AD805" s="320"/>
      <c r="AE805" s="320">
        <v>36.97</v>
      </c>
      <c r="AF805" s="320"/>
      <c r="AG805">
        <v>3.97</v>
      </c>
      <c r="AH805"/>
      <c r="AI805">
        <v>123</v>
      </c>
      <c r="AJ805"/>
      <c r="AK805"/>
      <c r="AL805"/>
      <c r="AM805"/>
      <c r="AN805"/>
      <c r="AO805">
        <v>80</v>
      </c>
      <c r="AP805"/>
      <c r="AQ805" s="323"/>
      <c r="AR805" s="323"/>
      <c r="AS805">
        <v>112</v>
      </c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>
        <v>2.7103999999999999</v>
      </c>
      <c r="BH805"/>
      <c r="BI805">
        <v>5.0026000000000002</v>
      </c>
      <c r="BJ805"/>
      <c r="BK805">
        <v>1.3362000000000001</v>
      </c>
      <c r="BL805"/>
      <c r="BM805">
        <v>55.317</v>
      </c>
      <c r="BN805"/>
      <c r="BO805">
        <v>20.984000000000002</v>
      </c>
      <c r="BP805"/>
      <c r="BQ805">
        <v>10.670999999999999</v>
      </c>
      <c r="BR805"/>
      <c r="BS805">
        <v>47.247</v>
      </c>
      <c r="BT805"/>
      <c r="BU805">
        <v>19.667000000000002</v>
      </c>
      <c r="BV805"/>
      <c r="BW805" s="325">
        <v>8.4</v>
      </c>
      <c r="BX805"/>
      <c r="BY805">
        <v>6.8449999999999989</v>
      </c>
      <c r="BZ805"/>
      <c r="CA805"/>
      <c r="CC805">
        <v>9.85</v>
      </c>
      <c r="CD805"/>
      <c r="CE805"/>
      <c r="CF805"/>
      <c r="CG805"/>
      <c r="CH805"/>
      <c r="CI805"/>
      <c r="CJ805"/>
      <c r="CK805"/>
      <c r="CL805"/>
      <c r="CM805"/>
    </row>
    <row r="806" spans="1:91">
      <c r="A806" s="154" t="s">
        <v>7807</v>
      </c>
      <c r="B806" t="s">
        <v>8289</v>
      </c>
      <c r="C806">
        <v>2</v>
      </c>
      <c r="D806">
        <v>241</v>
      </c>
      <c r="E806" s="113">
        <v>41</v>
      </c>
      <c r="F806" s="113">
        <v>2</v>
      </c>
      <c r="I806">
        <v>31.499999999999996</v>
      </c>
      <c r="K806" s="320">
        <v>9</v>
      </c>
      <c r="L806" s="320"/>
      <c r="M806">
        <v>3.79</v>
      </c>
      <c r="N806" s="320"/>
      <c r="O806"/>
      <c r="P806"/>
      <c r="Q806"/>
      <c r="S806" s="320">
        <v>16.793949454976001</v>
      </c>
      <c r="T806" s="320"/>
      <c r="U806">
        <v>10.8</v>
      </c>
      <c r="V806"/>
      <c r="W806"/>
      <c r="X806"/>
      <c r="Y806" s="321">
        <v>8.3099632000000003</v>
      </c>
      <c r="Z806" s="320"/>
      <c r="AA806" s="322">
        <v>88926.829268292699</v>
      </c>
      <c r="AB806" s="320"/>
      <c r="AC806" s="321">
        <v>34.278962800000002</v>
      </c>
      <c r="AD806" s="320"/>
      <c r="AE806" s="320">
        <v>36.46</v>
      </c>
      <c r="AF806" s="320"/>
      <c r="AG806">
        <v>4.0999999999999996</v>
      </c>
      <c r="AH806"/>
      <c r="AI806">
        <v>123</v>
      </c>
      <c r="AJ806"/>
      <c r="AK806"/>
      <c r="AL806"/>
      <c r="AM806"/>
      <c r="AN806"/>
      <c r="AO806">
        <v>80</v>
      </c>
      <c r="AP806"/>
      <c r="AQ806" s="323"/>
      <c r="AR806" s="323"/>
      <c r="AS806">
        <v>112</v>
      </c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>
        <v>0.77827999999999997</v>
      </c>
      <c r="BH806"/>
      <c r="BI806">
        <v>4.6186999999999996</v>
      </c>
      <c r="BJ806"/>
      <c r="BK806">
        <v>1.4941</v>
      </c>
      <c r="BL806"/>
      <c r="BM806">
        <v>62.215000000000003</v>
      </c>
      <c r="BN806"/>
      <c r="BO806">
        <v>22.012</v>
      </c>
      <c r="BP806"/>
      <c r="BQ806">
        <v>9.4486000000000008</v>
      </c>
      <c r="BR806"/>
      <c r="BS806">
        <v>48.991999999999997</v>
      </c>
      <c r="BT806"/>
      <c r="BU806">
        <v>18.231000000000002</v>
      </c>
      <c r="BV806"/>
      <c r="BW806" s="325">
        <v>7.16</v>
      </c>
      <c r="BX806"/>
      <c r="BY806">
        <v>6.4140000000000015</v>
      </c>
      <c r="BZ806"/>
      <c r="CA806"/>
      <c r="CC806">
        <v>5.46</v>
      </c>
      <c r="CD806"/>
      <c r="CE806"/>
      <c r="CF806"/>
      <c r="CG806"/>
      <c r="CH806"/>
      <c r="CI806"/>
      <c r="CJ806"/>
      <c r="CK806"/>
      <c r="CL806"/>
      <c r="CM806"/>
    </row>
    <row r="807" spans="1:91">
      <c r="A807" s="327" t="s">
        <v>7807</v>
      </c>
      <c r="B807" s="328" t="s">
        <v>8287</v>
      </c>
      <c r="C807" s="328">
        <v>1</v>
      </c>
      <c r="D807" s="328">
        <v>832</v>
      </c>
      <c r="E807" s="113">
        <v>32</v>
      </c>
      <c r="F807" s="113">
        <v>8</v>
      </c>
      <c r="G807" s="329"/>
      <c r="H807" s="329"/>
      <c r="I807" s="328">
        <v>27</v>
      </c>
      <c r="J807" s="330"/>
      <c r="K807" s="331">
        <v>7</v>
      </c>
      <c r="L807" s="331"/>
      <c r="M807" s="328">
        <v>2.62</v>
      </c>
      <c r="N807" s="331"/>
      <c r="O807" s="328"/>
      <c r="P807" s="328"/>
      <c r="Q807" s="328"/>
      <c r="R807" s="332"/>
      <c r="S807" s="331">
        <v>11.538427303599999</v>
      </c>
      <c r="T807" s="331"/>
      <c r="U807" s="328">
        <v>10.8</v>
      </c>
      <c r="V807" s="328"/>
      <c r="W807" s="328"/>
      <c r="X807" s="328"/>
      <c r="Y807" s="333">
        <v>4.2769725000000003</v>
      </c>
      <c r="Z807" s="331"/>
      <c r="AA807" s="334">
        <v>53650.442477876109</v>
      </c>
      <c r="AB807" s="331"/>
      <c r="AC807" s="333">
        <v>22.6705975</v>
      </c>
      <c r="AD807" s="331"/>
      <c r="AE807" s="331">
        <v>24.25</v>
      </c>
      <c r="AF807" s="331"/>
      <c r="AG807" s="328">
        <v>4.5199999999999996</v>
      </c>
      <c r="AH807" s="328"/>
      <c r="AI807" s="328">
        <v>100</v>
      </c>
      <c r="AJ807" s="328"/>
      <c r="AK807" s="328"/>
      <c r="AL807" s="328"/>
      <c r="AM807" s="328"/>
      <c r="AN807" s="328"/>
      <c r="AO807" s="328">
        <v>79</v>
      </c>
      <c r="AP807" s="328"/>
      <c r="AQ807" s="335"/>
      <c r="AR807" s="335"/>
      <c r="AS807" s="328">
        <v>114</v>
      </c>
      <c r="AT807" s="328"/>
      <c r="AU807" s="328"/>
      <c r="AV807" s="328"/>
      <c r="AW807" s="328"/>
      <c r="AX807" s="328"/>
      <c r="AY807" s="328"/>
      <c r="AZ807" s="328"/>
      <c r="BA807" s="328"/>
      <c r="BB807" s="328"/>
      <c r="BC807" s="328"/>
      <c r="BD807" s="328"/>
      <c r="BE807" s="328"/>
      <c r="BF807" s="328"/>
      <c r="BG807" s="328">
        <v>-2.4744999999999999</v>
      </c>
      <c r="BH807" s="328"/>
      <c r="BI807" s="328">
        <v>4.4466999999999999</v>
      </c>
      <c r="BJ807" s="328"/>
      <c r="BK807" s="328">
        <v>1.5233000000000001</v>
      </c>
      <c r="BL807" s="328"/>
      <c r="BM807" s="328">
        <v>68.453000000000003</v>
      </c>
      <c r="BN807" s="328"/>
      <c r="BO807" s="328">
        <v>19.934999999999999</v>
      </c>
      <c r="BP807" s="328"/>
      <c r="BQ807" s="328">
        <v>8.5097000000000005</v>
      </c>
      <c r="BR807" s="328"/>
      <c r="BS807" s="328">
        <v>50.896000000000001</v>
      </c>
      <c r="BT807" s="328"/>
      <c r="BU807" s="328">
        <v>17.135000000000002</v>
      </c>
      <c r="BV807" s="328"/>
      <c r="BW807" s="336">
        <v>8.3800000000000008</v>
      </c>
      <c r="BX807" s="328"/>
      <c r="BY807" s="328">
        <v>6.625</v>
      </c>
      <c r="BZ807" s="328"/>
      <c r="CA807" s="328"/>
      <c r="CB807" s="337"/>
      <c r="CC807" s="328">
        <v>9.0299999999999994</v>
      </c>
      <c r="CD807" s="328"/>
      <c r="CE807" s="328"/>
      <c r="CF807" s="328"/>
      <c r="CG807" s="328"/>
      <c r="CH807" s="328"/>
      <c r="CI807" s="328"/>
      <c r="CJ807" s="328"/>
      <c r="CK807" s="328" t="s">
        <v>8377</v>
      </c>
      <c r="CL807" s="328"/>
      <c r="CM807" s="328"/>
    </row>
    <row r="808" spans="1:91">
      <c r="A808" s="154" t="s">
        <v>7807</v>
      </c>
      <c r="B808" t="s">
        <v>8289</v>
      </c>
      <c r="C808">
        <v>1</v>
      </c>
      <c r="D808">
        <v>1010</v>
      </c>
      <c r="E808" s="113">
        <v>10</v>
      </c>
      <c r="F808" s="113">
        <v>10</v>
      </c>
      <c r="I808">
        <v>27</v>
      </c>
      <c r="K808" s="320">
        <v>8</v>
      </c>
      <c r="L808" s="320"/>
      <c r="M808">
        <v>3.76</v>
      </c>
      <c r="N808" s="320"/>
      <c r="O808"/>
      <c r="P808"/>
      <c r="Q808"/>
      <c r="S808" s="320">
        <v>15.740539991567998</v>
      </c>
      <c r="T808" s="320"/>
      <c r="U808">
        <v>10.8</v>
      </c>
      <c r="V808"/>
      <c r="W808"/>
      <c r="X808"/>
      <c r="Y808" s="321">
        <v>6.513221699999999</v>
      </c>
      <c r="Z808" s="320"/>
      <c r="AA808" s="322">
        <v>82708.333333333328</v>
      </c>
      <c r="AB808" s="320"/>
      <c r="AC808" s="321">
        <v>33.544753199999995</v>
      </c>
      <c r="AD808" s="320"/>
      <c r="AE808" s="320">
        <v>35.729999999999997</v>
      </c>
      <c r="AF808" s="320"/>
      <c r="AG808">
        <v>4.32</v>
      </c>
      <c r="AH808"/>
      <c r="AI808">
        <v>120</v>
      </c>
      <c r="AJ808"/>
      <c r="AK808"/>
      <c r="AL808"/>
      <c r="AM808"/>
      <c r="AN808"/>
      <c r="AO808">
        <v>81</v>
      </c>
      <c r="AP808"/>
      <c r="AQ808" s="323"/>
      <c r="AR808" s="323"/>
      <c r="AS808">
        <v>112</v>
      </c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>
        <v>3.8698999999999999</v>
      </c>
      <c r="BH808"/>
      <c r="BI808">
        <v>4.8182</v>
      </c>
      <c r="BJ808"/>
      <c r="BK808">
        <v>1.4862</v>
      </c>
      <c r="BL808"/>
      <c r="BM808">
        <v>59.119</v>
      </c>
      <c r="BN808"/>
      <c r="BO808">
        <v>21.8</v>
      </c>
      <c r="BP808"/>
      <c r="BQ808">
        <v>9.6396999999999995</v>
      </c>
      <c r="BR808"/>
      <c r="BS808">
        <v>46.923999999999999</v>
      </c>
      <c r="BT808"/>
      <c r="BU808">
        <v>18.710999999999999</v>
      </c>
      <c r="BV808"/>
      <c r="BW808" s="325">
        <v>9.81</v>
      </c>
      <c r="BX808"/>
      <c r="BY808">
        <v>6.9129999999999967</v>
      </c>
      <c r="BZ808"/>
      <c r="CA808"/>
      <c r="CC808">
        <v>6.6</v>
      </c>
      <c r="CD808"/>
      <c r="CE808"/>
      <c r="CF808"/>
      <c r="CG808"/>
      <c r="CH808"/>
      <c r="CI808"/>
      <c r="CJ808"/>
      <c r="CK808"/>
      <c r="CL808"/>
      <c r="CM808"/>
    </row>
    <row r="809" spans="1:91">
      <c r="A809" s="154" t="s">
        <v>7807</v>
      </c>
      <c r="B809" t="s">
        <v>8287</v>
      </c>
      <c r="C809">
        <v>2</v>
      </c>
      <c r="D809">
        <v>1556</v>
      </c>
      <c r="E809" s="113">
        <v>56</v>
      </c>
      <c r="F809" s="113">
        <v>15</v>
      </c>
      <c r="I809">
        <v>35.499999999999993</v>
      </c>
      <c r="K809" s="320">
        <v>8</v>
      </c>
      <c r="L809" s="320"/>
      <c r="M809">
        <v>3.68</v>
      </c>
      <c r="N809" s="320"/>
      <c r="O809"/>
      <c r="P809"/>
      <c r="Q809"/>
      <c r="S809" s="320">
        <v>16.636723183195002</v>
      </c>
      <c r="T809" s="320"/>
      <c r="U809">
        <v>10.8</v>
      </c>
      <c r="V809"/>
      <c r="W809"/>
      <c r="X809"/>
      <c r="Y809" s="321">
        <v>6.8709190000000016</v>
      </c>
      <c r="Z809" s="320"/>
      <c r="AA809" s="322">
        <v>90897.435897435906</v>
      </c>
      <c r="AB809" s="320"/>
      <c r="AC809" s="321">
        <v>33.206369500000008</v>
      </c>
      <c r="AD809" s="320"/>
      <c r="AE809" s="320">
        <v>35.450000000000003</v>
      </c>
      <c r="AF809" s="320"/>
      <c r="AG809">
        <v>3.9</v>
      </c>
      <c r="AH809"/>
      <c r="AI809">
        <v>118</v>
      </c>
      <c r="AJ809"/>
      <c r="AK809"/>
      <c r="AL809"/>
      <c r="AM809"/>
      <c r="AN809"/>
      <c r="AO809">
        <v>81</v>
      </c>
      <c r="AP809"/>
      <c r="AQ809" s="323"/>
      <c r="AR809" s="323"/>
      <c r="AS809">
        <v>112</v>
      </c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>
        <v>3.3088000000000002</v>
      </c>
      <c r="BH809"/>
      <c r="BI809">
        <v>4.9404000000000003</v>
      </c>
      <c r="BJ809"/>
      <c r="BK809">
        <v>1.3854</v>
      </c>
      <c r="BL809"/>
      <c r="BM809">
        <v>60.62</v>
      </c>
      <c r="BN809"/>
      <c r="BO809">
        <v>20.855</v>
      </c>
      <c r="BP809"/>
      <c r="BQ809">
        <v>8.5462000000000007</v>
      </c>
      <c r="BR809"/>
      <c r="BS809">
        <v>50.100999999999999</v>
      </c>
      <c r="BT809"/>
      <c r="BU809">
        <v>16.684000000000001</v>
      </c>
      <c r="BV809"/>
      <c r="BW809" s="325">
        <v>14.58</v>
      </c>
      <c r="BX809"/>
      <c r="BY809">
        <v>6.304000000000002</v>
      </c>
      <c r="BZ809"/>
      <c r="CA809"/>
      <c r="CC809">
        <v>5.32</v>
      </c>
      <c r="CD809"/>
      <c r="CE809"/>
      <c r="CF809"/>
      <c r="CG809"/>
      <c r="CH809"/>
      <c r="CI809"/>
      <c r="CJ809"/>
      <c r="CK809"/>
      <c r="CL809"/>
      <c r="CM809"/>
    </row>
    <row r="810" spans="1:91">
      <c r="A810" s="154" t="s">
        <v>7808</v>
      </c>
      <c r="B810" t="s">
        <v>8289</v>
      </c>
      <c r="C810">
        <v>2</v>
      </c>
      <c r="D810">
        <v>268</v>
      </c>
      <c r="E810" s="113">
        <v>68</v>
      </c>
      <c r="F810" s="113">
        <v>2</v>
      </c>
      <c r="I810">
        <v>32.5</v>
      </c>
      <c r="K810" s="320">
        <v>7</v>
      </c>
      <c r="L810" s="320"/>
      <c r="M810">
        <v>2.1800000000000002</v>
      </c>
      <c r="N810" s="320"/>
      <c r="O810"/>
      <c r="P810"/>
      <c r="Q810"/>
      <c r="S810" s="320">
        <v>8.0514286882559993</v>
      </c>
      <c r="T810" s="320"/>
      <c r="U810">
        <v>10.8</v>
      </c>
      <c r="V810"/>
      <c r="W810"/>
      <c r="X810"/>
      <c r="Y810" s="321">
        <v>4.0498974000000008</v>
      </c>
      <c r="Z810" s="320"/>
      <c r="AA810" s="322">
        <v>45810.810810810806</v>
      </c>
      <c r="AB810" s="320"/>
      <c r="AC810" s="321">
        <v>18.9320652</v>
      </c>
      <c r="AD810" s="320"/>
      <c r="AE810" s="320">
        <v>20.34</v>
      </c>
      <c r="AF810" s="320"/>
      <c r="AG810">
        <v>4.4400000000000004</v>
      </c>
      <c r="AH810"/>
      <c r="AI810">
        <v>128</v>
      </c>
      <c r="AJ810"/>
      <c r="AK810"/>
      <c r="AL810"/>
      <c r="AM810"/>
      <c r="AN810"/>
      <c r="AO810">
        <v>77</v>
      </c>
      <c r="AP810"/>
      <c r="AQ810" s="323"/>
      <c r="AR810" s="323"/>
      <c r="AS810">
        <v>112</v>
      </c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>
        <v>-6.4303999999999997</v>
      </c>
      <c r="BH810"/>
      <c r="BI810">
        <v>6.1327999999999996</v>
      </c>
      <c r="BJ810"/>
      <c r="BK810">
        <v>1.7665999999999999</v>
      </c>
      <c r="BL810"/>
      <c r="BM810">
        <v>67.643000000000001</v>
      </c>
      <c r="BN810"/>
      <c r="BO810">
        <v>20.609000000000002</v>
      </c>
      <c r="BP810"/>
      <c r="BQ810">
        <v>6.5136000000000003</v>
      </c>
      <c r="BR810"/>
      <c r="BS810">
        <v>42.527999999999999</v>
      </c>
      <c r="BT810"/>
      <c r="BU810">
        <v>18.440999999999999</v>
      </c>
      <c r="BV810"/>
      <c r="BW810" s="325">
        <v>5.25</v>
      </c>
      <c r="BX810"/>
      <c r="BY810">
        <v>5.703000000000003</v>
      </c>
      <c r="BZ810"/>
      <c r="CA810"/>
      <c r="CC810">
        <v>8.31</v>
      </c>
      <c r="CD810"/>
      <c r="CE810"/>
      <c r="CF810"/>
      <c r="CG810"/>
      <c r="CH810"/>
      <c r="CI810"/>
      <c r="CJ810"/>
      <c r="CK810"/>
      <c r="CL810"/>
      <c r="CM810"/>
    </row>
    <row r="811" spans="1:91">
      <c r="A811" s="154" t="s">
        <v>7808</v>
      </c>
      <c r="B811" t="s">
        <v>8287</v>
      </c>
      <c r="C811">
        <v>1</v>
      </c>
      <c r="D811">
        <v>536</v>
      </c>
      <c r="E811" s="113">
        <v>36</v>
      </c>
      <c r="F811" s="113">
        <v>5</v>
      </c>
      <c r="I811">
        <v>29.5</v>
      </c>
      <c r="K811" s="320">
        <v>9</v>
      </c>
      <c r="L811" s="320"/>
      <c r="M811">
        <v>4.1100000000000003</v>
      </c>
      <c r="N811" s="320"/>
      <c r="O811"/>
      <c r="P811"/>
      <c r="Q811"/>
      <c r="S811" s="320">
        <v>19.603963022799995</v>
      </c>
      <c r="T811" s="320"/>
      <c r="U811">
        <v>10.8</v>
      </c>
      <c r="V811"/>
      <c r="W811"/>
      <c r="X811"/>
      <c r="Y811" s="321">
        <v>7.0420299999999996</v>
      </c>
      <c r="Z811" s="320"/>
      <c r="AA811" s="322">
        <v>76686.507936507929</v>
      </c>
      <c r="AB811" s="320"/>
      <c r="AC811" s="321">
        <v>36.317085999999996</v>
      </c>
      <c r="AD811" s="320"/>
      <c r="AE811" s="320">
        <v>38.65</v>
      </c>
      <c r="AF811" s="320"/>
      <c r="AG811">
        <v>5.04</v>
      </c>
      <c r="AH811"/>
      <c r="AI811">
        <v>133</v>
      </c>
      <c r="AJ811"/>
      <c r="AK811"/>
      <c r="AL811"/>
      <c r="AM811"/>
      <c r="AN811"/>
      <c r="AO811">
        <v>77</v>
      </c>
      <c r="AP811"/>
      <c r="AQ811" s="323"/>
      <c r="AR811" s="323"/>
      <c r="AS811">
        <v>112</v>
      </c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>
        <v>1.1314</v>
      </c>
      <c r="BH811"/>
      <c r="BI811">
        <v>4.8010999999999999</v>
      </c>
      <c r="BJ811"/>
      <c r="BK811">
        <v>1.4492</v>
      </c>
      <c r="BL811"/>
      <c r="BM811">
        <v>60.893999999999998</v>
      </c>
      <c r="BN811"/>
      <c r="BO811">
        <v>21.283000000000001</v>
      </c>
      <c r="BP811"/>
      <c r="BQ811">
        <v>8.6776</v>
      </c>
      <c r="BR811"/>
      <c r="BS811">
        <v>53.98</v>
      </c>
      <c r="BT811"/>
      <c r="BU811">
        <v>14.993</v>
      </c>
      <c r="BV811"/>
      <c r="BW811" s="325">
        <v>8.74</v>
      </c>
      <c r="BX811"/>
      <c r="BY811">
        <v>5.9899999999999949</v>
      </c>
      <c r="BZ811"/>
      <c r="CA811"/>
      <c r="CC811">
        <v>7.57</v>
      </c>
      <c r="CD811"/>
      <c r="CE811"/>
      <c r="CF811"/>
      <c r="CG811"/>
      <c r="CH811"/>
      <c r="CI811"/>
      <c r="CJ811"/>
      <c r="CK811"/>
      <c r="CL811"/>
      <c r="CM811"/>
    </row>
    <row r="812" spans="1:91">
      <c r="A812" s="154" t="s">
        <v>7808</v>
      </c>
      <c r="B812" t="s">
        <v>8289</v>
      </c>
      <c r="C812">
        <v>1</v>
      </c>
      <c r="D812">
        <v>1409</v>
      </c>
      <c r="E812" s="113">
        <v>9</v>
      </c>
      <c r="F812" s="113">
        <v>14</v>
      </c>
      <c r="I812">
        <v>28.5</v>
      </c>
      <c r="K812" s="320">
        <v>9</v>
      </c>
      <c r="L812" s="320"/>
      <c r="M812">
        <v>4.2</v>
      </c>
      <c r="N812" s="320"/>
      <c r="O812"/>
      <c r="P812"/>
      <c r="Q812"/>
      <c r="S812" s="320">
        <v>19.712289562938</v>
      </c>
      <c r="T812" s="320"/>
      <c r="U812">
        <v>10.8</v>
      </c>
      <c r="V812"/>
      <c r="W812"/>
      <c r="X812"/>
      <c r="Y812" s="321">
        <v>7.4600588999999999</v>
      </c>
      <c r="Z812" s="320"/>
      <c r="AA812" s="322">
        <v>91575.342465753434</v>
      </c>
      <c r="AB812" s="320"/>
      <c r="AC812" s="321">
        <v>37.609542600000005</v>
      </c>
      <c r="AD812" s="320"/>
      <c r="AE812" s="320">
        <v>40.11</v>
      </c>
      <c r="AF812" s="320"/>
      <c r="AG812">
        <v>4.38</v>
      </c>
      <c r="AH812"/>
      <c r="AI812">
        <v>130</v>
      </c>
      <c r="AJ812"/>
      <c r="AK812"/>
      <c r="AL812"/>
      <c r="AM812"/>
      <c r="AN812"/>
      <c r="AO812">
        <v>79</v>
      </c>
      <c r="AP812"/>
      <c r="AQ812" s="323"/>
      <c r="AR812" s="323"/>
      <c r="AS812">
        <v>112</v>
      </c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>
        <v>0.28805999999999998</v>
      </c>
      <c r="BH812"/>
      <c r="BI812">
        <v>4.6531000000000002</v>
      </c>
      <c r="BJ812"/>
      <c r="BK812">
        <v>1.5670999999999999</v>
      </c>
      <c r="BL812"/>
      <c r="BM812">
        <v>65.897000000000006</v>
      </c>
      <c r="BN812"/>
      <c r="BO812">
        <v>20.731000000000002</v>
      </c>
      <c r="BP812"/>
      <c r="BQ812">
        <v>9.0708000000000002</v>
      </c>
      <c r="BR812"/>
      <c r="BS812">
        <v>52.412999999999997</v>
      </c>
      <c r="BT812"/>
      <c r="BU812">
        <v>16.663</v>
      </c>
      <c r="BV812"/>
      <c r="BW812" s="325">
        <v>11.09</v>
      </c>
      <c r="BX812"/>
      <c r="BY812">
        <v>5.7530000000000001</v>
      </c>
      <c r="BZ812"/>
      <c r="CA812"/>
      <c r="CC812">
        <v>6.15</v>
      </c>
      <c r="CD812"/>
      <c r="CE812"/>
      <c r="CF812"/>
      <c r="CG812"/>
      <c r="CH812"/>
      <c r="CI812"/>
      <c r="CJ812"/>
      <c r="CK812"/>
      <c r="CL812"/>
      <c r="CM812"/>
    </row>
    <row r="813" spans="1:91">
      <c r="A813" s="154" t="s">
        <v>7808</v>
      </c>
      <c r="B813" t="s">
        <v>8287</v>
      </c>
      <c r="C813">
        <v>2</v>
      </c>
      <c r="D813">
        <v>1744</v>
      </c>
      <c r="E813" s="113">
        <v>44</v>
      </c>
      <c r="F813" s="113">
        <v>17</v>
      </c>
      <c r="I813">
        <v>26.499999999999996</v>
      </c>
      <c r="K813" s="320">
        <v>8</v>
      </c>
      <c r="L813" s="320"/>
      <c r="M813">
        <v>3.65</v>
      </c>
      <c r="N813" s="320"/>
      <c r="O813"/>
      <c r="P813"/>
      <c r="Q813"/>
      <c r="S813" s="320">
        <v>17.980855935000001</v>
      </c>
      <c r="T813" s="320"/>
      <c r="U813">
        <v>10.8</v>
      </c>
      <c r="V813"/>
      <c r="W813"/>
      <c r="X813"/>
      <c r="Y813" s="321">
        <v>7.0536952000000008</v>
      </c>
      <c r="Z813" s="320"/>
      <c r="AA813" s="322">
        <v>78856.502242152477</v>
      </c>
      <c r="AB813" s="320"/>
      <c r="AC813" s="321">
        <v>32.841746000000001</v>
      </c>
      <c r="AD813" s="320"/>
      <c r="AE813" s="320">
        <v>35.17</v>
      </c>
      <c r="AF813" s="320"/>
      <c r="AG813">
        <v>4.46</v>
      </c>
      <c r="AH813"/>
      <c r="AI813">
        <v>118</v>
      </c>
      <c r="AJ813"/>
      <c r="AK813"/>
      <c r="AL813"/>
      <c r="AM813"/>
      <c r="AN813"/>
      <c r="AO813">
        <v>79</v>
      </c>
      <c r="AP813"/>
      <c r="AQ813" s="323"/>
      <c r="AR813" s="323"/>
      <c r="AS813">
        <v>112</v>
      </c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>
        <v>3.5350000000000001</v>
      </c>
      <c r="BH813"/>
      <c r="BI813">
        <v>5.1509999999999998</v>
      </c>
      <c r="BJ813"/>
      <c r="BK813">
        <v>1.4728000000000001</v>
      </c>
      <c r="BL813"/>
      <c r="BM813">
        <v>65.38</v>
      </c>
      <c r="BN813"/>
      <c r="BO813">
        <v>20.895</v>
      </c>
      <c r="BP813"/>
      <c r="BQ813">
        <v>8.4917999999999996</v>
      </c>
      <c r="BR813"/>
      <c r="BS813">
        <v>54.75</v>
      </c>
      <c r="BT813"/>
      <c r="BU813">
        <v>14.122999999999999</v>
      </c>
      <c r="BV813"/>
      <c r="BW813" s="325">
        <v>9.6</v>
      </c>
      <c r="BX813"/>
      <c r="BY813">
        <v>5.9180000000000064</v>
      </c>
      <c r="BZ813"/>
      <c r="CA813"/>
      <c r="CC813">
        <v>5.31</v>
      </c>
      <c r="CD813"/>
      <c r="CE813"/>
      <c r="CF813"/>
      <c r="CG813"/>
      <c r="CH813"/>
      <c r="CI813"/>
      <c r="CJ813"/>
      <c r="CK813"/>
      <c r="CL813"/>
      <c r="CM813"/>
    </row>
    <row r="814" spans="1:91">
      <c r="A814" s="154" t="s">
        <v>7809</v>
      </c>
      <c r="B814" t="s">
        <v>8287</v>
      </c>
      <c r="C814">
        <v>1</v>
      </c>
      <c r="D814">
        <v>218</v>
      </c>
      <c r="E814" s="113">
        <v>18</v>
      </c>
      <c r="F814" s="113">
        <v>2</v>
      </c>
      <c r="I814">
        <v>37.999999999999993</v>
      </c>
      <c r="K814" s="320">
        <v>8</v>
      </c>
      <c r="L814" s="320"/>
      <c r="M814">
        <v>4.01</v>
      </c>
      <c r="N814" s="320"/>
      <c r="O814"/>
      <c r="P814"/>
      <c r="Q814"/>
      <c r="S814" s="320">
        <v>17.443350340311998</v>
      </c>
      <c r="T814" s="320"/>
      <c r="U814">
        <v>10.8</v>
      </c>
      <c r="V814"/>
      <c r="W814"/>
      <c r="X814"/>
      <c r="Y814" s="321">
        <v>6.7754488000000004</v>
      </c>
      <c r="Z814" s="320"/>
      <c r="AA814" s="322">
        <v>91196.172248803821</v>
      </c>
      <c r="AB814" s="320"/>
      <c r="AC814" s="321">
        <v>35.7496984</v>
      </c>
      <c r="AD814" s="320"/>
      <c r="AE814" s="320">
        <v>38.119999999999997</v>
      </c>
      <c r="AF814" s="320"/>
      <c r="AG814">
        <v>4.18</v>
      </c>
      <c r="AH814"/>
      <c r="AI814">
        <v>145</v>
      </c>
      <c r="AJ814"/>
      <c r="AK814"/>
      <c r="AL814"/>
      <c r="AM814"/>
      <c r="AN814"/>
      <c r="AO814">
        <v>77</v>
      </c>
      <c r="AP814"/>
      <c r="AQ814" s="323"/>
      <c r="AR814" s="323"/>
      <c r="AS814">
        <v>118</v>
      </c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>
        <v>0.27961000000000003</v>
      </c>
      <c r="BH814"/>
      <c r="BI814">
        <v>4.9881000000000002</v>
      </c>
      <c r="BJ814"/>
      <c r="BK814">
        <v>1.5105</v>
      </c>
      <c r="BL814"/>
      <c r="BM814">
        <v>59.366</v>
      </c>
      <c r="BN814"/>
      <c r="BO814">
        <v>22.308</v>
      </c>
      <c r="BP814"/>
      <c r="BQ814">
        <v>9.4982000000000006</v>
      </c>
      <c r="BR814"/>
      <c r="BS814">
        <v>48.792999999999999</v>
      </c>
      <c r="BT814"/>
      <c r="BU814">
        <v>18.565999999999999</v>
      </c>
      <c r="BV814"/>
      <c r="BW814" s="325">
        <v>2.98</v>
      </c>
      <c r="BX814"/>
      <c r="BY814">
        <v>6.3559999999999945</v>
      </c>
      <c r="BZ814"/>
      <c r="CA814"/>
      <c r="CC814">
        <v>6.57</v>
      </c>
      <c r="CD814"/>
      <c r="CE814"/>
      <c r="CF814"/>
      <c r="CG814"/>
      <c r="CH814"/>
      <c r="CI814"/>
      <c r="CJ814"/>
      <c r="CK814"/>
      <c r="CL814"/>
      <c r="CM814"/>
    </row>
    <row r="815" spans="1:91">
      <c r="A815" s="154" t="s">
        <v>7809</v>
      </c>
      <c r="B815" t="s">
        <v>8289</v>
      </c>
      <c r="C815">
        <v>2</v>
      </c>
      <c r="D815">
        <v>741</v>
      </c>
      <c r="E815" s="113">
        <v>41</v>
      </c>
      <c r="F815" s="113">
        <v>7</v>
      </c>
      <c r="I815">
        <v>25</v>
      </c>
      <c r="K815" s="320">
        <v>9</v>
      </c>
      <c r="L815" s="320"/>
      <c r="M815">
        <v>4.04</v>
      </c>
      <c r="N815" s="320"/>
      <c r="O815"/>
      <c r="P815"/>
      <c r="Q815"/>
      <c r="S815" s="320" t="s">
        <v>8361</v>
      </c>
      <c r="T815" s="320"/>
      <c r="U815">
        <v>10.8</v>
      </c>
      <c r="V815"/>
      <c r="W815"/>
      <c r="X815"/>
      <c r="Y815" s="321">
        <v>0</v>
      </c>
      <c r="Z815" s="320"/>
      <c r="AA815" s="322">
        <v>91244.131455399067</v>
      </c>
      <c r="AB815" s="320"/>
      <c r="AC815" s="321" t="s">
        <v>8361</v>
      </c>
      <c r="AD815" s="320"/>
      <c r="AE815" s="320">
        <v>38.869999999999997</v>
      </c>
      <c r="AF815" s="320"/>
      <c r="AG815">
        <v>4.26</v>
      </c>
      <c r="AH815"/>
      <c r="AI815">
        <v>138</v>
      </c>
      <c r="AJ815"/>
      <c r="AK815"/>
      <c r="AL815"/>
      <c r="AM815"/>
      <c r="AN815"/>
      <c r="AO815">
        <v>80</v>
      </c>
      <c r="AP815"/>
      <c r="AQ815" s="323"/>
      <c r="AR815" s="323"/>
      <c r="AS815">
        <v>112</v>
      </c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>
        <v>3.3603999999999998</v>
      </c>
      <c r="BH815"/>
      <c r="BI815">
        <v>4.4398</v>
      </c>
      <c r="BJ815"/>
      <c r="BK815">
        <v>1.5147999999999999</v>
      </c>
      <c r="BL815"/>
      <c r="BM815">
        <v>59.387</v>
      </c>
      <c r="BN815"/>
      <c r="BO815">
        <v>22.29</v>
      </c>
      <c r="BP815"/>
      <c r="BQ815">
        <v>8.875</v>
      </c>
      <c r="BR815"/>
      <c r="BS815">
        <v>50.915999999999997</v>
      </c>
      <c r="BT815"/>
      <c r="BU815">
        <v>17.021999999999998</v>
      </c>
      <c r="BV815"/>
      <c r="BW815" s="325">
        <v>2.67</v>
      </c>
      <c r="BX815"/>
      <c r="BY815">
        <v>6.4830000000000041</v>
      </c>
      <c r="BZ815"/>
      <c r="CA815"/>
      <c r="CC815">
        <v>5.44</v>
      </c>
      <c r="CD815"/>
      <c r="CE815"/>
      <c r="CF815"/>
      <c r="CG815"/>
      <c r="CH815"/>
      <c r="CI815"/>
      <c r="CJ815"/>
      <c r="CK815"/>
      <c r="CL815"/>
      <c r="CM815"/>
    </row>
    <row r="816" spans="1:91">
      <c r="A816" s="154" t="s">
        <v>7809</v>
      </c>
      <c r="B816" t="s">
        <v>8289</v>
      </c>
      <c r="C816">
        <v>1</v>
      </c>
      <c r="D816">
        <v>1027</v>
      </c>
      <c r="E816" s="113">
        <v>27</v>
      </c>
      <c r="F816" s="113">
        <v>10</v>
      </c>
      <c r="I816">
        <v>32.999999999999993</v>
      </c>
      <c r="K816" s="320">
        <v>8</v>
      </c>
      <c r="L816" s="320"/>
      <c r="M816">
        <v>3.97</v>
      </c>
      <c r="N816" s="320"/>
      <c r="O816"/>
      <c r="P816"/>
      <c r="Q816"/>
      <c r="S816" s="320">
        <v>16.846759864479999</v>
      </c>
      <c r="T816" s="320"/>
      <c r="U816">
        <v>10.8</v>
      </c>
      <c r="V816"/>
      <c r="W816"/>
      <c r="X816"/>
      <c r="Y816" s="321">
        <v>7.3849048000000002</v>
      </c>
      <c r="Z816" s="320"/>
      <c r="AA816" s="322">
        <v>84756.380510440838</v>
      </c>
      <c r="AB816" s="320"/>
      <c r="AC816" s="321">
        <v>33.9173744</v>
      </c>
      <c r="AD816" s="320"/>
      <c r="AE816" s="320">
        <v>36.53</v>
      </c>
      <c r="AF816" s="320"/>
      <c r="AG816">
        <v>4.3099999999999996</v>
      </c>
      <c r="AH816"/>
      <c r="AI816">
        <v>128</v>
      </c>
      <c r="AJ816"/>
      <c r="AK816"/>
      <c r="AL816"/>
      <c r="AM816"/>
      <c r="AN816"/>
      <c r="AO816">
        <v>79</v>
      </c>
      <c r="AP816"/>
      <c r="AQ816" s="323"/>
      <c r="AR816" s="323"/>
      <c r="AS816">
        <v>114</v>
      </c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>
        <v>2.5764999999999998</v>
      </c>
      <c r="BH816"/>
      <c r="BI816">
        <v>4.8005000000000004</v>
      </c>
      <c r="BJ816"/>
      <c r="BK816">
        <v>1.4656</v>
      </c>
      <c r="BL816"/>
      <c r="BM816">
        <v>57.780999999999999</v>
      </c>
      <c r="BN816"/>
      <c r="BO816">
        <v>21.731000000000002</v>
      </c>
      <c r="BP816"/>
      <c r="BQ816">
        <v>8.9475999999999996</v>
      </c>
      <c r="BR816"/>
      <c r="BS816">
        <v>49.67</v>
      </c>
      <c r="BT816"/>
      <c r="BU816">
        <v>17.756</v>
      </c>
      <c r="BV816"/>
      <c r="BW816" s="325">
        <v>4.3</v>
      </c>
      <c r="BX816"/>
      <c r="BY816">
        <v>6.6340000000000003</v>
      </c>
      <c r="BZ816"/>
      <c r="CA816"/>
      <c r="CC816">
        <v>9.57</v>
      </c>
      <c r="CD816"/>
      <c r="CE816"/>
      <c r="CF816"/>
      <c r="CG816"/>
      <c r="CH816"/>
      <c r="CI816"/>
      <c r="CJ816"/>
      <c r="CK816"/>
      <c r="CL816"/>
      <c r="CM816"/>
    </row>
    <row r="817" spans="1:91">
      <c r="A817" s="154" t="s">
        <v>7809</v>
      </c>
      <c r="B817" t="s">
        <v>8287</v>
      </c>
      <c r="C817">
        <v>2</v>
      </c>
      <c r="D817">
        <v>1670</v>
      </c>
      <c r="E817" s="113">
        <v>70</v>
      </c>
      <c r="F817" s="113">
        <v>16</v>
      </c>
      <c r="I817">
        <v>29.999999999999996</v>
      </c>
      <c r="K817" s="320">
        <v>8</v>
      </c>
      <c r="L817" s="320"/>
      <c r="M817">
        <v>3.59</v>
      </c>
      <c r="N817" s="320"/>
      <c r="O817"/>
      <c r="P817"/>
      <c r="Q817"/>
      <c r="S817" s="320">
        <v>17.085328429055998</v>
      </c>
      <c r="T817" s="320"/>
      <c r="U817">
        <v>10.8</v>
      </c>
      <c r="V817"/>
      <c r="W817"/>
      <c r="X817"/>
      <c r="Y817" s="321">
        <v>5.2320618000000003</v>
      </c>
      <c r="Z817" s="320"/>
      <c r="AA817" s="322">
        <v>77787.810383747186</v>
      </c>
      <c r="AB817" s="320"/>
      <c r="AC817" s="321">
        <v>32.287641600000001</v>
      </c>
      <c r="AD817" s="320"/>
      <c r="AE817" s="320">
        <v>34.46</v>
      </c>
      <c r="AF817" s="320"/>
      <c r="AG817">
        <v>4.43</v>
      </c>
      <c r="AH817"/>
      <c r="AI817">
        <v>125</v>
      </c>
      <c r="AJ817"/>
      <c r="AK817"/>
      <c r="AL817"/>
      <c r="AM817"/>
      <c r="AN817"/>
      <c r="AO817">
        <v>80</v>
      </c>
      <c r="AP817"/>
      <c r="AQ817" s="323"/>
      <c r="AR817" s="323"/>
      <c r="AS817">
        <v>112</v>
      </c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>
        <v>-2.6665999999999999</v>
      </c>
      <c r="BH817"/>
      <c r="BI817">
        <v>4.5589000000000004</v>
      </c>
      <c r="BJ817"/>
      <c r="BK817">
        <v>1.6328</v>
      </c>
      <c r="BL817"/>
      <c r="BM817">
        <v>70.497</v>
      </c>
      <c r="BN817"/>
      <c r="BO817">
        <v>21.359000000000002</v>
      </c>
      <c r="BP817"/>
      <c r="BQ817">
        <v>7.4721000000000002</v>
      </c>
      <c r="BR817"/>
      <c r="BS817">
        <v>52.915999999999997</v>
      </c>
      <c r="BT817"/>
      <c r="BU817">
        <v>15.532</v>
      </c>
      <c r="BV817"/>
      <c r="BW817" s="325">
        <v>6.21</v>
      </c>
      <c r="BX817"/>
      <c r="BY817">
        <v>6.2540000000000049</v>
      </c>
      <c r="BZ817"/>
      <c r="CA817"/>
      <c r="CC817">
        <v>5.65</v>
      </c>
      <c r="CD817"/>
      <c r="CE817"/>
      <c r="CF817"/>
      <c r="CG817"/>
      <c r="CH817"/>
      <c r="CI817"/>
      <c r="CJ817"/>
      <c r="CK817"/>
      <c r="CL817"/>
      <c r="CM817"/>
    </row>
    <row r="818" spans="1:91">
      <c r="A818" s="154" t="s">
        <v>7810</v>
      </c>
      <c r="B818" t="s">
        <v>8287</v>
      </c>
      <c r="C818">
        <v>1</v>
      </c>
      <c r="D818">
        <v>731</v>
      </c>
      <c r="E818" s="113">
        <v>31</v>
      </c>
      <c r="F818" s="113">
        <v>7</v>
      </c>
      <c r="I818">
        <v>27</v>
      </c>
      <c r="K818" s="320">
        <v>9</v>
      </c>
      <c r="L818" s="320"/>
      <c r="M818">
        <v>3.72</v>
      </c>
      <c r="N818" s="320"/>
      <c r="O818"/>
      <c r="P818"/>
      <c r="Q818"/>
      <c r="S818" s="320">
        <v>16.823180847459</v>
      </c>
      <c r="T818" s="320"/>
      <c r="U818">
        <v>10.8</v>
      </c>
      <c r="V818"/>
      <c r="W818"/>
      <c r="X818"/>
      <c r="Y818" s="321">
        <v>6.2766494000000002</v>
      </c>
      <c r="Z818" s="320"/>
      <c r="AA818" s="322">
        <v>88811.369509043914</v>
      </c>
      <c r="AB818" s="320"/>
      <c r="AC818" s="321">
        <v>32.1218583</v>
      </c>
      <c r="AD818" s="320"/>
      <c r="AE818" s="320">
        <v>34.369999999999997</v>
      </c>
      <c r="AF818" s="320"/>
      <c r="AG818">
        <v>3.87</v>
      </c>
      <c r="AH818"/>
      <c r="AI818">
        <v>128</v>
      </c>
      <c r="AJ818"/>
      <c r="AK818"/>
      <c r="AL818"/>
      <c r="AM818"/>
      <c r="AN818"/>
      <c r="AO818">
        <v>79</v>
      </c>
      <c r="AP818"/>
      <c r="AQ818" s="323"/>
      <c r="AR818" s="323"/>
      <c r="AS818">
        <v>112</v>
      </c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>
        <v>-2.0432999999999999</v>
      </c>
      <c r="BH818"/>
      <c r="BI818">
        <v>4.6909999999999998</v>
      </c>
      <c r="BJ818"/>
      <c r="BK818">
        <v>1.5303</v>
      </c>
      <c r="BL818"/>
      <c r="BM818">
        <v>63.631999999999998</v>
      </c>
      <c r="BN818"/>
      <c r="BO818">
        <v>20.010999999999999</v>
      </c>
      <c r="BP818"/>
      <c r="BQ818">
        <v>10.073</v>
      </c>
      <c r="BR818"/>
      <c r="BS818">
        <v>52.372999999999998</v>
      </c>
      <c r="BT818"/>
      <c r="BU818">
        <v>15.853</v>
      </c>
      <c r="BV818"/>
      <c r="BW818" s="325">
        <v>5.33</v>
      </c>
      <c r="BX818"/>
      <c r="BY818">
        <v>6.0229999999999961</v>
      </c>
      <c r="BZ818"/>
      <c r="CA818"/>
      <c r="CC818">
        <v>9.19</v>
      </c>
      <c r="CD818"/>
      <c r="CE818"/>
      <c r="CF818"/>
      <c r="CG818"/>
      <c r="CH818"/>
      <c r="CI818"/>
      <c r="CJ818"/>
      <c r="CK818"/>
      <c r="CL818"/>
      <c r="CM818"/>
    </row>
    <row r="819" spans="1:91">
      <c r="A819" s="327" t="s">
        <v>7810</v>
      </c>
      <c r="B819" s="328" t="s">
        <v>8289</v>
      </c>
      <c r="C819" s="328">
        <v>2</v>
      </c>
      <c r="D819" s="328">
        <v>854</v>
      </c>
      <c r="E819" s="113">
        <v>54</v>
      </c>
      <c r="F819" s="113">
        <v>8</v>
      </c>
      <c r="G819" s="329"/>
      <c r="H819" s="329"/>
      <c r="I819" s="328">
        <v>25.499999999999996</v>
      </c>
      <c r="J819" s="330"/>
      <c r="K819" s="331">
        <v>8</v>
      </c>
      <c r="L819" s="331"/>
      <c r="M819" s="328">
        <v>3.73</v>
      </c>
      <c r="N819" s="331"/>
      <c r="O819" s="328"/>
      <c r="P819" s="328"/>
      <c r="Q819" s="328"/>
      <c r="R819" s="332"/>
      <c r="S819" s="331">
        <v>16.611795983475002</v>
      </c>
      <c r="T819" s="331"/>
      <c r="U819" s="328">
        <v>10.8</v>
      </c>
      <c r="V819" s="328"/>
      <c r="W819" s="328"/>
      <c r="X819" s="328"/>
      <c r="Y819" s="333">
        <v>7.3324005000000003</v>
      </c>
      <c r="Z819" s="331"/>
      <c r="AA819" s="334">
        <v>88957.816377171213</v>
      </c>
      <c r="AB819" s="331"/>
      <c r="AC819" s="333">
        <v>33.447691500000005</v>
      </c>
      <c r="AD819" s="331"/>
      <c r="AE819" s="331">
        <v>35.85</v>
      </c>
      <c r="AF819" s="331"/>
      <c r="AG819" s="328">
        <v>4.03</v>
      </c>
      <c r="AH819" s="328"/>
      <c r="AI819" s="328">
        <v>115</v>
      </c>
      <c r="AJ819" s="328"/>
      <c r="AK819" s="328"/>
      <c r="AL819" s="328"/>
      <c r="AM819" s="328"/>
      <c r="AN819" s="328"/>
      <c r="AO819" s="328">
        <v>80</v>
      </c>
      <c r="AP819" s="328"/>
      <c r="AQ819" s="335"/>
      <c r="AR819" s="335"/>
      <c r="AS819" s="328">
        <v>114</v>
      </c>
      <c r="AT819" s="328"/>
      <c r="AU819" s="328"/>
      <c r="AV819" s="328"/>
      <c r="AW819" s="328"/>
      <c r="AX819" s="328"/>
      <c r="AY819" s="328"/>
      <c r="AZ819" s="328"/>
      <c r="BA819" s="328"/>
      <c r="BB819" s="328"/>
      <c r="BC819" s="328"/>
      <c r="BD819" s="328"/>
      <c r="BE819" s="328"/>
      <c r="BF819" s="328"/>
      <c r="BG819" s="328">
        <v>-4.0487000000000002</v>
      </c>
      <c r="BH819" s="328"/>
      <c r="BI819" s="328">
        <v>5.2542999999999997</v>
      </c>
      <c r="BJ819" s="328"/>
      <c r="BK819" s="328">
        <v>1.5766</v>
      </c>
      <c r="BL819" s="328"/>
      <c r="BM819" s="328">
        <v>65.832999999999998</v>
      </c>
      <c r="BN819" s="328"/>
      <c r="BO819" s="328">
        <v>22.206</v>
      </c>
      <c r="BP819" s="328"/>
      <c r="BQ819" s="328">
        <v>9.2072000000000003</v>
      </c>
      <c r="BR819" s="328"/>
      <c r="BS819" s="328">
        <v>49.664999999999999</v>
      </c>
      <c r="BT819" s="328"/>
      <c r="BU819" s="328">
        <v>17.462</v>
      </c>
      <c r="BV819" s="328"/>
      <c r="BW819" s="336">
        <v>6.47</v>
      </c>
      <c r="BX819" s="328"/>
      <c r="BY819" s="328">
        <v>6.3889999999999958</v>
      </c>
      <c r="BZ819" s="328"/>
      <c r="CA819" s="328"/>
      <c r="CB819" s="337"/>
      <c r="CC819" s="328">
        <v>5.53</v>
      </c>
      <c r="CD819" s="328"/>
      <c r="CE819" s="328"/>
      <c r="CF819" s="328"/>
      <c r="CG819" s="328"/>
      <c r="CH819" s="328"/>
      <c r="CI819" s="328"/>
      <c r="CJ819" s="328"/>
      <c r="CK819" s="328" t="s">
        <v>8377</v>
      </c>
      <c r="CL819" s="328"/>
      <c r="CM819" s="328"/>
    </row>
    <row r="820" spans="1:91">
      <c r="A820" s="154" t="s">
        <v>7810</v>
      </c>
      <c r="B820" t="s">
        <v>8287</v>
      </c>
      <c r="C820">
        <v>2</v>
      </c>
      <c r="D820">
        <v>1561</v>
      </c>
      <c r="E820" s="113">
        <v>61</v>
      </c>
      <c r="F820" s="113">
        <v>15</v>
      </c>
      <c r="I820">
        <v>30.499999999999996</v>
      </c>
      <c r="K820" s="320">
        <v>8</v>
      </c>
      <c r="L820" s="320"/>
      <c r="M820">
        <v>3.39</v>
      </c>
      <c r="N820" s="320"/>
      <c r="O820"/>
      <c r="P820"/>
      <c r="Q820"/>
      <c r="S820" s="320">
        <v>15.473977003799998</v>
      </c>
      <c r="T820" s="320"/>
      <c r="U820">
        <v>10.8</v>
      </c>
      <c r="V820"/>
      <c r="W820"/>
      <c r="X820"/>
      <c r="Y820" s="321">
        <v>6.1418699999999999</v>
      </c>
      <c r="Z820" s="320"/>
      <c r="AA820" s="322">
        <v>86538.461538461532</v>
      </c>
      <c r="AB820" s="320"/>
      <c r="AC820" s="321">
        <v>29.371859999999998</v>
      </c>
      <c r="AD820" s="320"/>
      <c r="AE820" s="320">
        <v>31.5</v>
      </c>
      <c r="AF820" s="320"/>
      <c r="AG820">
        <v>3.64</v>
      </c>
      <c r="AH820"/>
      <c r="AI820">
        <v>118</v>
      </c>
      <c r="AJ820"/>
      <c r="AK820"/>
      <c r="AL820"/>
      <c r="AM820"/>
      <c r="AN820"/>
      <c r="AO820">
        <v>80</v>
      </c>
      <c r="AP820"/>
      <c r="AQ820" s="323"/>
      <c r="AR820" s="323"/>
      <c r="AS820">
        <v>112</v>
      </c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>
        <v>3.2185999999999999</v>
      </c>
      <c r="BH820"/>
      <c r="BI820">
        <v>5.0244999999999997</v>
      </c>
      <c r="BJ820"/>
      <c r="BK820">
        <v>1.4133</v>
      </c>
      <c r="BL820"/>
      <c r="BM820">
        <v>59.643000000000001</v>
      </c>
      <c r="BN820"/>
      <c r="BO820">
        <v>21.300999999999998</v>
      </c>
      <c r="BP820"/>
      <c r="BQ820">
        <v>10.124000000000001</v>
      </c>
      <c r="BR820"/>
      <c r="BS820">
        <v>52.683</v>
      </c>
      <c r="BT820"/>
      <c r="BU820">
        <v>15.17</v>
      </c>
      <c r="BV820"/>
      <c r="BW820" s="325">
        <v>2.33</v>
      </c>
      <c r="BX820"/>
      <c r="BY820">
        <v>6.1839999999999975</v>
      </c>
      <c r="BZ820"/>
      <c r="CA820"/>
      <c r="CC820">
        <v>8.67</v>
      </c>
      <c r="CD820"/>
      <c r="CE820"/>
      <c r="CF820"/>
      <c r="CG820"/>
      <c r="CH820"/>
      <c r="CI820"/>
      <c r="CJ820"/>
      <c r="CK820"/>
      <c r="CL820"/>
      <c r="CM820"/>
    </row>
    <row r="821" spans="1:91">
      <c r="A821" s="154" t="s">
        <v>7810</v>
      </c>
      <c r="B821" t="s">
        <v>8289</v>
      </c>
      <c r="C821">
        <v>1</v>
      </c>
      <c r="D821">
        <v>1515</v>
      </c>
      <c r="E821" s="113">
        <v>15</v>
      </c>
      <c r="F821" s="113">
        <v>15</v>
      </c>
      <c r="I821">
        <v>28.5</v>
      </c>
      <c r="K821" s="320">
        <v>8</v>
      </c>
      <c r="L821" s="320"/>
      <c r="M821">
        <v>4.4400000000000004</v>
      </c>
      <c r="N821" s="320"/>
      <c r="O821"/>
      <c r="P821"/>
      <c r="Q821"/>
      <c r="S821" s="320">
        <v>19.694269407988003</v>
      </c>
      <c r="T821" s="320"/>
      <c r="U821">
        <v>10.8</v>
      </c>
      <c r="V821"/>
      <c r="W821"/>
      <c r="X821"/>
      <c r="Y821" s="321">
        <v>8.1830497999999992</v>
      </c>
      <c r="Z821" s="320"/>
      <c r="AA821" s="322">
        <v>107964.37659033078</v>
      </c>
      <c r="AB821" s="320"/>
      <c r="AC821" s="321">
        <v>39.845164400000002</v>
      </c>
      <c r="AD821" s="320"/>
      <c r="AE821" s="320">
        <v>42.43</v>
      </c>
      <c r="AF821" s="320"/>
      <c r="AG821">
        <v>3.93</v>
      </c>
      <c r="AH821"/>
      <c r="AI821">
        <v>120</v>
      </c>
      <c r="AJ821"/>
      <c r="AK821"/>
      <c r="AL821"/>
      <c r="AM821"/>
      <c r="AN821"/>
      <c r="AO821">
        <v>79</v>
      </c>
      <c r="AP821"/>
      <c r="AQ821" s="323"/>
      <c r="AR821" s="323"/>
      <c r="AS821">
        <v>116</v>
      </c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>
        <v>-1.3919999999999999</v>
      </c>
      <c r="BH821"/>
      <c r="BI821">
        <v>4.4466999999999999</v>
      </c>
      <c r="BJ821"/>
      <c r="BK821">
        <v>1.5125999999999999</v>
      </c>
      <c r="BL821"/>
      <c r="BM821">
        <v>63.893999999999998</v>
      </c>
      <c r="BN821"/>
      <c r="BO821">
        <v>18.295999999999999</v>
      </c>
      <c r="BP821"/>
      <c r="BQ821">
        <v>9.5353999999999992</v>
      </c>
      <c r="BR821"/>
      <c r="BS821">
        <v>49.427</v>
      </c>
      <c r="BT821"/>
      <c r="BU821">
        <v>18.66</v>
      </c>
      <c r="BV821"/>
      <c r="BW821" s="325">
        <v>14.83</v>
      </c>
      <c r="BX821"/>
      <c r="BY821">
        <v>6.0139999999999958</v>
      </c>
      <c r="BZ821"/>
      <c r="CA821"/>
      <c r="CC821">
        <v>6.09</v>
      </c>
      <c r="CD821"/>
      <c r="CE821"/>
      <c r="CF821"/>
      <c r="CG821"/>
      <c r="CH821"/>
      <c r="CI821"/>
      <c r="CJ821"/>
      <c r="CK821"/>
      <c r="CL821"/>
      <c r="CM821"/>
    </row>
    <row r="822" spans="1:91">
      <c r="A822" s="154" t="s">
        <v>7811</v>
      </c>
      <c r="B822" t="s">
        <v>8287</v>
      </c>
      <c r="C822">
        <v>1</v>
      </c>
      <c r="D822">
        <v>234</v>
      </c>
      <c r="E822" s="113">
        <v>34</v>
      </c>
      <c r="F822" s="113">
        <v>2</v>
      </c>
      <c r="I822">
        <v>34</v>
      </c>
      <c r="K822" s="320">
        <v>9</v>
      </c>
      <c r="L822" s="320"/>
      <c r="M822">
        <v>4.09</v>
      </c>
      <c r="N822" s="320"/>
      <c r="O822"/>
      <c r="P822"/>
      <c r="Q822"/>
      <c r="S822" s="320">
        <v>17.868998323278003</v>
      </c>
      <c r="T822" s="320"/>
      <c r="U822">
        <v>10.8</v>
      </c>
      <c r="V822"/>
      <c r="W822"/>
      <c r="X822"/>
      <c r="Y822" s="321">
        <v>7.7800098000000002</v>
      </c>
      <c r="Z822" s="320"/>
      <c r="AA822" s="322">
        <v>92481.927710843374</v>
      </c>
      <c r="AB822" s="320"/>
      <c r="AC822" s="321">
        <v>35.864958600000001</v>
      </c>
      <c r="AD822" s="320"/>
      <c r="AE822" s="320">
        <v>38.380000000000003</v>
      </c>
      <c r="AF822" s="320"/>
      <c r="AG822">
        <v>4.1500000000000004</v>
      </c>
      <c r="AH822"/>
      <c r="AI822">
        <v>133</v>
      </c>
      <c r="AJ822"/>
      <c r="AK822"/>
      <c r="AL822"/>
      <c r="AM822"/>
      <c r="AN822"/>
      <c r="AO822">
        <v>77</v>
      </c>
      <c r="AP822"/>
      <c r="AQ822" s="323"/>
      <c r="AR822" s="323"/>
      <c r="AS822">
        <v>116</v>
      </c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>
        <v>-1.4414</v>
      </c>
      <c r="BH822"/>
      <c r="BI822">
        <v>4.7397999999999998</v>
      </c>
      <c r="BJ822"/>
      <c r="BK822">
        <v>1.6206</v>
      </c>
      <c r="BL822"/>
      <c r="BM822">
        <v>68.771000000000001</v>
      </c>
      <c r="BN822"/>
      <c r="BO822">
        <v>21.895</v>
      </c>
      <c r="BP822"/>
      <c r="BQ822">
        <v>8.8899000000000008</v>
      </c>
      <c r="BR822"/>
      <c r="BS822">
        <v>49.823</v>
      </c>
      <c r="BT822"/>
      <c r="BU822">
        <v>17.263000000000002</v>
      </c>
      <c r="BV822"/>
      <c r="BW822" s="325">
        <v>3.73</v>
      </c>
      <c r="BX822"/>
      <c r="BY822">
        <v>6.438999999999993</v>
      </c>
      <c r="BZ822"/>
      <c r="CA822"/>
      <c r="CC822">
        <v>7.78</v>
      </c>
      <c r="CD822"/>
      <c r="CE822"/>
      <c r="CF822"/>
      <c r="CG822"/>
      <c r="CH822"/>
      <c r="CI822"/>
      <c r="CJ822"/>
      <c r="CK822"/>
      <c r="CL822"/>
      <c r="CM822"/>
    </row>
    <row r="823" spans="1:91">
      <c r="A823" s="154" t="s">
        <v>7811</v>
      </c>
      <c r="B823" t="s">
        <v>8289</v>
      </c>
      <c r="C823">
        <v>2</v>
      </c>
      <c r="D823">
        <v>564</v>
      </c>
      <c r="E823" s="113">
        <v>64</v>
      </c>
      <c r="F823" s="113">
        <v>5</v>
      </c>
      <c r="I823">
        <v>30.499999999999996</v>
      </c>
      <c r="K823" s="320">
        <v>9</v>
      </c>
      <c r="L823" s="320"/>
      <c r="M823">
        <v>2.52</v>
      </c>
      <c r="N823" s="320"/>
      <c r="O823"/>
      <c r="P823"/>
      <c r="Q823"/>
      <c r="S823" s="320">
        <v>9.8625328664960001</v>
      </c>
      <c r="T823" s="320"/>
      <c r="U823">
        <v>10.8</v>
      </c>
      <c r="V823"/>
      <c r="W823"/>
      <c r="X823"/>
      <c r="Y823" s="321">
        <v>4.9882944</v>
      </c>
      <c r="Z823" s="320"/>
      <c r="AA823" s="322">
        <v>48464.730290456428</v>
      </c>
      <c r="AB823" s="320"/>
      <c r="AC823" s="321">
        <v>21.6916288</v>
      </c>
      <c r="AD823" s="320"/>
      <c r="AE823" s="320">
        <v>23.36</v>
      </c>
      <c r="AF823" s="320"/>
      <c r="AG823">
        <v>4.82</v>
      </c>
      <c r="AH823"/>
      <c r="AI823">
        <v>125</v>
      </c>
      <c r="AJ823"/>
      <c r="AK823"/>
      <c r="AL823"/>
      <c r="AM823"/>
      <c r="AN823"/>
      <c r="AO823">
        <v>77</v>
      </c>
      <c r="AP823"/>
      <c r="AQ823" s="323"/>
      <c r="AR823" s="323"/>
      <c r="AS823">
        <v>112</v>
      </c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>
        <v>-2.9961000000000002</v>
      </c>
      <c r="BH823"/>
      <c r="BI823">
        <v>4.9859999999999998</v>
      </c>
      <c r="BJ823"/>
      <c r="BK823">
        <v>1.7155</v>
      </c>
      <c r="BL823"/>
      <c r="BM823">
        <v>68.528000000000006</v>
      </c>
      <c r="BN823"/>
      <c r="BO823">
        <v>20.044</v>
      </c>
      <c r="BP823"/>
      <c r="BQ823">
        <v>8.1198999999999995</v>
      </c>
      <c r="BR823"/>
      <c r="BS823">
        <v>45.466999999999999</v>
      </c>
      <c r="BT823"/>
      <c r="BU823">
        <v>19.167000000000002</v>
      </c>
      <c r="BV823"/>
      <c r="BW823" s="325">
        <v>6.39</v>
      </c>
      <c r="BX823"/>
      <c r="BY823">
        <v>6.909000000000006</v>
      </c>
      <c r="BZ823"/>
      <c r="CA823"/>
      <c r="CC823">
        <v>8.91</v>
      </c>
      <c r="CD823"/>
      <c r="CE823"/>
      <c r="CF823"/>
      <c r="CG823"/>
      <c r="CH823"/>
      <c r="CI823"/>
      <c r="CJ823"/>
      <c r="CK823"/>
      <c r="CL823"/>
      <c r="CM823"/>
    </row>
    <row r="824" spans="1:91">
      <c r="A824" s="154" t="s">
        <v>7811</v>
      </c>
      <c r="B824" t="s">
        <v>8287</v>
      </c>
      <c r="C824">
        <v>2</v>
      </c>
      <c r="D824">
        <v>1053</v>
      </c>
      <c r="E824" s="113">
        <v>53</v>
      </c>
      <c r="F824" s="113">
        <v>10</v>
      </c>
      <c r="I824">
        <v>23.999999999999996</v>
      </c>
      <c r="K824" s="320">
        <v>9</v>
      </c>
      <c r="L824" s="320"/>
      <c r="M824">
        <v>3.5</v>
      </c>
      <c r="N824" s="320"/>
      <c r="O824"/>
      <c r="P824"/>
      <c r="Q824"/>
      <c r="S824" s="320">
        <v>15.50509846776</v>
      </c>
      <c r="T824" s="320"/>
      <c r="U824">
        <v>10.8</v>
      </c>
      <c r="V824"/>
      <c r="W824"/>
      <c r="X824"/>
      <c r="Y824" s="321">
        <v>7.2293085999999995</v>
      </c>
      <c r="Z824" s="320"/>
      <c r="AA824" s="322">
        <v>80623.501199040766</v>
      </c>
      <c r="AB824" s="320"/>
      <c r="AC824" s="321">
        <v>31.508663999999996</v>
      </c>
      <c r="AD824" s="320"/>
      <c r="AE824" s="320">
        <v>33.619999999999997</v>
      </c>
      <c r="AF824" s="320"/>
      <c r="AG824">
        <v>4.17</v>
      </c>
      <c r="AH824"/>
      <c r="AI824">
        <v>123</v>
      </c>
      <c r="AJ824"/>
      <c r="AK824"/>
      <c r="AL824"/>
      <c r="AM824"/>
      <c r="AN824"/>
      <c r="AO824">
        <v>79</v>
      </c>
      <c r="AP824"/>
      <c r="AQ824" s="323"/>
      <c r="AR824" s="323"/>
      <c r="AS824">
        <v>114</v>
      </c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>
        <v>-2.7591999999999999</v>
      </c>
      <c r="BH824"/>
      <c r="BI824">
        <v>4.7662000000000004</v>
      </c>
      <c r="BJ824"/>
      <c r="BK824">
        <v>1.6161000000000001</v>
      </c>
      <c r="BL824"/>
      <c r="BM824">
        <v>68.867000000000004</v>
      </c>
      <c r="BN824"/>
      <c r="BO824">
        <v>21.45</v>
      </c>
      <c r="BP824"/>
      <c r="BQ824">
        <v>8.7520000000000007</v>
      </c>
      <c r="BR824"/>
      <c r="BS824">
        <v>49.209000000000003</v>
      </c>
      <c r="BT824"/>
      <c r="BU824">
        <v>17.661999999999999</v>
      </c>
      <c r="BV824"/>
      <c r="BW824" s="325">
        <v>9.94</v>
      </c>
      <c r="BX824"/>
      <c r="BY824">
        <v>6.4749999999999943</v>
      </c>
      <c r="BZ824"/>
      <c r="CA824"/>
      <c r="CC824">
        <v>5.6</v>
      </c>
      <c r="CD824"/>
      <c r="CE824"/>
      <c r="CF824"/>
      <c r="CG824"/>
      <c r="CH824"/>
      <c r="CI824"/>
      <c r="CJ824"/>
      <c r="CK824"/>
      <c r="CL824"/>
      <c r="CM824"/>
    </row>
    <row r="825" spans="1:91">
      <c r="A825" s="154" t="s">
        <v>7811</v>
      </c>
      <c r="B825" t="s">
        <v>8289</v>
      </c>
      <c r="C825">
        <v>1</v>
      </c>
      <c r="D825">
        <v>1717</v>
      </c>
      <c r="E825" s="113">
        <v>17</v>
      </c>
      <c r="F825" s="113">
        <v>17</v>
      </c>
      <c r="I825">
        <v>31.499999999999996</v>
      </c>
      <c r="K825" s="320">
        <v>8</v>
      </c>
      <c r="L825" s="320"/>
      <c r="M825">
        <v>3.87</v>
      </c>
      <c r="N825" s="320"/>
      <c r="O825"/>
      <c r="P825"/>
      <c r="Q825"/>
      <c r="S825" s="320">
        <v>16.311446184095999</v>
      </c>
      <c r="T825" s="320"/>
      <c r="U825">
        <v>10.8</v>
      </c>
      <c r="V825"/>
      <c r="W825"/>
      <c r="X825"/>
      <c r="Y825" s="321">
        <v>7.1366448</v>
      </c>
      <c r="Z825" s="320"/>
      <c r="AA825" s="322">
        <v>97978.723404255332</v>
      </c>
      <c r="AB825" s="320"/>
      <c r="AC825" s="321">
        <v>34.561077600000004</v>
      </c>
      <c r="AD825" s="320"/>
      <c r="AE825" s="320">
        <v>36.840000000000003</v>
      </c>
      <c r="AF825" s="320"/>
      <c r="AG825">
        <v>3.76</v>
      </c>
      <c r="AH825"/>
      <c r="AI825">
        <v>123</v>
      </c>
      <c r="AJ825"/>
      <c r="AK825"/>
      <c r="AL825"/>
      <c r="AM825"/>
      <c r="AN825"/>
      <c r="AO825">
        <v>79</v>
      </c>
      <c r="AP825"/>
      <c r="AQ825" s="323"/>
      <c r="AR825" s="323"/>
      <c r="AS825">
        <v>114</v>
      </c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>
        <v>-5.8966000000000003</v>
      </c>
      <c r="BH825"/>
      <c r="BI825">
        <v>4.9714999999999998</v>
      </c>
      <c r="BJ825"/>
      <c r="BK825">
        <v>1.5444</v>
      </c>
      <c r="BL825"/>
      <c r="BM825">
        <v>65.173000000000002</v>
      </c>
      <c r="BN825"/>
      <c r="BO825">
        <v>21.372</v>
      </c>
      <c r="BP825"/>
      <c r="BQ825">
        <v>8.7860999999999994</v>
      </c>
      <c r="BR825"/>
      <c r="BS825">
        <v>47.195999999999998</v>
      </c>
      <c r="BT825"/>
      <c r="BU825">
        <v>18.309000000000001</v>
      </c>
      <c r="BV825"/>
      <c r="BW825" s="325">
        <v>7.73</v>
      </c>
      <c r="BX825"/>
      <c r="BY825">
        <v>6.6569999999999965</v>
      </c>
      <c r="BZ825"/>
      <c r="CA825"/>
      <c r="CC825">
        <v>6.44</v>
      </c>
      <c r="CD825"/>
      <c r="CE825"/>
      <c r="CF825"/>
      <c r="CG825"/>
      <c r="CH825"/>
      <c r="CI825"/>
      <c r="CJ825"/>
      <c r="CK825"/>
      <c r="CL825"/>
      <c r="CM825"/>
    </row>
    <row r="826" spans="1:91">
      <c r="A826" s="154" t="s">
        <v>8375</v>
      </c>
      <c r="B826" t="s">
        <v>8287</v>
      </c>
      <c r="C826">
        <v>1</v>
      </c>
      <c r="D826">
        <v>320</v>
      </c>
      <c r="E826" s="113">
        <v>20</v>
      </c>
      <c r="F826" s="113">
        <v>3</v>
      </c>
      <c r="I826">
        <v>29.5</v>
      </c>
      <c r="K826" s="320">
        <v>9</v>
      </c>
      <c r="L826" s="320"/>
      <c r="M826">
        <v>3.9</v>
      </c>
      <c r="N826" s="320"/>
      <c r="O826"/>
      <c r="P826"/>
      <c r="Q826"/>
      <c r="S826" s="320">
        <v>18.237660305205001</v>
      </c>
      <c r="T826" s="320"/>
      <c r="U826">
        <v>10.8</v>
      </c>
      <c r="V826"/>
      <c r="W826"/>
      <c r="X826"/>
      <c r="Y826" s="321">
        <v>7.5498716999999989</v>
      </c>
      <c r="Z826" s="320"/>
      <c r="AA826" s="322">
        <v>84806.378132118436</v>
      </c>
      <c r="AB826" s="320"/>
      <c r="AC826" s="321">
        <v>35.015187300000001</v>
      </c>
      <c r="AD826" s="320"/>
      <c r="AE826" s="320">
        <v>37.229999999999997</v>
      </c>
      <c r="AF826" s="320"/>
      <c r="AG826">
        <v>4.3899999999999997</v>
      </c>
      <c r="AH826"/>
      <c r="AI826">
        <v>133</v>
      </c>
      <c r="AJ826"/>
      <c r="AK826"/>
      <c r="AL826"/>
      <c r="AM826"/>
      <c r="AN826"/>
      <c r="AO826">
        <v>77</v>
      </c>
      <c r="AP826"/>
      <c r="AQ826" s="323"/>
      <c r="AR826" s="323"/>
      <c r="AS826">
        <v>112</v>
      </c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>
        <v>4.7698</v>
      </c>
      <c r="BH826"/>
      <c r="BI826">
        <v>4.2470999999999997</v>
      </c>
      <c r="BJ826"/>
      <c r="BK826">
        <v>1.52</v>
      </c>
      <c r="BL826"/>
      <c r="BM826">
        <v>61.847000000000001</v>
      </c>
      <c r="BN826"/>
      <c r="BO826">
        <v>18.957000000000001</v>
      </c>
      <c r="BP826"/>
      <c r="BQ826">
        <v>9.3737999999999992</v>
      </c>
      <c r="BR826"/>
      <c r="BS826">
        <v>52.085000000000001</v>
      </c>
      <c r="BT826"/>
      <c r="BU826">
        <v>16.510999999999999</v>
      </c>
      <c r="BV826"/>
      <c r="BW826" s="325">
        <v>13.05</v>
      </c>
      <c r="BX826"/>
      <c r="BY826">
        <v>6.1440000000000055</v>
      </c>
      <c r="BZ826"/>
      <c r="CA826"/>
      <c r="CC826">
        <v>6.17</v>
      </c>
      <c r="CD826"/>
      <c r="CE826"/>
      <c r="CF826"/>
      <c r="CG826"/>
      <c r="CH826"/>
      <c r="CI826"/>
      <c r="CJ826"/>
      <c r="CK826"/>
      <c r="CL826"/>
      <c r="CM826"/>
    </row>
    <row r="827" spans="1:91">
      <c r="A827" s="154" t="s">
        <v>8375</v>
      </c>
      <c r="B827" t="s">
        <v>8287</v>
      </c>
      <c r="C827">
        <v>1</v>
      </c>
      <c r="D827">
        <v>323</v>
      </c>
      <c r="E827" s="113">
        <v>23</v>
      </c>
      <c r="F827" s="113">
        <v>3</v>
      </c>
      <c r="I827">
        <v>31.499999999999996</v>
      </c>
      <c r="K827" s="320">
        <v>7</v>
      </c>
      <c r="L827" s="320"/>
      <c r="M827">
        <v>3.95</v>
      </c>
      <c r="N827" s="320"/>
      <c r="O827"/>
      <c r="P827"/>
      <c r="Q827"/>
      <c r="S827" s="320">
        <v>18.311827307040002</v>
      </c>
      <c r="T827" s="320"/>
      <c r="U827">
        <v>10.8</v>
      </c>
      <c r="V827"/>
      <c r="W827"/>
      <c r="X827"/>
      <c r="Y827" s="321">
        <v>7.8604248000000005</v>
      </c>
      <c r="Z827" s="320"/>
      <c r="AA827" s="322">
        <v>85248.868778280535</v>
      </c>
      <c r="AB827" s="320"/>
      <c r="AC827" s="321">
        <v>35.266596</v>
      </c>
      <c r="AD827" s="320"/>
      <c r="AE827" s="320">
        <v>37.68</v>
      </c>
      <c r="AF827" s="320"/>
      <c r="AG827">
        <v>4.42</v>
      </c>
      <c r="AH827"/>
      <c r="AI827">
        <v>125</v>
      </c>
      <c r="AJ827"/>
      <c r="AK827"/>
      <c r="AL827"/>
      <c r="AM827"/>
      <c r="AN827"/>
      <c r="AO827">
        <v>74</v>
      </c>
      <c r="AP827"/>
      <c r="AQ827" s="323"/>
      <c r="AR827" s="323"/>
      <c r="AS827">
        <v>112</v>
      </c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>
        <v>1.1237999999999999</v>
      </c>
      <c r="BH827"/>
      <c r="BI827">
        <v>4.3312999999999997</v>
      </c>
      <c r="BJ827"/>
      <c r="BK827">
        <v>1.4790000000000001</v>
      </c>
      <c r="BL827"/>
      <c r="BM827">
        <v>62.277999999999999</v>
      </c>
      <c r="BN827"/>
      <c r="BO827">
        <v>19.524999999999999</v>
      </c>
      <c r="BP827"/>
      <c r="BQ827">
        <v>9.3379999999999992</v>
      </c>
      <c r="BR827"/>
      <c r="BS827">
        <v>51.923999999999999</v>
      </c>
      <c r="BT827"/>
      <c r="BU827">
        <v>16.802</v>
      </c>
      <c r="BV827"/>
      <c r="BW827" s="325">
        <v>16.27</v>
      </c>
      <c r="BX827"/>
      <c r="BY827">
        <v>6.4270000000000067</v>
      </c>
      <c r="BZ827"/>
      <c r="CA827"/>
      <c r="CC827">
        <v>6.25</v>
      </c>
      <c r="CD827"/>
      <c r="CE827"/>
      <c r="CF827"/>
      <c r="CG827"/>
      <c r="CH827"/>
      <c r="CI827"/>
      <c r="CJ827"/>
      <c r="CK827"/>
      <c r="CL827"/>
      <c r="CM827"/>
    </row>
    <row r="828" spans="1:91">
      <c r="A828" s="327" t="s">
        <v>8375</v>
      </c>
      <c r="B828" s="328" t="s">
        <v>8289</v>
      </c>
      <c r="C828" s="328">
        <v>2</v>
      </c>
      <c r="D828" s="328">
        <v>344</v>
      </c>
      <c r="E828" s="113">
        <v>44</v>
      </c>
      <c r="F828" s="113">
        <v>3</v>
      </c>
      <c r="G828" s="329"/>
      <c r="H828" s="329"/>
      <c r="I828" s="328">
        <v>27</v>
      </c>
      <c r="J828" s="330"/>
      <c r="K828" s="331">
        <v>8</v>
      </c>
      <c r="L828" s="331"/>
      <c r="M828" s="328">
        <v>3.62</v>
      </c>
      <c r="N828" s="331"/>
      <c r="O828" s="328"/>
      <c r="P828" s="328"/>
      <c r="Q828" s="328"/>
      <c r="R828" s="332"/>
      <c r="S828" s="331">
        <v>16.165082809428</v>
      </c>
      <c r="T828" s="331"/>
      <c r="U828" s="328">
        <v>10.8</v>
      </c>
      <c r="V828" s="328"/>
      <c r="W828" s="328"/>
      <c r="X828" s="328"/>
      <c r="Y828" s="333">
        <v>5.9014277000000002</v>
      </c>
      <c r="Z828" s="331"/>
      <c r="AA828" s="334">
        <v>83629.807692307688</v>
      </c>
      <c r="AB828" s="331"/>
      <c r="AC828" s="333">
        <v>32.670593199999999</v>
      </c>
      <c r="AD828" s="331"/>
      <c r="AE828" s="331">
        <v>34.79</v>
      </c>
      <c r="AF828" s="331"/>
      <c r="AG828" s="328">
        <v>4.16</v>
      </c>
      <c r="AH828" s="328"/>
      <c r="AI828" s="328">
        <v>128</v>
      </c>
      <c r="AJ828" s="328"/>
      <c r="AK828" s="328"/>
      <c r="AL828" s="328"/>
      <c r="AM828" s="328"/>
      <c r="AN828" s="328"/>
      <c r="AO828" s="328">
        <v>72</v>
      </c>
      <c r="AP828" s="328"/>
      <c r="AQ828" s="335"/>
      <c r="AR828" s="335"/>
      <c r="AS828" s="328">
        <v>112</v>
      </c>
      <c r="AT828" s="328"/>
      <c r="AU828" s="328"/>
      <c r="AV828" s="328"/>
      <c r="AW828" s="328"/>
      <c r="AX828" s="328"/>
      <c r="AY828" s="328"/>
      <c r="AZ828" s="328"/>
      <c r="BA828" s="328"/>
      <c r="BB828" s="328"/>
      <c r="BC828" s="328"/>
      <c r="BD828" s="328"/>
      <c r="BE828" s="328"/>
      <c r="BF828" s="328"/>
      <c r="BG828" s="328">
        <v>-0.37120999999999998</v>
      </c>
      <c r="BH828" s="328"/>
      <c r="BI828" s="328">
        <v>4.6928000000000001</v>
      </c>
      <c r="BJ828" s="328"/>
      <c r="BK828" s="328">
        <v>1.56</v>
      </c>
      <c r="BL828" s="328"/>
      <c r="BM828" s="328">
        <v>63.735999999999997</v>
      </c>
      <c r="BN828" s="328"/>
      <c r="BO828" s="328">
        <v>19.908000000000001</v>
      </c>
      <c r="BP828" s="328"/>
      <c r="BQ828" s="328">
        <v>9.7439</v>
      </c>
      <c r="BR828" s="328"/>
      <c r="BS828" s="328">
        <v>49.478999999999999</v>
      </c>
      <c r="BT828" s="328"/>
      <c r="BU828" s="328">
        <v>17.658999999999999</v>
      </c>
      <c r="BV828" s="328"/>
      <c r="BW828" s="336">
        <v>5.0599999999999996</v>
      </c>
      <c r="BX828" s="328"/>
      <c r="BY828" s="328">
        <v>6.8469999999999942</v>
      </c>
      <c r="BZ828" s="328"/>
      <c r="CA828" s="328"/>
      <c r="CB828" s="337"/>
      <c r="CC828" s="328">
        <v>5.56</v>
      </c>
      <c r="CD828" s="328"/>
      <c r="CE828" s="328"/>
      <c r="CF828" s="328"/>
      <c r="CG828" s="328"/>
      <c r="CH828" s="328"/>
      <c r="CI828" s="328"/>
      <c r="CJ828" s="328"/>
      <c r="CK828" s="328" t="s">
        <v>8377</v>
      </c>
      <c r="CL828" s="328"/>
      <c r="CM828" s="328"/>
    </row>
    <row r="829" spans="1:91">
      <c r="A829" s="327" t="s">
        <v>8375</v>
      </c>
      <c r="B829" s="328" t="s">
        <v>8289</v>
      </c>
      <c r="C829" s="328">
        <v>2</v>
      </c>
      <c r="D829" s="328">
        <v>371</v>
      </c>
      <c r="E829" s="113">
        <v>71</v>
      </c>
      <c r="F829" s="113">
        <v>3</v>
      </c>
      <c r="G829" s="329"/>
      <c r="H829" s="329"/>
      <c r="I829" s="328">
        <v>27</v>
      </c>
      <c r="J829" s="330"/>
      <c r="K829" s="331">
        <v>6</v>
      </c>
      <c r="L829" s="331"/>
      <c r="M829" s="328">
        <v>1.65</v>
      </c>
      <c r="N829" s="331"/>
      <c r="O829" s="328"/>
      <c r="P829" s="328"/>
      <c r="Q829" s="328"/>
      <c r="R829" s="332"/>
      <c r="S829" s="331" t="s">
        <v>8361</v>
      </c>
      <c r="T829" s="331"/>
      <c r="U829" s="328">
        <v>10.8</v>
      </c>
      <c r="V829" s="328"/>
      <c r="W829" s="328"/>
      <c r="X829" s="328"/>
      <c r="Y829" s="333">
        <v>0</v>
      </c>
      <c r="Z829" s="331"/>
      <c r="AA829" s="334">
        <v>34977.578475336319</v>
      </c>
      <c r="AB829" s="331"/>
      <c r="AC829" s="333" t="s">
        <v>8361</v>
      </c>
      <c r="AD829" s="331"/>
      <c r="AE829" s="331">
        <v>15.6</v>
      </c>
      <c r="AF829" s="331"/>
      <c r="AG829" s="328">
        <v>4.46</v>
      </c>
      <c r="AH829" s="328"/>
      <c r="AI829" s="328">
        <v>100</v>
      </c>
      <c r="AJ829" s="328"/>
      <c r="AK829" s="328"/>
      <c r="AL829" s="328"/>
      <c r="AM829" s="328"/>
      <c r="AN829" s="328"/>
      <c r="AO829" s="328">
        <v>71</v>
      </c>
      <c r="AP829" s="328"/>
      <c r="AQ829" s="335"/>
      <c r="AR829" s="335"/>
      <c r="AS829" s="328">
        <v>112</v>
      </c>
      <c r="AT829" s="328"/>
      <c r="AU829" s="328"/>
      <c r="AV829" s="328"/>
      <c r="AW829" s="328"/>
      <c r="AX829" s="328"/>
      <c r="AY829" s="328"/>
      <c r="AZ829" s="328"/>
      <c r="BA829" s="328"/>
      <c r="BB829" s="328"/>
      <c r="BC829" s="328"/>
      <c r="BD829" s="328"/>
      <c r="BE829" s="328"/>
      <c r="BF829" s="328"/>
      <c r="BG829" s="328">
        <v>2.9001000000000001</v>
      </c>
      <c r="BH829" s="328"/>
      <c r="BI829" s="328">
        <v>5.0435999999999996</v>
      </c>
      <c r="BJ829" s="328"/>
      <c r="BK829" s="328">
        <v>1.5984</v>
      </c>
      <c r="BL829" s="328"/>
      <c r="BM829" s="328">
        <v>59.7</v>
      </c>
      <c r="BN829" s="328"/>
      <c r="BO829" s="328">
        <v>19.422000000000001</v>
      </c>
      <c r="BP829" s="328"/>
      <c r="BQ829" s="328">
        <v>9.3793000000000006</v>
      </c>
      <c r="BR829" s="328"/>
      <c r="BS829" s="328">
        <v>44.072000000000003</v>
      </c>
      <c r="BT829" s="328"/>
      <c r="BU829" s="328">
        <v>20.395</v>
      </c>
      <c r="BV829" s="328"/>
      <c r="BW829" s="336">
        <v>0.5</v>
      </c>
      <c r="BX829" s="328"/>
      <c r="BY829" s="328">
        <v>7.5319999999999965</v>
      </c>
      <c r="BZ829" s="328"/>
      <c r="CA829" s="328"/>
      <c r="CB829" s="337"/>
      <c r="CC829" s="328">
        <v>7.06</v>
      </c>
      <c r="CD829" s="328"/>
      <c r="CE829" s="328"/>
      <c r="CF829" s="328"/>
      <c r="CG829" s="328"/>
      <c r="CH829" s="328"/>
      <c r="CI829" s="328"/>
      <c r="CJ829" s="328"/>
      <c r="CK829" s="328" t="s">
        <v>8377</v>
      </c>
      <c r="CL829" s="328"/>
      <c r="CM829" s="328"/>
    </row>
    <row r="830" spans="1:91">
      <c r="A830" s="154" t="s">
        <v>8375</v>
      </c>
      <c r="B830" t="s">
        <v>8289</v>
      </c>
      <c r="C830">
        <v>2</v>
      </c>
      <c r="D830">
        <v>460</v>
      </c>
      <c r="E830" s="113">
        <v>60</v>
      </c>
      <c r="F830" s="113">
        <v>4</v>
      </c>
      <c r="I830">
        <v>37</v>
      </c>
      <c r="K830" s="320">
        <v>7</v>
      </c>
      <c r="L830" s="320"/>
      <c r="M830">
        <v>1.92</v>
      </c>
      <c r="N830" s="320"/>
      <c r="O830"/>
      <c r="P830"/>
      <c r="Q830"/>
      <c r="S830" s="320">
        <v>7.3954561691500009</v>
      </c>
      <c r="T830" s="320"/>
      <c r="U830">
        <v>10.8</v>
      </c>
      <c r="V830"/>
      <c r="W830"/>
      <c r="X830"/>
      <c r="Y830" s="321">
        <v>3.6557966</v>
      </c>
      <c r="Z830" s="320"/>
      <c r="AA830" s="322">
        <v>37978.494623655912</v>
      </c>
      <c r="AB830" s="320"/>
      <c r="AC830" s="321">
        <v>16.591040200000002</v>
      </c>
      <c r="AD830" s="320"/>
      <c r="AE830" s="320">
        <v>17.66</v>
      </c>
      <c r="AF830" s="320"/>
      <c r="AG830">
        <v>4.6500000000000004</v>
      </c>
      <c r="AH830"/>
      <c r="AI830">
        <v>100</v>
      </c>
      <c r="AJ830"/>
      <c r="AK830"/>
      <c r="AL830"/>
      <c r="AM830"/>
      <c r="AN830"/>
      <c r="AO830">
        <v>72</v>
      </c>
      <c r="AP830"/>
      <c r="AQ830" s="323"/>
      <c r="AR830" s="323"/>
      <c r="AS830">
        <v>114</v>
      </c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>
        <v>-3.1211000000000002</v>
      </c>
      <c r="BH830"/>
      <c r="BI830">
        <v>4.7102000000000004</v>
      </c>
      <c r="BJ830"/>
      <c r="BK830">
        <v>1.5840000000000001</v>
      </c>
      <c r="BL830"/>
      <c r="BM830">
        <v>62.759</v>
      </c>
      <c r="BN830"/>
      <c r="BO830">
        <v>18.777000000000001</v>
      </c>
      <c r="BP830"/>
      <c r="BQ830">
        <v>9.6651000000000007</v>
      </c>
      <c r="BR830"/>
      <c r="BS830">
        <v>44.575000000000003</v>
      </c>
      <c r="BT830"/>
      <c r="BU830">
        <v>20.626000000000001</v>
      </c>
      <c r="BV830"/>
      <c r="BW830" s="325">
        <v>2.0699999999999998</v>
      </c>
      <c r="BX830"/>
      <c r="BY830">
        <v>7.203000000000003</v>
      </c>
      <c r="BZ830"/>
      <c r="CA830"/>
      <c r="CC830">
        <v>9.6199999999999992</v>
      </c>
      <c r="CD830"/>
      <c r="CE830"/>
      <c r="CF830"/>
      <c r="CG830"/>
      <c r="CH830"/>
      <c r="CI830"/>
      <c r="CJ830"/>
      <c r="CK830"/>
      <c r="CL830"/>
      <c r="CM830"/>
    </row>
    <row r="831" spans="1:91">
      <c r="A831" s="154" t="s">
        <v>8375</v>
      </c>
      <c r="B831" t="s">
        <v>8289</v>
      </c>
      <c r="C831">
        <v>2</v>
      </c>
      <c r="D831">
        <v>462</v>
      </c>
      <c r="E831" s="113">
        <v>62</v>
      </c>
      <c r="F831" s="113">
        <v>4</v>
      </c>
      <c r="I831">
        <v>36</v>
      </c>
      <c r="K831" s="320">
        <v>7</v>
      </c>
      <c r="L831" s="320"/>
      <c r="M831">
        <v>2.25</v>
      </c>
      <c r="N831" s="320"/>
      <c r="O831"/>
      <c r="P831"/>
      <c r="Q831"/>
      <c r="S831" s="320">
        <v>8.4085799359999989</v>
      </c>
      <c r="T831" s="320"/>
      <c r="U831">
        <v>10.8</v>
      </c>
      <c r="V831"/>
      <c r="W831"/>
      <c r="X831"/>
      <c r="Y831" s="321">
        <v>4.1545649999999998</v>
      </c>
      <c r="Z831" s="320"/>
      <c r="AA831" s="322">
        <v>48594.847775175651</v>
      </c>
      <c r="AB831" s="320"/>
      <c r="AC831" s="321">
        <v>19.363899999999997</v>
      </c>
      <c r="AD831" s="320"/>
      <c r="AE831" s="320">
        <v>20.75</v>
      </c>
      <c r="AF831" s="320"/>
      <c r="AG831">
        <v>4.2699999999999996</v>
      </c>
      <c r="AH831"/>
      <c r="AI831">
        <v>105</v>
      </c>
      <c r="AJ831"/>
      <c r="AK831"/>
      <c r="AL831"/>
      <c r="AM831"/>
      <c r="AN831"/>
      <c r="AO831">
        <v>77</v>
      </c>
      <c r="AP831"/>
      <c r="AQ831" s="323"/>
      <c r="AR831" s="323"/>
      <c r="AS831">
        <v>112</v>
      </c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>
        <v>-6.1931000000000003</v>
      </c>
      <c r="BH831"/>
      <c r="BI831">
        <v>4.9138999999999999</v>
      </c>
      <c r="BJ831"/>
      <c r="BK831">
        <v>1.6177999999999999</v>
      </c>
      <c r="BL831"/>
      <c r="BM831">
        <v>62.497</v>
      </c>
      <c r="BN831"/>
      <c r="BO831">
        <v>19.222999999999999</v>
      </c>
      <c r="BP831"/>
      <c r="BQ831">
        <v>9.5557999999999996</v>
      </c>
      <c r="BR831"/>
      <c r="BS831">
        <v>43.423999999999999</v>
      </c>
      <c r="BT831"/>
      <c r="BU831">
        <v>20.335999999999999</v>
      </c>
      <c r="BV831"/>
      <c r="BW831" s="325">
        <v>4.4000000000000004</v>
      </c>
      <c r="BX831"/>
      <c r="BY831">
        <v>7.5990000000000038</v>
      </c>
      <c r="BZ831"/>
      <c r="CA831"/>
      <c r="CC831">
        <v>9.3699999999999992</v>
      </c>
      <c r="CD831"/>
      <c r="CE831"/>
      <c r="CF831"/>
      <c r="CG831"/>
      <c r="CH831"/>
      <c r="CI831"/>
      <c r="CJ831"/>
      <c r="CK831"/>
      <c r="CL831"/>
      <c r="CM831"/>
    </row>
    <row r="832" spans="1:91">
      <c r="A832" s="154" t="s">
        <v>8375</v>
      </c>
      <c r="B832" t="s">
        <v>8289</v>
      </c>
      <c r="C832">
        <v>2</v>
      </c>
      <c r="D832">
        <v>473</v>
      </c>
      <c r="E832" s="113">
        <v>73</v>
      </c>
      <c r="F832" s="113">
        <v>4</v>
      </c>
      <c r="I832">
        <v>27</v>
      </c>
      <c r="K832" s="320">
        <v>8</v>
      </c>
      <c r="L832" s="320"/>
      <c r="M832">
        <v>1.97</v>
      </c>
      <c r="N832" s="320"/>
      <c r="O832"/>
      <c r="P832"/>
      <c r="Q832"/>
      <c r="S832" s="320">
        <v>7.1791430500800004</v>
      </c>
      <c r="T832" s="320"/>
      <c r="U832">
        <v>10.8</v>
      </c>
      <c r="V832"/>
      <c r="W832"/>
      <c r="X832"/>
      <c r="Y832" s="321">
        <v>3.9973260000000006</v>
      </c>
      <c r="Z832" s="320"/>
      <c r="AA832" s="322">
        <v>58125</v>
      </c>
      <c r="AB832" s="320"/>
      <c r="AC832" s="321">
        <v>17.361054000000003</v>
      </c>
      <c r="AD832" s="320"/>
      <c r="AE832" s="320">
        <v>18.600000000000001</v>
      </c>
      <c r="AF832" s="320"/>
      <c r="AG832">
        <v>3.2</v>
      </c>
      <c r="AH832"/>
      <c r="AI832">
        <v>110</v>
      </c>
      <c r="AJ832"/>
      <c r="AK832"/>
      <c r="AL832"/>
      <c r="AM832"/>
      <c r="AN832"/>
      <c r="AO832">
        <v>72</v>
      </c>
      <c r="AP832"/>
      <c r="AQ832" s="323"/>
      <c r="AR832" s="323"/>
      <c r="AS832">
        <v>114</v>
      </c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>
        <v>9.9469999999999992</v>
      </c>
      <c r="BH832"/>
      <c r="BI832">
        <v>5.5206</v>
      </c>
      <c r="BJ832"/>
      <c r="BK832">
        <v>1.6254999999999999</v>
      </c>
      <c r="BL832"/>
      <c r="BM832">
        <v>51.866</v>
      </c>
      <c r="BN832"/>
      <c r="BO832"/>
      <c r="BP832"/>
      <c r="BQ832">
        <v>8.1295999999999999</v>
      </c>
      <c r="BR832"/>
      <c r="BS832">
        <v>41.351999999999997</v>
      </c>
      <c r="BT832"/>
      <c r="BU832">
        <v>19.521000000000001</v>
      </c>
      <c r="BV832"/>
      <c r="BW832" s="325">
        <v>8.6199999999999992</v>
      </c>
      <c r="BX832"/>
      <c r="BY832">
        <v>6.1080000000000041</v>
      </c>
      <c r="BZ832"/>
      <c r="CA832"/>
      <c r="CC832">
        <v>7.22</v>
      </c>
      <c r="CD832"/>
      <c r="CE832"/>
      <c r="CF832"/>
      <c r="CG832"/>
      <c r="CH832"/>
      <c r="CI832"/>
      <c r="CJ832"/>
      <c r="CK832"/>
      <c r="CL832"/>
      <c r="CM832"/>
    </row>
    <row r="833" spans="1:91">
      <c r="A833" s="154" t="s">
        <v>8375</v>
      </c>
      <c r="B833" t="s">
        <v>8287</v>
      </c>
      <c r="C833">
        <v>1</v>
      </c>
      <c r="D833">
        <v>604</v>
      </c>
      <c r="E833" s="113">
        <v>4</v>
      </c>
      <c r="F833" s="113">
        <v>6</v>
      </c>
      <c r="I833">
        <v>27</v>
      </c>
      <c r="K833" s="320">
        <v>9</v>
      </c>
      <c r="L833" s="320"/>
      <c r="M833">
        <v>3.99</v>
      </c>
      <c r="N833" s="320"/>
      <c r="O833"/>
      <c r="P833"/>
      <c r="Q833"/>
      <c r="S833" s="320">
        <v>18.239614161384001</v>
      </c>
      <c r="T833" s="320"/>
      <c r="U833">
        <v>10.8</v>
      </c>
      <c r="V833"/>
      <c r="W833"/>
      <c r="X833"/>
      <c r="Y833" s="321">
        <v>6.7923981999999992</v>
      </c>
      <c r="Z833" s="320"/>
      <c r="AA833" s="322">
        <v>93218.673218673212</v>
      </c>
      <c r="AB833" s="320"/>
      <c r="AC833" s="321">
        <v>35.385120399999998</v>
      </c>
      <c r="AD833" s="320"/>
      <c r="AE833" s="320">
        <v>37.94</v>
      </c>
      <c r="AF833" s="320"/>
      <c r="AG833">
        <v>4.07</v>
      </c>
      <c r="AH833"/>
      <c r="AI833">
        <v>135</v>
      </c>
      <c r="AJ833"/>
      <c r="AK833"/>
      <c r="AL833"/>
      <c r="AM833"/>
      <c r="AN833"/>
      <c r="AO833">
        <v>72</v>
      </c>
      <c r="AP833"/>
      <c r="AQ833" s="323"/>
      <c r="AR833" s="323"/>
      <c r="AS833">
        <v>112</v>
      </c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>
        <v>0.18537000000000001</v>
      </c>
      <c r="BH833"/>
      <c r="BI833">
        <v>4.7672999999999996</v>
      </c>
      <c r="BJ833"/>
      <c r="BK833">
        <v>1.4409000000000001</v>
      </c>
      <c r="BL833"/>
      <c r="BM833">
        <v>61.756</v>
      </c>
      <c r="BN833"/>
      <c r="BO833">
        <v>20.565000000000001</v>
      </c>
      <c r="BP833"/>
      <c r="BQ833">
        <v>10.292999999999999</v>
      </c>
      <c r="BR833"/>
      <c r="BS833">
        <v>51.545999999999999</v>
      </c>
      <c r="BT833"/>
      <c r="BU833">
        <v>17.184999999999999</v>
      </c>
      <c r="BV833"/>
      <c r="BW833" s="325">
        <v>13.22</v>
      </c>
      <c r="BX833"/>
      <c r="BY833">
        <v>6.7800000000000011</v>
      </c>
      <c r="BZ833"/>
      <c r="CA833"/>
      <c r="CC833">
        <v>6.54</v>
      </c>
      <c r="CD833"/>
      <c r="CE833"/>
      <c r="CF833"/>
      <c r="CG833"/>
      <c r="CH833"/>
      <c r="CI833"/>
      <c r="CJ833"/>
      <c r="CK833"/>
      <c r="CL833"/>
      <c r="CM833"/>
    </row>
    <row r="834" spans="1:91">
      <c r="A834" s="154" t="s">
        <v>8375</v>
      </c>
      <c r="B834" t="s">
        <v>8287</v>
      </c>
      <c r="C834">
        <v>1</v>
      </c>
      <c r="D834">
        <v>629</v>
      </c>
      <c r="E834" s="113">
        <v>29</v>
      </c>
      <c r="F834" s="113">
        <v>6</v>
      </c>
      <c r="I834">
        <v>28.999999999999996</v>
      </c>
      <c r="K834" s="320">
        <v>9</v>
      </c>
      <c r="L834" s="320"/>
      <c r="M834">
        <v>3.99</v>
      </c>
      <c r="N834" s="320"/>
      <c r="O834"/>
      <c r="P834"/>
      <c r="Q834"/>
      <c r="S834" s="320">
        <v>18.038181178320002</v>
      </c>
      <c r="T834" s="320"/>
      <c r="U834">
        <v>10.8</v>
      </c>
      <c r="V834"/>
      <c r="W834"/>
      <c r="X834"/>
      <c r="Y834" s="321">
        <v>6.2240900000000003</v>
      </c>
      <c r="Z834" s="320"/>
      <c r="AA834" s="322">
        <v>84704.545454545456</v>
      </c>
      <c r="AB834" s="320"/>
      <c r="AC834" s="321">
        <v>34.715514200000001</v>
      </c>
      <c r="AD834" s="320"/>
      <c r="AE834" s="320">
        <v>37.270000000000003</v>
      </c>
      <c r="AF834" s="320"/>
      <c r="AG834">
        <v>4.4000000000000004</v>
      </c>
      <c r="AH834"/>
      <c r="AI834">
        <v>133</v>
      </c>
      <c r="AJ834"/>
      <c r="AK834"/>
      <c r="AL834"/>
      <c r="AM834"/>
      <c r="AN834"/>
      <c r="AO834">
        <v>71</v>
      </c>
      <c r="AP834"/>
      <c r="AQ834" s="323"/>
      <c r="AR834" s="323"/>
      <c r="AS834">
        <v>112</v>
      </c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>
        <v>6.6390000000000002</v>
      </c>
      <c r="BH834"/>
      <c r="BI834">
        <v>4.2698</v>
      </c>
      <c r="BJ834"/>
      <c r="BK834">
        <v>1.4587000000000001</v>
      </c>
      <c r="BL834"/>
      <c r="BM834">
        <v>58.276000000000003</v>
      </c>
      <c r="BN834"/>
      <c r="BO834">
        <v>19.358000000000001</v>
      </c>
      <c r="BP834"/>
      <c r="BQ834">
        <v>9.9138999999999999</v>
      </c>
      <c r="BR834"/>
      <c r="BS834">
        <v>51.96</v>
      </c>
      <c r="BT834"/>
      <c r="BU834">
        <v>16.934000000000001</v>
      </c>
      <c r="BV834"/>
      <c r="BW834" s="325">
        <v>17.05</v>
      </c>
      <c r="BX834"/>
      <c r="BY834">
        <v>6.8169999999999931</v>
      </c>
      <c r="BZ834"/>
      <c r="CA834"/>
      <c r="CC834">
        <v>8.1999999999999993</v>
      </c>
      <c r="CD834"/>
      <c r="CE834"/>
      <c r="CF834"/>
      <c r="CG834"/>
      <c r="CH834"/>
      <c r="CI834"/>
      <c r="CJ834"/>
      <c r="CK834"/>
      <c r="CL834"/>
      <c r="CM834"/>
    </row>
    <row r="835" spans="1:91">
      <c r="A835" s="154" t="s">
        <v>8375</v>
      </c>
      <c r="B835" t="s">
        <v>8289</v>
      </c>
      <c r="C835">
        <v>2</v>
      </c>
      <c r="D835">
        <v>676</v>
      </c>
      <c r="E835" s="113">
        <v>76</v>
      </c>
      <c r="F835" s="113">
        <v>6</v>
      </c>
      <c r="I835">
        <v>27.499999999999996</v>
      </c>
      <c r="K835" s="320">
        <v>9</v>
      </c>
      <c r="L835" s="320"/>
      <c r="M835">
        <v>3.65</v>
      </c>
      <c r="N835" s="320"/>
      <c r="O835"/>
      <c r="P835"/>
      <c r="Q835"/>
      <c r="S835" s="320" t="s">
        <v>8361</v>
      </c>
      <c r="T835" s="320"/>
      <c r="U835">
        <v>10.8</v>
      </c>
      <c r="V835"/>
      <c r="W835"/>
      <c r="X835"/>
      <c r="Y835" s="321">
        <v>0</v>
      </c>
      <c r="Z835" s="320"/>
      <c r="AA835" s="322">
        <v>88838.383838383845</v>
      </c>
      <c r="AB835" s="320"/>
      <c r="AC835" s="321" t="s">
        <v>8361</v>
      </c>
      <c r="AD835" s="320"/>
      <c r="AE835" s="320">
        <v>35.18</v>
      </c>
      <c r="AF835" s="320"/>
      <c r="AG835">
        <v>3.96</v>
      </c>
      <c r="AH835"/>
      <c r="AI835">
        <v>130</v>
      </c>
      <c r="AJ835"/>
      <c r="AK835"/>
      <c r="AL835"/>
      <c r="AM835"/>
      <c r="AN835"/>
      <c r="AO835">
        <v>72</v>
      </c>
      <c r="AP835"/>
      <c r="AQ835" s="323"/>
      <c r="AR835" s="323"/>
      <c r="AS835">
        <v>112</v>
      </c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>
        <v>-4.7893999999999997</v>
      </c>
      <c r="BH835"/>
      <c r="BI835">
        <v>4.5922000000000001</v>
      </c>
      <c r="BJ835"/>
      <c r="BK835">
        <v>1.4348000000000001</v>
      </c>
      <c r="BL835"/>
      <c r="BM835">
        <v>63.439</v>
      </c>
      <c r="BN835"/>
      <c r="BO835">
        <v>20.431000000000001</v>
      </c>
      <c r="BP835"/>
      <c r="BQ835">
        <v>10.131</v>
      </c>
      <c r="BR835"/>
      <c r="BS835">
        <v>48.290999999999997</v>
      </c>
      <c r="BT835"/>
      <c r="BU835">
        <v>19.227</v>
      </c>
      <c r="BV835"/>
      <c r="BW835" s="325">
        <v>9.31</v>
      </c>
      <c r="BX835"/>
      <c r="BY835">
        <v>6.8730000000000047</v>
      </c>
      <c r="BZ835"/>
      <c r="CA835"/>
      <c r="CC835">
        <v>5.28</v>
      </c>
      <c r="CD835"/>
      <c r="CE835"/>
      <c r="CF835"/>
      <c r="CG835"/>
      <c r="CH835"/>
      <c r="CI835"/>
      <c r="CJ835"/>
      <c r="CK835"/>
      <c r="CL835"/>
      <c r="CM835"/>
    </row>
    <row r="836" spans="1:91">
      <c r="A836" s="154" t="s">
        <v>8375</v>
      </c>
      <c r="B836" t="s">
        <v>8287</v>
      </c>
      <c r="C836">
        <v>1</v>
      </c>
      <c r="D836">
        <v>717</v>
      </c>
      <c r="E836" s="113">
        <v>17</v>
      </c>
      <c r="F836" s="113">
        <v>7</v>
      </c>
      <c r="I836">
        <v>27.999999999999996</v>
      </c>
      <c r="K836" s="320">
        <v>9</v>
      </c>
      <c r="L836" s="320"/>
      <c r="M836">
        <v>3.7</v>
      </c>
      <c r="N836" s="320"/>
      <c r="O836"/>
      <c r="P836"/>
      <c r="Q836"/>
      <c r="S836" s="320">
        <v>16.512399270504002</v>
      </c>
      <c r="T836" s="320"/>
      <c r="U836">
        <v>10.8</v>
      </c>
      <c r="V836"/>
      <c r="W836"/>
      <c r="X836"/>
      <c r="Y836" s="321">
        <v>6.600451800000001</v>
      </c>
      <c r="Z836" s="320"/>
      <c r="AA836" s="322">
        <v>85156.626506024098</v>
      </c>
      <c r="AB836" s="320"/>
      <c r="AC836" s="321">
        <v>33.169417200000005</v>
      </c>
      <c r="AD836" s="320"/>
      <c r="AE836" s="320">
        <v>35.340000000000003</v>
      </c>
      <c r="AF836" s="320"/>
      <c r="AG836">
        <v>4.1500000000000004</v>
      </c>
      <c r="AH836"/>
      <c r="AI836">
        <v>133</v>
      </c>
      <c r="AJ836"/>
      <c r="AK836"/>
      <c r="AL836"/>
      <c r="AM836"/>
      <c r="AN836"/>
      <c r="AO836">
        <v>72</v>
      </c>
      <c r="AP836"/>
      <c r="AQ836" s="323"/>
      <c r="AR836" s="323"/>
      <c r="AS836">
        <v>112</v>
      </c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>
        <v>0.98011000000000004</v>
      </c>
      <c r="BH836"/>
      <c r="BI836">
        <v>4.4535999999999998</v>
      </c>
      <c r="BJ836"/>
      <c r="BK836">
        <v>1.4218999999999999</v>
      </c>
      <c r="BL836"/>
      <c r="BM836">
        <v>63.524000000000001</v>
      </c>
      <c r="BN836"/>
      <c r="BO836">
        <v>20.344000000000001</v>
      </c>
      <c r="BP836"/>
      <c r="BQ836">
        <v>10.353</v>
      </c>
      <c r="BR836"/>
      <c r="BS836">
        <v>49.781999999999996</v>
      </c>
      <c r="BT836"/>
      <c r="BU836">
        <v>18.004000000000001</v>
      </c>
      <c r="BV836"/>
      <c r="BW836" s="325">
        <v>13.69</v>
      </c>
      <c r="BX836"/>
      <c r="BY836">
        <v>6.7309999999999945</v>
      </c>
      <c r="BZ836"/>
      <c r="CA836"/>
      <c r="CC836">
        <v>6.13</v>
      </c>
      <c r="CD836"/>
      <c r="CE836"/>
      <c r="CF836"/>
      <c r="CG836"/>
      <c r="CH836"/>
      <c r="CI836"/>
      <c r="CJ836"/>
      <c r="CK836"/>
      <c r="CL836"/>
      <c r="CM836"/>
    </row>
    <row r="837" spans="1:91">
      <c r="A837" s="154" t="s">
        <v>8375</v>
      </c>
      <c r="B837" t="s">
        <v>8287</v>
      </c>
      <c r="C837">
        <v>1</v>
      </c>
      <c r="D837">
        <v>726</v>
      </c>
      <c r="E837" s="113">
        <v>26</v>
      </c>
      <c r="F837" s="113">
        <v>7</v>
      </c>
      <c r="I837">
        <v>24.5</v>
      </c>
      <c r="K837" s="320">
        <v>9</v>
      </c>
      <c r="L837" s="320"/>
      <c r="M837">
        <v>4.07</v>
      </c>
      <c r="N837" s="320"/>
      <c r="O837"/>
      <c r="P837"/>
      <c r="Q837"/>
      <c r="S837" s="320">
        <v>18.253301006874995</v>
      </c>
      <c r="T837" s="320"/>
      <c r="U837">
        <v>10.8</v>
      </c>
      <c r="V837"/>
      <c r="W837"/>
      <c r="X837"/>
      <c r="Y837" s="321">
        <v>6.677975</v>
      </c>
      <c r="Z837" s="320"/>
      <c r="AA837" s="322">
        <v>87384.259259259255</v>
      </c>
      <c r="AB837" s="320"/>
      <c r="AC837" s="321">
        <v>35.275487499999997</v>
      </c>
      <c r="AD837" s="320"/>
      <c r="AE837" s="320">
        <v>37.75</v>
      </c>
      <c r="AF837" s="320"/>
      <c r="AG837">
        <v>4.32</v>
      </c>
      <c r="AH837"/>
      <c r="AI837">
        <v>128</v>
      </c>
      <c r="AJ837"/>
      <c r="AK837"/>
      <c r="AL837"/>
      <c r="AM837"/>
      <c r="AN837"/>
      <c r="AO837">
        <v>71</v>
      </c>
      <c r="AP837"/>
      <c r="AQ837" s="323"/>
      <c r="AR837" s="323"/>
      <c r="AS837">
        <v>112</v>
      </c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>
        <v>2.1675</v>
      </c>
      <c r="BH837"/>
      <c r="BI837">
        <v>4.5007999999999999</v>
      </c>
      <c r="BJ837"/>
      <c r="BK837">
        <v>1.5083</v>
      </c>
      <c r="BL837"/>
      <c r="BM837">
        <v>63.039000000000001</v>
      </c>
      <c r="BN837"/>
      <c r="BO837">
        <v>19.445</v>
      </c>
      <c r="BP837"/>
      <c r="BQ837">
        <v>9.2562999999999995</v>
      </c>
      <c r="BR837"/>
      <c r="BS837">
        <v>51.744999999999997</v>
      </c>
      <c r="BT837"/>
      <c r="BU837">
        <v>17.295000000000002</v>
      </c>
      <c r="BV837"/>
      <c r="BW837" s="325">
        <v>14.09</v>
      </c>
      <c r="BX837"/>
      <c r="BY837">
        <v>6.4849999999999994</v>
      </c>
      <c r="BZ837"/>
      <c r="CA837"/>
      <c r="CC837">
        <v>8.85</v>
      </c>
      <c r="CD837"/>
      <c r="CE837"/>
      <c r="CF837"/>
      <c r="CG837"/>
      <c r="CH837"/>
      <c r="CI837"/>
      <c r="CJ837"/>
      <c r="CK837"/>
      <c r="CL837"/>
      <c r="CM837"/>
    </row>
    <row r="838" spans="1:91">
      <c r="A838" s="327" t="s">
        <v>8375</v>
      </c>
      <c r="B838" s="328" t="s">
        <v>8289</v>
      </c>
      <c r="C838" s="328">
        <v>2</v>
      </c>
      <c r="D838" s="328">
        <v>861</v>
      </c>
      <c r="E838" s="113">
        <v>61</v>
      </c>
      <c r="F838" s="113">
        <v>8</v>
      </c>
      <c r="G838" s="329"/>
      <c r="H838" s="329"/>
      <c r="I838" s="328">
        <v>31</v>
      </c>
      <c r="J838" s="330"/>
      <c r="K838" s="331">
        <v>8</v>
      </c>
      <c r="L838" s="331"/>
      <c r="M838" s="328">
        <v>2.68</v>
      </c>
      <c r="N838" s="331"/>
      <c r="O838" s="328"/>
      <c r="P838" s="328"/>
      <c r="Q838" s="328"/>
      <c r="R838" s="332"/>
      <c r="S838" s="331">
        <v>10.832648996484</v>
      </c>
      <c r="T838" s="331"/>
      <c r="U838" s="328">
        <v>10.8</v>
      </c>
      <c r="V838" s="328"/>
      <c r="W838" s="328"/>
      <c r="X838" s="328"/>
      <c r="Y838" s="333">
        <v>5.0714705999999996</v>
      </c>
      <c r="Z838" s="331"/>
      <c r="AA838" s="334">
        <v>54682.713347921213</v>
      </c>
      <c r="AB838" s="331"/>
      <c r="AC838" s="333">
        <v>23.201715599999996</v>
      </c>
      <c r="AD838" s="331"/>
      <c r="AE838" s="331">
        <v>24.99</v>
      </c>
      <c r="AF838" s="331"/>
      <c r="AG838" s="328">
        <v>4.57</v>
      </c>
      <c r="AH838" s="328"/>
      <c r="AI838" s="328">
        <v>105</v>
      </c>
      <c r="AJ838" s="328"/>
      <c r="AK838" s="328"/>
      <c r="AL838" s="328"/>
      <c r="AM838" s="328"/>
      <c r="AN838" s="328"/>
      <c r="AO838" s="328">
        <v>72</v>
      </c>
      <c r="AP838" s="328"/>
      <c r="AQ838" s="335"/>
      <c r="AR838" s="335"/>
      <c r="AS838" s="328">
        <v>114</v>
      </c>
      <c r="AT838" s="328"/>
      <c r="AU838" s="328"/>
      <c r="AV838" s="328"/>
      <c r="AW838" s="328"/>
      <c r="AX838" s="328"/>
      <c r="AY838" s="328"/>
      <c r="AZ838" s="328"/>
      <c r="BA838" s="328"/>
      <c r="BB838" s="328"/>
      <c r="BC838" s="328"/>
      <c r="BD838" s="328"/>
      <c r="BE838" s="328"/>
      <c r="BF838" s="328"/>
      <c r="BG838" s="328">
        <v>1.1839</v>
      </c>
      <c r="BH838" s="328"/>
      <c r="BI838" s="328">
        <v>4.7112999999999996</v>
      </c>
      <c r="BJ838" s="328"/>
      <c r="BK838" s="328">
        <v>1.5739000000000001</v>
      </c>
      <c r="BL838" s="328"/>
      <c r="BM838" s="328">
        <v>62.862000000000002</v>
      </c>
      <c r="BN838" s="328"/>
      <c r="BO838" s="328">
        <v>20.032</v>
      </c>
      <c r="BP838" s="328"/>
      <c r="BQ838" s="328">
        <v>9.3626000000000005</v>
      </c>
      <c r="BR838" s="328"/>
      <c r="BS838" s="328">
        <v>46.689</v>
      </c>
      <c r="BT838" s="328"/>
      <c r="BU838" s="328">
        <v>19.483000000000001</v>
      </c>
      <c r="BV838" s="328"/>
      <c r="BW838" s="336">
        <v>3.93</v>
      </c>
      <c r="BX838" s="328"/>
      <c r="BY838" s="328">
        <v>7.1440000000000055</v>
      </c>
      <c r="BZ838" s="328"/>
      <c r="CA838" s="328"/>
      <c r="CB838" s="337"/>
      <c r="CC838" s="328">
        <v>8.36</v>
      </c>
      <c r="CD838" s="328"/>
      <c r="CE838" s="328"/>
      <c r="CF838" s="328"/>
      <c r="CG838" s="328"/>
      <c r="CH838" s="328"/>
      <c r="CI838" s="328"/>
      <c r="CJ838" s="328"/>
      <c r="CK838" s="328" t="s">
        <v>8377</v>
      </c>
      <c r="CL838" s="328"/>
      <c r="CM838" s="328"/>
    </row>
    <row r="839" spans="1:91">
      <c r="A839" s="327" t="s">
        <v>8375</v>
      </c>
      <c r="B839" s="328" t="s">
        <v>8287</v>
      </c>
      <c r="C839" s="328">
        <v>1</v>
      </c>
      <c r="D839" s="328">
        <v>907</v>
      </c>
      <c r="E839" s="113">
        <v>7</v>
      </c>
      <c r="F839" s="113">
        <v>9</v>
      </c>
      <c r="G839" s="329"/>
      <c r="H839" s="329"/>
      <c r="I839" s="328">
        <v>26</v>
      </c>
      <c r="J839" s="330"/>
      <c r="K839" s="331">
        <v>8</v>
      </c>
      <c r="L839" s="331"/>
      <c r="M839" s="328">
        <v>3.24</v>
      </c>
      <c r="N839" s="331"/>
      <c r="O839" s="328"/>
      <c r="P839" s="328"/>
      <c r="Q839" s="328"/>
      <c r="R839" s="332"/>
      <c r="S839" s="331">
        <v>14.0817826009</v>
      </c>
      <c r="T839" s="331"/>
      <c r="U839" s="328">
        <v>10.8</v>
      </c>
      <c r="V839" s="328"/>
      <c r="W839" s="328"/>
      <c r="X839" s="328"/>
      <c r="Y839" s="333">
        <v>6.3941959999999991</v>
      </c>
      <c r="Z839" s="331"/>
      <c r="AA839" s="334">
        <v>76942.355889724306</v>
      </c>
      <c r="AB839" s="331"/>
      <c r="AC839" s="333">
        <v>28.701429999999998</v>
      </c>
      <c r="AD839" s="331"/>
      <c r="AE839" s="331">
        <v>30.7</v>
      </c>
      <c r="AF839" s="331"/>
      <c r="AG839" s="328">
        <v>3.99</v>
      </c>
      <c r="AH839" s="328"/>
      <c r="AI839" s="328">
        <v>115</v>
      </c>
      <c r="AJ839" s="328"/>
      <c r="AK839" s="328"/>
      <c r="AL839" s="328"/>
      <c r="AM839" s="328"/>
      <c r="AN839" s="328"/>
      <c r="AO839" s="328">
        <v>72</v>
      </c>
      <c r="AP839" s="328"/>
      <c r="AQ839" s="335"/>
      <c r="AR839" s="335"/>
      <c r="AS839" s="328">
        <v>112</v>
      </c>
      <c r="AT839" s="328"/>
      <c r="AU839" s="328"/>
      <c r="AV839" s="328"/>
      <c r="AW839" s="328"/>
      <c r="AX839" s="328"/>
      <c r="AY839" s="328"/>
      <c r="AZ839" s="328"/>
      <c r="BA839" s="328"/>
      <c r="BB839" s="328"/>
      <c r="BC839" s="328"/>
      <c r="BD839" s="328"/>
      <c r="BE839" s="328"/>
      <c r="BF839" s="328"/>
      <c r="BG839" s="328">
        <v>6.6044</v>
      </c>
      <c r="BH839" s="328"/>
      <c r="BI839" s="328">
        <v>4.5496999999999996</v>
      </c>
      <c r="BJ839" s="328"/>
      <c r="BK839" s="328">
        <v>1.4496</v>
      </c>
      <c r="BL839" s="328"/>
      <c r="BM839" s="328">
        <v>60.134</v>
      </c>
      <c r="BN839" s="328"/>
      <c r="BO839" s="328">
        <v>19.908999999999999</v>
      </c>
      <c r="BP839" s="328"/>
      <c r="BQ839" s="328">
        <v>10.682</v>
      </c>
      <c r="BR839" s="328"/>
      <c r="BS839" s="328">
        <v>49.063000000000002</v>
      </c>
      <c r="BT839" s="328"/>
      <c r="BU839" s="328">
        <v>18.956</v>
      </c>
      <c r="BV839" s="328"/>
      <c r="BW839" s="336">
        <v>10.1</v>
      </c>
      <c r="BX839" s="328"/>
      <c r="BY839" s="328">
        <v>6.7139999999999986</v>
      </c>
      <c r="BZ839" s="328"/>
      <c r="CA839" s="328"/>
      <c r="CB839" s="337"/>
      <c r="CC839" s="328">
        <v>6.89</v>
      </c>
      <c r="CD839" s="328"/>
      <c r="CE839" s="328"/>
      <c r="CF839" s="328"/>
      <c r="CG839" s="328"/>
      <c r="CH839" s="328"/>
      <c r="CI839" s="328"/>
      <c r="CJ839" s="328"/>
      <c r="CK839" s="328" t="s">
        <v>8377</v>
      </c>
      <c r="CL839" s="328"/>
      <c r="CM839" s="328"/>
    </row>
    <row r="840" spans="1:91">
      <c r="A840" s="154" t="s">
        <v>8375</v>
      </c>
      <c r="B840" t="s">
        <v>8287</v>
      </c>
      <c r="C840">
        <v>2</v>
      </c>
      <c r="D840">
        <v>1043</v>
      </c>
      <c r="E840" s="113">
        <v>43</v>
      </c>
      <c r="F840" s="113">
        <v>10</v>
      </c>
      <c r="I840">
        <v>31.499999999999996</v>
      </c>
      <c r="K840" s="320">
        <v>9</v>
      </c>
      <c r="L840" s="320"/>
      <c r="M840">
        <v>3.32</v>
      </c>
      <c r="N840" s="320"/>
      <c r="O840"/>
      <c r="P840"/>
      <c r="Q840"/>
      <c r="S840" s="320">
        <v>14.691309814466999</v>
      </c>
      <c r="T840" s="320"/>
      <c r="U840">
        <v>10.8</v>
      </c>
      <c r="V840"/>
      <c r="W840"/>
      <c r="X840"/>
      <c r="Y840" s="321">
        <v>6.0489296999999986</v>
      </c>
      <c r="Z840" s="320"/>
      <c r="AA840" s="322">
        <v>87939.560439560431</v>
      </c>
      <c r="AB840" s="320"/>
      <c r="AC840" s="321">
        <v>29.957198699999999</v>
      </c>
      <c r="AD840" s="320"/>
      <c r="AE840" s="320">
        <v>32.01</v>
      </c>
      <c r="AF840" s="320"/>
      <c r="AG840">
        <v>3.64</v>
      </c>
      <c r="AH840"/>
      <c r="AI840">
        <v>125</v>
      </c>
      <c r="AJ840"/>
      <c r="AK840"/>
      <c r="AL840"/>
      <c r="AM840"/>
      <c r="AN840"/>
      <c r="AO840">
        <v>72</v>
      </c>
      <c r="AP840"/>
      <c r="AQ840" s="323"/>
      <c r="AR840" s="323"/>
      <c r="AS840">
        <v>112</v>
      </c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>
        <v>-0.62092999999999998</v>
      </c>
      <c r="BH840"/>
      <c r="BI840">
        <v>4.5712000000000002</v>
      </c>
      <c r="BJ840"/>
      <c r="BK840">
        <v>1.5387999999999999</v>
      </c>
      <c r="BL840"/>
      <c r="BM840">
        <v>64.456999999999994</v>
      </c>
      <c r="BN840"/>
      <c r="BO840">
        <v>21.504000000000001</v>
      </c>
      <c r="BP840"/>
      <c r="BQ840">
        <v>9.2640999999999991</v>
      </c>
      <c r="BR840"/>
      <c r="BS840">
        <v>49.040999999999997</v>
      </c>
      <c r="BT840"/>
      <c r="BU840">
        <v>18.373999999999999</v>
      </c>
      <c r="BV840"/>
      <c r="BW840" s="325">
        <v>6.79</v>
      </c>
      <c r="BX840"/>
      <c r="BY840">
        <v>6.769999999999996</v>
      </c>
      <c r="BZ840"/>
      <c r="CA840"/>
      <c r="CC840">
        <v>5.23</v>
      </c>
      <c r="CD840"/>
      <c r="CE840"/>
      <c r="CF840"/>
      <c r="CG840"/>
      <c r="CH840"/>
      <c r="CI840"/>
      <c r="CJ840"/>
      <c r="CK840"/>
      <c r="CL840"/>
      <c r="CM840"/>
    </row>
    <row r="841" spans="1:91">
      <c r="A841" s="154" t="s">
        <v>8375</v>
      </c>
      <c r="B841" t="s">
        <v>8287</v>
      </c>
      <c r="C841">
        <v>2</v>
      </c>
      <c r="D841">
        <v>1050</v>
      </c>
      <c r="E841" s="113">
        <v>50</v>
      </c>
      <c r="F841" s="113">
        <v>10</v>
      </c>
      <c r="I841">
        <v>34</v>
      </c>
      <c r="K841" s="320">
        <v>9</v>
      </c>
      <c r="L841" s="320"/>
      <c r="M841">
        <v>3.52</v>
      </c>
      <c r="N841" s="320"/>
      <c r="O841"/>
      <c r="P841"/>
      <c r="Q841"/>
      <c r="S841" s="320">
        <v>16.077994468410001</v>
      </c>
      <c r="T841" s="320"/>
      <c r="U841">
        <v>10.8</v>
      </c>
      <c r="V841"/>
      <c r="W841"/>
      <c r="X841"/>
      <c r="Y841" s="321">
        <v>6.4102934999999999</v>
      </c>
      <c r="Z841" s="320"/>
      <c r="AA841" s="322">
        <v>73834.422657952076</v>
      </c>
      <c r="AB841" s="320"/>
      <c r="AC841" s="321">
        <v>31.717651000000004</v>
      </c>
      <c r="AD841" s="320"/>
      <c r="AE841" s="320">
        <v>33.89</v>
      </c>
      <c r="AF841" s="320"/>
      <c r="AG841">
        <v>4.59</v>
      </c>
      <c r="AH841"/>
      <c r="AI841">
        <v>130</v>
      </c>
      <c r="AJ841"/>
      <c r="AK841"/>
      <c r="AL841"/>
      <c r="AM841"/>
      <c r="AN841"/>
      <c r="AO841">
        <v>72</v>
      </c>
      <c r="AP841"/>
      <c r="AQ841" s="323"/>
      <c r="AR841" s="323"/>
      <c r="AS841">
        <v>112</v>
      </c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>
        <v>6.0694999999999997</v>
      </c>
      <c r="BH841"/>
      <c r="BI841">
        <v>4.7023999999999999</v>
      </c>
      <c r="BJ841"/>
      <c r="BK841">
        <v>1.3979999999999999</v>
      </c>
      <c r="BL841"/>
      <c r="BM841">
        <v>57.152000000000001</v>
      </c>
      <c r="BN841"/>
      <c r="BO841">
        <v>21.221</v>
      </c>
      <c r="BP841"/>
      <c r="BQ841">
        <v>10.052</v>
      </c>
      <c r="BR841"/>
      <c r="BS841">
        <v>50.691000000000003</v>
      </c>
      <c r="BT841"/>
      <c r="BU841">
        <v>17.350000000000001</v>
      </c>
      <c r="BV841"/>
      <c r="BW841" s="325">
        <v>5.65</v>
      </c>
      <c r="BX841"/>
      <c r="BY841">
        <v>6.6989999999999981</v>
      </c>
      <c r="BZ841"/>
      <c r="CA841"/>
      <c r="CC841">
        <v>5.39</v>
      </c>
      <c r="CD841"/>
      <c r="CE841"/>
      <c r="CF841"/>
      <c r="CG841"/>
      <c r="CH841"/>
      <c r="CI841"/>
      <c r="CJ841"/>
      <c r="CK841"/>
      <c r="CL841"/>
      <c r="CM841"/>
    </row>
    <row r="842" spans="1:91">
      <c r="A842" s="154" t="s">
        <v>8375</v>
      </c>
      <c r="B842" t="s">
        <v>8289</v>
      </c>
      <c r="C842">
        <v>1</v>
      </c>
      <c r="D842">
        <v>1005</v>
      </c>
      <c r="E842" s="113">
        <v>5</v>
      </c>
      <c r="F842" s="113">
        <v>10</v>
      </c>
      <c r="I842">
        <v>21.999999999999996</v>
      </c>
      <c r="K842" s="320">
        <v>9</v>
      </c>
      <c r="L842" s="320"/>
      <c r="M842">
        <v>3.6</v>
      </c>
      <c r="N842" s="320"/>
      <c r="O842"/>
      <c r="P842"/>
      <c r="Q842"/>
      <c r="S842" s="320">
        <v>15.94141792187</v>
      </c>
      <c r="T842" s="320"/>
      <c r="U842">
        <v>10.8</v>
      </c>
      <c r="V842"/>
      <c r="W842"/>
      <c r="X842"/>
      <c r="Y842" s="321">
        <v>7.3837609999999998</v>
      </c>
      <c r="Z842" s="320"/>
      <c r="AA842" s="322">
        <v>87948.717948717938</v>
      </c>
      <c r="AB842" s="320"/>
      <c r="AC842" s="321">
        <v>32.275956999999998</v>
      </c>
      <c r="AD842" s="320"/>
      <c r="AE842" s="320">
        <v>34.299999999999997</v>
      </c>
      <c r="AF842" s="320"/>
      <c r="AG842">
        <v>3.9</v>
      </c>
      <c r="AH842"/>
      <c r="AI842">
        <v>130</v>
      </c>
      <c r="AJ842"/>
      <c r="AK842"/>
      <c r="AL842"/>
      <c r="AM842"/>
      <c r="AN842"/>
      <c r="AO842">
        <v>72</v>
      </c>
      <c r="AP842"/>
      <c r="AQ842" s="323"/>
      <c r="AR842" s="323"/>
      <c r="AS842">
        <v>112</v>
      </c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>
        <v>4.6835000000000004</v>
      </c>
      <c r="BH842"/>
      <c r="BI842">
        <v>4.4169999999999998</v>
      </c>
      <c r="BJ842"/>
      <c r="BK842">
        <v>1.4386000000000001</v>
      </c>
      <c r="BL842"/>
      <c r="BM842">
        <v>57.851999999999997</v>
      </c>
      <c r="BN842"/>
      <c r="BO842">
        <v>20.036999999999999</v>
      </c>
      <c r="BP842"/>
      <c r="BQ842">
        <v>9.6416000000000004</v>
      </c>
      <c r="BR842"/>
      <c r="BS842">
        <v>49.390999999999998</v>
      </c>
      <c r="BT842"/>
      <c r="BU842">
        <v>18.896999999999998</v>
      </c>
      <c r="BV842"/>
      <c r="BW842" s="325">
        <v>14.38</v>
      </c>
      <c r="BX842"/>
      <c r="BY842">
        <v>6.5960000000000036</v>
      </c>
      <c r="BZ842"/>
      <c r="CA842"/>
      <c r="CC842">
        <v>6.36</v>
      </c>
      <c r="CD842"/>
      <c r="CE842"/>
      <c r="CF842"/>
      <c r="CG842"/>
      <c r="CH842"/>
      <c r="CI842"/>
      <c r="CJ842"/>
      <c r="CK842"/>
      <c r="CL842"/>
      <c r="CM842"/>
    </row>
    <row r="843" spans="1:91">
      <c r="A843" s="154" t="s">
        <v>8375</v>
      </c>
      <c r="B843" t="s">
        <v>8289</v>
      </c>
      <c r="C843">
        <v>1</v>
      </c>
      <c r="D843">
        <v>1024</v>
      </c>
      <c r="E843" s="113">
        <v>24</v>
      </c>
      <c r="F843" s="113">
        <v>10</v>
      </c>
      <c r="I843">
        <v>26</v>
      </c>
      <c r="K843" s="320">
        <v>9</v>
      </c>
      <c r="L843" s="320"/>
      <c r="M843">
        <v>3.47</v>
      </c>
      <c r="N843" s="320"/>
      <c r="O843"/>
      <c r="P843"/>
      <c r="Q843"/>
      <c r="S843" s="320">
        <v>14.614616534784002</v>
      </c>
      <c r="T843" s="320"/>
      <c r="U843">
        <v>10.8</v>
      </c>
      <c r="V843"/>
      <c r="W843"/>
      <c r="X843"/>
      <c r="Y843" s="321">
        <v>6.5809464000000002</v>
      </c>
      <c r="Z843" s="320"/>
      <c r="AA843" s="322">
        <v>71891.891891891879</v>
      </c>
      <c r="AB843" s="320"/>
      <c r="AC843" s="321">
        <v>29.7341184</v>
      </c>
      <c r="AD843" s="320"/>
      <c r="AE843" s="320">
        <v>31.92</v>
      </c>
      <c r="AF843" s="320"/>
      <c r="AG843">
        <v>4.4400000000000004</v>
      </c>
      <c r="AH843"/>
      <c r="AI843">
        <v>113</v>
      </c>
      <c r="AJ843"/>
      <c r="AK843"/>
      <c r="AL843"/>
      <c r="AM843"/>
      <c r="AN843"/>
      <c r="AO843">
        <v>72</v>
      </c>
      <c r="AP843"/>
      <c r="AQ843" s="323"/>
      <c r="AR843" s="323"/>
      <c r="AS843">
        <v>112</v>
      </c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>
        <v>-1.6213</v>
      </c>
      <c r="BH843"/>
      <c r="BI843">
        <v>4.2718999999999996</v>
      </c>
      <c r="BJ843"/>
      <c r="BK843">
        <v>1.6202000000000001</v>
      </c>
      <c r="BL843"/>
      <c r="BM843">
        <v>67.004000000000005</v>
      </c>
      <c r="BN843"/>
      <c r="BO843">
        <v>19.452999999999999</v>
      </c>
      <c r="BP843"/>
      <c r="BQ843">
        <v>9.5643999999999991</v>
      </c>
      <c r="BR843"/>
      <c r="BS843">
        <v>49.151000000000003</v>
      </c>
      <c r="BT843"/>
      <c r="BU843">
        <v>18.600000000000001</v>
      </c>
      <c r="BV843"/>
      <c r="BW843" s="325">
        <v>7.76</v>
      </c>
      <c r="BX843"/>
      <c r="BY843">
        <v>6.7830000000000013</v>
      </c>
      <c r="BZ843"/>
      <c r="CA843"/>
      <c r="CC843">
        <v>9.6</v>
      </c>
      <c r="CD843"/>
      <c r="CE843"/>
      <c r="CF843"/>
      <c r="CG843"/>
      <c r="CH843"/>
      <c r="CI843"/>
      <c r="CJ843"/>
      <c r="CK843"/>
      <c r="CL843"/>
      <c r="CM843"/>
    </row>
    <row r="844" spans="1:91">
      <c r="A844" s="154" t="s">
        <v>8375</v>
      </c>
      <c r="B844" t="s">
        <v>8289</v>
      </c>
      <c r="C844">
        <v>1</v>
      </c>
      <c r="D844">
        <v>1034</v>
      </c>
      <c r="E844" s="113">
        <v>34</v>
      </c>
      <c r="F844" s="113">
        <v>10</v>
      </c>
      <c r="I844">
        <v>28.999999999999996</v>
      </c>
      <c r="K844" s="320">
        <v>8</v>
      </c>
      <c r="L844" s="320"/>
      <c r="M844">
        <v>3.35</v>
      </c>
      <c r="N844" s="320"/>
      <c r="O844"/>
      <c r="P844"/>
      <c r="Q844"/>
      <c r="S844" s="320">
        <v>14.13249522552</v>
      </c>
      <c r="T844" s="320"/>
      <c r="U844">
        <v>10.8</v>
      </c>
      <c r="V844"/>
      <c r="W844"/>
      <c r="X844"/>
      <c r="Y844" s="321">
        <v>6.0408459999999993</v>
      </c>
      <c r="Z844" s="320"/>
      <c r="AA844" s="322">
        <v>78575</v>
      </c>
      <c r="AB844" s="320"/>
      <c r="AC844" s="321">
        <v>29.296217299999999</v>
      </c>
      <c r="AD844" s="320"/>
      <c r="AE844" s="320">
        <v>31.43</v>
      </c>
      <c r="AF844" s="320"/>
      <c r="AG844">
        <v>4</v>
      </c>
      <c r="AH844"/>
      <c r="AI844">
        <v>118</v>
      </c>
      <c r="AJ844"/>
      <c r="AK844"/>
      <c r="AL844"/>
      <c r="AM844"/>
      <c r="AN844"/>
      <c r="AO844">
        <v>72</v>
      </c>
      <c r="AP844"/>
      <c r="AQ844" s="323"/>
      <c r="AR844" s="323"/>
      <c r="AS844">
        <v>114</v>
      </c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>
        <v>-0.62177000000000004</v>
      </c>
      <c r="BH844"/>
      <c r="BI844">
        <v>4.5457000000000001</v>
      </c>
      <c r="BJ844"/>
      <c r="BK844">
        <v>1.5772999999999999</v>
      </c>
      <c r="BL844"/>
      <c r="BM844">
        <v>63.728999999999999</v>
      </c>
      <c r="BN844"/>
      <c r="BO844">
        <v>20.646000000000001</v>
      </c>
      <c r="BP844"/>
      <c r="BQ844">
        <v>9.7624999999999993</v>
      </c>
      <c r="BR844"/>
      <c r="BS844">
        <v>48.24</v>
      </c>
      <c r="BT844"/>
      <c r="BU844">
        <v>18.524000000000001</v>
      </c>
      <c r="BV844"/>
      <c r="BW844" s="325">
        <v>5.45</v>
      </c>
      <c r="BX844"/>
      <c r="BY844">
        <v>6.9200000000000017</v>
      </c>
      <c r="BZ844"/>
      <c r="CA844"/>
      <c r="CC844">
        <v>7.8</v>
      </c>
      <c r="CD844"/>
      <c r="CE844"/>
      <c r="CF844"/>
      <c r="CG844"/>
      <c r="CH844"/>
      <c r="CI844"/>
      <c r="CJ844"/>
      <c r="CK844"/>
      <c r="CL844"/>
      <c r="CM844"/>
    </row>
    <row r="845" spans="1:91">
      <c r="A845" s="154" t="s">
        <v>8375</v>
      </c>
      <c r="B845" t="s">
        <v>8287</v>
      </c>
      <c r="C845">
        <v>2</v>
      </c>
      <c r="D845">
        <v>1142</v>
      </c>
      <c r="E845" s="113">
        <v>42</v>
      </c>
      <c r="F845" s="113">
        <v>11</v>
      </c>
      <c r="I845">
        <v>29.5</v>
      </c>
      <c r="K845" s="320">
        <v>8</v>
      </c>
      <c r="L845" s="320"/>
      <c r="M845">
        <v>3.82</v>
      </c>
      <c r="N845" s="320"/>
      <c r="O845"/>
      <c r="P845"/>
      <c r="Q845"/>
      <c r="S845" s="320">
        <v>16.648061358024005</v>
      </c>
      <c r="T845" s="320"/>
      <c r="U845">
        <v>10.8</v>
      </c>
      <c r="V845"/>
      <c r="W845"/>
      <c r="X845"/>
      <c r="Y845" s="321">
        <v>7.2072877000000002</v>
      </c>
      <c r="Z845" s="320"/>
      <c r="AA845" s="322">
        <v>100464.48087431694</v>
      </c>
      <c r="AB845" s="320"/>
      <c r="AC845" s="321">
        <v>34.221471300000005</v>
      </c>
      <c r="AD845" s="320"/>
      <c r="AE845" s="320">
        <v>36.770000000000003</v>
      </c>
      <c r="AF845" s="320"/>
      <c r="AG845">
        <v>3.66</v>
      </c>
      <c r="AH845"/>
      <c r="AI845">
        <v>123</v>
      </c>
      <c r="AJ845"/>
      <c r="AK845"/>
      <c r="AL845"/>
      <c r="AM845"/>
      <c r="AN845"/>
      <c r="AO845">
        <v>72</v>
      </c>
      <c r="AP845"/>
      <c r="AQ845" s="323"/>
      <c r="AR845" s="323"/>
      <c r="AS845">
        <v>112</v>
      </c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>
        <v>-3.7606999999999999</v>
      </c>
      <c r="BH845"/>
      <c r="BI845">
        <v>4.8365999999999998</v>
      </c>
      <c r="BJ845"/>
      <c r="BK845">
        <v>1.4972000000000001</v>
      </c>
      <c r="BL845"/>
      <c r="BM845">
        <v>61.021000000000001</v>
      </c>
      <c r="BN845"/>
      <c r="BO845">
        <v>20.484999999999999</v>
      </c>
      <c r="BP845"/>
      <c r="BQ845">
        <v>9.9764999999999997</v>
      </c>
      <c r="BR845"/>
      <c r="BS845">
        <v>48.648000000000003</v>
      </c>
      <c r="BT845"/>
      <c r="BU845">
        <v>18.047000000000001</v>
      </c>
      <c r="BV845"/>
      <c r="BW845" s="325">
        <v>5.74</v>
      </c>
      <c r="BX845"/>
      <c r="BY845">
        <v>7.0220000000000056</v>
      </c>
      <c r="BZ845"/>
      <c r="CA845"/>
      <c r="CC845">
        <v>5.39</v>
      </c>
      <c r="CD845"/>
      <c r="CE845"/>
      <c r="CF845"/>
      <c r="CG845"/>
      <c r="CH845"/>
      <c r="CI845"/>
      <c r="CJ845"/>
      <c r="CK845"/>
      <c r="CL845"/>
      <c r="CM845"/>
    </row>
    <row r="846" spans="1:91">
      <c r="A846" s="154" t="s">
        <v>8375</v>
      </c>
      <c r="B846" t="s">
        <v>8287</v>
      </c>
      <c r="C846">
        <v>2</v>
      </c>
      <c r="D846">
        <v>1247</v>
      </c>
      <c r="E846" s="113">
        <v>47</v>
      </c>
      <c r="F846" s="113">
        <v>12</v>
      </c>
      <c r="I846">
        <v>30.499999999999996</v>
      </c>
      <c r="K846" s="320">
        <v>9</v>
      </c>
      <c r="L846" s="320"/>
      <c r="M846">
        <v>2.62</v>
      </c>
      <c r="N846" s="320"/>
      <c r="O846"/>
      <c r="P846"/>
      <c r="Q846"/>
      <c r="S846" s="320">
        <v>12.460144653329998</v>
      </c>
      <c r="T846" s="320"/>
      <c r="U846">
        <v>10.8</v>
      </c>
      <c r="V846"/>
      <c r="W846"/>
      <c r="X846"/>
      <c r="Y846" s="321">
        <v>4.1325019999999997</v>
      </c>
      <c r="Z846" s="320"/>
      <c r="AA846" s="322">
        <v>64540.816326530621</v>
      </c>
      <c r="AB846" s="320"/>
      <c r="AC846" s="321">
        <v>23.745820999999999</v>
      </c>
      <c r="AD846" s="320"/>
      <c r="AE846" s="320">
        <v>25.3</v>
      </c>
      <c r="AF846" s="320"/>
      <c r="AG846">
        <v>3.92</v>
      </c>
      <c r="AH846"/>
      <c r="AI846">
        <v>128</v>
      </c>
      <c r="AJ846"/>
      <c r="AK846"/>
      <c r="AL846"/>
      <c r="AM846"/>
      <c r="AN846"/>
      <c r="AO846">
        <v>72</v>
      </c>
      <c r="AP846"/>
      <c r="AQ846" s="323"/>
      <c r="AR846" s="323"/>
      <c r="AS846">
        <v>112</v>
      </c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>
        <v>2.1941999999999999</v>
      </c>
      <c r="BH846"/>
      <c r="BI846">
        <v>4.4640000000000004</v>
      </c>
      <c r="BJ846"/>
      <c r="BK846">
        <v>1.444</v>
      </c>
      <c r="BL846"/>
      <c r="BM846">
        <v>67.421000000000006</v>
      </c>
      <c r="BN846"/>
      <c r="BO846">
        <v>19.501999999999999</v>
      </c>
      <c r="BP846"/>
      <c r="BQ846">
        <v>8.8953000000000007</v>
      </c>
      <c r="BR846"/>
      <c r="BS846">
        <v>52.472999999999999</v>
      </c>
      <c r="BT846"/>
      <c r="BU846">
        <v>15.569000000000001</v>
      </c>
      <c r="BV846"/>
      <c r="BW846" s="325">
        <v>8.4600000000000009</v>
      </c>
      <c r="BX846"/>
      <c r="BY846">
        <v>6.5400000000000063</v>
      </c>
      <c r="BZ846"/>
      <c r="CA846"/>
      <c r="CC846">
        <v>5.09</v>
      </c>
      <c r="CD846"/>
      <c r="CE846"/>
      <c r="CF846"/>
      <c r="CG846"/>
      <c r="CH846"/>
      <c r="CI846"/>
      <c r="CJ846"/>
      <c r="CK846"/>
      <c r="CL846"/>
      <c r="CM846"/>
    </row>
    <row r="847" spans="1:91">
      <c r="A847" s="154" t="s">
        <v>8375</v>
      </c>
      <c r="B847" t="s">
        <v>8289</v>
      </c>
      <c r="C847">
        <v>1</v>
      </c>
      <c r="D847">
        <v>1217</v>
      </c>
      <c r="E847" s="113">
        <v>17</v>
      </c>
      <c r="F847" s="113">
        <v>12</v>
      </c>
      <c r="I847">
        <v>29.999999999999996</v>
      </c>
      <c r="K847" s="320">
        <v>9</v>
      </c>
      <c r="L847" s="320"/>
      <c r="M847">
        <v>4.4400000000000004</v>
      </c>
      <c r="N847" s="320"/>
      <c r="O847"/>
      <c r="P847"/>
      <c r="Q847"/>
      <c r="S847" s="320">
        <v>19.765423001600002</v>
      </c>
      <c r="T847" s="320"/>
      <c r="U847">
        <v>10.8</v>
      </c>
      <c r="V847"/>
      <c r="W847"/>
      <c r="X847"/>
      <c r="Y847" s="321">
        <v>8.3651138000000014</v>
      </c>
      <c r="Z847" s="320"/>
      <c r="AA847" s="322">
        <v>97557.603686635965</v>
      </c>
      <c r="AB847" s="320"/>
      <c r="AC847" s="321">
        <v>39.562496000000003</v>
      </c>
      <c r="AD847" s="320"/>
      <c r="AE847" s="320">
        <v>42.34</v>
      </c>
      <c r="AF847" s="320"/>
      <c r="AG847">
        <v>4.34</v>
      </c>
      <c r="AH847"/>
      <c r="AI847">
        <v>125</v>
      </c>
      <c r="AJ847"/>
      <c r="AK847"/>
      <c r="AL847"/>
      <c r="AM847"/>
      <c r="AN847"/>
      <c r="AO847">
        <v>72</v>
      </c>
      <c r="AP847"/>
      <c r="AQ847" s="323"/>
      <c r="AR847" s="323"/>
      <c r="AS847">
        <v>112</v>
      </c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>
        <v>-0.80918000000000001</v>
      </c>
      <c r="BH847"/>
      <c r="BI847">
        <v>4.5720999999999998</v>
      </c>
      <c r="BJ847"/>
      <c r="BK847">
        <v>1.4876</v>
      </c>
      <c r="BL847"/>
      <c r="BM847">
        <v>65.198999999999998</v>
      </c>
      <c r="BN847"/>
      <c r="BO847">
        <v>20.411999999999999</v>
      </c>
      <c r="BP847"/>
      <c r="BQ847">
        <v>9.5667000000000009</v>
      </c>
      <c r="BR847"/>
      <c r="BS847">
        <v>49.96</v>
      </c>
      <c r="BT847"/>
      <c r="BU847">
        <v>18.640999999999998</v>
      </c>
      <c r="BV847"/>
      <c r="BW847" s="325">
        <v>13.37</v>
      </c>
      <c r="BX847"/>
      <c r="BY847">
        <v>6.4590000000000032</v>
      </c>
      <c r="BZ847"/>
      <c r="CA847"/>
      <c r="CC847">
        <v>6.28</v>
      </c>
      <c r="CD847"/>
      <c r="CE847"/>
      <c r="CF847"/>
      <c r="CG847"/>
      <c r="CH847"/>
      <c r="CI847"/>
      <c r="CJ847"/>
      <c r="CK847"/>
      <c r="CL847"/>
      <c r="CM847"/>
    </row>
    <row r="848" spans="1:91">
      <c r="A848" s="154" t="s">
        <v>8375</v>
      </c>
      <c r="B848" t="s">
        <v>8287</v>
      </c>
      <c r="C848">
        <v>2</v>
      </c>
      <c r="D848">
        <v>1461</v>
      </c>
      <c r="E848" s="113">
        <v>61</v>
      </c>
      <c r="F848" s="113">
        <v>14</v>
      </c>
      <c r="I848">
        <v>25</v>
      </c>
      <c r="K848" s="320">
        <v>9</v>
      </c>
      <c r="L848" s="320"/>
      <c r="M848">
        <v>4.21</v>
      </c>
      <c r="N848" s="320"/>
      <c r="O848"/>
      <c r="P848"/>
      <c r="Q848"/>
      <c r="S848" s="320">
        <v>18.960200152488</v>
      </c>
      <c r="T848" s="320"/>
      <c r="U848">
        <v>10.8</v>
      </c>
      <c r="V848"/>
      <c r="W848"/>
      <c r="X848"/>
      <c r="Y848" s="321">
        <v>7.5710939999999995</v>
      </c>
      <c r="Z848" s="320"/>
      <c r="AA848" s="322">
        <v>103012.987012987</v>
      </c>
      <c r="AB848" s="320"/>
      <c r="AC848" s="321">
        <v>37.185612599999999</v>
      </c>
      <c r="AD848" s="320"/>
      <c r="AE848" s="320">
        <v>39.659999999999997</v>
      </c>
      <c r="AF848" s="320"/>
      <c r="AG848">
        <v>3.85</v>
      </c>
      <c r="AH848"/>
      <c r="AI848">
        <v>130</v>
      </c>
      <c r="AJ848"/>
      <c r="AK848"/>
      <c r="AL848"/>
      <c r="AM848"/>
      <c r="AN848"/>
      <c r="AO848">
        <v>72</v>
      </c>
      <c r="AP848"/>
      <c r="AQ848" s="323"/>
      <c r="AR848" s="323"/>
      <c r="AS848">
        <v>112</v>
      </c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>
        <v>-1.8644000000000001</v>
      </c>
      <c r="BH848"/>
      <c r="BI848">
        <v>4.4176000000000002</v>
      </c>
      <c r="BJ848"/>
      <c r="BK848">
        <v>1.5421</v>
      </c>
      <c r="BL848"/>
      <c r="BM848">
        <v>65.671999999999997</v>
      </c>
      <c r="BN848"/>
      <c r="BO848">
        <v>19.879000000000001</v>
      </c>
      <c r="BP848"/>
      <c r="BQ848">
        <v>9.3028999999999993</v>
      </c>
      <c r="BR848"/>
      <c r="BS848">
        <v>50.988</v>
      </c>
      <c r="BT848"/>
      <c r="BU848">
        <v>16.856000000000002</v>
      </c>
      <c r="BV848"/>
      <c r="BW848" s="325">
        <v>10.199999999999999</v>
      </c>
      <c r="BX848"/>
      <c r="BY848">
        <v>6.7469999999999999</v>
      </c>
      <c r="BZ848"/>
      <c r="CA848"/>
      <c r="CC848">
        <v>7.42</v>
      </c>
      <c r="CD848"/>
      <c r="CE848"/>
      <c r="CF848"/>
      <c r="CG848"/>
      <c r="CH848"/>
      <c r="CI848"/>
      <c r="CJ848"/>
      <c r="CK848"/>
      <c r="CL848"/>
      <c r="CM848"/>
    </row>
    <row r="849" spans="1:91">
      <c r="A849" s="154" t="s">
        <v>8375</v>
      </c>
      <c r="B849" t="s">
        <v>8289</v>
      </c>
      <c r="C849">
        <v>1</v>
      </c>
      <c r="D849">
        <v>1407</v>
      </c>
      <c r="E849" s="113">
        <v>7</v>
      </c>
      <c r="F849" s="113">
        <v>14</v>
      </c>
      <c r="I849">
        <v>27</v>
      </c>
      <c r="K849" s="320">
        <v>9</v>
      </c>
      <c r="L849" s="320"/>
      <c r="M849">
        <v>3.44</v>
      </c>
      <c r="N849" s="320"/>
      <c r="O849"/>
      <c r="P849"/>
      <c r="Q849"/>
      <c r="S849" s="320">
        <v>15.431167638</v>
      </c>
      <c r="T849" s="320"/>
      <c r="U849">
        <v>10.8</v>
      </c>
      <c r="V849"/>
      <c r="W849"/>
      <c r="X849"/>
      <c r="Y849" s="321">
        <v>6.304652400000001</v>
      </c>
      <c r="Z849" s="320"/>
      <c r="AA849" s="322">
        <v>76338.028169014098</v>
      </c>
      <c r="AB849" s="320"/>
      <c r="AC849" s="321">
        <v>30.556767600000001</v>
      </c>
      <c r="AD849" s="320"/>
      <c r="AE849" s="320">
        <v>32.520000000000003</v>
      </c>
      <c r="AF849" s="320"/>
      <c r="AG849">
        <v>4.26</v>
      </c>
      <c r="AH849"/>
      <c r="AI849">
        <v>125</v>
      </c>
      <c r="AJ849"/>
      <c r="AK849"/>
      <c r="AL849"/>
      <c r="AM849"/>
      <c r="AN849"/>
      <c r="AO849">
        <v>72</v>
      </c>
      <c r="AP849"/>
      <c r="AQ849" s="323"/>
      <c r="AR849" s="323"/>
      <c r="AS849">
        <v>112</v>
      </c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>
        <v>-4.9943</v>
      </c>
      <c r="BH849"/>
      <c r="BI849">
        <v>4.3093000000000004</v>
      </c>
      <c r="BJ849"/>
      <c r="BK849">
        <v>1.5449999999999999</v>
      </c>
      <c r="BL849"/>
      <c r="BM849">
        <v>66.495999999999995</v>
      </c>
      <c r="BN849"/>
      <c r="BO849">
        <v>20.039000000000001</v>
      </c>
      <c r="BP849"/>
      <c r="BQ849">
        <v>9.9141999999999992</v>
      </c>
      <c r="BR849"/>
      <c r="BS849">
        <v>50.5</v>
      </c>
      <c r="BT849"/>
      <c r="BU849">
        <v>18.318000000000001</v>
      </c>
      <c r="BV849"/>
      <c r="BW849" s="325">
        <v>7.62</v>
      </c>
      <c r="BX849"/>
      <c r="BY849">
        <v>6.3719999999999999</v>
      </c>
      <c r="BZ849"/>
      <c r="CA849"/>
      <c r="CC849">
        <v>7.1</v>
      </c>
      <c r="CD849"/>
      <c r="CE849"/>
      <c r="CF849"/>
      <c r="CG849"/>
      <c r="CH849"/>
      <c r="CI849"/>
      <c r="CJ849"/>
      <c r="CK849"/>
      <c r="CL849"/>
      <c r="CM849"/>
    </row>
    <row r="850" spans="1:91">
      <c r="A850" s="154" t="s">
        <v>8375</v>
      </c>
      <c r="B850" t="s">
        <v>8287</v>
      </c>
      <c r="C850">
        <v>2</v>
      </c>
      <c r="D850">
        <v>1545</v>
      </c>
      <c r="E850" s="113">
        <v>45</v>
      </c>
      <c r="F850" s="113">
        <v>15</v>
      </c>
      <c r="I850">
        <v>34</v>
      </c>
      <c r="K850" s="320">
        <v>8</v>
      </c>
      <c r="L850" s="320"/>
      <c r="M850">
        <v>3.27</v>
      </c>
      <c r="N850" s="320"/>
      <c r="O850"/>
      <c r="P850"/>
      <c r="Q850"/>
      <c r="S850" s="320">
        <v>15.305880253248</v>
      </c>
      <c r="T850" s="320"/>
      <c r="U850">
        <v>10.8</v>
      </c>
      <c r="V850"/>
      <c r="W850"/>
      <c r="X850"/>
      <c r="Y850" s="321">
        <v>5.7958172999999995</v>
      </c>
      <c r="Z850" s="320"/>
      <c r="AA850" s="322">
        <v>81839.378238341975</v>
      </c>
      <c r="AB850" s="320"/>
      <c r="AC850" s="321">
        <v>29.690177400000003</v>
      </c>
      <c r="AD850" s="320"/>
      <c r="AE850" s="320">
        <v>31.59</v>
      </c>
      <c r="AF850" s="320"/>
      <c r="AG850">
        <v>3.86</v>
      </c>
      <c r="AH850"/>
      <c r="AI850">
        <v>135</v>
      </c>
      <c r="AJ850"/>
      <c r="AK850"/>
      <c r="AL850"/>
      <c r="AM850"/>
      <c r="AN850"/>
      <c r="AO850">
        <v>72</v>
      </c>
      <c r="AP850"/>
      <c r="AQ850" s="323"/>
      <c r="AR850" s="323"/>
      <c r="AS850">
        <v>112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>
        <v>1.8549</v>
      </c>
      <c r="BH850"/>
      <c r="BI850">
        <v>4.4401999999999999</v>
      </c>
      <c r="BJ850"/>
      <c r="BK850">
        <v>1.4502999999999999</v>
      </c>
      <c r="BL850"/>
      <c r="BM850">
        <v>64.277000000000001</v>
      </c>
      <c r="BN850"/>
      <c r="BO850">
        <v>20</v>
      </c>
      <c r="BP850"/>
      <c r="BQ850">
        <v>9.1561000000000003</v>
      </c>
      <c r="BR850"/>
      <c r="BS850">
        <v>51.552</v>
      </c>
      <c r="BT850"/>
      <c r="BU850">
        <v>16.82</v>
      </c>
      <c r="BV850"/>
      <c r="BW850" s="325">
        <v>13.17</v>
      </c>
      <c r="BX850"/>
      <c r="BY850">
        <v>6.5139999999999958</v>
      </c>
      <c r="BZ850"/>
      <c r="CA850"/>
      <c r="CC850">
        <v>5.07</v>
      </c>
      <c r="CD850"/>
      <c r="CE850"/>
      <c r="CF850"/>
      <c r="CG850"/>
      <c r="CH850"/>
      <c r="CI850"/>
      <c r="CJ850"/>
      <c r="CK850"/>
      <c r="CL850"/>
      <c r="CM850"/>
    </row>
    <row r="851" spans="1:91">
      <c r="A851" s="154" t="s">
        <v>8375</v>
      </c>
      <c r="B851" t="s">
        <v>8289</v>
      </c>
      <c r="C851">
        <v>1</v>
      </c>
      <c r="D851">
        <v>1618</v>
      </c>
      <c r="E851" s="113">
        <v>18</v>
      </c>
      <c r="F851" s="113">
        <v>16</v>
      </c>
      <c r="I851">
        <v>35</v>
      </c>
      <c r="K851" s="320">
        <v>8</v>
      </c>
      <c r="L851" s="320"/>
      <c r="M851">
        <v>3.39</v>
      </c>
      <c r="N851" s="320"/>
      <c r="O851"/>
      <c r="P851"/>
      <c r="Q851"/>
      <c r="S851" s="320">
        <v>14.930040592259997</v>
      </c>
      <c r="T851" s="320"/>
      <c r="U851">
        <v>10.8</v>
      </c>
      <c r="V851"/>
      <c r="W851"/>
      <c r="X851"/>
      <c r="Y851" s="321">
        <v>5.8470813000000001</v>
      </c>
      <c r="Z851" s="320"/>
      <c r="AA851" s="322">
        <v>77242.206235011996</v>
      </c>
      <c r="AB851" s="320"/>
      <c r="AC851" s="321">
        <v>30.177548999999999</v>
      </c>
      <c r="AD851" s="320"/>
      <c r="AE851" s="320">
        <v>32.21</v>
      </c>
      <c r="AF851" s="320"/>
      <c r="AG851">
        <v>4.17</v>
      </c>
      <c r="AH851"/>
      <c r="AI851">
        <v>120</v>
      </c>
      <c r="AJ851"/>
      <c r="AK851"/>
      <c r="AL851"/>
      <c r="AM851"/>
      <c r="AN851"/>
      <c r="AO851">
        <v>72</v>
      </c>
      <c r="AP851"/>
      <c r="AQ851" s="323"/>
      <c r="AR851" s="323"/>
      <c r="AS851">
        <v>112</v>
      </c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>
        <v>2.8946000000000001</v>
      </c>
      <c r="BH851"/>
      <c r="BI851">
        <v>4.4747000000000003</v>
      </c>
      <c r="BJ851"/>
      <c r="BK851">
        <v>1.4438</v>
      </c>
      <c r="BL851"/>
      <c r="BM851">
        <v>56.601999999999997</v>
      </c>
      <c r="BN851"/>
      <c r="BO851">
        <v>20.846</v>
      </c>
      <c r="BP851"/>
      <c r="BQ851">
        <v>10.452</v>
      </c>
      <c r="BR851"/>
      <c r="BS851">
        <v>49.473999999999997</v>
      </c>
      <c r="BT851"/>
      <c r="BU851">
        <v>18.388999999999999</v>
      </c>
      <c r="BV851"/>
      <c r="BW851" s="325">
        <v>5.05</v>
      </c>
      <c r="BX851"/>
      <c r="BY851">
        <v>6.7330000000000041</v>
      </c>
      <c r="BZ851"/>
      <c r="CA851"/>
      <c r="CC851">
        <v>6.62</v>
      </c>
      <c r="CD851"/>
      <c r="CE851"/>
      <c r="CF851"/>
      <c r="CG851"/>
      <c r="CH851"/>
      <c r="CI851"/>
      <c r="CJ851"/>
      <c r="CK851"/>
      <c r="CL851"/>
      <c r="CM851"/>
    </row>
    <row r="852" spans="1:91">
      <c r="A852" s="154" t="s">
        <v>8375</v>
      </c>
      <c r="B852" t="s">
        <v>8287</v>
      </c>
      <c r="C852">
        <v>2</v>
      </c>
      <c r="D852">
        <v>1776</v>
      </c>
      <c r="E852" s="113">
        <v>76</v>
      </c>
      <c r="F852" s="113">
        <v>17</v>
      </c>
      <c r="I852">
        <v>32.5</v>
      </c>
      <c r="K852" s="320">
        <v>8</v>
      </c>
      <c r="L852" s="320"/>
      <c r="M852">
        <v>4.17</v>
      </c>
      <c r="N852" s="320"/>
      <c r="O852"/>
      <c r="P852"/>
      <c r="Q852"/>
      <c r="S852" s="320">
        <v>19.093129132098003</v>
      </c>
      <c r="T852" s="320"/>
      <c r="U852">
        <v>10.8</v>
      </c>
      <c r="V852"/>
      <c r="W852"/>
      <c r="X852"/>
      <c r="Y852" s="321">
        <v>6.530367</v>
      </c>
      <c r="Z852" s="320"/>
      <c r="AA852" s="322">
        <v>103601.03626943007</v>
      </c>
      <c r="AB852" s="320"/>
      <c r="AC852" s="321">
        <v>37.516218600000002</v>
      </c>
      <c r="AD852" s="320"/>
      <c r="AE852" s="320">
        <v>39.99</v>
      </c>
      <c r="AF852" s="320"/>
      <c r="AG852">
        <v>3.86</v>
      </c>
      <c r="AH852"/>
      <c r="AI852">
        <v>123</v>
      </c>
      <c r="AJ852"/>
      <c r="AK852"/>
      <c r="AL852"/>
      <c r="AM852"/>
      <c r="AN852"/>
      <c r="AO852">
        <v>72</v>
      </c>
      <c r="AP852"/>
      <c r="AQ852" s="323"/>
      <c r="AR852" s="323"/>
      <c r="AS852">
        <v>112</v>
      </c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>
        <v>-2.4906999999999999</v>
      </c>
      <c r="BH852"/>
      <c r="BI852">
        <v>4.5437000000000003</v>
      </c>
      <c r="BJ852"/>
      <c r="BK852">
        <v>1.4811000000000001</v>
      </c>
      <c r="BL852"/>
      <c r="BM852">
        <v>66.234999999999999</v>
      </c>
      <c r="BN852"/>
      <c r="BO852">
        <v>19.167999999999999</v>
      </c>
      <c r="BP852"/>
      <c r="BQ852">
        <v>9.3117000000000001</v>
      </c>
      <c r="BR852"/>
      <c r="BS852">
        <v>50.893000000000001</v>
      </c>
      <c r="BT852"/>
      <c r="BU852">
        <v>17.103999999999999</v>
      </c>
      <c r="BV852"/>
      <c r="BW852" s="325">
        <v>13.12</v>
      </c>
      <c r="BX852"/>
      <c r="BY852">
        <v>6.7990000000000066</v>
      </c>
      <c r="BZ852"/>
      <c r="CA852"/>
      <c r="CC852">
        <v>5.75</v>
      </c>
      <c r="CD852"/>
      <c r="CE852"/>
      <c r="CF852"/>
      <c r="CG852"/>
      <c r="CH852"/>
      <c r="CI852"/>
      <c r="CJ852"/>
      <c r="CK852"/>
      <c r="CL852"/>
      <c r="CM852"/>
    </row>
    <row r="853" spans="1:91">
      <c r="A853" s="154" t="s">
        <v>8375</v>
      </c>
      <c r="B853" t="s">
        <v>8289</v>
      </c>
      <c r="C853">
        <v>1</v>
      </c>
      <c r="D853">
        <v>1737</v>
      </c>
      <c r="E853" s="113">
        <v>37</v>
      </c>
      <c r="F853" s="113">
        <v>17</v>
      </c>
      <c r="I853">
        <v>25</v>
      </c>
      <c r="K853" s="320">
        <v>8</v>
      </c>
      <c r="L853" s="320"/>
      <c r="M853">
        <v>3.7</v>
      </c>
      <c r="N853" s="320"/>
      <c r="O853"/>
      <c r="P853"/>
      <c r="Q853"/>
      <c r="S853" s="320">
        <v>15.870628214864</v>
      </c>
      <c r="T853" s="320"/>
      <c r="U853">
        <v>10.8</v>
      </c>
      <c r="V853"/>
      <c r="W853"/>
      <c r="X853"/>
      <c r="Y853" s="321">
        <v>6.5151380000000003</v>
      </c>
      <c r="Z853" s="320"/>
      <c r="AA853" s="322">
        <v>93556.149732620324</v>
      </c>
      <c r="AB853" s="320"/>
      <c r="AC853" s="321">
        <v>32.6260756</v>
      </c>
      <c r="AD853" s="320"/>
      <c r="AE853" s="320">
        <v>34.99</v>
      </c>
      <c r="AF853" s="320"/>
      <c r="AG853">
        <v>3.74</v>
      </c>
      <c r="AH853"/>
      <c r="AI853">
        <v>118</v>
      </c>
      <c r="AJ853"/>
      <c r="AK853"/>
      <c r="AL853"/>
      <c r="AM853"/>
      <c r="AN853"/>
      <c r="AO853">
        <v>72</v>
      </c>
      <c r="AP853"/>
      <c r="AQ853" s="323"/>
      <c r="AR853" s="323"/>
      <c r="AS853">
        <v>112</v>
      </c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>
        <v>-2.9824999999999999</v>
      </c>
      <c r="BH853"/>
      <c r="BI853">
        <v>4.9867999999999997</v>
      </c>
      <c r="BJ853"/>
      <c r="BK853">
        <v>1.4374</v>
      </c>
      <c r="BL853"/>
      <c r="BM853">
        <v>62.634</v>
      </c>
      <c r="BN853"/>
      <c r="BO853">
        <v>21.423999999999999</v>
      </c>
      <c r="BP853"/>
      <c r="BQ853">
        <v>9.5313999999999997</v>
      </c>
      <c r="BR853"/>
      <c r="BS853">
        <v>48.643999999999998</v>
      </c>
      <c r="BT853"/>
      <c r="BU853">
        <v>18.411000000000001</v>
      </c>
      <c r="BV853"/>
      <c r="BW853" s="325">
        <v>10.92</v>
      </c>
      <c r="BX853"/>
      <c r="BY853">
        <v>6.9410000000000025</v>
      </c>
      <c r="BZ853"/>
      <c r="CA853"/>
      <c r="CC853">
        <v>7.06</v>
      </c>
      <c r="CD853"/>
      <c r="CE853"/>
      <c r="CF853"/>
      <c r="CG853"/>
      <c r="CH853"/>
      <c r="CI853"/>
      <c r="CJ853"/>
      <c r="CK853"/>
      <c r="CL853"/>
      <c r="CM853"/>
    </row>
    <row r="854" spans="1:91">
      <c r="A854" s="154" t="s">
        <v>8376</v>
      </c>
      <c r="B854" t="s">
        <v>8287</v>
      </c>
      <c r="C854">
        <v>1</v>
      </c>
      <c r="D854">
        <v>211</v>
      </c>
      <c r="E854" s="113">
        <v>11</v>
      </c>
      <c r="F854" s="113">
        <v>2</v>
      </c>
      <c r="I854">
        <v>30.499999999999996</v>
      </c>
      <c r="K854" s="320">
        <v>9</v>
      </c>
      <c r="L854" s="320"/>
      <c r="M854">
        <v>4.7699999999999996</v>
      </c>
      <c r="N854" s="320"/>
      <c r="O854"/>
      <c r="P854"/>
      <c r="Q854"/>
      <c r="S854" s="320">
        <v>22.037516771736001</v>
      </c>
      <c r="T854" s="320"/>
      <c r="U854">
        <v>10.8</v>
      </c>
      <c r="V854"/>
      <c r="W854"/>
      <c r="X854"/>
      <c r="Y854" s="321">
        <v>8.9386478</v>
      </c>
      <c r="Z854" s="320"/>
      <c r="AA854" s="322">
        <v>111789.2156862745</v>
      </c>
      <c r="AB854" s="320"/>
      <c r="AC854" s="321">
        <v>42.877048799999997</v>
      </c>
      <c r="AD854" s="320"/>
      <c r="AE854" s="320">
        <v>45.61</v>
      </c>
      <c r="AF854" s="320"/>
      <c r="AG854">
        <v>4.08</v>
      </c>
      <c r="AH854"/>
      <c r="AI854">
        <v>160</v>
      </c>
      <c r="AJ854"/>
      <c r="AK854"/>
      <c r="AL854"/>
      <c r="AM854"/>
      <c r="AN854"/>
      <c r="AO854">
        <v>80</v>
      </c>
      <c r="AP854"/>
      <c r="AQ854" s="323"/>
      <c r="AR854" s="323"/>
      <c r="AS854">
        <v>115</v>
      </c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>
        <v>-0.88693999999999995</v>
      </c>
      <c r="BH854"/>
      <c r="BI854">
        <v>4.8871000000000002</v>
      </c>
      <c r="BJ854"/>
      <c r="BK854">
        <v>1.4984</v>
      </c>
      <c r="BL854"/>
      <c r="BM854">
        <v>65.17</v>
      </c>
      <c r="BN854"/>
      <c r="BO854">
        <v>21.556000000000001</v>
      </c>
      <c r="BP854"/>
      <c r="BQ854">
        <v>9.4387000000000008</v>
      </c>
      <c r="BR854"/>
      <c r="BS854">
        <v>51.396999999999998</v>
      </c>
      <c r="BT854"/>
      <c r="BU854">
        <v>17.954999999999998</v>
      </c>
      <c r="BV854"/>
      <c r="BW854" s="325">
        <v>10.91</v>
      </c>
      <c r="BX854"/>
      <c r="BY854">
        <v>6.0669999999999931</v>
      </c>
      <c r="BZ854"/>
      <c r="CA854"/>
      <c r="CC854">
        <v>6.02</v>
      </c>
      <c r="CD854"/>
      <c r="CE854"/>
      <c r="CF854"/>
      <c r="CG854"/>
      <c r="CH854"/>
      <c r="CI854"/>
      <c r="CJ854"/>
      <c r="CK854"/>
      <c r="CL854"/>
      <c r="CM854"/>
    </row>
    <row r="855" spans="1:91">
      <c r="A855" s="154" t="s">
        <v>8376</v>
      </c>
      <c r="B855" t="s">
        <v>8289</v>
      </c>
      <c r="C855">
        <v>2</v>
      </c>
      <c r="D855">
        <v>269</v>
      </c>
      <c r="E855" s="113">
        <v>69</v>
      </c>
      <c r="F855" s="113">
        <v>2</v>
      </c>
      <c r="I855">
        <v>27</v>
      </c>
      <c r="K855" s="320">
        <v>7</v>
      </c>
      <c r="L855" s="320"/>
      <c r="M855">
        <v>3.26</v>
      </c>
      <c r="N855" s="320"/>
      <c r="O855"/>
      <c r="P855"/>
      <c r="Q855"/>
      <c r="S855" s="320" t="s">
        <v>8361</v>
      </c>
      <c r="T855" s="320"/>
      <c r="U855">
        <v>10.8</v>
      </c>
      <c r="V855"/>
      <c r="W855"/>
      <c r="X855"/>
      <c r="Y855" s="321">
        <v>0</v>
      </c>
      <c r="Z855" s="320"/>
      <c r="AA855" s="322">
        <v>71351.981351981347</v>
      </c>
      <c r="AB855" s="320"/>
      <c r="AC855" s="321" t="s">
        <v>8361</v>
      </c>
      <c r="AD855" s="320"/>
      <c r="AE855" s="320">
        <v>30.61</v>
      </c>
      <c r="AF855" s="320"/>
      <c r="AG855">
        <v>4.29</v>
      </c>
      <c r="AH855"/>
      <c r="AI855">
        <v>130</v>
      </c>
      <c r="AJ855"/>
      <c r="AK855"/>
      <c r="AL855"/>
      <c r="AM855"/>
      <c r="AN855"/>
      <c r="AO855">
        <v>79</v>
      </c>
      <c r="AP855"/>
      <c r="AQ855" s="323"/>
      <c r="AR855" s="323"/>
      <c r="AS855">
        <v>112</v>
      </c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>
        <v>-5.0686</v>
      </c>
      <c r="BH855"/>
      <c r="BI855">
        <v>5.2601000000000004</v>
      </c>
      <c r="BJ855"/>
      <c r="BK855">
        <v>1.6684000000000001</v>
      </c>
      <c r="BL855"/>
      <c r="BM855">
        <v>62.771999999999998</v>
      </c>
      <c r="BN855"/>
      <c r="BO855">
        <v>21.550999999999998</v>
      </c>
      <c r="BP855"/>
      <c r="BQ855">
        <v>8.1428999999999991</v>
      </c>
      <c r="BR855"/>
      <c r="BS855">
        <v>44.183</v>
      </c>
      <c r="BT855"/>
      <c r="BU855">
        <v>19.911000000000001</v>
      </c>
      <c r="BV855"/>
      <c r="BW855" s="325">
        <v>3.89</v>
      </c>
      <c r="BX855"/>
      <c r="BY855">
        <v>6.921999999999997</v>
      </c>
      <c r="BZ855"/>
      <c r="CA855"/>
      <c r="CC855">
        <v>7.73</v>
      </c>
      <c r="CD855"/>
      <c r="CE855"/>
      <c r="CF855"/>
      <c r="CG855"/>
      <c r="CH855"/>
      <c r="CI855"/>
      <c r="CJ855"/>
      <c r="CK855" t="str">
        <f>IF(F855=ET801*(B855="N+"),"submertion","")</f>
        <v/>
      </c>
      <c r="CL855"/>
      <c r="CM855"/>
    </row>
    <row r="856" spans="1:91">
      <c r="A856" s="327" t="s">
        <v>8376</v>
      </c>
      <c r="B856" s="328" t="s">
        <v>8289</v>
      </c>
      <c r="C856" s="328">
        <v>2</v>
      </c>
      <c r="D856" s="328">
        <v>375</v>
      </c>
      <c r="E856" s="113">
        <v>75</v>
      </c>
      <c r="F856" s="113">
        <v>3</v>
      </c>
      <c r="G856" s="329"/>
      <c r="H856" s="329"/>
      <c r="I856" s="328">
        <v>31</v>
      </c>
      <c r="J856" s="330"/>
      <c r="K856" s="331">
        <v>6</v>
      </c>
      <c r="L856" s="331"/>
      <c r="M856" s="328">
        <v>1.52</v>
      </c>
      <c r="N856" s="331"/>
      <c r="O856" s="328"/>
      <c r="P856" s="328"/>
      <c r="Q856" s="328"/>
      <c r="R856" s="332"/>
      <c r="S856" s="331">
        <v>6.0176749953599993</v>
      </c>
      <c r="T856" s="331"/>
      <c r="U856" s="328">
        <v>10.8</v>
      </c>
      <c r="V856" s="328"/>
      <c r="W856" s="328"/>
      <c r="X856" s="328"/>
      <c r="Y856" s="333">
        <v>3.1425995999999996</v>
      </c>
      <c r="Z856" s="331"/>
      <c r="AA856" s="334">
        <v>32162.162162162156</v>
      </c>
      <c r="AB856" s="331"/>
      <c r="AC856" s="333">
        <v>13.275259199999999</v>
      </c>
      <c r="AD856" s="331"/>
      <c r="AE856" s="331">
        <v>14.28</v>
      </c>
      <c r="AF856" s="331"/>
      <c r="AG856" s="328">
        <v>4.4400000000000004</v>
      </c>
      <c r="AH856" s="328"/>
      <c r="AI856" s="328">
        <v>115</v>
      </c>
      <c r="AJ856" s="328"/>
      <c r="AK856" s="328"/>
      <c r="AL856" s="328"/>
      <c r="AM856" s="328"/>
      <c r="AN856" s="328"/>
      <c r="AO856" s="328">
        <v>81</v>
      </c>
      <c r="AP856" s="328"/>
      <c r="AQ856" s="335"/>
      <c r="AR856" s="335"/>
      <c r="AS856" s="328">
        <v>116</v>
      </c>
      <c r="AT856" s="328"/>
      <c r="AU856" s="328"/>
      <c r="AV856" s="328"/>
      <c r="AW856" s="328"/>
      <c r="AX856" s="328"/>
      <c r="AY856" s="328"/>
      <c r="AZ856" s="328"/>
      <c r="BA856" s="328"/>
      <c r="BB856" s="328"/>
      <c r="BC856" s="328"/>
      <c r="BD856" s="328"/>
      <c r="BE856" s="328"/>
      <c r="BF856" s="328"/>
      <c r="BG856" s="328">
        <v>-6.2803000000000004</v>
      </c>
      <c r="BH856" s="328"/>
      <c r="BI856" s="328">
        <v>5.0903999999999998</v>
      </c>
      <c r="BJ856" s="328"/>
      <c r="BK856" s="328">
        <v>1.7234</v>
      </c>
      <c r="BL856" s="328"/>
      <c r="BM856" s="328">
        <v>67.706000000000003</v>
      </c>
      <c r="BN856" s="328"/>
      <c r="BO856" s="328">
        <v>20.401</v>
      </c>
      <c r="BP856" s="328"/>
      <c r="BQ856" s="328">
        <v>8.1047999999999991</v>
      </c>
      <c r="BR856" s="328"/>
      <c r="BS856" s="328">
        <v>45.33</v>
      </c>
      <c r="BT856" s="328"/>
      <c r="BU856" s="328">
        <v>20.306000000000001</v>
      </c>
      <c r="BV856" s="328"/>
      <c r="BW856" s="336">
        <v>8.2799999999999994</v>
      </c>
      <c r="BX856" s="328"/>
      <c r="BY856" s="328">
        <v>6.6640000000000015</v>
      </c>
      <c r="BZ856" s="328"/>
      <c r="CA856" s="328"/>
      <c r="CB856" s="337"/>
      <c r="CC856" s="328">
        <v>7.65</v>
      </c>
      <c r="CD856" s="328"/>
      <c r="CE856" s="328"/>
      <c r="CF856" s="328"/>
      <c r="CG856" s="328"/>
      <c r="CH856" s="328"/>
      <c r="CI856" s="328"/>
      <c r="CJ856" s="328"/>
      <c r="CK856" s="328" t="s">
        <v>8377</v>
      </c>
      <c r="CL856" s="328"/>
      <c r="CM856" s="328"/>
    </row>
    <row r="857" spans="1:91">
      <c r="A857" s="154" t="s">
        <v>8376</v>
      </c>
      <c r="B857" t="s">
        <v>8287</v>
      </c>
      <c r="C857">
        <v>1</v>
      </c>
      <c r="D857">
        <v>430</v>
      </c>
      <c r="E857" s="113">
        <v>30</v>
      </c>
      <c r="F857" s="113">
        <v>4</v>
      </c>
      <c r="I857">
        <v>29.999999999999996</v>
      </c>
      <c r="K857" s="320">
        <v>9</v>
      </c>
      <c r="L857" s="320"/>
      <c r="M857">
        <v>3.69</v>
      </c>
      <c r="N857" s="320"/>
      <c r="O857"/>
      <c r="P857"/>
      <c r="Q857"/>
      <c r="S857" s="320">
        <v>17.185968536880001</v>
      </c>
      <c r="T857" s="320"/>
      <c r="U857">
        <v>10.8</v>
      </c>
      <c r="V857"/>
      <c r="W857"/>
      <c r="X857"/>
      <c r="Y857" s="321">
        <v>5.7893395999999999</v>
      </c>
      <c r="Z857" s="320"/>
      <c r="AA857" s="322">
        <v>87519.181585677739</v>
      </c>
      <c r="AB857" s="320"/>
      <c r="AC857" s="321">
        <v>31.963190999999998</v>
      </c>
      <c r="AD857" s="320"/>
      <c r="AE857" s="320">
        <v>34.22</v>
      </c>
      <c r="AF857" s="320"/>
      <c r="AG857">
        <v>3.91</v>
      </c>
      <c r="AH857"/>
      <c r="AI857">
        <v>135</v>
      </c>
      <c r="AJ857"/>
      <c r="AK857"/>
      <c r="AL857"/>
      <c r="AM857"/>
      <c r="AN857"/>
      <c r="AO857">
        <v>79</v>
      </c>
      <c r="AP857"/>
      <c r="AQ857" s="323"/>
      <c r="AR857" s="323"/>
      <c r="AS857">
        <v>112</v>
      </c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>
        <v>4.7687999999999997</v>
      </c>
      <c r="BH857"/>
      <c r="BI857">
        <v>4.8562000000000003</v>
      </c>
      <c r="BJ857"/>
      <c r="BK857">
        <v>1.38</v>
      </c>
      <c r="BL857"/>
      <c r="BM857">
        <v>58.546999999999997</v>
      </c>
      <c r="BN857"/>
      <c r="BO857">
        <v>20.620999999999999</v>
      </c>
      <c r="BP857"/>
      <c r="BQ857">
        <v>9.2271000000000001</v>
      </c>
      <c r="BR857"/>
      <c r="BS857">
        <v>53.768000000000001</v>
      </c>
      <c r="BT857"/>
      <c r="BU857">
        <v>16.097000000000001</v>
      </c>
      <c r="BV857"/>
      <c r="BW857" s="325">
        <v>17.04</v>
      </c>
      <c r="BX857"/>
      <c r="BY857">
        <v>6.3089999999999975</v>
      </c>
      <c r="BZ857"/>
      <c r="CA857"/>
      <c r="CC857">
        <v>8.86</v>
      </c>
      <c r="CD857"/>
      <c r="CE857"/>
      <c r="CF857"/>
      <c r="CG857"/>
      <c r="CH857"/>
      <c r="CI857"/>
      <c r="CJ857"/>
      <c r="CK857"/>
      <c r="CL857"/>
      <c r="CM857"/>
    </row>
    <row r="858" spans="1:91">
      <c r="A858" s="154" t="s">
        <v>8376</v>
      </c>
      <c r="B858" t="s">
        <v>8287</v>
      </c>
      <c r="C858">
        <v>1</v>
      </c>
      <c r="D858">
        <v>504</v>
      </c>
      <c r="E858" s="113">
        <v>4</v>
      </c>
      <c r="F858" s="113">
        <v>5</v>
      </c>
      <c r="I858">
        <v>33.5</v>
      </c>
      <c r="K858" s="320">
        <v>9</v>
      </c>
      <c r="L858" s="320"/>
      <c r="M858">
        <v>4.42</v>
      </c>
      <c r="N858" s="320"/>
      <c r="O858"/>
      <c r="P858"/>
      <c r="Q858"/>
      <c r="S858" s="320">
        <v>21.360975842094</v>
      </c>
      <c r="T858" s="320"/>
      <c r="U858">
        <v>10.8</v>
      </c>
      <c r="V858"/>
      <c r="W858"/>
      <c r="X858"/>
      <c r="Y858" s="321">
        <v>7.2538900000000002</v>
      </c>
      <c r="Z858" s="320"/>
      <c r="AA858" s="322">
        <v>106421.31979695431</v>
      </c>
      <c r="AB858" s="320"/>
      <c r="AC858" s="321">
        <v>39.299731100000002</v>
      </c>
      <c r="AD858" s="320"/>
      <c r="AE858" s="320">
        <v>41.93</v>
      </c>
      <c r="AF858" s="320"/>
      <c r="AG858">
        <v>3.94</v>
      </c>
      <c r="AH858"/>
      <c r="AI858">
        <v>150</v>
      </c>
      <c r="AJ858"/>
      <c r="AK858"/>
      <c r="AL858"/>
      <c r="AM858"/>
      <c r="AN858"/>
      <c r="AO858">
        <v>77</v>
      </c>
      <c r="AP858"/>
      <c r="AQ858" s="323"/>
      <c r="AR858" s="323"/>
      <c r="AS858">
        <v>112</v>
      </c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>
        <v>1.5149999999999999</v>
      </c>
      <c r="BH858"/>
      <c r="BI858">
        <v>4.8918999999999997</v>
      </c>
      <c r="BJ858"/>
      <c r="BK858">
        <v>1.4898</v>
      </c>
      <c r="BL858"/>
      <c r="BM858">
        <v>63.325000000000003</v>
      </c>
      <c r="BN858"/>
      <c r="BO858">
        <v>20.611000000000001</v>
      </c>
      <c r="BP858"/>
      <c r="BQ858">
        <v>9.7751000000000001</v>
      </c>
      <c r="BR858"/>
      <c r="BS858">
        <v>54.353999999999999</v>
      </c>
      <c r="BT858"/>
      <c r="BU858">
        <v>15.089</v>
      </c>
      <c r="BV858"/>
      <c r="BW858" s="325">
        <v>10.42</v>
      </c>
      <c r="BX858"/>
      <c r="BY858">
        <v>6.4369999999999976</v>
      </c>
      <c r="BZ858"/>
      <c r="CA858"/>
      <c r="CC858">
        <v>6.77</v>
      </c>
      <c r="CD858"/>
      <c r="CE858"/>
      <c r="CF858"/>
      <c r="CG858"/>
      <c r="CH858"/>
      <c r="CI858"/>
      <c r="CJ858"/>
      <c r="CK858"/>
      <c r="CL858"/>
      <c r="CM858"/>
    </row>
    <row r="859" spans="1:91">
      <c r="A859" s="154" t="s">
        <v>8376</v>
      </c>
      <c r="B859" t="s">
        <v>8287</v>
      </c>
      <c r="C859">
        <v>1</v>
      </c>
      <c r="D859">
        <v>507</v>
      </c>
      <c r="E859" s="113">
        <v>7</v>
      </c>
      <c r="F859" s="113">
        <v>5</v>
      </c>
      <c r="I859">
        <v>29.5</v>
      </c>
      <c r="K859" s="320">
        <v>9</v>
      </c>
      <c r="L859" s="320"/>
      <c r="M859">
        <v>3.83</v>
      </c>
      <c r="N859" s="320"/>
      <c r="O859"/>
      <c r="P859"/>
      <c r="Q859"/>
      <c r="S859" s="320">
        <v>18.027189160150002</v>
      </c>
      <c r="T859" s="320"/>
      <c r="U859">
        <v>10.8</v>
      </c>
      <c r="V859"/>
      <c r="W859"/>
      <c r="X859"/>
      <c r="Y859" s="321">
        <v>5.8158536000000014</v>
      </c>
      <c r="Z859" s="320"/>
      <c r="AA859" s="322">
        <v>92233.502538071072</v>
      </c>
      <c r="AB859" s="320"/>
      <c r="AC859" s="321">
        <v>34.165051000000005</v>
      </c>
      <c r="AD859" s="320"/>
      <c r="AE859" s="320">
        <v>36.340000000000003</v>
      </c>
      <c r="AF859" s="320"/>
      <c r="AG859">
        <v>3.94</v>
      </c>
      <c r="AH859"/>
      <c r="AI859">
        <v>135</v>
      </c>
      <c r="AJ859"/>
      <c r="AK859"/>
      <c r="AL859"/>
      <c r="AM859"/>
      <c r="AN859"/>
      <c r="AO859">
        <v>79</v>
      </c>
      <c r="AP859"/>
      <c r="AQ859" s="323"/>
      <c r="AR859" s="323"/>
      <c r="AS859">
        <v>112</v>
      </c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>
        <v>1.798</v>
      </c>
      <c r="BH859"/>
      <c r="BI859">
        <v>4.6452999999999998</v>
      </c>
      <c r="BJ859"/>
      <c r="BK859">
        <v>1.4797</v>
      </c>
      <c r="BL859"/>
      <c r="BM859">
        <v>65.2</v>
      </c>
      <c r="BN859"/>
      <c r="BO859">
        <v>19.843</v>
      </c>
      <c r="BP859"/>
      <c r="BQ859">
        <v>9.9657999999999998</v>
      </c>
      <c r="BR859"/>
      <c r="BS859">
        <v>52.765000000000001</v>
      </c>
      <c r="BT859"/>
      <c r="BU859">
        <v>17.079000000000001</v>
      </c>
      <c r="BV859"/>
      <c r="BW859" s="325">
        <v>10.11</v>
      </c>
      <c r="BX859"/>
      <c r="BY859">
        <v>6.1760000000000019</v>
      </c>
      <c r="BZ859"/>
      <c r="CA859"/>
      <c r="CC859">
        <v>6.74</v>
      </c>
      <c r="CD859"/>
      <c r="CE859"/>
      <c r="CF859"/>
      <c r="CG859"/>
      <c r="CH859"/>
      <c r="CI859"/>
      <c r="CJ859"/>
      <c r="CK859"/>
      <c r="CL859"/>
      <c r="CM859"/>
    </row>
    <row r="860" spans="1:91">
      <c r="A860" s="154" t="s">
        <v>8376</v>
      </c>
      <c r="B860" t="s">
        <v>8287</v>
      </c>
      <c r="C860">
        <v>1</v>
      </c>
      <c r="D860">
        <v>513</v>
      </c>
      <c r="E860" s="113">
        <v>13</v>
      </c>
      <c r="F860" s="113">
        <v>5</v>
      </c>
      <c r="I860">
        <v>26.499999999999996</v>
      </c>
      <c r="K860" s="320">
        <v>9</v>
      </c>
      <c r="L860" s="320"/>
      <c r="M860">
        <v>4.4000000000000004</v>
      </c>
      <c r="N860" s="320"/>
      <c r="O860"/>
      <c r="P860"/>
      <c r="Q860"/>
      <c r="S860" s="320">
        <v>20.781981420600001</v>
      </c>
      <c r="T860" s="320"/>
      <c r="U860">
        <v>10.8</v>
      </c>
      <c r="V860"/>
      <c r="W860"/>
      <c r="X860"/>
      <c r="Y860" s="321">
        <v>7.5895590999999998</v>
      </c>
      <c r="Z860" s="320"/>
      <c r="AA860" s="322">
        <v>114336.0433604336</v>
      </c>
      <c r="AB860" s="320"/>
      <c r="AC860" s="321">
        <v>39.3784584</v>
      </c>
      <c r="AD860" s="320"/>
      <c r="AE860" s="320">
        <v>42.19</v>
      </c>
      <c r="AF860" s="320"/>
      <c r="AG860">
        <v>3.69</v>
      </c>
      <c r="AH860"/>
      <c r="AI860">
        <v>143</v>
      </c>
      <c r="AJ860"/>
      <c r="AK860"/>
      <c r="AL860"/>
      <c r="AM860"/>
      <c r="AN860"/>
      <c r="AO860">
        <v>77</v>
      </c>
      <c r="AP860"/>
      <c r="AQ860" s="323"/>
      <c r="AR860" s="323"/>
      <c r="AS860">
        <v>112</v>
      </c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>
        <v>-0.35413</v>
      </c>
      <c r="BH860"/>
      <c r="BI860">
        <v>4.7526999999999999</v>
      </c>
      <c r="BJ860"/>
      <c r="BK860">
        <v>1.4544999999999999</v>
      </c>
      <c r="BL860"/>
      <c r="BM860">
        <v>62.212000000000003</v>
      </c>
      <c r="BN860"/>
      <c r="BO860">
        <v>21.553999999999998</v>
      </c>
      <c r="BP860"/>
      <c r="BQ860">
        <v>9.4873999999999992</v>
      </c>
      <c r="BR860"/>
      <c r="BS860">
        <v>52.774999999999999</v>
      </c>
      <c r="BT860"/>
      <c r="BU860">
        <v>16.263999999999999</v>
      </c>
      <c r="BV860"/>
      <c r="BW860" s="325">
        <v>11.73</v>
      </c>
      <c r="BX860"/>
      <c r="BY860">
        <v>6.3689999999999998</v>
      </c>
      <c r="BZ860"/>
      <c r="CA860"/>
      <c r="CC860">
        <v>5.76</v>
      </c>
      <c r="CD860"/>
      <c r="CE860"/>
      <c r="CF860"/>
      <c r="CG860"/>
      <c r="CH860"/>
      <c r="CI860"/>
      <c r="CJ860"/>
      <c r="CK860"/>
      <c r="CL860"/>
      <c r="CM860"/>
    </row>
    <row r="861" spans="1:91">
      <c r="A861" s="154" t="s">
        <v>8376</v>
      </c>
      <c r="B861" t="s">
        <v>8289</v>
      </c>
      <c r="C861">
        <v>2</v>
      </c>
      <c r="D861">
        <v>542</v>
      </c>
      <c r="E861" s="113">
        <v>42</v>
      </c>
      <c r="F861" s="113">
        <v>5</v>
      </c>
      <c r="I861">
        <v>27.499999999999996</v>
      </c>
      <c r="K861" s="320">
        <v>8</v>
      </c>
      <c r="L861" s="320"/>
      <c r="M861">
        <v>5.0199999999999996</v>
      </c>
      <c r="N861" s="320"/>
      <c r="O861"/>
      <c r="P861"/>
      <c r="Q861"/>
      <c r="S861" s="320">
        <v>22.153074301809003</v>
      </c>
      <c r="T861" s="320"/>
      <c r="U861">
        <v>10.8</v>
      </c>
      <c r="V861"/>
      <c r="W861"/>
      <c r="X861"/>
      <c r="Y861" s="321">
        <v>9.2118003999999996</v>
      </c>
      <c r="Z861" s="320"/>
      <c r="AA861" s="322">
        <v>125755.20833333334</v>
      </c>
      <c r="AB861" s="320"/>
      <c r="AC861" s="321">
        <v>45.108171900000002</v>
      </c>
      <c r="AD861" s="320"/>
      <c r="AE861" s="320">
        <v>48.29</v>
      </c>
      <c r="AF861" s="320"/>
      <c r="AG861">
        <v>3.84</v>
      </c>
      <c r="AH861"/>
      <c r="AI861">
        <v>140</v>
      </c>
      <c r="AJ861"/>
      <c r="AK861"/>
      <c r="AL861"/>
      <c r="AM861"/>
      <c r="AN861"/>
      <c r="AO861">
        <v>77</v>
      </c>
      <c r="AP861"/>
      <c r="AQ861" s="323"/>
      <c r="AR861" s="323"/>
      <c r="AS861">
        <v>114</v>
      </c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>
        <v>-0.57154000000000005</v>
      </c>
      <c r="BH861"/>
      <c r="BI861">
        <v>5.0156999999999998</v>
      </c>
      <c r="BJ861"/>
      <c r="BK861">
        <v>1.3936999999999999</v>
      </c>
      <c r="BL861"/>
      <c r="BM861">
        <v>56.445999999999998</v>
      </c>
      <c r="BN861"/>
      <c r="BO861">
        <v>22.571999999999999</v>
      </c>
      <c r="BP861"/>
      <c r="BQ861">
        <v>9.9022000000000006</v>
      </c>
      <c r="BR861"/>
      <c r="BS861">
        <v>49.110999999999997</v>
      </c>
      <c r="BT861"/>
      <c r="BU861">
        <v>19.091999999999999</v>
      </c>
      <c r="BV861"/>
      <c r="BW861" s="325">
        <v>13.34</v>
      </c>
      <c r="BX861"/>
      <c r="BY861">
        <v>6.5810000000000031</v>
      </c>
      <c r="BZ861"/>
      <c r="CA861"/>
      <c r="CC861">
        <v>5.46</v>
      </c>
      <c r="CD861"/>
      <c r="CE861"/>
      <c r="CF861"/>
      <c r="CG861"/>
      <c r="CH861"/>
      <c r="CI861"/>
      <c r="CJ861"/>
      <c r="CK861"/>
      <c r="CL861"/>
      <c r="CM861"/>
    </row>
    <row r="862" spans="1:91">
      <c r="A862" s="154" t="s">
        <v>8376</v>
      </c>
      <c r="B862" t="s">
        <v>8287</v>
      </c>
      <c r="C862">
        <v>1</v>
      </c>
      <c r="D862">
        <v>607</v>
      </c>
      <c r="E862" s="113">
        <v>7</v>
      </c>
      <c r="F862" s="113">
        <v>6</v>
      </c>
      <c r="I862">
        <v>26</v>
      </c>
      <c r="K862" s="320">
        <v>9</v>
      </c>
      <c r="L862" s="320"/>
      <c r="M862">
        <v>5.0599999999999996</v>
      </c>
      <c r="N862" s="320"/>
      <c r="O862"/>
      <c r="P862"/>
      <c r="Q862"/>
      <c r="S862" s="320">
        <v>22.950775032096004</v>
      </c>
      <c r="T862" s="320"/>
      <c r="U862">
        <v>10.8</v>
      </c>
      <c r="V862"/>
      <c r="W862"/>
      <c r="X862"/>
      <c r="Y862" s="321">
        <v>8.4185856000000019</v>
      </c>
      <c r="Z862" s="320"/>
      <c r="AA862" s="322">
        <v>126437.99472295515</v>
      </c>
      <c r="AB862" s="320"/>
      <c r="AC862" s="321">
        <v>44.789865600000006</v>
      </c>
      <c r="AD862" s="320"/>
      <c r="AE862" s="320">
        <v>47.92</v>
      </c>
      <c r="AF862" s="320"/>
      <c r="AG862">
        <v>3.79</v>
      </c>
      <c r="AH862"/>
      <c r="AI862">
        <v>155</v>
      </c>
      <c r="AJ862"/>
      <c r="AK862"/>
      <c r="AL862"/>
      <c r="AM862"/>
      <c r="AN862"/>
      <c r="AO862">
        <v>79</v>
      </c>
      <c r="AP862"/>
      <c r="AQ862" s="323"/>
      <c r="AR862" s="323"/>
      <c r="AS862">
        <v>112</v>
      </c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>
        <v>0.60258</v>
      </c>
      <c r="BH862"/>
      <c r="BI862">
        <v>4.7675000000000001</v>
      </c>
      <c r="BJ862"/>
      <c r="BK862">
        <v>1.3889</v>
      </c>
      <c r="BL862"/>
      <c r="BM862">
        <v>61.296999999999997</v>
      </c>
      <c r="BN862"/>
      <c r="BO862">
        <v>21.350999999999999</v>
      </c>
      <c r="BP862"/>
      <c r="BQ862">
        <v>9.6231000000000009</v>
      </c>
      <c r="BR862"/>
      <c r="BS862">
        <v>51.241</v>
      </c>
      <c r="BT862"/>
      <c r="BU862">
        <v>17.620999999999999</v>
      </c>
      <c r="BV862"/>
      <c r="BW862" s="325">
        <v>9.75</v>
      </c>
      <c r="BX862"/>
      <c r="BY862">
        <v>6.3239999999999981</v>
      </c>
      <c r="BZ862"/>
      <c r="CA862"/>
      <c r="CC862">
        <v>6.93</v>
      </c>
      <c r="CD862"/>
      <c r="CE862"/>
      <c r="CF862"/>
      <c r="CG862"/>
      <c r="CH862"/>
      <c r="CI862"/>
      <c r="CJ862"/>
      <c r="CK862"/>
      <c r="CL862"/>
      <c r="CM862"/>
    </row>
    <row r="863" spans="1:91">
      <c r="A863" s="154" t="s">
        <v>8376</v>
      </c>
      <c r="B863" t="s">
        <v>8287</v>
      </c>
      <c r="C863">
        <v>1</v>
      </c>
      <c r="D863">
        <v>713</v>
      </c>
      <c r="E863" s="113">
        <v>13</v>
      </c>
      <c r="F863" s="113">
        <v>7</v>
      </c>
      <c r="I863">
        <v>23.5</v>
      </c>
      <c r="K863" s="320">
        <v>9</v>
      </c>
      <c r="L863" s="320"/>
      <c r="M863">
        <v>4.9800000000000004</v>
      </c>
      <c r="N863" s="320"/>
      <c r="O863"/>
      <c r="P863"/>
      <c r="Q863"/>
      <c r="S863" s="320">
        <v>22.76530868703</v>
      </c>
      <c r="T863" s="320"/>
      <c r="U863">
        <v>10.8</v>
      </c>
      <c r="V863"/>
      <c r="W863"/>
      <c r="X863"/>
      <c r="Y863" s="321">
        <v>8.8904864999999997</v>
      </c>
      <c r="Z863" s="320"/>
      <c r="AA863" s="322">
        <v>125078.94736842105</v>
      </c>
      <c r="AB863" s="320"/>
      <c r="AC863" s="321">
        <v>44.255183000000002</v>
      </c>
      <c r="AD863" s="320"/>
      <c r="AE863" s="320">
        <v>47.53</v>
      </c>
      <c r="AF863" s="320"/>
      <c r="AG863">
        <v>3.8</v>
      </c>
      <c r="AH863"/>
      <c r="AI863">
        <v>143</v>
      </c>
      <c r="AJ863"/>
      <c r="AK863"/>
      <c r="AL863"/>
      <c r="AM863"/>
      <c r="AN863"/>
      <c r="AO863">
        <v>77</v>
      </c>
      <c r="AP863"/>
      <c r="AQ863" s="323"/>
      <c r="AR863" s="323"/>
      <c r="AS863">
        <v>112</v>
      </c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>
        <v>-0.90674999999999994</v>
      </c>
      <c r="BH863"/>
      <c r="BI863">
        <v>4.66</v>
      </c>
      <c r="BJ863"/>
      <c r="BK863">
        <v>1.5236000000000001</v>
      </c>
      <c r="BL863"/>
      <c r="BM863">
        <v>62.935000000000002</v>
      </c>
      <c r="BN863"/>
      <c r="BO863">
        <v>21.722000000000001</v>
      </c>
      <c r="BP863"/>
      <c r="BQ863">
        <v>9.0417000000000005</v>
      </c>
      <c r="BR863"/>
      <c r="BS863">
        <v>51.441000000000003</v>
      </c>
      <c r="BT863"/>
      <c r="BU863">
        <v>17.5</v>
      </c>
      <c r="BV863"/>
      <c r="BW863" s="325">
        <v>7.42</v>
      </c>
      <c r="BX863"/>
      <c r="BY863">
        <v>6.311000000000007</v>
      </c>
      <c r="BZ863"/>
      <c r="CA863"/>
      <c r="CC863">
        <v>6.2</v>
      </c>
      <c r="CD863"/>
      <c r="CE863"/>
      <c r="CF863"/>
      <c r="CG863"/>
      <c r="CH863"/>
      <c r="CI863"/>
      <c r="CJ863"/>
      <c r="CK863"/>
      <c r="CL863"/>
      <c r="CM863"/>
    </row>
    <row r="864" spans="1:91">
      <c r="A864" s="154" t="s">
        <v>8376</v>
      </c>
      <c r="B864" t="s">
        <v>8289</v>
      </c>
      <c r="C864">
        <v>2</v>
      </c>
      <c r="D864">
        <v>746</v>
      </c>
      <c r="E864" s="113">
        <v>46</v>
      </c>
      <c r="F864" s="113">
        <v>7</v>
      </c>
      <c r="I864">
        <v>22.5</v>
      </c>
      <c r="K864" s="320">
        <v>9</v>
      </c>
      <c r="L864" s="320"/>
      <c r="M864">
        <v>3.5</v>
      </c>
      <c r="N864" s="320"/>
      <c r="O864"/>
      <c r="P864"/>
      <c r="Q864"/>
      <c r="S864" s="320">
        <v>16.388040225288002</v>
      </c>
      <c r="T864" s="320"/>
      <c r="U864">
        <v>10.8</v>
      </c>
      <c r="V864"/>
      <c r="W864"/>
      <c r="X864"/>
      <c r="Y864" s="321">
        <v>6.7342211999999995</v>
      </c>
      <c r="Z864" s="320"/>
      <c r="AA864" s="322">
        <v>84723.618090452263</v>
      </c>
      <c r="AB864" s="320"/>
      <c r="AC864" s="321">
        <v>31.5555132</v>
      </c>
      <c r="AD864" s="320"/>
      <c r="AE864" s="320">
        <v>33.72</v>
      </c>
      <c r="AF864" s="320"/>
      <c r="AG864">
        <v>3.98</v>
      </c>
      <c r="AH864"/>
      <c r="AI864">
        <v>140</v>
      </c>
      <c r="AJ864"/>
      <c r="AK864"/>
      <c r="AL864"/>
      <c r="AM864"/>
      <c r="AN864"/>
      <c r="AO864">
        <v>77</v>
      </c>
      <c r="AP864"/>
      <c r="AQ864" s="323"/>
      <c r="AR864" s="323"/>
      <c r="AS864">
        <v>112</v>
      </c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>
        <v>2.6867000000000001</v>
      </c>
      <c r="BH864"/>
      <c r="BI864">
        <v>4.6566999999999998</v>
      </c>
      <c r="BJ864"/>
      <c r="BK864">
        <v>1.3943000000000001</v>
      </c>
      <c r="BL864"/>
      <c r="BM864">
        <v>56.073999999999998</v>
      </c>
      <c r="BN864"/>
      <c r="BO864">
        <v>21.390999999999998</v>
      </c>
      <c r="BP864"/>
      <c r="BQ864">
        <v>9.6517999999999997</v>
      </c>
      <c r="BR864"/>
      <c r="BS864">
        <v>51.933999999999997</v>
      </c>
      <c r="BT864"/>
      <c r="BU864">
        <v>17.338999999999999</v>
      </c>
      <c r="BV864"/>
      <c r="BW864" s="325">
        <v>6.33</v>
      </c>
      <c r="BX864"/>
      <c r="BY864">
        <v>6.1949999999999932</v>
      </c>
      <c r="BZ864"/>
      <c r="CA864"/>
      <c r="CC864">
        <v>5.31</v>
      </c>
      <c r="CD864"/>
      <c r="CE864"/>
      <c r="CF864"/>
      <c r="CG864"/>
      <c r="CH864"/>
      <c r="CI864"/>
      <c r="CJ864"/>
      <c r="CK864"/>
      <c r="CL864"/>
      <c r="CM864"/>
    </row>
    <row r="865" spans="1:91">
      <c r="A865" s="327" t="s">
        <v>8376</v>
      </c>
      <c r="B865" s="328" t="s">
        <v>8289</v>
      </c>
      <c r="C865" s="328">
        <v>2</v>
      </c>
      <c r="D865" s="328">
        <v>873</v>
      </c>
      <c r="E865" s="113">
        <v>73</v>
      </c>
      <c r="F865" s="113">
        <v>8</v>
      </c>
      <c r="G865" s="329"/>
      <c r="H865" s="329"/>
      <c r="I865" s="328">
        <v>27.999999999999996</v>
      </c>
      <c r="J865" s="330"/>
      <c r="K865" s="331">
        <v>8</v>
      </c>
      <c r="L865" s="331"/>
      <c r="M865" s="328">
        <v>3.95</v>
      </c>
      <c r="N865" s="331"/>
      <c r="O865" s="328"/>
      <c r="P865" s="328"/>
      <c r="Q865" s="328"/>
      <c r="R865" s="332"/>
      <c r="S865" s="331">
        <v>17.289949303861</v>
      </c>
      <c r="T865" s="331"/>
      <c r="U865" s="328">
        <v>10.8</v>
      </c>
      <c r="V865" s="328"/>
      <c r="W865" s="328"/>
      <c r="X865" s="328"/>
      <c r="Y865" s="333">
        <v>8.0816127000000009</v>
      </c>
      <c r="Z865" s="331"/>
      <c r="AA865" s="334">
        <v>82947.598253275122</v>
      </c>
      <c r="AB865" s="331"/>
      <c r="AC865" s="333">
        <v>35.287771300000003</v>
      </c>
      <c r="AD865" s="331"/>
      <c r="AE865" s="331">
        <v>37.99</v>
      </c>
      <c r="AF865" s="331"/>
      <c r="AG865" s="328">
        <v>4.58</v>
      </c>
      <c r="AH865" s="328"/>
      <c r="AI865" s="328">
        <v>130</v>
      </c>
      <c r="AJ865" s="328"/>
      <c r="AK865" s="328"/>
      <c r="AL865" s="328"/>
      <c r="AM865" s="328"/>
      <c r="AN865" s="328"/>
      <c r="AO865" s="328">
        <v>79</v>
      </c>
      <c r="AP865" s="328"/>
      <c r="AQ865" s="335"/>
      <c r="AR865" s="335"/>
      <c r="AS865" s="328">
        <v>112</v>
      </c>
      <c r="AT865" s="328"/>
      <c r="AU865" s="328"/>
      <c r="AV865" s="328"/>
      <c r="AW865" s="328"/>
      <c r="AX865" s="328"/>
      <c r="AY865" s="328"/>
      <c r="AZ865" s="328"/>
      <c r="BA865" s="328"/>
      <c r="BB865" s="328"/>
      <c r="BC865" s="328"/>
      <c r="BD865" s="328"/>
      <c r="BE865" s="328"/>
      <c r="BF865" s="328"/>
      <c r="BG865" s="328">
        <v>-5.5656999999999996</v>
      </c>
      <c r="BH865" s="328"/>
      <c r="BI865" s="328">
        <v>4.8756000000000004</v>
      </c>
      <c r="BJ865" s="328"/>
      <c r="BK865" s="328">
        <v>1.5103</v>
      </c>
      <c r="BL865" s="328"/>
      <c r="BM865" s="328">
        <v>60.283000000000001</v>
      </c>
      <c r="BN865" s="328"/>
      <c r="BO865" s="328">
        <v>20.692</v>
      </c>
      <c r="BP865" s="328"/>
      <c r="BQ865" s="328">
        <v>9.6387</v>
      </c>
      <c r="BR865" s="328"/>
      <c r="BS865" s="328">
        <v>48.997</v>
      </c>
      <c r="BT865" s="328"/>
      <c r="BU865" s="328">
        <v>19.286000000000001</v>
      </c>
      <c r="BV865" s="328"/>
      <c r="BW865" s="336">
        <v>8.7799999999999994</v>
      </c>
      <c r="BX865" s="328"/>
      <c r="BY865" s="328">
        <v>6.6140000000000043</v>
      </c>
      <c r="BZ865" s="328"/>
      <c r="CA865" s="328"/>
      <c r="CB865" s="337"/>
      <c r="CC865" s="328">
        <v>5.47</v>
      </c>
      <c r="CD865" s="328"/>
      <c r="CE865" s="328"/>
      <c r="CF865" s="328"/>
      <c r="CG865" s="328"/>
      <c r="CH865" s="328"/>
      <c r="CI865" s="328"/>
      <c r="CJ865" s="328"/>
      <c r="CK865" s="328" t="s">
        <v>8377</v>
      </c>
      <c r="CL865" s="328"/>
      <c r="CM865" s="328"/>
    </row>
    <row r="866" spans="1:91">
      <c r="A866" s="327" t="s">
        <v>8376</v>
      </c>
      <c r="B866" s="328" t="s">
        <v>8289</v>
      </c>
      <c r="C866" s="328">
        <v>2</v>
      </c>
      <c r="D866" s="328">
        <v>951</v>
      </c>
      <c r="E866" s="113">
        <v>51</v>
      </c>
      <c r="F866" s="113">
        <v>9</v>
      </c>
      <c r="G866" s="329"/>
      <c r="H866" s="329"/>
      <c r="I866" s="328">
        <v>36</v>
      </c>
      <c r="J866" s="330"/>
      <c r="K866" s="331">
        <v>8</v>
      </c>
      <c r="L866" s="331"/>
      <c r="M866" s="328">
        <v>3.73</v>
      </c>
      <c r="N866" s="331"/>
      <c r="O866" s="328"/>
      <c r="P866" s="328"/>
      <c r="Q866" s="328"/>
      <c r="R866" s="332"/>
      <c r="S866" s="331">
        <v>16.482382271568</v>
      </c>
      <c r="T866" s="331"/>
      <c r="U866" s="328">
        <v>10.8</v>
      </c>
      <c r="V866" s="328"/>
      <c r="W866" s="328"/>
      <c r="X866" s="328"/>
      <c r="Y866" s="333">
        <v>7.5216263999999988</v>
      </c>
      <c r="Z866" s="331"/>
      <c r="AA866" s="334">
        <v>87292.682926829279</v>
      </c>
      <c r="AB866" s="331"/>
      <c r="AC866" s="333">
        <v>33.305816100000001</v>
      </c>
      <c r="AD866" s="331"/>
      <c r="AE866" s="331">
        <v>35.79</v>
      </c>
      <c r="AF866" s="331"/>
      <c r="AG866" s="328">
        <v>4.0999999999999996</v>
      </c>
      <c r="AH866" s="328"/>
      <c r="AI866" s="328">
        <v>108</v>
      </c>
      <c r="AJ866" s="328"/>
      <c r="AK866" s="328"/>
      <c r="AL866" s="328"/>
      <c r="AM866" s="328"/>
      <c r="AN866" s="328"/>
      <c r="AO866" s="328">
        <v>77</v>
      </c>
      <c r="AP866" s="328"/>
      <c r="AQ866" s="335"/>
      <c r="AR866" s="335"/>
      <c r="AS866" s="328">
        <v>114</v>
      </c>
      <c r="AT866" s="328"/>
      <c r="AU866" s="328"/>
      <c r="AV866" s="328"/>
      <c r="AW866" s="328"/>
      <c r="AX866" s="328"/>
      <c r="AY866" s="328"/>
      <c r="AZ866" s="328"/>
      <c r="BA866" s="328"/>
      <c r="BB866" s="328"/>
      <c r="BC866" s="328"/>
      <c r="BD866" s="328"/>
      <c r="BE866" s="328"/>
      <c r="BF866" s="328"/>
      <c r="BG866" s="328">
        <v>1.2661</v>
      </c>
      <c r="BH866" s="328"/>
      <c r="BI866" s="328">
        <v>5.0101000000000004</v>
      </c>
      <c r="BJ866" s="328"/>
      <c r="BK866" s="328">
        <v>1.4328000000000001</v>
      </c>
      <c r="BL866" s="328"/>
      <c r="BM866" s="328">
        <v>58.959000000000003</v>
      </c>
      <c r="BN866" s="328"/>
      <c r="BO866" s="328">
        <v>20.882000000000001</v>
      </c>
      <c r="BP866" s="328"/>
      <c r="BQ866" s="328">
        <v>9.8574000000000002</v>
      </c>
      <c r="BR866" s="328"/>
      <c r="BS866" s="328">
        <v>49.488</v>
      </c>
      <c r="BT866" s="328"/>
      <c r="BU866" s="328">
        <v>18.670000000000002</v>
      </c>
      <c r="BV866" s="328"/>
      <c r="BW866" s="336">
        <v>5.91</v>
      </c>
      <c r="BX866" s="328"/>
      <c r="BY866" s="328">
        <v>6.304000000000002</v>
      </c>
      <c r="BZ866" s="328"/>
      <c r="CA866" s="328"/>
      <c r="CB866" s="337"/>
      <c r="CC866" s="328">
        <v>5.69</v>
      </c>
      <c r="CD866" s="328"/>
      <c r="CE866" s="328"/>
      <c r="CF866" s="328"/>
      <c r="CG866" s="328"/>
      <c r="CH866" s="328"/>
      <c r="CI866" s="328"/>
      <c r="CJ866" s="328"/>
      <c r="CK866" s="328" t="s">
        <v>8377</v>
      </c>
      <c r="CL866" s="328"/>
      <c r="CM866" s="328"/>
    </row>
    <row r="867" spans="1:91">
      <c r="A867" s="327" t="s">
        <v>8376</v>
      </c>
      <c r="B867" s="328" t="s">
        <v>8289</v>
      </c>
      <c r="C867" s="328">
        <v>2</v>
      </c>
      <c r="D867" s="328">
        <v>955</v>
      </c>
      <c r="E867" s="113">
        <v>55</v>
      </c>
      <c r="F867" s="113">
        <v>9</v>
      </c>
      <c r="G867" s="329"/>
      <c r="H867" s="329"/>
      <c r="I867" s="328">
        <v>36</v>
      </c>
      <c r="J867" s="330"/>
      <c r="K867" s="331">
        <v>8</v>
      </c>
      <c r="L867" s="331"/>
      <c r="M867" s="328">
        <v>3.3</v>
      </c>
      <c r="N867" s="331"/>
      <c r="O867" s="328"/>
      <c r="P867" s="328"/>
      <c r="Q867" s="328"/>
      <c r="R867" s="332"/>
      <c r="S867" s="331">
        <v>14.870209724087999</v>
      </c>
      <c r="T867" s="331"/>
      <c r="U867" s="328">
        <v>10.8</v>
      </c>
      <c r="V867" s="328"/>
      <c r="W867" s="328"/>
      <c r="X867" s="328"/>
      <c r="Y867" s="333">
        <v>5.9110428000000006</v>
      </c>
      <c r="Z867" s="331"/>
      <c r="AA867" s="334">
        <v>76192.77108433735</v>
      </c>
      <c r="AB867" s="331"/>
      <c r="AC867" s="333">
        <v>29.676318599999998</v>
      </c>
      <c r="AD867" s="331"/>
      <c r="AE867" s="331">
        <v>31.62</v>
      </c>
      <c r="AF867" s="331"/>
      <c r="AG867" s="328">
        <v>4.1500000000000004</v>
      </c>
      <c r="AH867" s="328"/>
      <c r="AI867" s="328">
        <v>103</v>
      </c>
      <c r="AJ867" s="328"/>
      <c r="AK867" s="328"/>
      <c r="AL867" s="328"/>
      <c r="AM867" s="328"/>
      <c r="AN867" s="328"/>
      <c r="AO867" s="328">
        <v>80</v>
      </c>
      <c r="AP867" s="328"/>
      <c r="AQ867" s="335"/>
      <c r="AR867" s="335"/>
      <c r="AS867" s="328">
        <v>114</v>
      </c>
      <c r="AT867" s="328"/>
      <c r="AU867" s="328"/>
      <c r="AV867" s="328"/>
      <c r="AW867" s="328"/>
      <c r="AX867" s="328"/>
      <c r="AY867" s="328"/>
      <c r="AZ867" s="328"/>
      <c r="BA867" s="328"/>
      <c r="BB867" s="328"/>
      <c r="BC867" s="328"/>
      <c r="BD867" s="328"/>
      <c r="BE867" s="328"/>
      <c r="BF867" s="328"/>
      <c r="BG867" s="328">
        <v>-0.16073999999999999</v>
      </c>
      <c r="BH867" s="328"/>
      <c r="BI867" s="328">
        <v>4.6425000000000001</v>
      </c>
      <c r="BJ867" s="328"/>
      <c r="BK867" s="328">
        <v>1.5689</v>
      </c>
      <c r="BL867" s="328"/>
      <c r="BM867" s="328">
        <v>61.694000000000003</v>
      </c>
      <c r="BN867" s="328"/>
      <c r="BO867" s="328">
        <v>20.132000000000001</v>
      </c>
      <c r="BP867" s="328"/>
      <c r="BQ867" s="328">
        <v>10.324</v>
      </c>
      <c r="BR867" s="328"/>
      <c r="BS867" s="328">
        <v>50.107999999999997</v>
      </c>
      <c r="BT867" s="328"/>
      <c r="BU867" s="328">
        <v>18.452999999999999</v>
      </c>
      <c r="BV867" s="328"/>
      <c r="BW867" s="336">
        <v>10.02</v>
      </c>
      <c r="BX867" s="328"/>
      <c r="BY867" s="328">
        <v>6.222999999999999</v>
      </c>
      <c r="BZ867" s="328"/>
      <c r="CA867" s="328"/>
      <c r="CB867" s="337"/>
      <c r="CC867" s="328">
        <v>5.83</v>
      </c>
      <c r="CD867" s="328"/>
      <c r="CE867" s="328"/>
      <c r="CF867" s="328"/>
      <c r="CG867" s="328"/>
      <c r="CH867" s="328"/>
      <c r="CI867" s="328"/>
      <c r="CJ867" s="328"/>
      <c r="CK867" s="328" t="s">
        <v>8377</v>
      </c>
      <c r="CL867" s="328"/>
      <c r="CM867" s="328"/>
    </row>
    <row r="868" spans="1:91">
      <c r="A868" s="154" t="s">
        <v>8376</v>
      </c>
      <c r="B868" t="s">
        <v>8287</v>
      </c>
      <c r="C868">
        <v>2</v>
      </c>
      <c r="D868">
        <v>1044</v>
      </c>
      <c r="E868" s="113">
        <v>44</v>
      </c>
      <c r="F868" s="113">
        <v>10</v>
      </c>
      <c r="I868">
        <v>28.5</v>
      </c>
      <c r="K868" s="320">
        <v>9</v>
      </c>
      <c r="L868" s="320"/>
      <c r="M868">
        <v>3.71</v>
      </c>
      <c r="N868" s="320"/>
      <c r="O868"/>
      <c r="P868"/>
      <c r="Q868"/>
      <c r="S868" s="320">
        <v>16.388899165184</v>
      </c>
      <c r="T868" s="320"/>
      <c r="U868">
        <v>10.8</v>
      </c>
      <c r="V868"/>
      <c r="W868"/>
      <c r="X868"/>
      <c r="Y868" s="321">
        <v>7.4813377999999986</v>
      </c>
      <c r="Z868" s="320"/>
      <c r="AA868" s="322">
        <v>100252.80898876402</v>
      </c>
      <c r="AB868" s="320"/>
      <c r="AC868" s="321">
        <v>33.257369599999997</v>
      </c>
      <c r="AD868" s="320"/>
      <c r="AE868" s="320">
        <v>35.69</v>
      </c>
      <c r="AF868" s="320"/>
      <c r="AG868">
        <v>3.56</v>
      </c>
      <c r="AH868"/>
      <c r="AI868">
        <v>135</v>
      </c>
      <c r="AJ868"/>
      <c r="AK868"/>
      <c r="AL868"/>
      <c r="AM868"/>
      <c r="AN868"/>
      <c r="AO868">
        <v>77</v>
      </c>
      <c r="AP868"/>
      <c r="AQ868" s="323"/>
      <c r="AR868" s="323"/>
      <c r="AS868">
        <v>112</v>
      </c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>
        <v>0.91881999999999997</v>
      </c>
      <c r="BH868"/>
      <c r="BI868">
        <v>4.7153999999999998</v>
      </c>
      <c r="BJ868"/>
      <c r="BK868">
        <v>1.4857</v>
      </c>
      <c r="BL868"/>
      <c r="BM868">
        <v>62.438000000000002</v>
      </c>
      <c r="BN868"/>
      <c r="BO868">
        <v>21.478999999999999</v>
      </c>
      <c r="BP868"/>
      <c r="BQ868">
        <v>9.9082000000000008</v>
      </c>
      <c r="BR868"/>
      <c r="BS868">
        <v>49.279000000000003</v>
      </c>
      <c r="BT868"/>
      <c r="BU868">
        <v>18.896999999999998</v>
      </c>
      <c r="BV868"/>
      <c r="BW868" s="325">
        <v>9.94</v>
      </c>
      <c r="BX868"/>
      <c r="BY868">
        <v>6.4129999999999967</v>
      </c>
      <c r="BZ868"/>
      <c r="CA868"/>
      <c r="CC868">
        <v>5.45</v>
      </c>
      <c r="CD868"/>
      <c r="CE868"/>
      <c r="CF868"/>
      <c r="CG868"/>
      <c r="CH868"/>
      <c r="CI868"/>
      <c r="CJ868"/>
      <c r="CK868"/>
      <c r="CL868"/>
      <c r="CM868"/>
    </row>
    <row r="869" spans="1:91">
      <c r="A869" s="154" t="s">
        <v>8376</v>
      </c>
      <c r="B869" t="s">
        <v>8287</v>
      </c>
      <c r="C869">
        <v>2</v>
      </c>
      <c r="D869">
        <v>1150</v>
      </c>
      <c r="E869" s="113">
        <v>50</v>
      </c>
      <c r="F869" s="113">
        <v>11</v>
      </c>
      <c r="I869">
        <v>29.5</v>
      </c>
      <c r="K869" s="320">
        <v>9</v>
      </c>
      <c r="L869" s="320"/>
      <c r="M869">
        <v>3.98</v>
      </c>
      <c r="N869" s="320"/>
      <c r="O869"/>
      <c r="P869"/>
      <c r="Q869"/>
      <c r="S869" s="320">
        <v>18.691797188063997</v>
      </c>
      <c r="T869" s="320"/>
      <c r="U869">
        <v>10.8</v>
      </c>
      <c r="V869"/>
      <c r="W869"/>
      <c r="X869"/>
      <c r="Y869" s="321">
        <v>5.7108324000000001</v>
      </c>
      <c r="Z869" s="320"/>
      <c r="AA869" s="322">
        <v>109827.58620689655</v>
      </c>
      <c r="AB869" s="320"/>
      <c r="AC869" s="321">
        <v>35.819019599999997</v>
      </c>
      <c r="AD869" s="320"/>
      <c r="AE869" s="320">
        <v>38.22</v>
      </c>
      <c r="AF869" s="320"/>
      <c r="AG869">
        <v>3.48</v>
      </c>
      <c r="AH869"/>
      <c r="AI869">
        <v>138</v>
      </c>
      <c r="AJ869"/>
      <c r="AK869"/>
      <c r="AL869"/>
      <c r="AM869"/>
      <c r="AN869"/>
      <c r="AO869">
        <v>77</v>
      </c>
      <c r="AP869"/>
      <c r="AQ869" s="323"/>
      <c r="AR869" s="323"/>
      <c r="AS869">
        <v>112</v>
      </c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>
        <v>2.2826</v>
      </c>
      <c r="BH869"/>
      <c r="BI869">
        <v>4.6656000000000004</v>
      </c>
      <c r="BJ869"/>
      <c r="BK869">
        <v>1.4581</v>
      </c>
      <c r="BL869"/>
      <c r="BM869">
        <v>60.2</v>
      </c>
      <c r="BN869"/>
      <c r="BO869">
        <v>20.873999999999999</v>
      </c>
      <c r="BP869"/>
      <c r="BQ869">
        <v>9.4494000000000007</v>
      </c>
      <c r="BR869"/>
      <c r="BS869">
        <v>52.183999999999997</v>
      </c>
      <c r="BT869"/>
      <c r="BU869">
        <v>16.719000000000001</v>
      </c>
      <c r="BV869"/>
      <c r="BW869" s="325">
        <v>7.83</v>
      </c>
      <c r="BX869"/>
      <c r="BY869">
        <v>6.3850000000000051</v>
      </c>
      <c r="BZ869"/>
      <c r="CA869"/>
      <c r="CC869">
        <v>5.61</v>
      </c>
      <c r="CD869"/>
      <c r="CE869"/>
      <c r="CF869"/>
      <c r="CG869"/>
      <c r="CH869"/>
      <c r="CI869"/>
      <c r="CJ869"/>
      <c r="CK869"/>
      <c r="CL869"/>
      <c r="CM869"/>
    </row>
    <row r="870" spans="1:91">
      <c r="A870" s="154" t="s">
        <v>8376</v>
      </c>
      <c r="B870" t="s">
        <v>8287</v>
      </c>
      <c r="C870">
        <v>2</v>
      </c>
      <c r="D870">
        <v>1174</v>
      </c>
      <c r="E870" s="113">
        <v>74</v>
      </c>
      <c r="F870" s="113">
        <v>11</v>
      </c>
      <c r="I870">
        <v>35.499999999999993</v>
      </c>
      <c r="K870" s="320">
        <v>9</v>
      </c>
      <c r="L870" s="320"/>
      <c r="M870">
        <v>4.38</v>
      </c>
      <c r="N870" s="320"/>
      <c r="O870"/>
      <c r="P870"/>
      <c r="Q870"/>
      <c r="S870" s="320">
        <v>20.378569326719997</v>
      </c>
      <c r="T870" s="320"/>
      <c r="U870">
        <v>10.8</v>
      </c>
      <c r="V870"/>
      <c r="W870"/>
      <c r="X870"/>
      <c r="Y870" s="321">
        <v>7.3594751999999994</v>
      </c>
      <c r="Z870" s="320"/>
      <c r="AA870" s="322">
        <v>116043.95604395604</v>
      </c>
      <c r="AB870" s="320"/>
      <c r="AC870" s="321">
        <v>39.471167999999999</v>
      </c>
      <c r="AD870" s="320"/>
      <c r="AE870" s="320">
        <v>42.24</v>
      </c>
      <c r="AF870" s="320"/>
      <c r="AG870">
        <v>3.64</v>
      </c>
      <c r="AH870"/>
      <c r="AI870">
        <v>130</v>
      </c>
      <c r="AJ870"/>
      <c r="AK870"/>
      <c r="AL870"/>
      <c r="AM870"/>
      <c r="AN870"/>
      <c r="AO870">
        <v>79</v>
      </c>
      <c r="AP870"/>
      <c r="AQ870" s="323"/>
      <c r="AR870" s="323"/>
      <c r="AS870">
        <v>112</v>
      </c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>
        <v>2.6011000000000002</v>
      </c>
      <c r="BH870"/>
      <c r="BI870">
        <v>4.7373000000000003</v>
      </c>
      <c r="BJ870"/>
      <c r="BK870">
        <v>1.4517</v>
      </c>
      <c r="BL870"/>
      <c r="BM870">
        <v>58.244999999999997</v>
      </c>
      <c r="BN870"/>
      <c r="BO870">
        <v>21.802</v>
      </c>
      <c r="BP870"/>
      <c r="BQ870">
        <v>9.3315000000000001</v>
      </c>
      <c r="BR870"/>
      <c r="BS870">
        <v>51.628999999999998</v>
      </c>
      <c r="BT870"/>
      <c r="BU870">
        <v>16.888999999999999</v>
      </c>
      <c r="BV870"/>
      <c r="BW870" s="325">
        <v>7.08</v>
      </c>
      <c r="BX870"/>
      <c r="BY870">
        <v>6.5229999999999961</v>
      </c>
      <c r="BZ870"/>
      <c r="CA870"/>
      <c r="CC870">
        <v>5.21</v>
      </c>
      <c r="CD870"/>
      <c r="CE870"/>
      <c r="CF870"/>
      <c r="CG870"/>
      <c r="CH870"/>
      <c r="CI870"/>
      <c r="CJ870"/>
      <c r="CK870"/>
      <c r="CL870"/>
      <c r="CM870"/>
    </row>
    <row r="871" spans="1:91">
      <c r="A871" s="154" t="s">
        <v>8376</v>
      </c>
      <c r="B871" t="s">
        <v>8289</v>
      </c>
      <c r="C871">
        <v>1</v>
      </c>
      <c r="D871">
        <v>1104</v>
      </c>
      <c r="E871" s="113">
        <v>4</v>
      </c>
      <c r="F871" s="113">
        <v>11</v>
      </c>
      <c r="I871">
        <v>28.999999999999996</v>
      </c>
      <c r="K871" s="320">
        <v>9</v>
      </c>
      <c r="L871" s="320"/>
      <c r="M871">
        <v>5.1100000000000003</v>
      </c>
      <c r="N871" s="320"/>
      <c r="O871"/>
      <c r="P871"/>
      <c r="Q871"/>
      <c r="S871" s="320">
        <v>23.171270634761999</v>
      </c>
      <c r="T871" s="320"/>
      <c r="U871">
        <v>10.8</v>
      </c>
      <c r="V871"/>
      <c r="W871"/>
      <c r="X871"/>
      <c r="Y871" s="321">
        <v>9.5246037000000001</v>
      </c>
      <c r="Z871" s="320"/>
      <c r="AA871" s="322">
        <v>130431.26684636119</v>
      </c>
      <c r="AB871" s="320"/>
      <c r="AC871" s="321">
        <v>45.304169700000003</v>
      </c>
      <c r="AD871" s="320"/>
      <c r="AE871" s="320">
        <v>48.39</v>
      </c>
      <c r="AF871" s="320"/>
      <c r="AG871">
        <v>3.71</v>
      </c>
      <c r="AH871"/>
      <c r="AI871">
        <v>138</v>
      </c>
      <c r="AJ871"/>
      <c r="AK871"/>
      <c r="AL871"/>
      <c r="AM871"/>
      <c r="AN871"/>
      <c r="AO871">
        <v>79</v>
      </c>
      <c r="AP871"/>
      <c r="AQ871" s="323"/>
      <c r="AR871" s="323"/>
      <c r="AS871">
        <v>112</v>
      </c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>
        <v>-2.8736000000000002</v>
      </c>
      <c r="BH871"/>
      <c r="BI871">
        <v>4.7245999999999997</v>
      </c>
      <c r="BJ871"/>
      <c r="BK871">
        <v>1.4725999999999999</v>
      </c>
      <c r="BL871"/>
      <c r="BM871">
        <v>61.082999999999998</v>
      </c>
      <c r="BN871"/>
      <c r="BO871">
        <v>20.366</v>
      </c>
      <c r="BP871"/>
      <c r="BQ871">
        <v>9.7844999999999995</v>
      </c>
      <c r="BR871"/>
      <c r="BS871">
        <v>51.146000000000001</v>
      </c>
      <c r="BT871"/>
      <c r="BU871">
        <v>18.167999999999999</v>
      </c>
      <c r="BV871"/>
      <c r="BW871" s="325">
        <v>10.55</v>
      </c>
      <c r="BX871"/>
      <c r="BY871">
        <v>6.5480000000000018</v>
      </c>
      <c r="BZ871"/>
      <c r="CA871"/>
      <c r="CC871">
        <v>6.93</v>
      </c>
      <c r="CD871"/>
      <c r="CE871"/>
      <c r="CF871"/>
      <c r="CG871"/>
      <c r="CH871"/>
      <c r="CI871"/>
      <c r="CJ871"/>
      <c r="CK871"/>
      <c r="CL871"/>
      <c r="CM871"/>
    </row>
    <row r="872" spans="1:91">
      <c r="A872" s="154" t="s">
        <v>8376</v>
      </c>
      <c r="B872" t="s">
        <v>8289</v>
      </c>
      <c r="C872">
        <v>1</v>
      </c>
      <c r="D872">
        <v>1135</v>
      </c>
      <c r="E872" s="113">
        <v>35</v>
      </c>
      <c r="F872" s="113">
        <v>11</v>
      </c>
      <c r="I872">
        <v>28.999999999999996</v>
      </c>
      <c r="K872" s="320">
        <v>8</v>
      </c>
      <c r="L872" s="320"/>
      <c r="M872">
        <v>4.6900000000000004</v>
      </c>
      <c r="N872" s="320"/>
      <c r="O872"/>
      <c r="P872"/>
      <c r="Q872"/>
      <c r="S872" s="320">
        <v>20.195620941888002</v>
      </c>
      <c r="T872" s="320"/>
      <c r="U872">
        <v>10.8</v>
      </c>
      <c r="V872"/>
      <c r="W872"/>
      <c r="X872"/>
      <c r="Y872" s="321">
        <v>8.969510399999999</v>
      </c>
      <c r="Z872" s="320"/>
      <c r="AA872" s="322">
        <v>115197.88918205803</v>
      </c>
      <c r="AB872" s="320"/>
      <c r="AC872" s="321">
        <v>40.7819328</v>
      </c>
      <c r="AD872" s="320"/>
      <c r="AE872" s="320">
        <v>43.66</v>
      </c>
      <c r="AF872" s="320"/>
      <c r="AG872">
        <v>3.79</v>
      </c>
      <c r="AH872"/>
      <c r="AI872">
        <v>133</v>
      </c>
      <c r="AJ872"/>
      <c r="AK872"/>
      <c r="AL872"/>
      <c r="AM872"/>
      <c r="AN872"/>
      <c r="AO872">
        <v>79</v>
      </c>
      <c r="AP872"/>
      <c r="AQ872" s="323"/>
      <c r="AR872" s="323"/>
      <c r="AS872">
        <v>112</v>
      </c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>
        <v>1.9326000000000001</v>
      </c>
      <c r="BH872"/>
      <c r="BI872">
        <v>4.6755000000000004</v>
      </c>
      <c r="BJ872"/>
      <c r="BK872">
        <v>1.3974</v>
      </c>
      <c r="BL872"/>
      <c r="BM872">
        <v>55.850999999999999</v>
      </c>
      <c r="BN872"/>
      <c r="BO872">
        <v>20.431000000000001</v>
      </c>
      <c r="BP872"/>
      <c r="BQ872">
        <v>10.667999999999999</v>
      </c>
      <c r="BR872"/>
      <c r="BS872">
        <v>49.521000000000001</v>
      </c>
      <c r="BT872"/>
      <c r="BU872">
        <v>19.312999999999999</v>
      </c>
      <c r="BV872"/>
      <c r="BW872" s="325">
        <v>10.65</v>
      </c>
      <c r="BX872"/>
      <c r="BY872">
        <v>6.4879999999999995</v>
      </c>
      <c r="BZ872"/>
      <c r="CA872"/>
      <c r="CC872">
        <v>8.51</v>
      </c>
      <c r="CD872"/>
      <c r="CE872"/>
      <c r="CF872"/>
      <c r="CG872"/>
      <c r="CH872"/>
      <c r="CI872"/>
      <c r="CJ872"/>
      <c r="CK872"/>
      <c r="CL872"/>
      <c r="CM872"/>
    </row>
    <row r="873" spans="1:91">
      <c r="A873" s="154" t="s">
        <v>8376</v>
      </c>
      <c r="B873" t="s">
        <v>8289</v>
      </c>
      <c r="C873">
        <v>1</v>
      </c>
      <c r="D873">
        <v>1310</v>
      </c>
      <c r="E873" s="113">
        <v>10</v>
      </c>
      <c r="F873" s="113">
        <v>13</v>
      </c>
      <c r="I873">
        <v>27.499999999999996</v>
      </c>
      <c r="K873" s="320">
        <v>9</v>
      </c>
      <c r="L873" s="320"/>
      <c r="M873">
        <v>3.69</v>
      </c>
      <c r="N873" s="320"/>
      <c r="O873"/>
      <c r="P873"/>
      <c r="Q873"/>
      <c r="S873" s="320">
        <v>16.506368132496</v>
      </c>
      <c r="T873" s="320"/>
      <c r="U873">
        <v>10.8</v>
      </c>
      <c r="V873"/>
      <c r="W873"/>
      <c r="X873"/>
      <c r="Y873" s="321">
        <v>7.5024144000000001</v>
      </c>
      <c r="Z873" s="320"/>
      <c r="AA873" s="322">
        <v>85672.371638141805</v>
      </c>
      <c r="AB873" s="320"/>
      <c r="AC873" s="321">
        <v>32.987006399999999</v>
      </c>
      <c r="AD873" s="320"/>
      <c r="AE873" s="320">
        <v>35.04</v>
      </c>
      <c r="AF873" s="320"/>
      <c r="AG873">
        <v>4.09</v>
      </c>
      <c r="AH873"/>
      <c r="AI873">
        <v>130</v>
      </c>
      <c r="AJ873"/>
      <c r="AK873"/>
      <c r="AL873"/>
      <c r="AM873"/>
      <c r="AN873"/>
      <c r="AO873">
        <v>79</v>
      </c>
      <c r="AP873"/>
      <c r="AQ873" s="323"/>
      <c r="AR873" s="323"/>
      <c r="AS873">
        <v>112</v>
      </c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>
        <v>8.7886000000000006</v>
      </c>
      <c r="BH873"/>
      <c r="BI873">
        <v>4.5830000000000002</v>
      </c>
      <c r="BJ873"/>
      <c r="BK873">
        <v>1.3989</v>
      </c>
      <c r="BL873"/>
      <c r="BM873">
        <v>54.212000000000003</v>
      </c>
      <c r="BN873"/>
      <c r="BO873">
        <v>19.369</v>
      </c>
      <c r="BP873"/>
      <c r="BQ873">
        <v>9.7491000000000003</v>
      </c>
      <c r="BR873"/>
      <c r="BS873">
        <v>50.039000000000001</v>
      </c>
      <c r="BT873"/>
      <c r="BU873">
        <v>18.664999999999999</v>
      </c>
      <c r="BV873"/>
      <c r="BW873" s="325">
        <v>11.72</v>
      </c>
      <c r="BX873"/>
      <c r="BY873">
        <v>6.5150000000000006</v>
      </c>
      <c r="BZ873"/>
      <c r="CA873"/>
      <c r="CC873">
        <v>6.68</v>
      </c>
      <c r="CD873"/>
      <c r="CE873"/>
      <c r="CF873"/>
      <c r="CG873"/>
      <c r="CH873"/>
      <c r="CI873"/>
      <c r="CJ873"/>
      <c r="CK873"/>
      <c r="CL873"/>
      <c r="CM873"/>
    </row>
    <row r="874" spans="1:91">
      <c r="A874" s="154" t="s">
        <v>8376</v>
      </c>
      <c r="B874" t="s">
        <v>8287</v>
      </c>
      <c r="C874">
        <v>2</v>
      </c>
      <c r="D874">
        <v>1460</v>
      </c>
      <c r="E874" s="113">
        <v>60</v>
      </c>
      <c r="F874" s="113">
        <v>14</v>
      </c>
      <c r="I874">
        <v>25</v>
      </c>
      <c r="K874" s="320">
        <v>9</v>
      </c>
      <c r="L874" s="320"/>
      <c r="M874">
        <v>5.26</v>
      </c>
      <c r="N874" s="320"/>
      <c r="O874"/>
      <c r="P874"/>
      <c r="Q874"/>
      <c r="S874" s="320">
        <v>23.904185868230002</v>
      </c>
      <c r="T874" s="320"/>
      <c r="U874">
        <v>10.8</v>
      </c>
      <c r="V874"/>
      <c r="W874"/>
      <c r="X874"/>
      <c r="Y874" s="321">
        <v>8.2847240000000006</v>
      </c>
      <c r="Z874" s="320"/>
      <c r="AA874" s="322">
        <v>129342.10526315789</v>
      </c>
      <c r="AB874" s="320"/>
      <c r="AC874" s="321">
        <v>45.833849499999999</v>
      </c>
      <c r="AD874" s="320"/>
      <c r="AE874" s="320">
        <v>49.15</v>
      </c>
      <c r="AF874" s="320"/>
      <c r="AG874">
        <v>3.8</v>
      </c>
      <c r="AH874"/>
      <c r="AI874">
        <v>135</v>
      </c>
      <c r="AJ874"/>
      <c r="AK874"/>
      <c r="AL874"/>
      <c r="AM874"/>
      <c r="AN874"/>
      <c r="AO874">
        <v>79</v>
      </c>
      <c r="AP874"/>
      <c r="AQ874" s="323"/>
      <c r="AR874" s="323"/>
      <c r="AS874">
        <v>112</v>
      </c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>
        <v>-0.36427999999999999</v>
      </c>
      <c r="BH874"/>
      <c r="BI874">
        <v>4.7329999999999997</v>
      </c>
      <c r="BJ874"/>
      <c r="BK874">
        <v>1.4235</v>
      </c>
      <c r="BL874"/>
      <c r="BM874">
        <v>60.164999999999999</v>
      </c>
      <c r="BN874"/>
      <c r="BO874">
        <v>21.398</v>
      </c>
      <c r="BP874"/>
      <c r="BQ874">
        <v>9.6816999999999993</v>
      </c>
      <c r="BR874"/>
      <c r="BS874">
        <v>52.154000000000003</v>
      </c>
      <c r="BT874"/>
      <c r="BU874">
        <v>16.992000000000001</v>
      </c>
      <c r="BV874"/>
      <c r="BW874" s="325">
        <v>11.33</v>
      </c>
      <c r="BX874"/>
      <c r="BY874">
        <v>6.5319999999999965</v>
      </c>
      <c r="BZ874"/>
      <c r="CA874"/>
      <c r="CC874">
        <v>8.16</v>
      </c>
      <c r="CD874"/>
      <c r="CE874"/>
      <c r="CF874"/>
      <c r="CG874"/>
      <c r="CH874"/>
      <c r="CI874"/>
      <c r="CJ874"/>
      <c r="CK874"/>
      <c r="CL874"/>
      <c r="CM874"/>
    </row>
    <row r="875" spans="1:91">
      <c r="A875" s="154" t="s">
        <v>8376</v>
      </c>
      <c r="B875" t="s">
        <v>8287</v>
      </c>
      <c r="C875">
        <v>2</v>
      </c>
      <c r="D875">
        <v>1543</v>
      </c>
      <c r="E875" s="113">
        <v>43</v>
      </c>
      <c r="F875" s="113">
        <v>15</v>
      </c>
      <c r="I875">
        <v>34</v>
      </c>
      <c r="K875" s="320">
        <v>8</v>
      </c>
      <c r="L875" s="320"/>
      <c r="M875">
        <v>4.63</v>
      </c>
      <c r="N875" s="320"/>
      <c r="O875"/>
      <c r="P875"/>
      <c r="Q875"/>
      <c r="S875" s="320">
        <v>22.092250561151999</v>
      </c>
      <c r="T875" s="320"/>
      <c r="U875">
        <v>10.8</v>
      </c>
      <c r="V875"/>
      <c r="W875"/>
      <c r="X875"/>
      <c r="Y875" s="321">
        <v>8.0562948999999993</v>
      </c>
      <c r="Z875" s="320"/>
      <c r="AA875" s="322">
        <v>120512.12938005393</v>
      </c>
      <c r="AB875" s="320"/>
      <c r="AC875" s="321">
        <v>41.834252800000002</v>
      </c>
      <c r="AD875" s="320"/>
      <c r="AE875" s="320">
        <v>44.71</v>
      </c>
      <c r="AF875" s="320"/>
      <c r="AG875">
        <v>3.71</v>
      </c>
      <c r="AH875"/>
      <c r="AI875">
        <v>125</v>
      </c>
      <c r="AJ875"/>
      <c r="AK875"/>
      <c r="AL875"/>
      <c r="AM875"/>
      <c r="AN875"/>
      <c r="AO875">
        <v>80</v>
      </c>
      <c r="AP875"/>
      <c r="AQ875" s="323"/>
      <c r="AR875" s="323"/>
      <c r="AS875">
        <v>112</v>
      </c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>
        <v>-2.2037</v>
      </c>
      <c r="BH875"/>
      <c r="BI875">
        <v>5.1172000000000004</v>
      </c>
      <c r="BJ875"/>
      <c r="BK875">
        <v>1.4558</v>
      </c>
      <c r="BL875"/>
      <c r="BM875">
        <v>62.628</v>
      </c>
      <c r="BN875"/>
      <c r="BO875">
        <v>21.039000000000001</v>
      </c>
      <c r="BP875"/>
      <c r="BQ875">
        <v>9.0261999999999993</v>
      </c>
      <c r="BR875"/>
      <c r="BS875">
        <v>52.808999999999997</v>
      </c>
      <c r="BT875"/>
      <c r="BU875">
        <v>16.233000000000001</v>
      </c>
      <c r="BV875"/>
      <c r="BW875" s="325">
        <v>11.71</v>
      </c>
      <c r="BX875"/>
      <c r="BY875">
        <v>6.0999999999999943</v>
      </c>
      <c r="BZ875"/>
      <c r="CA875"/>
      <c r="CC875">
        <v>5.09</v>
      </c>
      <c r="CD875"/>
      <c r="CE875"/>
      <c r="CF875"/>
      <c r="CG875"/>
      <c r="CH875"/>
      <c r="CI875"/>
      <c r="CJ875"/>
      <c r="CK875"/>
      <c r="CL875"/>
      <c r="CM875"/>
    </row>
    <row r="876" spans="1:91">
      <c r="A876" s="154" t="s">
        <v>8376</v>
      </c>
      <c r="B876" t="s">
        <v>8287</v>
      </c>
      <c r="C876">
        <v>2</v>
      </c>
      <c r="D876">
        <v>1554</v>
      </c>
      <c r="E876" s="113">
        <v>54</v>
      </c>
      <c r="F876" s="113">
        <v>15</v>
      </c>
      <c r="I876">
        <v>29.999999999999996</v>
      </c>
      <c r="K876" s="320">
        <v>8</v>
      </c>
      <c r="L876" s="320"/>
      <c r="M876">
        <v>3.26</v>
      </c>
      <c r="N876" s="320"/>
      <c r="O876"/>
      <c r="P876"/>
      <c r="Q876"/>
      <c r="S876" s="320">
        <v>15.523193065175999</v>
      </c>
      <c r="T876" s="320"/>
      <c r="U876">
        <v>10.8</v>
      </c>
      <c r="V876"/>
      <c r="W876"/>
      <c r="X876"/>
      <c r="Y876" s="321">
        <v>5.0890482000000006</v>
      </c>
      <c r="Z876" s="320"/>
      <c r="AA876" s="322">
        <v>83983.957219251344</v>
      </c>
      <c r="AB876" s="320"/>
      <c r="AC876" s="321">
        <v>29.406670200000001</v>
      </c>
      <c r="AD876" s="320"/>
      <c r="AE876" s="320">
        <v>31.41</v>
      </c>
      <c r="AF876" s="320"/>
      <c r="AG876">
        <v>3.74</v>
      </c>
      <c r="AH876"/>
      <c r="AI876">
        <v>135</v>
      </c>
      <c r="AJ876"/>
      <c r="AK876"/>
      <c r="AL876"/>
      <c r="AM876"/>
      <c r="AN876"/>
      <c r="AO876">
        <v>79</v>
      </c>
      <c r="AP876"/>
      <c r="AQ876" s="323"/>
      <c r="AR876" s="323"/>
      <c r="AS876">
        <v>112</v>
      </c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>
        <v>-1.4650000000000001</v>
      </c>
      <c r="BH876"/>
      <c r="BI876">
        <v>4.9259000000000004</v>
      </c>
      <c r="BJ876"/>
      <c r="BK876">
        <v>1.4673</v>
      </c>
      <c r="BL876"/>
      <c r="BM876">
        <v>65.989000000000004</v>
      </c>
      <c r="BN876"/>
      <c r="BO876">
        <v>20.780999999999999</v>
      </c>
      <c r="BP876"/>
      <c r="BQ876">
        <v>8.8665000000000003</v>
      </c>
      <c r="BR876"/>
      <c r="BS876">
        <v>52.787999999999997</v>
      </c>
      <c r="BT876"/>
      <c r="BU876">
        <v>15.964</v>
      </c>
      <c r="BV876"/>
      <c r="BW876" s="325">
        <v>13.61</v>
      </c>
      <c r="BX876"/>
      <c r="BY876">
        <v>6.1110000000000042</v>
      </c>
      <c r="BZ876"/>
      <c r="CA876"/>
      <c r="CC876">
        <v>5.31</v>
      </c>
      <c r="CD876"/>
      <c r="CE876"/>
      <c r="CF876"/>
      <c r="CG876"/>
      <c r="CH876"/>
      <c r="CI876"/>
      <c r="CJ876"/>
      <c r="CK876"/>
      <c r="CL876"/>
      <c r="CM876"/>
    </row>
    <row r="877" spans="1:91">
      <c r="A877" s="154" t="s">
        <v>8376</v>
      </c>
      <c r="B877" t="s">
        <v>8289</v>
      </c>
      <c r="C877">
        <v>1</v>
      </c>
      <c r="D877">
        <v>1526</v>
      </c>
      <c r="E877" s="113">
        <v>26</v>
      </c>
      <c r="F877" s="113">
        <v>15</v>
      </c>
      <c r="I877">
        <v>31.499999999999996</v>
      </c>
      <c r="K877" s="320">
        <v>8</v>
      </c>
      <c r="L877" s="320"/>
      <c r="M877">
        <v>4.6100000000000003</v>
      </c>
      <c r="N877" s="320"/>
      <c r="O877"/>
      <c r="P877"/>
      <c r="Q877"/>
      <c r="S877" s="320">
        <v>19.99181587871</v>
      </c>
      <c r="T877" s="320"/>
      <c r="U877">
        <v>10.8</v>
      </c>
      <c r="V877"/>
      <c r="W877"/>
      <c r="X877"/>
      <c r="Y877" s="321">
        <v>8.3348746000000009</v>
      </c>
      <c r="Z877" s="320"/>
      <c r="AA877" s="322">
        <v>114540.54054054055</v>
      </c>
      <c r="AB877" s="320"/>
      <c r="AC877" s="321">
        <v>39.479089000000002</v>
      </c>
      <c r="AD877" s="320"/>
      <c r="AE877" s="320">
        <v>42.38</v>
      </c>
      <c r="AF877" s="320"/>
      <c r="AG877">
        <v>3.7</v>
      </c>
      <c r="AH877"/>
      <c r="AI877">
        <v>133</v>
      </c>
      <c r="AJ877"/>
      <c r="AK877"/>
      <c r="AL877"/>
      <c r="AM877"/>
      <c r="AN877"/>
      <c r="AO877">
        <v>79</v>
      </c>
      <c r="AP877"/>
      <c r="AQ877" s="323"/>
      <c r="AR877" s="323"/>
      <c r="AS877">
        <v>112</v>
      </c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>
        <v>-2.0251999999999999</v>
      </c>
      <c r="BH877"/>
      <c r="BI877">
        <v>5.0845000000000002</v>
      </c>
      <c r="BJ877"/>
      <c r="BK877">
        <v>1.4456</v>
      </c>
      <c r="BL877"/>
      <c r="BM877">
        <v>65.674000000000007</v>
      </c>
      <c r="BN877"/>
      <c r="BO877">
        <v>20.698</v>
      </c>
      <c r="BP877"/>
      <c r="BQ877">
        <v>9.4558</v>
      </c>
      <c r="BR877"/>
      <c r="BS877">
        <v>50.639000000000003</v>
      </c>
      <c r="BT877"/>
      <c r="BU877">
        <v>17.951000000000001</v>
      </c>
      <c r="BV877"/>
      <c r="BW877" s="325">
        <v>12.74</v>
      </c>
      <c r="BX877"/>
      <c r="BY877">
        <v>6.4050000000000011</v>
      </c>
      <c r="BZ877"/>
      <c r="CA877"/>
      <c r="CC877">
        <v>9.64</v>
      </c>
      <c r="CD877"/>
      <c r="CE877"/>
      <c r="CF877"/>
      <c r="CG877"/>
      <c r="CH877"/>
      <c r="CI877"/>
      <c r="CJ877"/>
      <c r="CK877"/>
      <c r="CL877"/>
      <c r="CM877"/>
    </row>
    <row r="878" spans="1:91">
      <c r="A878" s="154" t="s">
        <v>8376</v>
      </c>
      <c r="B878" t="s">
        <v>8289</v>
      </c>
      <c r="C878">
        <v>1</v>
      </c>
      <c r="D878">
        <v>1602</v>
      </c>
      <c r="E878" s="113">
        <v>2</v>
      </c>
      <c r="F878" s="113">
        <v>16</v>
      </c>
      <c r="I878">
        <v>27.499999999999996</v>
      </c>
      <c r="K878" s="320">
        <v>8</v>
      </c>
      <c r="L878" s="320"/>
      <c r="M878">
        <v>4.3099999999999996</v>
      </c>
      <c r="N878" s="320"/>
      <c r="O878"/>
      <c r="P878"/>
      <c r="Q878"/>
      <c r="S878" s="320">
        <v>19.825228319517997</v>
      </c>
      <c r="T878" s="320"/>
      <c r="U878">
        <v>10.8</v>
      </c>
      <c r="V878"/>
      <c r="W878"/>
      <c r="X878"/>
      <c r="Y878" s="321">
        <v>7.6664805000000005</v>
      </c>
      <c r="Z878" s="320"/>
      <c r="AA878" s="322">
        <v>108484.0425531915</v>
      </c>
      <c r="AB878" s="320"/>
      <c r="AC878" s="321">
        <v>38.212887799999997</v>
      </c>
      <c r="AD878" s="320"/>
      <c r="AE878" s="320">
        <v>40.79</v>
      </c>
      <c r="AF878" s="320"/>
      <c r="AG878">
        <v>3.76</v>
      </c>
      <c r="AH878"/>
      <c r="AI878">
        <v>135</v>
      </c>
      <c r="AJ878"/>
      <c r="AK878"/>
      <c r="AL878"/>
      <c r="AM878"/>
      <c r="AN878"/>
      <c r="AO878">
        <v>79</v>
      </c>
      <c r="AP878"/>
      <c r="AQ878" s="323"/>
      <c r="AR878" s="323"/>
      <c r="AS878">
        <v>112</v>
      </c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>
        <v>-2.1375999999999999</v>
      </c>
      <c r="BH878"/>
      <c r="BI878">
        <v>4.7714999999999996</v>
      </c>
      <c r="BJ878"/>
      <c r="BK878">
        <v>1.4910000000000001</v>
      </c>
      <c r="BL878"/>
      <c r="BM878">
        <v>60.210999999999999</v>
      </c>
      <c r="BN878"/>
      <c r="BO878">
        <v>20.751999999999999</v>
      </c>
      <c r="BP878"/>
      <c r="BQ878">
        <v>10.002000000000001</v>
      </c>
      <c r="BR878"/>
      <c r="BS878">
        <v>51.881</v>
      </c>
      <c r="BT878"/>
      <c r="BU878">
        <v>17.507000000000001</v>
      </c>
      <c r="BV878"/>
      <c r="BW878" s="325">
        <v>11.82</v>
      </c>
      <c r="BX878"/>
      <c r="BY878">
        <v>6.3299999999999983</v>
      </c>
      <c r="BZ878"/>
      <c r="CA878"/>
      <c r="CC878">
        <v>6.98</v>
      </c>
      <c r="CD878"/>
      <c r="CE878"/>
      <c r="CF878"/>
      <c r="CG878"/>
      <c r="CH878"/>
      <c r="CI878"/>
      <c r="CJ878"/>
      <c r="CK878"/>
      <c r="CL878"/>
      <c r="CM878"/>
    </row>
    <row r="879" spans="1:91">
      <c r="A879" s="154" t="s">
        <v>8376</v>
      </c>
      <c r="B879" t="s">
        <v>8289</v>
      </c>
      <c r="C879">
        <v>1</v>
      </c>
      <c r="D879">
        <v>1624</v>
      </c>
      <c r="E879" s="113">
        <v>24</v>
      </c>
      <c r="F879" s="113">
        <v>16</v>
      </c>
      <c r="I879">
        <v>30.499999999999996</v>
      </c>
      <c r="K879" s="320">
        <v>8</v>
      </c>
      <c r="L879" s="320"/>
      <c r="M879">
        <v>3.94</v>
      </c>
      <c r="N879" s="320"/>
      <c r="O879"/>
      <c r="P879"/>
      <c r="Q879"/>
      <c r="S879" s="320">
        <v>16.167969209909998</v>
      </c>
      <c r="T879" s="320"/>
      <c r="U879">
        <v>10.8</v>
      </c>
      <c r="V879"/>
      <c r="W879"/>
      <c r="X879"/>
      <c r="Y879" s="321">
        <v>7.2142240000000006</v>
      </c>
      <c r="Z879" s="320"/>
      <c r="AA879" s="322">
        <v>94502.617801047119</v>
      </c>
      <c r="AB879" s="320"/>
      <c r="AC879" s="321">
        <v>33.664332999999999</v>
      </c>
      <c r="AD879" s="320"/>
      <c r="AE879" s="320">
        <v>36.1</v>
      </c>
      <c r="AF879" s="320"/>
      <c r="AG879">
        <v>3.82</v>
      </c>
      <c r="AH879"/>
      <c r="AI879">
        <v>133</v>
      </c>
      <c r="AJ879"/>
      <c r="AK879"/>
      <c r="AL879"/>
      <c r="AM879"/>
      <c r="AN879"/>
      <c r="AO879">
        <v>81</v>
      </c>
      <c r="AP879"/>
      <c r="AQ879" s="323"/>
      <c r="AR879" s="323"/>
      <c r="AS879">
        <v>112</v>
      </c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>
        <v>-2.0316000000000001</v>
      </c>
      <c r="BH879"/>
      <c r="BI879">
        <v>4.8392999999999997</v>
      </c>
      <c r="BJ879"/>
      <c r="BK879">
        <v>1.4762</v>
      </c>
      <c r="BL879"/>
      <c r="BM879">
        <v>58.143999999999998</v>
      </c>
      <c r="BN879"/>
      <c r="BO879">
        <v>20.788</v>
      </c>
      <c r="BP879"/>
      <c r="BQ879">
        <v>10.3</v>
      </c>
      <c r="BR879"/>
      <c r="BS879">
        <v>48.027000000000001</v>
      </c>
      <c r="BT879"/>
      <c r="BU879">
        <v>19.687999999999999</v>
      </c>
      <c r="BV879"/>
      <c r="BW879" s="325">
        <v>4.54</v>
      </c>
      <c r="BX879"/>
      <c r="BY879">
        <v>6.6419999999999959</v>
      </c>
      <c r="BZ879"/>
      <c r="CA879"/>
      <c r="CC879">
        <v>9.9499999999999993</v>
      </c>
      <c r="CD879"/>
      <c r="CE879"/>
      <c r="CF879"/>
      <c r="CG879"/>
      <c r="CH879"/>
      <c r="CI879"/>
      <c r="CJ879"/>
      <c r="CK879"/>
      <c r="CL879"/>
      <c r="CM879"/>
    </row>
    <row r="880" spans="1:91">
      <c r="A880" s="154" t="s">
        <v>8376</v>
      </c>
      <c r="B880" t="s">
        <v>8289</v>
      </c>
      <c r="C880">
        <v>1</v>
      </c>
      <c r="D880">
        <v>1635</v>
      </c>
      <c r="E880" s="113">
        <v>35</v>
      </c>
      <c r="F880" s="113">
        <v>16</v>
      </c>
      <c r="I880">
        <v>36.5</v>
      </c>
      <c r="K880" s="320">
        <v>8</v>
      </c>
      <c r="L880" s="320"/>
      <c r="M880">
        <v>3.43</v>
      </c>
      <c r="N880" s="320"/>
      <c r="O880"/>
      <c r="P880"/>
      <c r="Q880"/>
      <c r="S880" s="320">
        <v>14.785585181136003</v>
      </c>
      <c r="T880" s="320"/>
      <c r="U880">
        <v>10.8</v>
      </c>
      <c r="V880"/>
      <c r="W880"/>
      <c r="X880"/>
      <c r="Y880" s="321">
        <v>6.6620232000000001</v>
      </c>
      <c r="Z880" s="320"/>
      <c r="AA880" s="322">
        <v>82480.620155038763</v>
      </c>
      <c r="AB880" s="320"/>
      <c r="AC880" s="321">
        <v>29.729330400000002</v>
      </c>
      <c r="AD880" s="320"/>
      <c r="AE880" s="320">
        <v>31.92</v>
      </c>
      <c r="AF880" s="320"/>
      <c r="AG880">
        <v>3.87</v>
      </c>
      <c r="AH880"/>
      <c r="AI880">
        <v>130</v>
      </c>
      <c r="AJ880"/>
      <c r="AK880"/>
      <c r="AL880"/>
      <c r="AM880"/>
      <c r="AN880"/>
      <c r="AO880">
        <v>79</v>
      </c>
      <c r="AP880"/>
      <c r="AQ880" s="323"/>
      <c r="AR880" s="323"/>
      <c r="AS880">
        <v>112</v>
      </c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>
        <v>-0.4365</v>
      </c>
      <c r="BH880"/>
      <c r="BI880">
        <v>4.7343999999999999</v>
      </c>
      <c r="BJ880"/>
      <c r="BK880">
        <v>1.4858</v>
      </c>
      <c r="BL880"/>
      <c r="BM880">
        <v>60.712000000000003</v>
      </c>
      <c r="BN880"/>
      <c r="BO880">
        <v>20.838000000000001</v>
      </c>
      <c r="BP880"/>
      <c r="BQ880">
        <v>9.9672000000000001</v>
      </c>
      <c r="BR880"/>
      <c r="BS880">
        <v>49.734000000000002</v>
      </c>
      <c r="BT880"/>
      <c r="BU880">
        <v>18.905999999999999</v>
      </c>
      <c r="BV880"/>
      <c r="BW880" s="325">
        <v>11.35</v>
      </c>
      <c r="BX880"/>
      <c r="BY880">
        <v>6.5600000000000023</v>
      </c>
      <c r="BZ880"/>
      <c r="CA880"/>
      <c r="CC880">
        <v>8.5299999999999994</v>
      </c>
      <c r="CD880"/>
      <c r="CE880"/>
      <c r="CF880"/>
      <c r="CG880"/>
      <c r="CH880"/>
      <c r="CI880"/>
      <c r="CJ880"/>
      <c r="CK880"/>
      <c r="CL880"/>
      <c r="CM880"/>
    </row>
    <row r="881" spans="1:91">
      <c r="A881" s="154" t="s">
        <v>8376</v>
      </c>
      <c r="B881" t="s">
        <v>8287</v>
      </c>
      <c r="C881">
        <v>2</v>
      </c>
      <c r="D881">
        <v>1745</v>
      </c>
      <c r="E881" s="113">
        <v>45</v>
      </c>
      <c r="F881" s="113">
        <v>17</v>
      </c>
      <c r="I881">
        <v>26</v>
      </c>
      <c r="K881" s="320">
        <v>8</v>
      </c>
      <c r="L881" s="320"/>
      <c r="M881">
        <v>3.93</v>
      </c>
      <c r="N881" s="320"/>
      <c r="O881"/>
      <c r="P881"/>
      <c r="Q881"/>
      <c r="S881" s="320">
        <v>19.327503099295999</v>
      </c>
      <c r="T881" s="320"/>
      <c r="U881">
        <v>10.8</v>
      </c>
      <c r="V881"/>
      <c r="W881"/>
      <c r="X881"/>
      <c r="Y881" s="321">
        <v>5.3356694000000005</v>
      </c>
      <c r="Z881" s="320"/>
      <c r="AA881" s="322">
        <v>98642.297650130553</v>
      </c>
      <c r="AB881" s="320"/>
      <c r="AC881" s="321">
        <v>35.5441796</v>
      </c>
      <c r="AD881" s="320"/>
      <c r="AE881" s="320">
        <v>37.78</v>
      </c>
      <c r="AF881" s="320"/>
      <c r="AG881">
        <v>3.83</v>
      </c>
      <c r="AH881"/>
      <c r="AI881">
        <v>128</v>
      </c>
      <c r="AJ881"/>
      <c r="AK881"/>
      <c r="AL881"/>
      <c r="AM881"/>
      <c r="AN881"/>
      <c r="AO881">
        <v>79</v>
      </c>
      <c r="AP881"/>
      <c r="AQ881" s="323"/>
      <c r="AR881" s="323"/>
      <c r="AS881">
        <v>112</v>
      </c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>
        <v>-1.8192999999999999</v>
      </c>
      <c r="BH881"/>
      <c r="BI881">
        <v>5.2236000000000002</v>
      </c>
      <c r="BJ881"/>
      <c r="BK881">
        <v>1.4611000000000001</v>
      </c>
      <c r="BL881"/>
      <c r="BM881">
        <v>65.334999999999994</v>
      </c>
      <c r="BN881"/>
      <c r="BO881">
        <v>21.532</v>
      </c>
      <c r="BP881"/>
      <c r="BQ881">
        <v>8.8736999999999995</v>
      </c>
      <c r="BR881"/>
      <c r="BS881">
        <v>54.375999999999998</v>
      </c>
      <c r="BT881"/>
      <c r="BU881">
        <v>15.199</v>
      </c>
      <c r="BV881"/>
      <c r="BW881" s="325">
        <v>15.68</v>
      </c>
      <c r="BX881"/>
      <c r="BY881">
        <v>6.222999999999999</v>
      </c>
      <c r="BZ881"/>
      <c r="CA881"/>
      <c r="CC881">
        <v>5.51</v>
      </c>
      <c r="CD881"/>
      <c r="CE881"/>
      <c r="CF881"/>
      <c r="CG881"/>
      <c r="CH881"/>
      <c r="CI881"/>
      <c r="CJ881"/>
      <c r="CK881"/>
      <c r="CL881"/>
      <c r="CM881"/>
    </row>
  </sheetData>
  <sheetProtection selectLockedCells="1" selectUnlockedCells="1"/>
  <autoFilter ref="A1:CM881">
    <sortState ref="A2:CM881">
      <sortCondition ref="A1:A881"/>
    </sortState>
  </autoFilter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F6"/>
  <sheetViews>
    <sheetView zoomScale="95" zoomScaleNormal="95" workbookViewId="0">
      <selection activeCell="G36" sqref="G36"/>
    </sheetView>
  </sheetViews>
  <sheetFormatPr baseColWidth="10" defaultColWidth="11.5703125" defaultRowHeight="12.75"/>
  <cols>
    <col min="1" max="1" width="16.28515625" style="141" bestFit="1" customWidth="1"/>
    <col min="2" max="2" width="7.5703125" style="142" bestFit="1" customWidth="1"/>
    <col min="3" max="3" width="9.42578125" style="141" customWidth="1"/>
    <col min="4" max="4" width="9" style="143" customWidth="1"/>
    <col min="5" max="5" width="14.140625" style="143" customWidth="1"/>
    <col min="6" max="6" width="12.42578125" style="143" customWidth="1"/>
    <col min="7" max="16384" width="11.5703125" style="144"/>
  </cols>
  <sheetData>
    <row r="1" spans="1:6">
      <c r="A1" s="145" t="s">
        <v>215</v>
      </c>
      <c r="B1" s="146" t="s">
        <v>216</v>
      </c>
      <c r="C1" s="145" t="s">
        <v>217</v>
      </c>
      <c r="D1" s="147" t="s">
        <v>218</v>
      </c>
      <c r="E1" s="147" t="s">
        <v>219</v>
      </c>
      <c r="F1" s="147" t="s">
        <v>29</v>
      </c>
    </row>
    <row r="2" spans="1:6">
      <c r="A2" s="141" t="s">
        <v>8354</v>
      </c>
      <c r="B2" s="142" t="s">
        <v>8360</v>
      </c>
      <c r="C2" s="141" t="s">
        <v>8359</v>
      </c>
    </row>
    <row r="3" spans="1:6">
      <c r="A3" s="141" t="s">
        <v>8355</v>
      </c>
      <c r="B3" s="142" t="s">
        <v>8360</v>
      </c>
      <c r="C3" s="141" t="s">
        <v>8359</v>
      </c>
    </row>
    <row r="4" spans="1:6">
      <c r="A4" s="141" t="s">
        <v>8356</v>
      </c>
      <c r="B4" s="142" t="s">
        <v>8360</v>
      </c>
      <c r="C4" s="141" t="s">
        <v>8359</v>
      </c>
    </row>
    <row r="5" spans="1:6">
      <c r="A5" s="141" t="s">
        <v>8357</v>
      </c>
      <c r="B5" s="142" t="s">
        <v>8360</v>
      </c>
      <c r="C5" s="141" t="s">
        <v>8359</v>
      </c>
    </row>
    <row r="6" spans="1:6">
      <c r="A6" s="141" t="s">
        <v>8358</v>
      </c>
      <c r="B6" s="142" t="s">
        <v>8360</v>
      </c>
      <c r="C6" s="141" t="s">
        <v>8359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C1"/>
  <sheetViews>
    <sheetView zoomScale="89" zoomScaleNormal="89" workbookViewId="0">
      <selection activeCell="G54" sqref="G54"/>
    </sheetView>
  </sheetViews>
  <sheetFormatPr baseColWidth="10" defaultColWidth="10.7109375" defaultRowHeight="12"/>
  <cols>
    <col min="1" max="1" width="9.28515625" style="148" customWidth="1"/>
    <col min="2" max="2" width="10.42578125" style="148" customWidth="1"/>
    <col min="3" max="3" width="11" style="148" customWidth="1"/>
  </cols>
  <sheetData>
    <row r="1" spans="1:3" s="150" customFormat="1">
      <c r="A1" s="149" t="s">
        <v>233</v>
      </c>
      <c r="B1" s="149" t="s">
        <v>234</v>
      </c>
      <c r="C1" s="149" t="s">
        <v>235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70"/>
  <sheetViews>
    <sheetView zoomScale="89" zoomScaleNormal="89" workbookViewId="0">
      <selection activeCell="E5" sqref="E5"/>
    </sheetView>
  </sheetViews>
  <sheetFormatPr baseColWidth="10" defaultColWidth="9" defaultRowHeight="12"/>
  <cols>
    <col min="1" max="1" width="82.140625" customWidth="1"/>
    <col min="2" max="2" width="105.28515625" customWidth="1"/>
    <col min="3" max="3" width="83.140625" customWidth="1"/>
    <col min="4" max="4" width="27.85546875" customWidth="1"/>
    <col min="5" max="5" width="46" customWidth="1"/>
  </cols>
  <sheetData>
    <row r="1" spans="1:5">
      <c r="A1" s="151" t="s">
        <v>146</v>
      </c>
      <c r="B1" s="151" t="s">
        <v>284</v>
      </c>
      <c r="C1" s="151" t="s">
        <v>149</v>
      </c>
      <c r="D1" s="151" t="s">
        <v>26</v>
      </c>
      <c r="E1" s="151" t="s">
        <v>65</v>
      </c>
    </row>
    <row r="2" spans="1:5">
      <c r="A2" s="151" t="s">
        <v>285</v>
      </c>
      <c r="B2" s="151" t="s">
        <v>286</v>
      </c>
      <c r="C2" s="151" t="s">
        <v>287</v>
      </c>
      <c r="D2" s="151" t="s">
        <v>288</v>
      </c>
      <c r="E2" s="151" t="s">
        <v>289</v>
      </c>
    </row>
    <row r="3" spans="1:5">
      <c r="A3" s="151" t="s">
        <v>290</v>
      </c>
      <c r="B3" s="151" t="s">
        <v>291</v>
      </c>
      <c r="C3" s="151" t="s">
        <v>292</v>
      </c>
      <c r="D3" s="151" t="s">
        <v>293</v>
      </c>
      <c r="E3" s="151" t="s">
        <v>294</v>
      </c>
    </row>
    <row r="4" spans="1:5">
      <c r="A4" s="151" t="s">
        <v>295</v>
      </c>
      <c r="B4" s="151" t="s">
        <v>296</v>
      </c>
      <c r="C4" s="151" t="s">
        <v>297</v>
      </c>
      <c r="D4" s="151" t="s">
        <v>298</v>
      </c>
      <c r="E4" s="151" t="s">
        <v>299</v>
      </c>
    </row>
    <row r="5" spans="1:5">
      <c r="A5" s="151" t="s">
        <v>300</v>
      </c>
      <c r="B5" s="151" t="s">
        <v>301</v>
      </c>
      <c r="C5" s="151" t="s">
        <v>302</v>
      </c>
      <c r="D5" s="151" t="s">
        <v>303</v>
      </c>
      <c r="E5" s="151" t="s">
        <v>304</v>
      </c>
    </row>
    <row r="6" spans="1:5">
      <c r="A6" s="151" t="s">
        <v>305</v>
      </c>
      <c r="B6" s="151" t="s">
        <v>306</v>
      </c>
      <c r="C6" s="151" t="s">
        <v>307</v>
      </c>
      <c r="D6" s="151" t="s">
        <v>308</v>
      </c>
      <c r="E6" s="151" t="s">
        <v>90</v>
      </c>
    </row>
    <row r="7" spans="1:5">
      <c r="A7" s="151" t="s">
        <v>309</v>
      </c>
      <c r="B7" s="151" t="s">
        <v>310</v>
      </c>
      <c r="C7" s="151" t="s">
        <v>311</v>
      </c>
      <c r="D7" s="151" t="s">
        <v>312</v>
      </c>
      <c r="E7" s="151" t="s">
        <v>313</v>
      </c>
    </row>
    <row r="8" spans="1:5">
      <c r="A8" s="151" t="s">
        <v>314</v>
      </c>
      <c r="B8" s="151" t="s">
        <v>315</v>
      </c>
      <c r="C8" s="151" t="s">
        <v>316</v>
      </c>
      <c r="D8" s="151" t="s">
        <v>317</v>
      </c>
      <c r="E8" s="151" t="s">
        <v>318</v>
      </c>
    </row>
    <row r="9" spans="1:5">
      <c r="A9" s="151" t="s">
        <v>319</v>
      </c>
      <c r="B9" s="151" t="s">
        <v>320</v>
      </c>
      <c r="C9" s="151" t="s">
        <v>321</v>
      </c>
      <c r="D9" s="151" t="s">
        <v>322</v>
      </c>
      <c r="E9" s="151" t="s">
        <v>323</v>
      </c>
    </row>
    <row r="10" spans="1:5">
      <c r="A10" s="151" t="s">
        <v>324</v>
      </c>
      <c r="B10" s="151" t="s">
        <v>325</v>
      </c>
      <c r="C10" s="151" t="s">
        <v>326</v>
      </c>
      <c r="D10" s="151" t="s">
        <v>327</v>
      </c>
      <c r="E10" s="151" t="s">
        <v>328</v>
      </c>
    </row>
    <row r="11" spans="1:5">
      <c r="A11" s="151" t="s">
        <v>329</v>
      </c>
      <c r="B11" s="151" t="s">
        <v>330</v>
      </c>
      <c r="C11" s="151" t="s">
        <v>331</v>
      </c>
      <c r="D11" s="151" t="s">
        <v>332</v>
      </c>
      <c r="E11" s="151" t="s">
        <v>333</v>
      </c>
    </row>
    <row r="12" spans="1:5">
      <c r="A12" s="151" t="s">
        <v>334</v>
      </c>
      <c r="B12" s="151" t="s">
        <v>335</v>
      </c>
      <c r="C12" s="151" t="s">
        <v>336</v>
      </c>
      <c r="D12" s="151" t="s">
        <v>337</v>
      </c>
      <c r="E12" s="151" t="s">
        <v>338</v>
      </c>
    </row>
    <row r="13" spans="1:5">
      <c r="A13" s="151" t="s">
        <v>339</v>
      </c>
      <c r="B13" s="151" t="s">
        <v>340</v>
      </c>
      <c r="C13" s="151" t="s">
        <v>341</v>
      </c>
      <c r="D13" s="151" t="s">
        <v>342</v>
      </c>
      <c r="E13" s="151" t="s">
        <v>343</v>
      </c>
    </row>
    <row r="14" spans="1:5">
      <c r="A14" s="151" t="s">
        <v>344</v>
      </c>
      <c r="B14" s="151" t="s">
        <v>345</v>
      </c>
      <c r="C14" s="151" t="s">
        <v>346</v>
      </c>
      <c r="D14" s="151" t="s">
        <v>347</v>
      </c>
      <c r="E14" s="151" t="s">
        <v>348</v>
      </c>
    </row>
    <row r="15" spans="1:5">
      <c r="A15" s="151" t="s">
        <v>349</v>
      </c>
      <c r="B15" s="151" t="s">
        <v>350</v>
      </c>
      <c r="C15" s="151" t="s">
        <v>351</v>
      </c>
      <c r="D15" s="151" t="s">
        <v>352</v>
      </c>
      <c r="E15" s="151" t="s">
        <v>353</v>
      </c>
    </row>
    <row r="16" spans="1:5">
      <c r="A16" s="151" t="s">
        <v>354</v>
      </c>
      <c r="B16" s="151" t="s">
        <v>355</v>
      </c>
      <c r="C16" s="151" t="s">
        <v>356</v>
      </c>
      <c r="D16" s="151" t="s">
        <v>357</v>
      </c>
      <c r="E16" s="151" t="s">
        <v>358</v>
      </c>
    </row>
    <row r="17" spans="1:5">
      <c r="A17" s="151" t="s">
        <v>359</v>
      </c>
      <c r="B17" s="151" t="s">
        <v>360</v>
      </c>
      <c r="C17" s="151" t="s">
        <v>361</v>
      </c>
      <c r="D17" s="151" t="s">
        <v>362</v>
      </c>
      <c r="E17" s="151" t="s">
        <v>363</v>
      </c>
    </row>
    <row r="18" spans="1:5">
      <c r="A18" s="151" t="s">
        <v>364</v>
      </c>
      <c r="B18" s="151" t="s">
        <v>365</v>
      </c>
      <c r="C18" s="151" t="s">
        <v>366</v>
      </c>
      <c r="D18" s="151" t="s">
        <v>367</v>
      </c>
      <c r="E18" s="151" t="s">
        <v>368</v>
      </c>
    </row>
    <row r="19" spans="1:5">
      <c r="A19" s="151" t="s">
        <v>369</v>
      </c>
      <c r="B19" s="151" t="s">
        <v>370</v>
      </c>
      <c r="C19" s="151" t="s">
        <v>371</v>
      </c>
      <c r="D19" s="151" t="s">
        <v>372</v>
      </c>
      <c r="E19" s="151" t="s">
        <v>373</v>
      </c>
    </row>
    <row r="20" spans="1:5">
      <c r="A20" s="151" t="s">
        <v>374</v>
      </c>
      <c r="B20" s="151" t="s">
        <v>375</v>
      </c>
      <c r="C20" s="151" t="s">
        <v>376</v>
      </c>
      <c r="D20" s="151" t="s">
        <v>377</v>
      </c>
      <c r="E20" s="151" t="s">
        <v>378</v>
      </c>
    </row>
    <row r="21" spans="1:5">
      <c r="A21" s="151" t="s">
        <v>379</v>
      </c>
      <c r="B21" s="151" t="s">
        <v>380</v>
      </c>
      <c r="C21" s="151" t="s">
        <v>381</v>
      </c>
      <c r="D21" s="151" t="s">
        <v>382</v>
      </c>
      <c r="E21" s="151" t="s">
        <v>383</v>
      </c>
    </row>
    <row r="22" spans="1:5">
      <c r="A22" s="151" t="s">
        <v>384</v>
      </c>
      <c r="B22" s="151" t="s">
        <v>385</v>
      </c>
      <c r="D22" s="151" t="s">
        <v>386</v>
      </c>
      <c r="E22" s="151" t="s">
        <v>387</v>
      </c>
    </row>
    <row r="23" spans="1:5">
      <c r="A23" s="151" t="s">
        <v>388</v>
      </c>
      <c r="B23" s="151" t="s">
        <v>389</v>
      </c>
      <c r="D23" s="151" t="s">
        <v>390</v>
      </c>
      <c r="E23" s="151" t="s">
        <v>391</v>
      </c>
    </row>
    <row r="24" spans="1:5">
      <c r="A24" s="151" t="s">
        <v>392</v>
      </c>
      <c r="B24" s="151" t="s">
        <v>393</v>
      </c>
      <c r="D24" s="151" t="s">
        <v>394</v>
      </c>
      <c r="E24" s="151" t="s">
        <v>395</v>
      </c>
    </row>
    <row r="25" spans="1:5">
      <c r="A25" s="151" t="s">
        <v>396</v>
      </c>
      <c r="B25" s="151" t="s">
        <v>397</v>
      </c>
      <c r="D25" s="151" t="s">
        <v>398</v>
      </c>
    </row>
    <row r="26" spans="1:5">
      <c r="A26" s="151" t="s">
        <v>399</v>
      </c>
      <c r="B26" s="151" t="s">
        <v>400</v>
      </c>
      <c r="D26" s="151" t="s">
        <v>401</v>
      </c>
    </row>
    <row r="27" spans="1:5">
      <c r="A27" s="151" t="s">
        <v>402</v>
      </c>
      <c r="B27" s="151" t="s">
        <v>403</v>
      </c>
      <c r="D27" s="151" t="s">
        <v>404</v>
      </c>
    </row>
    <row r="28" spans="1:5">
      <c r="A28" s="151" t="s">
        <v>405</v>
      </c>
      <c r="B28" s="151" t="s">
        <v>406</v>
      </c>
      <c r="D28" s="151" t="s">
        <v>407</v>
      </c>
    </row>
    <row r="29" spans="1:5">
      <c r="A29" s="151" t="s">
        <v>408</v>
      </c>
      <c r="B29" s="151" t="s">
        <v>409</v>
      </c>
      <c r="D29" s="151" t="s">
        <v>410</v>
      </c>
    </row>
    <row r="30" spans="1:5">
      <c r="A30" s="151" t="s">
        <v>411</v>
      </c>
      <c r="B30" s="151" t="s">
        <v>412</v>
      </c>
      <c r="D30" s="151" t="s">
        <v>413</v>
      </c>
    </row>
    <row r="31" spans="1:5">
      <c r="A31" s="151" t="s">
        <v>414</v>
      </c>
      <c r="B31" s="151" t="s">
        <v>415</v>
      </c>
      <c r="D31" s="151" t="s">
        <v>416</v>
      </c>
    </row>
    <row r="32" spans="1:5">
      <c r="A32" s="151" t="s">
        <v>417</v>
      </c>
      <c r="B32" s="151" t="s">
        <v>418</v>
      </c>
      <c r="D32" s="151" t="s">
        <v>419</v>
      </c>
    </row>
    <row r="33" spans="1:4">
      <c r="A33" s="151" t="s">
        <v>420</v>
      </c>
      <c r="B33" s="151" t="s">
        <v>421</v>
      </c>
      <c r="D33" s="151" t="s">
        <v>422</v>
      </c>
    </row>
    <row r="34" spans="1:4">
      <c r="A34" s="151" t="s">
        <v>423</v>
      </c>
      <c r="B34" s="151" t="s">
        <v>424</v>
      </c>
      <c r="D34" s="151" t="s">
        <v>425</v>
      </c>
    </row>
    <row r="35" spans="1:4">
      <c r="A35" s="151" t="s">
        <v>426</v>
      </c>
      <c r="B35" s="151" t="s">
        <v>427</v>
      </c>
      <c r="D35" s="151" t="s">
        <v>428</v>
      </c>
    </row>
    <row r="36" spans="1:4">
      <c r="A36" s="151" t="s">
        <v>429</v>
      </c>
      <c r="B36" s="151" t="s">
        <v>430</v>
      </c>
      <c r="D36" s="151" t="s">
        <v>431</v>
      </c>
    </row>
    <row r="37" spans="1:4">
      <c r="A37" s="151" t="s">
        <v>432</v>
      </c>
      <c r="B37" s="151" t="s">
        <v>433</v>
      </c>
      <c r="D37" s="151" t="s">
        <v>434</v>
      </c>
    </row>
    <row r="38" spans="1:4">
      <c r="A38" s="151" t="s">
        <v>435</v>
      </c>
      <c r="B38" s="151" t="s">
        <v>436</v>
      </c>
      <c r="D38" s="151" t="s">
        <v>437</v>
      </c>
    </row>
    <row r="39" spans="1:4">
      <c r="A39" s="151" t="s">
        <v>438</v>
      </c>
      <c r="B39" s="151" t="s">
        <v>439</v>
      </c>
      <c r="D39" s="151" t="s">
        <v>440</v>
      </c>
    </row>
    <row r="40" spans="1:4">
      <c r="A40" s="151" t="s">
        <v>441</v>
      </c>
      <c r="B40" s="151" t="s">
        <v>442</v>
      </c>
      <c r="D40" s="151" t="s">
        <v>443</v>
      </c>
    </row>
    <row r="41" spans="1:4">
      <c r="A41" s="151" t="s">
        <v>444</v>
      </c>
      <c r="B41" s="151" t="s">
        <v>445</v>
      </c>
      <c r="D41" s="151" t="s">
        <v>446</v>
      </c>
    </row>
    <row r="42" spans="1:4">
      <c r="A42" s="151" t="s">
        <v>447</v>
      </c>
      <c r="B42" s="151" t="s">
        <v>448</v>
      </c>
      <c r="D42" s="151" t="s">
        <v>449</v>
      </c>
    </row>
    <row r="43" spans="1:4">
      <c r="A43" s="151" t="s">
        <v>450</v>
      </c>
      <c r="B43" s="151" t="s">
        <v>451</v>
      </c>
      <c r="D43" s="151" t="s">
        <v>452</v>
      </c>
    </row>
    <row r="44" spans="1:4">
      <c r="A44" s="151" t="s">
        <v>453</v>
      </c>
      <c r="B44" s="151" t="s">
        <v>454</v>
      </c>
      <c r="D44" s="151" t="s">
        <v>455</v>
      </c>
    </row>
    <row r="45" spans="1:4">
      <c r="A45" s="151" t="s">
        <v>456</v>
      </c>
      <c r="B45" s="151" t="s">
        <v>457</v>
      </c>
      <c r="D45" s="151" t="s">
        <v>458</v>
      </c>
    </row>
    <row r="46" spans="1:4">
      <c r="A46" s="151" t="s">
        <v>459</v>
      </c>
      <c r="B46" s="151" t="s">
        <v>460</v>
      </c>
      <c r="D46" s="151" t="s">
        <v>461</v>
      </c>
    </row>
    <row r="47" spans="1:4">
      <c r="A47" s="151" t="s">
        <v>462</v>
      </c>
      <c r="B47" s="151" t="s">
        <v>463</v>
      </c>
      <c r="D47" s="151" t="s">
        <v>464</v>
      </c>
    </row>
    <row r="48" spans="1:4">
      <c r="A48" s="151" t="s">
        <v>465</v>
      </c>
      <c r="B48" s="151" t="s">
        <v>466</v>
      </c>
      <c r="D48" s="151" t="s">
        <v>467</v>
      </c>
    </row>
    <row r="49" spans="1:4">
      <c r="A49" s="151" t="s">
        <v>468</v>
      </c>
      <c r="B49" s="151" t="s">
        <v>469</v>
      </c>
      <c r="D49" s="151" t="s">
        <v>470</v>
      </c>
    </row>
    <row r="50" spans="1:4">
      <c r="A50" s="151" t="s">
        <v>471</v>
      </c>
      <c r="B50" s="151" t="s">
        <v>472</v>
      </c>
      <c r="D50" s="151" t="s">
        <v>473</v>
      </c>
    </row>
    <row r="51" spans="1:4">
      <c r="A51" s="151" t="s">
        <v>474</v>
      </c>
      <c r="B51" s="151" t="s">
        <v>475</v>
      </c>
      <c r="D51" s="151" t="s">
        <v>476</v>
      </c>
    </row>
    <row r="52" spans="1:4">
      <c r="A52" s="151" t="s">
        <v>477</v>
      </c>
      <c r="B52" s="151" t="s">
        <v>478</v>
      </c>
      <c r="D52" s="151" t="s">
        <v>479</v>
      </c>
    </row>
    <row r="53" spans="1:4">
      <c r="A53" s="151" t="s">
        <v>480</v>
      </c>
      <c r="B53" s="151" t="s">
        <v>481</v>
      </c>
      <c r="D53" s="151" t="s">
        <v>482</v>
      </c>
    </row>
    <row r="54" spans="1:4">
      <c r="A54" s="151" t="s">
        <v>483</v>
      </c>
      <c r="B54" s="151" t="s">
        <v>484</v>
      </c>
      <c r="D54" s="151" t="s">
        <v>485</v>
      </c>
    </row>
    <row r="55" spans="1:4">
      <c r="A55" s="151" t="s">
        <v>486</v>
      </c>
      <c r="B55" s="151" t="s">
        <v>487</v>
      </c>
      <c r="D55" s="151" t="s">
        <v>488</v>
      </c>
    </row>
    <row r="56" spans="1:4">
      <c r="A56" s="151" t="s">
        <v>489</v>
      </c>
      <c r="B56" s="151" t="s">
        <v>490</v>
      </c>
      <c r="D56" s="151" t="s">
        <v>491</v>
      </c>
    </row>
    <row r="57" spans="1:4">
      <c r="A57" s="151" t="s">
        <v>492</v>
      </c>
      <c r="B57" s="151" t="s">
        <v>493</v>
      </c>
      <c r="D57" s="151" t="s">
        <v>494</v>
      </c>
    </row>
    <row r="58" spans="1:4">
      <c r="A58" s="151" t="s">
        <v>495</v>
      </c>
      <c r="B58" s="151" t="s">
        <v>496</v>
      </c>
      <c r="D58" s="151" t="s">
        <v>497</v>
      </c>
    </row>
    <row r="59" spans="1:4">
      <c r="A59" s="151" t="s">
        <v>498</v>
      </c>
      <c r="B59" s="151" t="s">
        <v>499</v>
      </c>
      <c r="D59" s="151" t="s">
        <v>500</v>
      </c>
    </row>
    <row r="60" spans="1:4">
      <c r="A60" s="151" t="s">
        <v>501</v>
      </c>
      <c r="B60" s="151" t="s">
        <v>502</v>
      </c>
      <c r="D60" s="151" t="s">
        <v>503</v>
      </c>
    </row>
    <row r="61" spans="1:4">
      <c r="A61" s="151" t="s">
        <v>504</v>
      </c>
      <c r="B61" s="151" t="s">
        <v>505</v>
      </c>
      <c r="D61" s="151" t="s">
        <v>506</v>
      </c>
    </row>
    <row r="62" spans="1:4">
      <c r="A62" s="151" t="s">
        <v>507</v>
      </c>
      <c r="B62" s="151" t="s">
        <v>508</v>
      </c>
      <c r="D62" s="151" t="s">
        <v>509</v>
      </c>
    </row>
    <row r="63" spans="1:4">
      <c r="A63" s="151" t="s">
        <v>510</v>
      </c>
      <c r="B63" s="151" t="s">
        <v>511</v>
      </c>
      <c r="D63" s="151" t="s">
        <v>512</v>
      </c>
    </row>
    <row r="64" spans="1:4">
      <c r="A64" s="151" t="s">
        <v>513</v>
      </c>
      <c r="B64" s="151" t="s">
        <v>514</v>
      </c>
      <c r="D64" s="151" t="s">
        <v>515</v>
      </c>
    </row>
    <row r="65" spans="1:4">
      <c r="A65" s="151" t="s">
        <v>516</v>
      </c>
      <c r="B65" s="151" t="s">
        <v>517</v>
      </c>
      <c r="D65" s="151" t="s">
        <v>518</v>
      </c>
    </row>
    <row r="66" spans="1:4">
      <c r="A66" s="151" t="s">
        <v>519</v>
      </c>
      <c r="B66" s="151" t="s">
        <v>520</v>
      </c>
      <c r="D66" s="151" t="s">
        <v>521</v>
      </c>
    </row>
    <row r="67" spans="1:4">
      <c r="A67" s="151" t="s">
        <v>522</v>
      </c>
      <c r="B67" s="151" t="s">
        <v>523</v>
      </c>
      <c r="D67" s="151" t="s">
        <v>524</v>
      </c>
    </row>
    <row r="68" spans="1:4">
      <c r="A68" s="151" t="s">
        <v>525</v>
      </c>
      <c r="B68" s="151" t="s">
        <v>526</v>
      </c>
      <c r="D68" s="151" t="s">
        <v>527</v>
      </c>
    </row>
    <row r="69" spans="1:4">
      <c r="A69" s="151" t="s">
        <v>528</v>
      </c>
      <c r="B69" s="151" t="s">
        <v>529</v>
      </c>
      <c r="D69" s="151" t="s">
        <v>530</v>
      </c>
    </row>
    <row r="70" spans="1:4">
      <c r="A70" s="151" t="s">
        <v>531</v>
      </c>
      <c r="B70" s="151" t="s">
        <v>532</v>
      </c>
      <c r="D70" s="151" t="s">
        <v>533</v>
      </c>
    </row>
    <row r="71" spans="1:4">
      <c r="A71" s="151" t="s">
        <v>534</v>
      </c>
      <c r="B71" s="151" t="s">
        <v>535</v>
      </c>
      <c r="D71" s="151" t="s">
        <v>536</v>
      </c>
    </row>
    <row r="72" spans="1:4">
      <c r="A72" s="151" t="s">
        <v>537</v>
      </c>
      <c r="B72" s="151" t="s">
        <v>538</v>
      </c>
      <c r="D72" s="151" t="s">
        <v>539</v>
      </c>
    </row>
    <row r="73" spans="1:4">
      <c r="A73" s="151" t="s">
        <v>540</v>
      </c>
      <c r="B73" s="151" t="s">
        <v>541</v>
      </c>
      <c r="D73" s="151" t="s">
        <v>542</v>
      </c>
    </row>
    <row r="74" spans="1:4">
      <c r="A74" s="151" t="s">
        <v>543</v>
      </c>
      <c r="B74" s="151" t="s">
        <v>544</v>
      </c>
      <c r="D74" s="151" t="s">
        <v>545</v>
      </c>
    </row>
    <row r="75" spans="1:4">
      <c r="A75" s="151" t="s">
        <v>546</v>
      </c>
      <c r="B75" s="151" t="s">
        <v>547</v>
      </c>
      <c r="D75" s="151" t="s">
        <v>548</v>
      </c>
    </row>
    <row r="76" spans="1:4">
      <c r="A76" s="151" t="s">
        <v>255</v>
      </c>
      <c r="B76" s="151" t="s">
        <v>549</v>
      </c>
      <c r="D76" s="151" t="s">
        <v>550</v>
      </c>
    </row>
    <row r="77" spans="1:4">
      <c r="A77" s="151" t="s">
        <v>551</v>
      </c>
      <c r="B77" s="151" t="s">
        <v>552</v>
      </c>
      <c r="D77" s="151" t="s">
        <v>553</v>
      </c>
    </row>
    <row r="78" spans="1:4">
      <c r="A78" s="151" t="s">
        <v>554</v>
      </c>
      <c r="B78" s="151" t="s">
        <v>555</v>
      </c>
      <c r="D78" s="151" t="s">
        <v>556</v>
      </c>
    </row>
    <row r="79" spans="1:4">
      <c r="A79" s="151" t="s">
        <v>557</v>
      </c>
      <c r="B79" s="151" t="s">
        <v>558</v>
      </c>
      <c r="D79" s="151" t="s">
        <v>559</v>
      </c>
    </row>
    <row r="80" spans="1:4">
      <c r="A80" s="151" t="s">
        <v>560</v>
      </c>
      <c r="B80" s="151" t="s">
        <v>561</v>
      </c>
      <c r="D80" s="151" t="s">
        <v>562</v>
      </c>
    </row>
    <row r="81" spans="1:4">
      <c r="A81" s="151" t="s">
        <v>563</v>
      </c>
      <c r="B81" s="151" t="s">
        <v>564</v>
      </c>
      <c r="D81" s="151" t="s">
        <v>565</v>
      </c>
    </row>
    <row r="82" spans="1:4">
      <c r="A82" s="151" t="s">
        <v>566</v>
      </c>
      <c r="B82" s="151" t="s">
        <v>567</v>
      </c>
      <c r="D82" s="151" t="s">
        <v>568</v>
      </c>
    </row>
    <row r="83" spans="1:4">
      <c r="A83" s="151" t="s">
        <v>569</v>
      </c>
      <c r="B83" s="151" t="s">
        <v>570</v>
      </c>
      <c r="D83" s="151" t="s">
        <v>571</v>
      </c>
    </row>
    <row r="84" spans="1:4">
      <c r="A84" s="151" t="s">
        <v>572</v>
      </c>
      <c r="B84" s="151" t="s">
        <v>573</v>
      </c>
      <c r="D84" s="151" t="s">
        <v>574</v>
      </c>
    </row>
    <row r="85" spans="1:4">
      <c r="A85" s="151" t="s">
        <v>575</v>
      </c>
      <c r="B85" s="151" t="s">
        <v>576</v>
      </c>
      <c r="D85" s="151" t="s">
        <v>577</v>
      </c>
    </row>
    <row r="86" spans="1:4">
      <c r="A86" s="151" t="s">
        <v>578</v>
      </c>
      <c r="B86" s="151" t="s">
        <v>579</v>
      </c>
      <c r="D86" s="151" t="s">
        <v>580</v>
      </c>
    </row>
    <row r="87" spans="1:4">
      <c r="A87" s="151" t="s">
        <v>581</v>
      </c>
      <c r="B87" s="151" t="s">
        <v>582</v>
      </c>
      <c r="D87" s="151" t="s">
        <v>583</v>
      </c>
    </row>
    <row r="88" spans="1:4">
      <c r="A88" s="151" t="s">
        <v>584</v>
      </c>
      <c r="B88" s="151" t="s">
        <v>585</v>
      </c>
      <c r="D88" s="151" t="s">
        <v>586</v>
      </c>
    </row>
    <row r="89" spans="1:4">
      <c r="A89" s="151" t="s">
        <v>587</v>
      </c>
      <c r="B89" s="151" t="s">
        <v>588</v>
      </c>
      <c r="D89" s="151" t="s">
        <v>589</v>
      </c>
    </row>
    <row r="90" spans="1:4">
      <c r="A90" s="151" t="s">
        <v>590</v>
      </c>
      <c r="B90" s="151" t="s">
        <v>591</v>
      </c>
      <c r="D90" s="151" t="s">
        <v>592</v>
      </c>
    </row>
    <row r="91" spans="1:4">
      <c r="A91" s="151" t="s">
        <v>593</v>
      </c>
      <c r="B91" s="151" t="s">
        <v>594</v>
      </c>
      <c r="D91" s="151" t="s">
        <v>595</v>
      </c>
    </row>
    <row r="92" spans="1:4">
      <c r="A92" s="151" t="s">
        <v>596</v>
      </c>
      <c r="B92" s="151" t="s">
        <v>597</v>
      </c>
      <c r="D92" s="151" t="s">
        <v>598</v>
      </c>
    </row>
    <row r="93" spans="1:4">
      <c r="A93" s="151" t="s">
        <v>599</v>
      </c>
      <c r="B93" s="151" t="s">
        <v>600</v>
      </c>
      <c r="D93" s="151" t="s">
        <v>601</v>
      </c>
    </row>
    <row r="94" spans="1:4">
      <c r="A94" s="151" t="s">
        <v>602</v>
      </c>
      <c r="B94" s="151" t="s">
        <v>603</v>
      </c>
      <c r="D94" s="151" t="s">
        <v>604</v>
      </c>
    </row>
    <row r="95" spans="1:4">
      <c r="A95" s="151" t="s">
        <v>605</v>
      </c>
      <c r="B95" s="151" t="s">
        <v>606</v>
      </c>
      <c r="D95" s="151" t="s">
        <v>119</v>
      </c>
    </row>
    <row r="96" spans="1:4">
      <c r="A96" s="151" t="s">
        <v>607</v>
      </c>
      <c r="B96" s="151" t="s">
        <v>608</v>
      </c>
      <c r="D96" s="151" t="s">
        <v>609</v>
      </c>
    </row>
    <row r="97" spans="1:4">
      <c r="A97" s="151" t="s">
        <v>610</v>
      </c>
      <c r="B97" s="151" t="s">
        <v>611</v>
      </c>
      <c r="D97" s="151" t="s">
        <v>612</v>
      </c>
    </row>
    <row r="98" spans="1:4">
      <c r="A98" s="151" t="s">
        <v>613</v>
      </c>
      <c r="B98" s="151" t="s">
        <v>614</v>
      </c>
      <c r="D98" s="151" t="s">
        <v>615</v>
      </c>
    </row>
    <row r="99" spans="1:4">
      <c r="A99" s="151" t="s">
        <v>616</v>
      </c>
      <c r="B99" s="151" t="s">
        <v>617</v>
      </c>
      <c r="D99" s="151" t="s">
        <v>618</v>
      </c>
    </row>
    <row r="100" spans="1:4">
      <c r="A100" s="151" t="s">
        <v>619</v>
      </c>
      <c r="B100" s="151" t="s">
        <v>620</v>
      </c>
      <c r="D100" s="151" t="s">
        <v>621</v>
      </c>
    </row>
    <row r="101" spans="1:4">
      <c r="A101" s="151" t="s">
        <v>622</v>
      </c>
      <c r="B101" s="151" t="s">
        <v>623</v>
      </c>
      <c r="D101" s="151" t="s">
        <v>624</v>
      </c>
    </row>
    <row r="102" spans="1:4">
      <c r="A102" s="151" t="s">
        <v>625</v>
      </c>
      <c r="B102" s="151" t="s">
        <v>626</v>
      </c>
      <c r="D102" s="151" t="s">
        <v>627</v>
      </c>
    </row>
    <row r="103" spans="1:4">
      <c r="A103" s="151" t="s">
        <v>628</v>
      </c>
      <c r="B103" s="151" t="s">
        <v>629</v>
      </c>
      <c r="D103" s="151" t="s">
        <v>630</v>
      </c>
    </row>
    <row r="104" spans="1:4">
      <c r="A104" s="151" t="s">
        <v>631</v>
      </c>
      <c r="B104" s="151" t="s">
        <v>632</v>
      </c>
      <c r="D104" s="151" t="s">
        <v>633</v>
      </c>
    </row>
    <row r="105" spans="1:4">
      <c r="A105" s="151" t="s">
        <v>634</v>
      </c>
      <c r="B105" s="151" t="s">
        <v>635</v>
      </c>
      <c r="D105" s="151" t="s">
        <v>636</v>
      </c>
    </row>
    <row r="106" spans="1:4">
      <c r="A106" s="151" t="s">
        <v>637</v>
      </c>
      <c r="B106" s="151" t="s">
        <v>638</v>
      </c>
      <c r="D106" s="151" t="s">
        <v>639</v>
      </c>
    </row>
    <row r="107" spans="1:4">
      <c r="A107" s="151" t="s">
        <v>640</v>
      </c>
      <c r="B107" s="151" t="s">
        <v>641</v>
      </c>
      <c r="D107" s="151" t="s">
        <v>642</v>
      </c>
    </row>
    <row r="108" spans="1:4">
      <c r="A108" s="151" t="s">
        <v>643</v>
      </c>
      <c r="B108" s="151" t="s">
        <v>644</v>
      </c>
      <c r="D108" s="151" t="s">
        <v>645</v>
      </c>
    </row>
    <row r="109" spans="1:4">
      <c r="A109" s="151" t="s">
        <v>646</v>
      </c>
      <c r="B109" s="151" t="s">
        <v>647</v>
      </c>
      <c r="D109" s="151" t="s">
        <v>648</v>
      </c>
    </row>
    <row r="110" spans="1:4">
      <c r="A110" s="151" t="s">
        <v>649</v>
      </c>
      <c r="B110" s="151" t="s">
        <v>650</v>
      </c>
      <c r="D110" s="151" t="s">
        <v>651</v>
      </c>
    </row>
    <row r="111" spans="1:4">
      <c r="A111" s="151" t="s">
        <v>652</v>
      </c>
      <c r="B111" s="151" t="s">
        <v>653</v>
      </c>
      <c r="D111" s="151" t="s">
        <v>654</v>
      </c>
    </row>
    <row r="112" spans="1:4">
      <c r="A112" s="151" t="s">
        <v>655</v>
      </c>
      <c r="B112" s="151" t="s">
        <v>656</v>
      </c>
      <c r="D112" s="151" t="s">
        <v>657</v>
      </c>
    </row>
    <row r="113" spans="1:4">
      <c r="A113" s="151" t="s">
        <v>658</v>
      </c>
      <c r="B113" s="151" t="s">
        <v>659</v>
      </c>
      <c r="D113" s="151" t="s">
        <v>660</v>
      </c>
    </row>
    <row r="114" spans="1:4">
      <c r="A114" s="151" t="s">
        <v>661</v>
      </c>
      <c r="B114" s="151" t="s">
        <v>662</v>
      </c>
      <c r="D114" s="151" t="s">
        <v>663</v>
      </c>
    </row>
    <row r="115" spans="1:4">
      <c r="A115" s="151" t="s">
        <v>664</v>
      </c>
      <c r="B115" s="151" t="s">
        <v>665</v>
      </c>
      <c r="D115" s="151" t="s">
        <v>666</v>
      </c>
    </row>
    <row r="116" spans="1:4">
      <c r="A116" s="151" t="s">
        <v>667</v>
      </c>
      <c r="B116" s="151" t="s">
        <v>668</v>
      </c>
      <c r="D116" s="151" t="s">
        <v>669</v>
      </c>
    </row>
    <row r="117" spans="1:4">
      <c r="A117" s="151" t="s">
        <v>670</v>
      </c>
      <c r="B117" s="151" t="s">
        <v>671</v>
      </c>
      <c r="D117" s="151" t="s">
        <v>672</v>
      </c>
    </row>
    <row r="118" spans="1:4">
      <c r="A118" s="151" t="s">
        <v>673</v>
      </c>
      <c r="B118" s="151" t="s">
        <v>674</v>
      </c>
      <c r="D118" s="151" t="s">
        <v>675</v>
      </c>
    </row>
    <row r="119" spans="1:4">
      <c r="A119" s="151" t="s">
        <v>676</v>
      </c>
      <c r="B119" s="151" t="s">
        <v>677</v>
      </c>
      <c r="D119" s="151" t="s">
        <v>678</v>
      </c>
    </row>
    <row r="120" spans="1:4">
      <c r="A120" s="151" t="s">
        <v>679</v>
      </c>
      <c r="B120" s="151" t="s">
        <v>680</v>
      </c>
      <c r="D120" s="151" t="s">
        <v>681</v>
      </c>
    </row>
    <row r="121" spans="1:4">
      <c r="A121" s="151" t="s">
        <v>682</v>
      </c>
      <c r="B121" s="151" t="s">
        <v>683</v>
      </c>
      <c r="D121" s="151" t="s">
        <v>684</v>
      </c>
    </row>
    <row r="122" spans="1:4">
      <c r="A122" s="151" t="s">
        <v>685</v>
      </c>
      <c r="B122" s="151" t="s">
        <v>686</v>
      </c>
      <c r="D122" s="151" t="s">
        <v>687</v>
      </c>
    </row>
    <row r="123" spans="1:4">
      <c r="A123" s="151" t="s">
        <v>688</v>
      </c>
      <c r="B123" s="151" t="s">
        <v>689</v>
      </c>
      <c r="D123" s="151" t="s">
        <v>690</v>
      </c>
    </row>
    <row r="124" spans="1:4">
      <c r="A124" s="151" t="s">
        <v>691</v>
      </c>
      <c r="B124" s="151" t="s">
        <v>692</v>
      </c>
      <c r="D124" s="151" t="s">
        <v>693</v>
      </c>
    </row>
    <row r="125" spans="1:4">
      <c r="A125" s="151" t="s">
        <v>694</v>
      </c>
      <c r="B125" s="151" t="s">
        <v>695</v>
      </c>
      <c r="D125" s="151" t="s">
        <v>696</v>
      </c>
    </row>
    <row r="126" spans="1:4">
      <c r="A126" s="151" t="s">
        <v>697</v>
      </c>
      <c r="B126" s="151" t="s">
        <v>698</v>
      </c>
      <c r="D126" s="151" t="s">
        <v>699</v>
      </c>
    </row>
    <row r="127" spans="1:4">
      <c r="A127" s="151" t="s">
        <v>700</v>
      </c>
      <c r="B127" s="151" t="s">
        <v>701</v>
      </c>
      <c r="D127" s="151" t="s">
        <v>702</v>
      </c>
    </row>
    <row r="128" spans="1:4">
      <c r="A128" s="151" t="s">
        <v>703</v>
      </c>
      <c r="B128" s="151" t="s">
        <v>704</v>
      </c>
      <c r="D128" s="151" t="s">
        <v>705</v>
      </c>
    </row>
    <row r="129" spans="1:4">
      <c r="A129" s="151" t="s">
        <v>706</v>
      </c>
      <c r="B129" s="151" t="s">
        <v>707</v>
      </c>
      <c r="D129" s="151" t="s">
        <v>708</v>
      </c>
    </row>
    <row r="130" spans="1:4">
      <c r="A130" s="151" t="s">
        <v>709</v>
      </c>
      <c r="B130" s="151" t="s">
        <v>710</v>
      </c>
      <c r="D130" s="151" t="s">
        <v>711</v>
      </c>
    </row>
    <row r="131" spans="1:4">
      <c r="A131" s="151" t="s">
        <v>712</v>
      </c>
      <c r="B131" s="151" t="s">
        <v>713</v>
      </c>
      <c r="D131" s="151" t="s">
        <v>714</v>
      </c>
    </row>
    <row r="132" spans="1:4">
      <c r="A132" s="151" t="s">
        <v>715</v>
      </c>
      <c r="B132" s="151" t="s">
        <v>716</v>
      </c>
      <c r="D132" s="151" t="s">
        <v>717</v>
      </c>
    </row>
    <row r="133" spans="1:4">
      <c r="A133" s="151" t="s">
        <v>718</v>
      </c>
      <c r="B133" s="151" t="s">
        <v>719</v>
      </c>
      <c r="D133" s="151" t="s">
        <v>720</v>
      </c>
    </row>
    <row r="134" spans="1:4">
      <c r="A134" s="151" t="s">
        <v>721</v>
      </c>
      <c r="B134" s="151" t="s">
        <v>722</v>
      </c>
      <c r="D134" s="151" t="s">
        <v>723</v>
      </c>
    </row>
    <row r="135" spans="1:4">
      <c r="A135" s="151" t="s">
        <v>724</v>
      </c>
      <c r="B135" s="151" t="s">
        <v>725</v>
      </c>
      <c r="D135" s="151" t="s">
        <v>726</v>
      </c>
    </row>
    <row r="136" spans="1:4">
      <c r="A136" s="151" t="s">
        <v>727</v>
      </c>
      <c r="B136" s="151" t="s">
        <v>728</v>
      </c>
      <c r="D136" s="151" t="s">
        <v>729</v>
      </c>
    </row>
    <row r="137" spans="1:4">
      <c r="A137" s="151" t="s">
        <v>730</v>
      </c>
      <c r="B137" s="151" t="s">
        <v>731</v>
      </c>
      <c r="D137" s="151" t="s">
        <v>732</v>
      </c>
    </row>
    <row r="138" spans="1:4">
      <c r="A138" s="151" t="s">
        <v>733</v>
      </c>
      <c r="B138" s="151" t="s">
        <v>734</v>
      </c>
      <c r="D138" s="151" t="s">
        <v>735</v>
      </c>
    </row>
    <row r="139" spans="1:4">
      <c r="A139" s="151" t="s">
        <v>736</v>
      </c>
      <c r="B139" s="151" t="s">
        <v>737</v>
      </c>
      <c r="D139" s="151" t="s">
        <v>738</v>
      </c>
    </row>
    <row r="140" spans="1:4">
      <c r="A140" s="151" t="s">
        <v>739</v>
      </c>
      <c r="B140" s="151" t="s">
        <v>740</v>
      </c>
      <c r="D140" s="151" t="s">
        <v>741</v>
      </c>
    </row>
    <row r="141" spans="1:4">
      <c r="A141" s="151" t="s">
        <v>742</v>
      </c>
      <c r="B141" s="151" t="s">
        <v>743</v>
      </c>
      <c r="D141" s="151" t="s">
        <v>744</v>
      </c>
    </row>
    <row r="142" spans="1:4">
      <c r="A142" s="151" t="s">
        <v>745</v>
      </c>
      <c r="B142" s="151" t="s">
        <v>746</v>
      </c>
      <c r="D142" s="151" t="s">
        <v>747</v>
      </c>
    </row>
    <row r="143" spans="1:4">
      <c r="A143" s="151" t="s">
        <v>748</v>
      </c>
      <c r="B143" s="151" t="s">
        <v>749</v>
      </c>
      <c r="D143" s="151" t="s">
        <v>750</v>
      </c>
    </row>
    <row r="144" spans="1:4">
      <c r="A144" s="151" t="s">
        <v>751</v>
      </c>
      <c r="B144" s="151" t="s">
        <v>752</v>
      </c>
      <c r="D144" s="151" t="s">
        <v>753</v>
      </c>
    </row>
    <row r="145" spans="1:4">
      <c r="A145" s="151" t="s">
        <v>754</v>
      </c>
      <c r="B145" s="151" t="s">
        <v>755</v>
      </c>
      <c r="D145" s="151" t="s">
        <v>756</v>
      </c>
    </row>
    <row r="146" spans="1:4">
      <c r="A146" s="151" t="s">
        <v>757</v>
      </c>
      <c r="B146" s="151" t="s">
        <v>758</v>
      </c>
      <c r="D146" s="151" t="s">
        <v>759</v>
      </c>
    </row>
    <row r="147" spans="1:4">
      <c r="A147" s="151" t="s">
        <v>760</v>
      </c>
      <c r="B147" s="151" t="s">
        <v>761</v>
      </c>
      <c r="D147" s="151" t="s">
        <v>762</v>
      </c>
    </row>
    <row r="148" spans="1:4">
      <c r="A148" s="151" t="s">
        <v>763</v>
      </c>
      <c r="B148" s="151" t="s">
        <v>764</v>
      </c>
      <c r="D148" s="151" t="s">
        <v>765</v>
      </c>
    </row>
    <row r="149" spans="1:4">
      <c r="A149" s="151" t="s">
        <v>766</v>
      </c>
      <c r="B149" s="151" t="s">
        <v>767</v>
      </c>
      <c r="D149" s="151" t="s">
        <v>768</v>
      </c>
    </row>
    <row r="150" spans="1:4">
      <c r="A150" s="151" t="s">
        <v>769</v>
      </c>
      <c r="B150" s="151" t="s">
        <v>770</v>
      </c>
      <c r="D150" s="151" t="s">
        <v>771</v>
      </c>
    </row>
    <row r="151" spans="1:4">
      <c r="A151" s="151" t="s">
        <v>772</v>
      </c>
      <c r="B151" s="151" t="s">
        <v>773</v>
      </c>
      <c r="D151" s="151" t="s">
        <v>774</v>
      </c>
    </row>
    <row r="152" spans="1:4">
      <c r="A152" s="151" t="s">
        <v>775</v>
      </c>
      <c r="B152" s="151" t="s">
        <v>776</v>
      </c>
      <c r="D152" s="151" t="s">
        <v>777</v>
      </c>
    </row>
    <row r="153" spans="1:4">
      <c r="A153" s="151" t="s">
        <v>778</v>
      </c>
      <c r="B153" s="151" t="s">
        <v>779</v>
      </c>
      <c r="D153" s="151" t="s">
        <v>780</v>
      </c>
    </row>
    <row r="154" spans="1:4">
      <c r="A154" s="151" t="s">
        <v>781</v>
      </c>
      <c r="B154" s="151" t="s">
        <v>782</v>
      </c>
      <c r="D154" s="151" t="s">
        <v>783</v>
      </c>
    </row>
    <row r="155" spans="1:4">
      <c r="A155" s="151" t="s">
        <v>784</v>
      </c>
      <c r="B155" s="151" t="s">
        <v>785</v>
      </c>
      <c r="D155" s="151" t="s">
        <v>786</v>
      </c>
    </row>
    <row r="156" spans="1:4">
      <c r="A156" s="151" t="s">
        <v>787</v>
      </c>
      <c r="B156" s="151" t="s">
        <v>788</v>
      </c>
      <c r="D156" s="151" t="s">
        <v>789</v>
      </c>
    </row>
    <row r="157" spans="1:4">
      <c r="A157" s="151" t="s">
        <v>790</v>
      </c>
      <c r="B157" s="151" t="s">
        <v>791</v>
      </c>
      <c r="D157" s="151" t="s">
        <v>792</v>
      </c>
    </row>
    <row r="158" spans="1:4">
      <c r="A158" s="151" t="s">
        <v>793</v>
      </c>
      <c r="B158" s="151" t="s">
        <v>794</v>
      </c>
      <c r="D158" s="151" t="s">
        <v>795</v>
      </c>
    </row>
    <row r="159" spans="1:4">
      <c r="A159" s="151" t="s">
        <v>796</v>
      </c>
      <c r="B159" s="151" t="s">
        <v>797</v>
      </c>
      <c r="D159" s="151" t="s">
        <v>798</v>
      </c>
    </row>
    <row r="160" spans="1:4">
      <c r="A160" s="151" t="s">
        <v>799</v>
      </c>
      <c r="B160" s="151" t="s">
        <v>800</v>
      </c>
      <c r="D160" s="151" t="s">
        <v>801</v>
      </c>
    </row>
    <row r="161" spans="1:4">
      <c r="A161" s="151" t="s">
        <v>802</v>
      </c>
      <c r="B161" s="151" t="s">
        <v>803</v>
      </c>
      <c r="D161" s="151" t="s">
        <v>804</v>
      </c>
    </row>
    <row r="162" spans="1:4">
      <c r="A162" s="151" t="s">
        <v>805</v>
      </c>
      <c r="B162" s="151" t="s">
        <v>806</v>
      </c>
      <c r="D162" s="151" t="s">
        <v>807</v>
      </c>
    </row>
    <row r="163" spans="1:4">
      <c r="A163" s="151" t="s">
        <v>808</v>
      </c>
      <c r="B163" s="151" t="s">
        <v>809</v>
      </c>
      <c r="D163" s="151" t="s">
        <v>810</v>
      </c>
    </row>
    <row r="164" spans="1:4">
      <c r="A164" s="151" t="s">
        <v>811</v>
      </c>
      <c r="B164" s="151" t="s">
        <v>812</v>
      </c>
      <c r="D164" s="151" t="s">
        <v>813</v>
      </c>
    </row>
    <row r="165" spans="1:4">
      <c r="A165" s="151" t="s">
        <v>814</v>
      </c>
      <c r="B165" s="151" t="s">
        <v>815</v>
      </c>
      <c r="D165" s="151" t="s">
        <v>816</v>
      </c>
    </row>
    <row r="166" spans="1:4">
      <c r="A166" s="151" t="s">
        <v>817</v>
      </c>
      <c r="B166" s="151" t="s">
        <v>818</v>
      </c>
      <c r="D166" s="151" t="s">
        <v>819</v>
      </c>
    </row>
    <row r="167" spans="1:4">
      <c r="A167" s="151" t="s">
        <v>820</v>
      </c>
      <c r="B167" s="151" t="s">
        <v>821</v>
      </c>
      <c r="D167" s="151" t="s">
        <v>822</v>
      </c>
    </row>
    <row r="168" spans="1:4">
      <c r="A168" s="151" t="s">
        <v>823</v>
      </c>
      <c r="B168" s="151" t="s">
        <v>824</v>
      </c>
      <c r="D168" s="151" t="s">
        <v>825</v>
      </c>
    </row>
    <row r="169" spans="1:4">
      <c r="A169" s="151" t="s">
        <v>826</v>
      </c>
      <c r="B169" s="151" t="s">
        <v>827</v>
      </c>
      <c r="D169" s="151" t="s">
        <v>828</v>
      </c>
    </row>
    <row r="170" spans="1:4">
      <c r="A170" s="151" t="s">
        <v>829</v>
      </c>
      <c r="B170" s="151" t="s">
        <v>830</v>
      </c>
      <c r="D170" s="151" t="s">
        <v>831</v>
      </c>
    </row>
    <row r="171" spans="1:4">
      <c r="A171" s="151" t="s">
        <v>832</v>
      </c>
      <c r="B171" s="151" t="s">
        <v>833</v>
      </c>
      <c r="D171" s="151" t="s">
        <v>834</v>
      </c>
    </row>
    <row r="172" spans="1:4">
      <c r="A172" s="151" t="s">
        <v>835</v>
      </c>
      <c r="B172" s="151" t="s">
        <v>836</v>
      </c>
      <c r="D172" s="151" t="s">
        <v>837</v>
      </c>
    </row>
    <row r="173" spans="1:4">
      <c r="A173" s="151" t="s">
        <v>838</v>
      </c>
      <c r="B173" s="151" t="s">
        <v>839</v>
      </c>
      <c r="D173" s="151" t="s">
        <v>840</v>
      </c>
    </row>
    <row r="174" spans="1:4">
      <c r="A174" s="151" t="s">
        <v>841</v>
      </c>
      <c r="B174" s="151" t="s">
        <v>842</v>
      </c>
      <c r="D174" s="151" t="s">
        <v>843</v>
      </c>
    </row>
    <row r="175" spans="1:4">
      <c r="A175" s="151" t="s">
        <v>844</v>
      </c>
      <c r="B175" s="151" t="s">
        <v>845</v>
      </c>
      <c r="D175" s="151" t="s">
        <v>846</v>
      </c>
    </row>
    <row r="176" spans="1:4">
      <c r="A176" s="151" t="s">
        <v>847</v>
      </c>
      <c r="B176" s="151" t="s">
        <v>848</v>
      </c>
      <c r="D176" s="151" t="s">
        <v>849</v>
      </c>
    </row>
    <row r="177" spans="1:4">
      <c r="A177" s="151" t="s">
        <v>850</v>
      </c>
      <c r="B177" s="151" t="s">
        <v>851</v>
      </c>
      <c r="D177" s="151" t="s">
        <v>852</v>
      </c>
    </row>
    <row r="178" spans="1:4">
      <c r="A178" s="151" t="s">
        <v>853</v>
      </c>
      <c r="B178" s="151" t="s">
        <v>854</v>
      </c>
      <c r="D178" s="151" t="s">
        <v>855</v>
      </c>
    </row>
    <row r="179" spans="1:4">
      <c r="A179" s="151" t="s">
        <v>856</v>
      </c>
      <c r="B179" s="151" t="s">
        <v>857</v>
      </c>
      <c r="D179" s="151" t="s">
        <v>858</v>
      </c>
    </row>
    <row r="180" spans="1:4">
      <c r="A180" s="151" t="s">
        <v>859</v>
      </c>
      <c r="B180" s="151" t="s">
        <v>860</v>
      </c>
      <c r="D180" s="151" t="s">
        <v>861</v>
      </c>
    </row>
    <row r="181" spans="1:4">
      <c r="A181" s="151" t="s">
        <v>862</v>
      </c>
      <c r="B181" s="151" t="s">
        <v>863</v>
      </c>
      <c r="D181" s="151" t="s">
        <v>864</v>
      </c>
    </row>
    <row r="182" spans="1:4">
      <c r="A182" s="151" t="s">
        <v>865</v>
      </c>
      <c r="B182" s="151" t="s">
        <v>866</v>
      </c>
      <c r="D182" s="151" t="s">
        <v>867</v>
      </c>
    </row>
    <row r="183" spans="1:4">
      <c r="A183" s="151" t="s">
        <v>868</v>
      </c>
      <c r="B183" s="151" t="s">
        <v>869</v>
      </c>
      <c r="D183" s="151" t="s">
        <v>870</v>
      </c>
    </row>
    <row r="184" spans="1:4">
      <c r="A184" s="151" t="s">
        <v>871</v>
      </c>
      <c r="B184" s="151" t="s">
        <v>872</v>
      </c>
      <c r="D184" s="151" t="s">
        <v>873</v>
      </c>
    </row>
    <row r="185" spans="1:4">
      <c r="A185" s="151" t="s">
        <v>874</v>
      </c>
      <c r="B185" s="151" t="s">
        <v>875</v>
      </c>
      <c r="D185" s="151" t="s">
        <v>876</v>
      </c>
    </row>
    <row r="186" spans="1:4">
      <c r="A186" s="151" t="s">
        <v>877</v>
      </c>
      <c r="B186" s="151" t="s">
        <v>878</v>
      </c>
      <c r="D186" s="151" t="s">
        <v>879</v>
      </c>
    </row>
    <row r="187" spans="1:4">
      <c r="A187" s="151" t="s">
        <v>880</v>
      </c>
      <c r="B187" s="151" t="s">
        <v>881</v>
      </c>
      <c r="D187" s="151" t="s">
        <v>882</v>
      </c>
    </row>
    <row r="188" spans="1:4">
      <c r="A188" s="151" t="s">
        <v>883</v>
      </c>
      <c r="B188" s="151" t="s">
        <v>884</v>
      </c>
      <c r="D188" s="151" t="s">
        <v>885</v>
      </c>
    </row>
    <row r="189" spans="1:4">
      <c r="A189" s="151" t="s">
        <v>886</v>
      </c>
      <c r="B189" s="151" t="s">
        <v>887</v>
      </c>
      <c r="D189" s="151" t="s">
        <v>888</v>
      </c>
    </row>
    <row r="190" spans="1:4">
      <c r="A190" s="151" t="s">
        <v>889</v>
      </c>
      <c r="B190" s="151" t="s">
        <v>890</v>
      </c>
      <c r="D190" s="151" t="s">
        <v>891</v>
      </c>
    </row>
    <row r="191" spans="1:4">
      <c r="A191" s="151" t="s">
        <v>892</v>
      </c>
      <c r="B191" s="151" t="s">
        <v>893</v>
      </c>
      <c r="D191" s="151" t="s">
        <v>894</v>
      </c>
    </row>
    <row r="192" spans="1:4">
      <c r="A192" s="151" t="s">
        <v>895</v>
      </c>
      <c r="B192" s="151" t="s">
        <v>896</v>
      </c>
      <c r="D192" s="151" t="s">
        <v>897</v>
      </c>
    </row>
    <row r="193" spans="1:4">
      <c r="A193" s="151" t="s">
        <v>898</v>
      </c>
      <c r="B193" s="151" t="s">
        <v>899</v>
      </c>
      <c r="D193" s="151" t="s">
        <v>900</v>
      </c>
    </row>
    <row r="194" spans="1:4">
      <c r="A194" s="151" t="s">
        <v>901</v>
      </c>
      <c r="B194" s="151" t="s">
        <v>902</v>
      </c>
      <c r="D194" s="151" t="s">
        <v>903</v>
      </c>
    </row>
    <row r="195" spans="1:4">
      <c r="A195" s="151" t="s">
        <v>904</v>
      </c>
      <c r="B195" s="151" t="s">
        <v>905</v>
      </c>
      <c r="D195" s="151" t="s">
        <v>906</v>
      </c>
    </row>
    <row r="196" spans="1:4">
      <c r="A196" s="151" t="s">
        <v>907</v>
      </c>
      <c r="B196" s="151" t="s">
        <v>908</v>
      </c>
      <c r="D196" s="151" t="s">
        <v>909</v>
      </c>
    </row>
    <row r="197" spans="1:4">
      <c r="A197" s="151" t="s">
        <v>910</v>
      </c>
      <c r="B197" s="151" t="s">
        <v>911</v>
      </c>
      <c r="D197" s="151" t="s">
        <v>912</v>
      </c>
    </row>
    <row r="198" spans="1:4">
      <c r="A198" s="151" t="s">
        <v>913</v>
      </c>
      <c r="B198" s="151" t="s">
        <v>914</v>
      </c>
      <c r="D198" s="151" t="s">
        <v>915</v>
      </c>
    </row>
    <row r="199" spans="1:4">
      <c r="A199" s="151" t="s">
        <v>916</v>
      </c>
      <c r="B199" s="151" t="s">
        <v>917</v>
      </c>
      <c r="D199" s="151" t="s">
        <v>918</v>
      </c>
    </row>
    <row r="200" spans="1:4">
      <c r="A200" s="151" t="s">
        <v>919</v>
      </c>
      <c r="B200" s="151" t="s">
        <v>920</v>
      </c>
      <c r="D200" s="151" t="s">
        <v>921</v>
      </c>
    </row>
    <row r="201" spans="1:4">
      <c r="A201" s="151" t="s">
        <v>922</v>
      </c>
      <c r="B201" s="151" t="s">
        <v>923</v>
      </c>
      <c r="D201" s="151" t="s">
        <v>924</v>
      </c>
    </row>
    <row r="202" spans="1:4">
      <c r="A202" s="151" t="s">
        <v>925</v>
      </c>
      <c r="B202" s="151" t="s">
        <v>926</v>
      </c>
      <c r="D202" s="151" t="s">
        <v>927</v>
      </c>
    </row>
    <row r="203" spans="1:4">
      <c r="A203" s="151" t="s">
        <v>928</v>
      </c>
      <c r="B203" s="151" t="s">
        <v>929</v>
      </c>
      <c r="D203" s="151" t="s">
        <v>930</v>
      </c>
    </row>
    <row r="204" spans="1:4">
      <c r="A204" s="151" t="s">
        <v>931</v>
      </c>
      <c r="B204" s="151" t="s">
        <v>932</v>
      </c>
      <c r="D204" s="151" t="s">
        <v>933</v>
      </c>
    </row>
    <row r="205" spans="1:4">
      <c r="A205" s="151" t="s">
        <v>934</v>
      </c>
      <c r="B205" s="151" t="s">
        <v>935</v>
      </c>
      <c r="D205" s="151" t="s">
        <v>936</v>
      </c>
    </row>
    <row r="206" spans="1:4">
      <c r="A206" s="151" t="s">
        <v>937</v>
      </c>
      <c r="B206" s="151" t="s">
        <v>938</v>
      </c>
      <c r="D206" s="151" t="s">
        <v>939</v>
      </c>
    </row>
    <row r="207" spans="1:4">
      <c r="A207" s="151" t="s">
        <v>940</v>
      </c>
      <c r="B207" s="151" t="s">
        <v>941</v>
      </c>
      <c r="D207" s="151" t="s">
        <v>942</v>
      </c>
    </row>
    <row r="208" spans="1:4">
      <c r="A208" s="151" t="s">
        <v>943</v>
      </c>
      <c r="B208" s="151" t="s">
        <v>944</v>
      </c>
      <c r="D208" s="151" t="s">
        <v>945</v>
      </c>
    </row>
    <row r="209" spans="1:4">
      <c r="A209" s="151" t="s">
        <v>946</v>
      </c>
      <c r="B209" s="151" t="s">
        <v>947</v>
      </c>
      <c r="D209" s="151" t="s">
        <v>948</v>
      </c>
    </row>
    <row r="210" spans="1:4">
      <c r="A210" s="151" t="s">
        <v>949</v>
      </c>
      <c r="B210" s="151" t="s">
        <v>950</v>
      </c>
      <c r="D210" s="151" t="s">
        <v>951</v>
      </c>
    </row>
    <row r="211" spans="1:4">
      <c r="A211" s="151" t="s">
        <v>952</v>
      </c>
      <c r="B211" s="151" t="s">
        <v>953</v>
      </c>
      <c r="D211" s="151" t="s">
        <v>954</v>
      </c>
    </row>
    <row r="212" spans="1:4">
      <c r="A212" s="151" t="s">
        <v>955</v>
      </c>
      <c r="B212" s="151" t="s">
        <v>956</v>
      </c>
      <c r="D212" s="151" t="s">
        <v>957</v>
      </c>
    </row>
    <row r="213" spans="1:4">
      <c r="A213" s="151" t="s">
        <v>958</v>
      </c>
      <c r="B213" s="151" t="s">
        <v>959</v>
      </c>
      <c r="D213" s="151" t="s">
        <v>960</v>
      </c>
    </row>
    <row r="214" spans="1:4">
      <c r="A214" s="151" t="s">
        <v>961</v>
      </c>
      <c r="B214" s="151" t="s">
        <v>962</v>
      </c>
      <c r="D214" s="151" t="s">
        <v>963</v>
      </c>
    </row>
    <row r="215" spans="1:4">
      <c r="A215" s="151" t="s">
        <v>964</v>
      </c>
      <c r="B215" s="151" t="s">
        <v>965</v>
      </c>
      <c r="D215" s="151" t="s">
        <v>966</v>
      </c>
    </row>
    <row r="216" spans="1:4">
      <c r="A216" s="151" t="s">
        <v>967</v>
      </c>
      <c r="B216" s="151" t="s">
        <v>968</v>
      </c>
      <c r="D216" s="151" t="s">
        <v>969</v>
      </c>
    </row>
    <row r="217" spans="1:4">
      <c r="A217" s="151" t="s">
        <v>970</v>
      </c>
      <c r="B217" s="151" t="s">
        <v>971</v>
      </c>
      <c r="D217" s="151" t="s">
        <v>972</v>
      </c>
    </row>
    <row r="218" spans="1:4">
      <c r="A218" s="151" t="s">
        <v>973</v>
      </c>
      <c r="B218" s="151" t="s">
        <v>974</v>
      </c>
      <c r="D218" s="151" t="s">
        <v>975</v>
      </c>
    </row>
    <row r="219" spans="1:4">
      <c r="A219" s="151" t="s">
        <v>976</v>
      </c>
      <c r="B219" s="151" t="s">
        <v>977</v>
      </c>
      <c r="D219" s="151" t="s">
        <v>978</v>
      </c>
    </row>
    <row r="220" spans="1:4">
      <c r="A220" s="151" t="s">
        <v>979</v>
      </c>
      <c r="B220" s="151" t="s">
        <v>980</v>
      </c>
      <c r="D220" s="151" t="s">
        <v>981</v>
      </c>
    </row>
    <row r="221" spans="1:4">
      <c r="A221" s="151" t="s">
        <v>982</v>
      </c>
      <c r="B221" s="151" t="s">
        <v>983</v>
      </c>
      <c r="D221" s="151" t="s">
        <v>984</v>
      </c>
    </row>
    <row r="222" spans="1:4">
      <c r="A222" s="151" t="s">
        <v>985</v>
      </c>
      <c r="B222" s="151" t="s">
        <v>986</v>
      </c>
      <c r="D222" s="151" t="s">
        <v>987</v>
      </c>
    </row>
    <row r="223" spans="1:4">
      <c r="A223" s="151" t="s">
        <v>988</v>
      </c>
      <c r="B223" s="151" t="s">
        <v>989</v>
      </c>
      <c r="D223" s="151" t="s">
        <v>990</v>
      </c>
    </row>
    <row r="224" spans="1:4">
      <c r="A224" s="151" t="s">
        <v>991</v>
      </c>
      <c r="B224" s="151" t="s">
        <v>992</v>
      </c>
      <c r="D224" s="151" t="s">
        <v>993</v>
      </c>
    </row>
    <row r="225" spans="1:4">
      <c r="A225" s="151" t="s">
        <v>994</v>
      </c>
      <c r="B225" s="151" t="s">
        <v>995</v>
      </c>
      <c r="D225" s="152" t="s">
        <v>243</v>
      </c>
    </row>
    <row r="226" spans="1:4">
      <c r="A226" s="151" t="s">
        <v>996</v>
      </c>
      <c r="B226" s="151" t="s">
        <v>997</v>
      </c>
      <c r="D226" t="s">
        <v>243</v>
      </c>
    </row>
    <row r="227" spans="1:4">
      <c r="A227" s="151" t="s">
        <v>998</v>
      </c>
      <c r="B227" s="151" t="s">
        <v>999</v>
      </c>
    </row>
    <row r="228" spans="1:4">
      <c r="A228" s="151" t="s">
        <v>1000</v>
      </c>
      <c r="B228" s="151" t="s">
        <v>1001</v>
      </c>
    </row>
    <row r="229" spans="1:4">
      <c r="A229" s="151" t="s">
        <v>1002</v>
      </c>
      <c r="B229" s="151" t="s">
        <v>1003</v>
      </c>
    </row>
    <row r="230" spans="1:4">
      <c r="A230" s="151" t="s">
        <v>1004</v>
      </c>
      <c r="B230" s="151" t="s">
        <v>1005</v>
      </c>
    </row>
    <row r="231" spans="1:4">
      <c r="A231" s="151" t="s">
        <v>1006</v>
      </c>
      <c r="B231" s="151" t="s">
        <v>1007</v>
      </c>
    </row>
    <row r="232" spans="1:4">
      <c r="A232" s="151" t="s">
        <v>1008</v>
      </c>
      <c r="B232" s="151" t="s">
        <v>1009</v>
      </c>
    </row>
    <row r="233" spans="1:4">
      <c r="A233" s="151" t="s">
        <v>1010</v>
      </c>
      <c r="B233" s="151" t="s">
        <v>1011</v>
      </c>
    </row>
    <row r="234" spans="1:4">
      <c r="A234" s="151" t="s">
        <v>1012</v>
      </c>
      <c r="B234" s="151" t="s">
        <v>1013</v>
      </c>
    </row>
    <row r="235" spans="1:4">
      <c r="A235" s="151" t="s">
        <v>1014</v>
      </c>
      <c r="B235" s="151" t="s">
        <v>1015</v>
      </c>
    </row>
    <row r="236" spans="1:4">
      <c r="A236" s="151" t="s">
        <v>1016</v>
      </c>
      <c r="B236" s="151" t="s">
        <v>1017</v>
      </c>
    </row>
    <row r="237" spans="1:4">
      <c r="A237" s="151" t="s">
        <v>1018</v>
      </c>
      <c r="B237" s="151" t="s">
        <v>1019</v>
      </c>
    </row>
    <row r="238" spans="1:4">
      <c r="A238" s="151" t="s">
        <v>1020</v>
      </c>
      <c r="B238" s="151" t="s">
        <v>1021</v>
      </c>
    </row>
    <row r="239" spans="1:4">
      <c r="A239" s="151" t="s">
        <v>1022</v>
      </c>
      <c r="B239" s="151" t="s">
        <v>1023</v>
      </c>
    </row>
    <row r="240" spans="1:4">
      <c r="A240" s="151" t="s">
        <v>1024</v>
      </c>
      <c r="B240" s="151" t="s">
        <v>1025</v>
      </c>
    </row>
    <row r="241" spans="1:2">
      <c r="A241" s="151" t="s">
        <v>1026</v>
      </c>
      <c r="B241" s="151" t="s">
        <v>1027</v>
      </c>
    </row>
    <row r="242" spans="1:2">
      <c r="A242" s="151" t="s">
        <v>1028</v>
      </c>
      <c r="B242" s="151" t="s">
        <v>1029</v>
      </c>
    </row>
    <row r="243" spans="1:2">
      <c r="A243" s="151" t="s">
        <v>1030</v>
      </c>
      <c r="B243" s="151" t="s">
        <v>1031</v>
      </c>
    </row>
    <row r="244" spans="1:2">
      <c r="A244" s="151" t="s">
        <v>1032</v>
      </c>
      <c r="B244" s="151" t="s">
        <v>1033</v>
      </c>
    </row>
    <row r="245" spans="1:2">
      <c r="A245" s="151" t="s">
        <v>1034</v>
      </c>
      <c r="B245" s="151" t="s">
        <v>1035</v>
      </c>
    </row>
    <row r="246" spans="1:2">
      <c r="A246" s="151" t="s">
        <v>1036</v>
      </c>
      <c r="B246" s="151" t="s">
        <v>1037</v>
      </c>
    </row>
    <row r="247" spans="1:2">
      <c r="A247" s="151" t="s">
        <v>1038</v>
      </c>
      <c r="B247" s="151" t="s">
        <v>1039</v>
      </c>
    </row>
    <row r="248" spans="1:2">
      <c r="A248" s="151" t="s">
        <v>1040</v>
      </c>
      <c r="B248" s="151" t="s">
        <v>1041</v>
      </c>
    </row>
    <row r="249" spans="1:2">
      <c r="A249" s="151" t="s">
        <v>1042</v>
      </c>
      <c r="B249" s="151" t="s">
        <v>1043</v>
      </c>
    </row>
    <row r="250" spans="1:2">
      <c r="A250" s="151" t="s">
        <v>1044</v>
      </c>
      <c r="B250" s="151" t="s">
        <v>1045</v>
      </c>
    </row>
    <row r="251" spans="1:2">
      <c r="A251" s="151" t="s">
        <v>1046</v>
      </c>
      <c r="B251" s="151" t="s">
        <v>1047</v>
      </c>
    </row>
    <row r="252" spans="1:2">
      <c r="A252" s="151" t="s">
        <v>1048</v>
      </c>
      <c r="B252" s="151" t="s">
        <v>1049</v>
      </c>
    </row>
    <row r="253" spans="1:2">
      <c r="A253" s="151" t="s">
        <v>1050</v>
      </c>
      <c r="B253" s="151" t="s">
        <v>1051</v>
      </c>
    </row>
    <row r="254" spans="1:2">
      <c r="A254" s="151" t="s">
        <v>1052</v>
      </c>
      <c r="B254" s="151" t="s">
        <v>1053</v>
      </c>
    </row>
    <row r="255" spans="1:2">
      <c r="A255" s="151" t="s">
        <v>1054</v>
      </c>
      <c r="B255" s="151" t="s">
        <v>1055</v>
      </c>
    </row>
    <row r="256" spans="1:2">
      <c r="A256" s="151" t="s">
        <v>1056</v>
      </c>
      <c r="B256" s="151" t="s">
        <v>1057</v>
      </c>
    </row>
    <row r="257" spans="1:2">
      <c r="A257" s="151" t="s">
        <v>1058</v>
      </c>
      <c r="B257" s="151" t="s">
        <v>1059</v>
      </c>
    </row>
    <row r="258" spans="1:2">
      <c r="A258" s="151" t="s">
        <v>1060</v>
      </c>
      <c r="B258" s="151" t="s">
        <v>1061</v>
      </c>
    </row>
    <row r="259" spans="1:2">
      <c r="A259" s="151" t="s">
        <v>1062</v>
      </c>
      <c r="B259" s="151" t="s">
        <v>1063</v>
      </c>
    </row>
    <row r="260" spans="1:2">
      <c r="A260" s="151" t="s">
        <v>1064</v>
      </c>
      <c r="B260" s="151" t="s">
        <v>1065</v>
      </c>
    </row>
    <row r="261" spans="1:2">
      <c r="A261" s="151" t="s">
        <v>1066</v>
      </c>
      <c r="B261" s="151" t="s">
        <v>1067</v>
      </c>
    </row>
    <row r="262" spans="1:2">
      <c r="A262" s="151" t="s">
        <v>1068</v>
      </c>
      <c r="B262" s="151" t="s">
        <v>1069</v>
      </c>
    </row>
    <row r="263" spans="1:2">
      <c r="A263" s="151" t="s">
        <v>1070</v>
      </c>
      <c r="B263" s="151" t="s">
        <v>1071</v>
      </c>
    </row>
    <row r="264" spans="1:2">
      <c r="A264" s="151" t="s">
        <v>1072</v>
      </c>
      <c r="B264" s="151" t="s">
        <v>1073</v>
      </c>
    </row>
    <row r="265" spans="1:2">
      <c r="A265" s="151" t="s">
        <v>1074</v>
      </c>
      <c r="B265" s="151" t="s">
        <v>1075</v>
      </c>
    </row>
    <row r="266" spans="1:2">
      <c r="A266" s="151" t="s">
        <v>1076</v>
      </c>
      <c r="B266" s="151" t="s">
        <v>1077</v>
      </c>
    </row>
    <row r="267" spans="1:2">
      <c r="A267" s="151" t="s">
        <v>1078</v>
      </c>
      <c r="B267" s="151" t="s">
        <v>1079</v>
      </c>
    </row>
    <row r="268" spans="1:2">
      <c r="A268" s="151" t="s">
        <v>1080</v>
      </c>
      <c r="B268" s="151" t="s">
        <v>1081</v>
      </c>
    </row>
    <row r="269" spans="1:2">
      <c r="A269" s="151" t="s">
        <v>1082</v>
      </c>
      <c r="B269" s="151" t="s">
        <v>1083</v>
      </c>
    </row>
    <row r="270" spans="1:2">
      <c r="A270" s="151" t="s">
        <v>1084</v>
      </c>
      <c r="B270" s="151" t="s">
        <v>1085</v>
      </c>
    </row>
    <row r="271" spans="1:2">
      <c r="A271" s="151" t="s">
        <v>1086</v>
      </c>
      <c r="B271" s="151" t="s">
        <v>1087</v>
      </c>
    </row>
    <row r="272" spans="1:2">
      <c r="A272" s="151" t="s">
        <v>1088</v>
      </c>
      <c r="B272" s="151" t="s">
        <v>1089</v>
      </c>
    </row>
    <row r="273" spans="1:2">
      <c r="A273" s="151" t="s">
        <v>1090</v>
      </c>
      <c r="B273" s="151" t="s">
        <v>1091</v>
      </c>
    </row>
    <row r="274" spans="1:2">
      <c r="A274" s="151" t="s">
        <v>1092</v>
      </c>
      <c r="B274" s="151" t="s">
        <v>1093</v>
      </c>
    </row>
    <row r="275" spans="1:2">
      <c r="A275" s="151" t="s">
        <v>1094</v>
      </c>
      <c r="B275" s="151" t="s">
        <v>1095</v>
      </c>
    </row>
    <row r="276" spans="1:2">
      <c r="A276" s="151" t="s">
        <v>1096</v>
      </c>
      <c r="B276" s="151" t="s">
        <v>1097</v>
      </c>
    </row>
    <row r="277" spans="1:2">
      <c r="A277" s="151" t="s">
        <v>1098</v>
      </c>
      <c r="B277" s="151" t="s">
        <v>1099</v>
      </c>
    </row>
    <row r="278" spans="1:2">
      <c r="A278" s="151" t="s">
        <v>1100</v>
      </c>
      <c r="B278" s="151" t="s">
        <v>1101</v>
      </c>
    </row>
    <row r="279" spans="1:2">
      <c r="A279" s="151" t="s">
        <v>1102</v>
      </c>
      <c r="B279" s="151" t="s">
        <v>1103</v>
      </c>
    </row>
    <row r="280" spans="1:2">
      <c r="A280" s="151" t="s">
        <v>1104</v>
      </c>
      <c r="B280" s="151" t="s">
        <v>287</v>
      </c>
    </row>
    <row r="281" spans="1:2">
      <c r="A281" s="151" t="s">
        <v>1105</v>
      </c>
      <c r="B281" s="151" t="s">
        <v>1106</v>
      </c>
    </row>
    <row r="282" spans="1:2">
      <c r="A282" s="151" t="s">
        <v>1107</v>
      </c>
      <c r="B282" s="151" t="s">
        <v>1108</v>
      </c>
    </row>
    <row r="283" spans="1:2">
      <c r="A283" s="151" t="s">
        <v>1109</v>
      </c>
      <c r="B283" s="151" t="s">
        <v>1110</v>
      </c>
    </row>
    <row r="284" spans="1:2">
      <c r="A284" s="151" t="s">
        <v>1111</v>
      </c>
      <c r="B284" s="151" t="s">
        <v>1112</v>
      </c>
    </row>
    <row r="285" spans="1:2">
      <c r="A285" s="151" t="s">
        <v>1113</v>
      </c>
      <c r="B285" s="151" t="s">
        <v>1114</v>
      </c>
    </row>
    <row r="286" spans="1:2">
      <c r="A286" s="151" t="s">
        <v>1115</v>
      </c>
      <c r="B286" s="151" t="s">
        <v>1116</v>
      </c>
    </row>
    <row r="287" spans="1:2">
      <c r="A287" s="151" t="s">
        <v>1117</v>
      </c>
      <c r="B287" s="151" t="s">
        <v>1118</v>
      </c>
    </row>
    <row r="288" spans="1:2">
      <c r="A288" s="151" t="s">
        <v>1119</v>
      </c>
      <c r="B288" s="151" t="s">
        <v>1120</v>
      </c>
    </row>
    <row r="289" spans="1:2">
      <c r="A289" s="151" t="s">
        <v>1121</v>
      </c>
      <c r="B289" s="151" t="s">
        <v>1122</v>
      </c>
    </row>
    <row r="290" spans="1:2">
      <c r="A290" s="151" t="s">
        <v>1123</v>
      </c>
      <c r="B290" s="151" t="s">
        <v>1124</v>
      </c>
    </row>
    <row r="291" spans="1:2">
      <c r="A291" s="151" t="s">
        <v>1125</v>
      </c>
      <c r="B291" s="151" t="s">
        <v>1126</v>
      </c>
    </row>
    <row r="292" spans="1:2">
      <c r="A292" s="151" t="s">
        <v>1127</v>
      </c>
      <c r="B292" s="151" t="s">
        <v>1128</v>
      </c>
    </row>
    <row r="293" spans="1:2">
      <c r="A293" s="151" t="s">
        <v>1129</v>
      </c>
      <c r="B293" s="151" t="s">
        <v>1130</v>
      </c>
    </row>
    <row r="294" spans="1:2">
      <c r="A294" s="151" t="s">
        <v>1131</v>
      </c>
      <c r="B294" s="151" t="s">
        <v>1132</v>
      </c>
    </row>
    <row r="295" spans="1:2">
      <c r="A295" s="151" t="s">
        <v>1133</v>
      </c>
      <c r="B295" s="151" t="s">
        <v>1134</v>
      </c>
    </row>
    <row r="296" spans="1:2">
      <c r="A296" s="151" t="s">
        <v>1135</v>
      </c>
      <c r="B296" s="151" t="s">
        <v>1136</v>
      </c>
    </row>
    <row r="297" spans="1:2">
      <c r="A297" s="151" t="s">
        <v>1137</v>
      </c>
      <c r="B297" s="151" t="s">
        <v>1138</v>
      </c>
    </row>
    <row r="298" spans="1:2">
      <c r="A298" s="151" t="s">
        <v>1139</v>
      </c>
      <c r="B298" s="151" t="s">
        <v>1140</v>
      </c>
    </row>
    <row r="299" spans="1:2">
      <c r="A299" s="151" t="s">
        <v>1141</v>
      </c>
      <c r="B299" s="151" t="s">
        <v>1142</v>
      </c>
    </row>
    <row r="300" spans="1:2">
      <c r="A300" s="151" t="s">
        <v>1143</v>
      </c>
      <c r="B300" s="151" t="s">
        <v>1144</v>
      </c>
    </row>
    <row r="301" spans="1:2">
      <c r="A301" s="151" t="s">
        <v>1145</v>
      </c>
      <c r="B301" s="151" t="s">
        <v>1146</v>
      </c>
    </row>
    <row r="302" spans="1:2">
      <c r="A302" s="151" t="s">
        <v>1147</v>
      </c>
      <c r="B302" s="151" t="s">
        <v>1148</v>
      </c>
    </row>
    <row r="303" spans="1:2">
      <c r="A303" s="151" t="s">
        <v>1149</v>
      </c>
      <c r="B303" s="151" t="s">
        <v>1150</v>
      </c>
    </row>
    <row r="304" spans="1:2">
      <c r="A304" s="151" t="s">
        <v>1151</v>
      </c>
      <c r="B304" s="151" t="s">
        <v>1152</v>
      </c>
    </row>
    <row r="305" spans="1:2">
      <c r="A305" s="151" t="s">
        <v>1153</v>
      </c>
      <c r="B305" s="151" t="s">
        <v>1154</v>
      </c>
    </row>
    <row r="306" spans="1:2">
      <c r="A306" s="151" t="s">
        <v>1155</v>
      </c>
      <c r="B306" s="151" t="s">
        <v>1156</v>
      </c>
    </row>
    <row r="307" spans="1:2">
      <c r="A307" s="151" t="s">
        <v>1157</v>
      </c>
      <c r="B307" s="151" t="s">
        <v>476</v>
      </c>
    </row>
    <row r="308" spans="1:2">
      <c r="A308" s="151" t="s">
        <v>1158</v>
      </c>
      <c r="B308" s="151" t="s">
        <v>1159</v>
      </c>
    </row>
    <row r="309" spans="1:2">
      <c r="A309" s="151" t="s">
        <v>1160</v>
      </c>
      <c r="B309" s="151" t="s">
        <v>1161</v>
      </c>
    </row>
    <row r="310" spans="1:2">
      <c r="A310" s="151" t="s">
        <v>1162</v>
      </c>
      <c r="B310" s="151" t="s">
        <v>1163</v>
      </c>
    </row>
    <row r="311" spans="1:2">
      <c r="A311" s="151" t="s">
        <v>1164</v>
      </c>
      <c r="B311" s="151" t="s">
        <v>1165</v>
      </c>
    </row>
    <row r="312" spans="1:2">
      <c r="A312" s="151" t="s">
        <v>1166</v>
      </c>
      <c r="B312" s="151" t="s">
        <v>1167</v>
      </c>
    </row>
    <row r="313" spans="1:2">
      <c r="A313" s="151" t="s">
        <v>1168</v>
      </c>
      <c r="B313" s="151" t="s">
        <v>1169</v>
      </c>
    </row>
    <row r="314" spans="1:2">
      <c r="A314" s="151" t="s">
        <v>1170</v>
      </c>
      <c r="B314" s="151" t="s">
        <v>1171</v>
      </c>
    </row>
    <row r="315" spans="1:2">
      <c r="A315" s="151" t="s">
        <v>1172</v>
      </c>
      <c r="B315" s="151" t="s">
        <v>1173</v>
      </c>
    </row>
    <row r="316" spans="1:2">
      <c r="A316" s="151" t="s">
        <v>1174</v>
      </c>
      <c r="B316" s="151" t="s">
        <v>1175</v>
      </c>
    </row>
    <row r="317" spans="1:2">
      <c r="A317" s="151" t="s">
        <v>1176</v>
      </c>
      <c r="B317" s="151" t="s">
        <v>1177</v>
      </c>
    </row>
    <row r="318" spans="1:2">
      <c r="A318" s="151" t="s">
        <v>1178</v>
      </c>
      <c r="B318" s="151" t="s">
        <v>1179</v>
      </c>
    </row>
    <row r="319" spans="1:2">
      <c r="A319" s="151" t="s">
        <v>1180</v>
      </c>
      <c r="B319" s="151" t="s">
        <v>1181</v>
      </c>
    </row>
    <row r="320" spans="1:2">
      <c r="A320" s="151" t="s">
        <v>1182</v>
      </c>
      <c r="B320" s="151" t="s">
        <v>1183</v>
      </c>
    </row>
    <row r="321" spans="1:2">
      <c r="A321" s="151" t="s">
        <v>1184</v>
      </c>
      <c r="B321" s="151" t="s">
        <v>1185</v>
      </c>
    </row>
    <row r="322" spans="1:2">
      <c r="A322" s="151" t="s">
        <v>1186</v>
      </c>
      <c r="B322" s="151" t="s">
        <v>1187</v>
      </c>
    </row>
    <row r="323" spans="1:2">
      <c r="A323" s="151" t="s">
        <v>1188</v>
      </c>
      <c r="B323" s="151" t="s">
        <v>1189</v>
      </c>
    </row>
    <row r="324" spans="1:2">
      <c r="A324" s="151" t="s">
        <v>1190</v>
      </c>
      <c r="B324" s="151" t="s">
        <v>1191</v>
      </c>
    </row>
    <row r="325" spans="1:2">
      <c r="A325" s="151" t="s">
        <v>1192</v>
      </c>
      <c r="B325" s="151" t="s">
        <v>1193</v>
      </c>
    </row>
    <row r="326" spans="1:2">
      <c r="A326" s="151" t="s">
        <v>1194</v>
      </c>
      <c r="B326" s="151" t="s">
        <v>1195</v>
      </c>
    </row>
    <row r="327" spans="1:2">
      <c r="A327" s="151" t="s">
        <v>1196</v>
      </c>
      <c r="B327" s="151" t="s">
        <v>1197</v>
      </c>
    </row>
    <row r="328" spans="1:2">
      <c r="A328" s="151" t="s">
        <v>1198</v>
      </c>
      <c r="B328" s="151" t="s">
        <v>1199</v>
      </c>
    </row>
    <row r="329" spans="1:2">
      <c r="A329" s="151" t="s">
        <v>1200</v>
      </c>
      <c r="B329" s="151" t="s">
        <v>1201</v>
      </c>
    </row>
    <row r="330" spans="1:2">
      <c r="A330" s="151" t="s">
        <v>1202</v>
      </c>
      <c r="B330" s="151" t="s">
        <v>1203</v>
      </c>
    </row>
    <row r="331" spans="1:2">
      <c r="A331" s="151" t="s">
        <v>1204</v>
      </c>
      <c r="B331" s="151" t="s">
        <v>1205</v>
      </c>
    </row>
    <row r="332" spans="1:2">
      <c r="A332" s="151" t="s">
        <v>1206</v>
      </c>
      <c r="B332" s="151" t="s">
        <v>1207</v>
      </c>
    </row>
    <row r="333" spans="1:2">
      <c r="A333" s="151" t="s">
        <v>1208</v>
      </c>
      <c r="B333" s="151" t="s">
        <v>1209</v>
      </c>
    </row>
    <row r="334" spans="1:2">
      <c r="A334" s="151" t="s">
        <v>1210</v>
      </c>
      <c r="B334" s="151" t="s">
        <v>1211</v>
      </c>
    </row>
    <row r="335" spans="1:2">
      <c r="A335" s="151" t="s">
        <v>1212</v>
      </c>
      <c r="B335" s="151" t="s">
        <v>1213</v>
      </c>
    </row>
    <row r="336" spans="1:2">
      <c r="A336" s="151" t="s">
        <v>1214</v>
      </c>
      <c r="B336" s="151" t="s">
        <v>1215</v>
      </c>
    </row>
    <row r="337" spans="1:2">
      <c r="A337" s="151" t="s">
        <v>1216</v>
      </c>
      <c r="B337" s="151" t="s">
        <v>1217</v>
      </c>
    </row>
    <row r="338" spans="1:2">
      <c r="A338" s="151" t="s">
        <v>1218</v>
      </c>
      <c r="B338" s="151" t="s">
        <v>1219</v>
      </c>
    </row>
    <row r="339" spans="1:2">
      <c r="A339" s="151" t="s">
        <v>1220</v>
      </c>
      <c r="B339" s="151" t="s">
        <v>1221</v>
      </c>
    </row>
    <row r="340" spans="1:2">
      <c r="A340" s="151" t="s">
        <v>1222</v>
      </c>
      <c r="B340" s="151" t="s">
        <v>1223</v>
      </c>
    </row>
    <row r="341" spans="1:2">
      <c r="A341" s="151" t="s">
        <v>1224</v>
      </c>
      <c r="B341" s="151" t="s">
        <v>1225</v>
      </c>
    </row>
    <row r="342" spans="1:2">
      <c r="A342" s="151" t="s">
        <v>1226</v>
      </c>
      <c r="B342" s="151" t="s">
        <v>1227</v>
      </c>
    </row>
    <row r="343" spans="1:2">
      <c r="A343" s="151" t="s">
        <v>1228</v>
      </c>
      <c r="B343" s="151" t="s">
        <v>1229</v>
      </c>
    </row>
    <row r="344" spans="1:2">
      <c r="A344" s="151" t="s">
        <v>1230</v>
      </c>
      <c r="B344" s="151" t="s">
        <v>1231</v>
      </c>
    </row>
    <row r="345" spans="1:2">
      <c r="A345" s="151" t="s">
        <v>1232</v>
      </c>
      <c r="B345" s="151" t="s">
        <v>1233</v>
      </c>
    </row>
    <row r="346" spans="1:2">
      <c r="A346" s="151" t="s">
        <v>1234</v>
      </c>
      <c r="B346" s="151" t="s">
        <v>1235</v>
      </c>
    </row>
    <row r="347" spans="1:2">
      <c r="A347" s="151" t="s">
        <v>1236</v>
      </c>
      <c r="B347" s="151" t="s">
        <v>1237</v>
      </c>
    </row>
    <row r="348" spans="1:2">
      <c r="A348" s="151" t="s">
        <v>1238</v>
      </c>
      <c r="B348" s="151" t="s">
        <v>1239</v>
      </c>
    </row>
    <row r="349" spans="1:2">
      <c r="A349" s="151" t="s">
        <v>1240</v>
      </c>
      <c r="B349" s="151" t="s">
        <v>1241</v>
      </c>
    </row>
    <row r="350" spans="1:2">
      <c r="A350" s="151" t="s">
        <v>1242</v>
      </c>
      <c r="B350" s="151" t="s">
        <v>1243</v>
      </c>
    </row>
    <row r="351" spans="1:2">
      <c r="A351" s="151" t="s">
        <v>1244</v>
      </c>
      <c r="B351" s="151" t="s">
        <v>1245</v>
      </c>
    </row>
    <row r="352" spans="1:2">
      <c r="A352" s="151" t="s">
        <v>1246</v>
      </c>
      <c r="B352" s="151" t="s">
        <v>1247</v>
      </c>
    </row>
    <row r="353" spans="1:2">
      <c r="A353" s="151" t="s">
        <v>1248</v>
      </c>
      <c r="B353" s="151" t="s">
        <v>1249</v>
      </c>
    </row>
    <row r="354" spans="1:2">
      <c r="A354" s="151" t="s">
        <v>1250</v>
      </c>
      <c r="B354" s="151" t="s">
        <v>1251</v>
      </c>
    </row>
    <row r="355" spans="1:2">
      <c r="A355" s="151" t="s">
        <v>1252</v>
      </c>
      <c r="B355" s="151" t="s">
        <v>1253</v>
      </c>
    </row>
    <row r="356" spans="1:2">
      <c r="A356" s="151" t="s">
        <v>1254</v>
      </c>
      <c r="B356" s="151" t="s">
        <v>1255</v>
      </c>
    </row>
    <row r="357" spans="1:2">
      <c r="A357" s="151" t="s">
        <v>1256</v>
      </c>
      <c r="B357" s="151" t="s">
        <v>1257</v>
      </c>
    </row>
    <row r="358" spans="1:2">
      <c r="A358" s="151" t="s">
        <v>1258</v>
      </c>
      <c r="B358" s="151" t="s">
        <v>1259</v>
      </c>
    </row>
    <row r="359" spans="1:2">
      <c r="A359" s="151" t="s">
        <v>1260</v>
      </c>
      <c r="B359" s="151" t="s">
        <v>1261</v>
      </c>
    </row>
    <row r="360" spans="1:2">
      <c r="A360" s="151" t="s">
        <v>1262</v>
      </c>
      <c r="B360" s="151" t="s">
        <v>1263</v>
      </c>
    </row>
    <row r="361" spans="1:2">
      <c r="A361" s="151" t="s">
        <v>1264</v>
      </c>
      <c r="B361" s="151" t="s">
        <v>1265</v>
      </c>
    </row>
    <row r="362" spans="1:2">
      <c r="A362" s="151" t="s">
        <v>1266</v>
      </c>
      <c r="B362" s="151" t="s">
        <v>1267</v>
      </c>
    </row>
    <row r="363" spans="1:2">
      <c r="A363" s="151" t="s">
        <v>1268</v>
      </c>
      <c r="B363" s="151" t="s">
        <v>1269</v>
      </c>
    </row>
    <row r="364" spans="1:2">
      <c r="A364" s="151" t="s">
        <v>1270</v>
      </c>
      <c r="B364" s="151" t="s">
        <v>1271</v>
      </c>
    </row>
    <row r="365" spans="1:2">
      <c r="A365" s="151" t="s">
        <v>1272</v>
      </c>
      <c r="B365" s="151" t="s">
        <v>1273</v>
      </c>
    </row>
    <row r="366" spans="1:2">
      <c r="A366" s="151" t="s">
        <v>1274</v>
      </c>
      <c r="B366" s="151" t="s">
        <v>1275</v>
      </c>
    </row>
    <row r="367" spans="1:2">
      <c r="A367" s="151" t="s">
        <v>1276</v>
      </c>
      <c r="B367" s="151" t="s">
        <v>1277</v>
      </c>
    </row>
    <row r="368" spans="1:2">
      <c r="A368" s="151" t="s">
        <v>1278</v>
      </c>
      <c r="B368" s="151" t="s">
        <v>1279</v>
      </c>
    </row>
    <row r="369" spans="1:2">
      <c r="A369" s="151" t="s">
        <v>1280</v>
      </c>
      <c r="B369" s="151" t="s">
        <v>1281</v>
      </c>
    </row>
    <row r="370" spans="1:2">
      <c r="A370" s="151" t="s">
        <v>1282</v>
      </c>
      <c r="B370" s="151" t="s">
        <v>1283</v>
      </c>
    </row>
    <row r="371" spans="1:2">
      <c r="A371" s="151" t="s">
        <v>1284</v>
      </c>
      <c r="B371" s="151" t="s">
        <v>1285</v>
      </c>
    </row>
    <row r="372" spans="1:2">
      <c r="A372" s="151" t="s">
        <v>1286</v>
      </c>
      <c r="B372" s="151" t="s">
        <v>1287</v>
      </c>
    </row>
    <row r="373" spans="1:2">
      <c r="A373" s="151" t="s">
        <v>1288</v>
      </c>
      <c r="B373" s="151" t="s">
        <v>1289</v>
      </c>
    </row>
    <row r="374" spans="1:2">
      <c r="A374" s="151" t="s">
        <v>1290</v>
      </c>
      <c r="B374" s="151" t="s">
        <v>1291</v>
      </c>
    </row>
    <row r="375" spans="1:2">
      <c r="A375" s="151" t="s">
        <v>1292</v>
      </c>
      <c r="B375" s="151" t="s">
        <v>1293</v>
      </c>
    </row>
    <row r="376" spans="1:2">
      <c r="A376" s="151" t="s">
        <v>1294</v>
      </c>
      <c r="B376" s="151" t="s">
        <v>1295</v>
      </c>
    </row>
    <row r="377" spans="1:2">
      <c r="A377" s="151" t="s">
        <v>1296</v>
      </c>
      <c r="B377" s="151" t="s">
        <v>1297</v>
      </c>
    </row>
    <row r="378" spans="1:2">
      <c r="A378" s="151" t="s">
        <v>1298</v>
      </c>
      <c r="B378" s="151" t="s">
        <v>1299</v>
      </c>
    </row>
    <row r="379" spans="1:2">
      <c r="A379" s="151" t="s">
        <v>1300</v>
      </c>
      <c r="B379" s="151" t="s">
        <v>1301</v>
      </c>
    </row>
    <row r="380" spans="1:2">
      <c r="A380" s="151" t="s">
        <v>1302</v>
      </c>
      <c r="B380" s="151" t="s">
        <v>1303</v>
      </c>
    </row>
    <row r="381" spans="1:2">
      <c r="A381" s="151" t="s">
        <v>1304</v>
      </c>
      <c r="B381" s="151" t="s">
        <v>1305</v>
      </c>
    </row>
    <row r="382" spans="1:2">
      <c r="A382" s="151" t="s">
        <v>1306</v>
      </c>
      <c r="B382" s="151" t="s">
        <v>1307</v>
      </c>
    </row>
    <row r="383" spans="1:2">
      <c r="A383" s="151" t="s">
        <v>1308</v>
      </c>
      <c r="B383" s="151" t="s">
        <v>1309</v>
      </c>
    </row>
    <row r="384" spans="1:2">
      <c r="A384" s="151" t="s">
        <v>1310</v>
      </c>
      <c r="B384" s="151" t="s">
        <v>1311</v>
      </c>
    </row>
    <row r="385" spans="1:2">
      <c r="A385" s="151" t="s">
        <v>1312</v>
      </c>
      <c r="B385" s="151" t="s">
        <v>1313</v>
      </c>
    </row>
    <row r="386" spans="1:2">
      <c r="A386" s="151" t="s">
        <v>1314</v>
      </c>
      <c r="B386" s="151" t="s">
        <v>1315</v>
      </c>
    </row>
    <row r="387" spans="1:2">
      <c r="A387" s="151" t="s">
        <v>1316</v>
      </c>
      <c r="B387" s="151" t="s">
        <v>1317</v>
      </c>
    </row>
    <row r="388" spans="1:2">
      <c r="A388" s="151" t="s">
        <v>1318</v>
      </c>
      <c r="B388" s="151" t="s">
        <v>1319</v>
      </c>
    </row>
    <row r="389" spans="1:2">
      <c r="A389" s="151" t="s">
        <v>1320</v>
      </c>
      <c r="B389" s="151" t="s">
        <v>1321</v>
      </c>
    </row>
    <row r="390" spans="1:2">
      <c r="A390" s="151" t="s">
        <v>1322</v>
      </c>
      <c r="B390" s="151" t="s">
        <v>1323</v>
      </c>
    </row>
    <row r="391" spans="1:2">
      <c r="A391" s="151" t="s">
        <v>1324</v>
      </c>
      <c r="B391" s="151" t="s">
        <v>1325</v>
      </c>
    </row>
    <row r="392" spans="1:2">
      <c r="A392" s="151" t="s">
        <v>1326</v>
      </c>
      <c r="B392" s="151" t="s">
        <v>1327</v>
      </c>
    </row>
    <row r="393" spans="1:2">
      <c r="A393" s="151" t="s">
        <v>1328</v>
      </c>
      <c r="B393" s="151" t="s">
        <v>1329</v>
      </c>
    </row>
    <row r="394" spans="1:2">
      <c r="A394" s="151" t="s">
        <v>1330</v>
      </c>
      <c r="B394" s="151" t="s">
        <v>1331</v>
      </c>
    </row>
    <row r="395" spans="1:2">
      <c r="A395" s="151" t="s">
        <v>1332</v>
      </c>
      <c r="B395" s="151" t="s">
        <v>1333</v>
      </c>
    </row>
    <row r="396" spans="1:2">
      <c r="A396" s="151" t="s">
        <v>1334</v>
      </c>
      <c r="B396" s="151" t="s">
        <v>1335</v>
      </c>
    </row>
    <row r="397" spans="1:2">
      <c r="A397" s="151" t="s">
        <v>1336</v>
      </c>
      <c r="B397" s="151" t="s">
        <v>1337</v>
      </c>
    </row>
    <row r="398" spans="1:2">
      <c r="A398" s="151" t="s">
        <v>1338</v>
      </c>
      <c r="B398" s="151" t="s">
        <v>1339</v>
      </c>
    </row>
    <row r="399" spans="1:2">
      <c r="A399" s="151" t="s">
        <v>1340</v>
      </c>
      <c r="B399" s="151" t="s">
        <v>1341</v>
      </c>
    </row>
    <row r="400" spans="1:2">
      <c r="A400" s="151" t="s">
        <v>1342</v>
      </c>
      <c r="B400" s="151" t="s">
        <v>1343</v>
      </c>
    </row>
    <row r="401" spans="1:2">
      <c r="A401" s="151" t="s">
        <v>1344</v>
      </c>
      <c r="B401" s="151" t="s">
        <v>1345</v>
      </c>
    </row>
    <row r="402" spans="1:2">
      <c r="A402" s="151" t="s">
        <v>1346</v>
      </c>
      <c r="B402" s="151" t="s">
        <v>1347</v>
      </c>
    </row>
    <row r="403" spans="1:2">
      <c r="A403" s="151" t="s">
        <v>1348</v>
      </c>
      <c r="B403" s="151" t="s">
        <v>1349</v>
      </c>
    </row>
    <row r="404" spans="1:2">
      <c r="A404" s="151" t="s">
        <v>1350</v>
      </c>
      <c r="B404" s="151" t="s">
        <v>1351</v>
      </c>
    </row>
    <row r="405" spans="1:2">
      <c r="A405" s="151" t="s">
        <v>1352</v>
      </c>
      <c r="B405" s="151" t="s">
        <v>1353</v>
      </c>
    </row>
    <row r="406" spans="1:2">
      <c r="A406" s="151" t="s">
        <v>1354</v>
      </c>
      <c r="B406" s="151" t="s">
        <v>1355</v>
      </c>
    </row>
    <row r="407" spans="1:2">
      <c r="A407" s="151" t="s">
        <v>1356</v>
      </c>
      <c r="B407" s="151" t="s">
        <v>1357</v>
      </c>
    </row>
    <row r="408" spans="1:2">
      <c r="A408" s="151" t="s">
        <v>1358</v>
      </c>
      <c r="B408" s="151" t="s">
        <v>1359</v>
      </c>
    </row>
    <row r="409" spans="1:2">
      <c r="A409" s="151" t="s">
        <v>1360</v>
      </c>
      <c r="B409" s="151" t="s">
        <v>1361</v>
      </c>
    </row>
    <row r="410" spans="1:2">
      <c r="A410" s="151" t="s">
        <v>1362</v>
      </c>
      <c r="B410" s="151" t="s">
        <v>1363</v>
      </c>
    </row>
    <row r="411" spans="1:2">
      <c r="A411" s="151" t="s">
        <v>1364</v>
      </c>
      <c r="B411" s="151" t="s">
        <v>1365</v>
      </c>
    </row>
    <row r="412" spans="1:2">
      <c r="A412" s="151" t="s">
        <v>1366</v>
      </c>
      <c r="B412" s="151" t="s">
        <v>1367</v>
      </c>
    </row>
    <row r="413" spans="1:2">
      <c r="A413" s="151" t="s">
        <v>1368</v>
      </c>
      <c r="B413" s="151" t="s">
        <v>1369</v>
      </c>
    </row>
    <row r="414" spans="1:2">
      <c r="A414" s="151" t="s">
        <v>1370</v>
      </c>
      <c r="B414" s="151" t="s">
        <v>1371</v>
      </c>
    </row>
    <row r="415" spans="1:2">
      <c r="A415" s="151" t="s">
        <v>1372</v>
      </c>
      <c r="B415" s="151" t="s">
        <v>1373</v>
      </c>
    </row>
    <row r="416" spans="1:2">
      <c r="A416" s="151" t="s">
        <v>1374</v>
      </c>
      <c r="B416" s="151" t="s">
        <v>1375</v>
      </c>
    </row>
    <row r="417" spans="1:2">
      <c r="A417" s="151" t="s">
        <v>1376</v>
      </c>
      <c r="B417" s="151" t="s">
        <v>1377</v>
      </c>
    </row>
    <row r="418" spans="1:2">
      <c r="A418" s="151" t="s">
        <v>1378</v>
      </c>
      <c r="B418" s="151" t="s">
        <v>1379</v>
      </c>
    </row>
    <row r="419" spans="1:2">
      <c r="A419" s="151" t="s">
        <v>1380</v>
      </c>
      <c r="B419" s="151" t="s">
        <v>1381</v>
      </c>
    </row>
    <row r="420" spans="1:2">
      <c r="A420" s="151" t="s">
        <v>1382</v>
      </c>
      <c r="B420" s="151" t="s">
        <v>1383</v>
      </c>
    </row>
    <row r="421" spans="1:2">
      <c r="A421" s="151" t="s">
        <v>1384</v>
      </c>
      <c r="B421" s="151" t="s">
        <v>1385</v>
      </c>
    </row>
    <row r="422" spans="1:2">
      <c r="A422" s="151" t="s">
        <v>1386</v>
      </c>
      <c r="B422" s="151" t="s">
        <v>1387</v>
      </c>
    </row>
    <row r="423" spans="1:2">
      <c r="A423" s="151" t="s">
        <v>1388</v>
      </c>
      <c r="B423" s="151" t="s">
        <v>1389</v>
      </c>
    </row>
    <row r="424" spans="1:2">
      <c r="A424" s="151" t="s">
        <v>1390</v>
      </c>
      <c r="B424" s="151" t="s">
        <v>1391</v>
      </c>
    </row>
    <row r="425" spans="1:2">
      <c r="A425" s="151" t="s">
        <v>1392</v>
      </c>
      <c r="B425" s="151" t="s">
        <v>1393</v>
      </c>
    </row>
    <row r="426" spans="1:2">
      <c r="A426" s="151" t="s">
        <v>1394</v>
      </c>
      <c r="B426" s="151" t="s">
        <v>1395</v>
      </c>
    </row>
    <row r="427" spans="1:2">
      <c r="A427" s="151" t="s">
        <v>1396</v>
      </c>
      <c r="B427" s="151" t="s">
        <v>1397</v>
      </c>
    </row>
    <row r="428" spans="1:2">
      <c r="A428" s="151" t="s">
        <v>1398</v>
      </c>
      <c r="B428" s="151" t="s">
        <v>1399</v>
      </c>
    </row>
    <row r="429" spans="1:2">
      <c r="A429" s="151" t="s">
        <v>1400</v>
      </c>
      <c r="B429" s="151" t="s">
        <v>1401</v>
      </c>
    </row>
    <row r="430" spans="1:2">
      <c r="A430" s="151" t="s">
        <v>1402</v>
      </c>
      <c r="B430" s="151" t="s">
        <v>1403</v>
      </c>
    </row>
    <row r="431" spans="1:2">
      <c r="A431" s="151" t="s">
        <v>1404</v>
      </c>
      <c r="B431" s="151" t="s">
        <v>1405</v>
      </c>
    </row>
    <row r="432" spans="1:2">
      <c r="A432" s="151" t="s">
        <v>1406</v>
      </c>
      <c r="B432" s="151" t="s">
        <v>1407</v>
      </c>
    </row>
    <row r="433" spans="1:2">
      <c r="A433" s="151" t="s">
        <v>1408</v>
      </c>
      <c r="B433" s="151" t="s">
        <v>1409</v>
      </c>
    </row>
    <row r="434" spans="1:2">
      <c r="A434" s="151" t="s">
        <v>1410</v>
      </c>
      <c r="B434" s="151" t="s">
        <v>1411</v>
      </c>
    </row>
    <row r="435" spans="1:2">
      <c r="A435" s="151" t="s">
        <v>1412</v>
      </c>
      <c r="B435" s="151" t="s">
        <v>1413</v>
      </c>
    </row>
    <row r="436" spans="1:2">
      <c r="A436" s="151" t="s">
        <v>1414</v>
      </c>
      <c r="B436" s="151" t="s">
        <v>1415</v>
      </c>
    </row>
    <row r="437" spans="1:2">
      <c r="A437" s="151" t="s">
        <v>1416</v>
      </c>
      <c r="B437" s="151" t="s">
        <v>1417</v>
      </c>
    </row>
    <row r="438" spans="1:2">
      <c r="A438" s="151" t="s">
        <v>1418</v>
      </c>
      <c r="B438" s="151" t="s">
        <v>1419</v>
      </c>
    </row>
    <row r="439" spans="1:2">
      <c r="A439" s="151" t="s">
        <v>1420</v>
      </c>
      <c r="B439" s="151" t="s">
        <v>1421</v>
      </c>
    </row>
    <row r="440" spans="1:2">
      <c r="A440" s="151" t="s">
        <v>1422</v>
      </c>
      <c r="B440" s="151" t="s">
        <v>1423</v>
      </c>
    </row>
    <row r="441" spans="1:2">
      <c r="A441" s="151" t="s">
        <v>1424</v>
      </c>
      <c r="B441" s="151" t="s">
        <v>1425</v>
      </c>
    </row>
    <row r="442" spans="1:2">
      <c r="A442" s="151" t="s">
        <v>1426</v>
      </c>
      <c r="B442" s="151" t="s">
        <v>1427</v>
      </c>
    </row>
    <row r="443" spans="1:2">
      <c r="A443" s="151" t="s">
        <v>1428</v>
      </c>
      <c r="B443" s="151" t="s">
        <v>1429</v>
      </c>
    </row>
    <row r="444" spans="1:2">
      <c r="A444" s="151" t="s">
        <v>1430</v>
      </c>
      <c r="B444" s="151" t="s">
        <v>1431</v>
      </c>
    </row>
    <row r="445" spans="1:2">
      <c r="A445" s="151" t="s">
        <v>1432</v>
      </c>
      <c r="B445" s="151" t="s">
        <v>1433</v>
      </c>
    </row>
    <row r="446" spans="1:2">
      <c r="A446" s="151" t="s">
        <v>1434</v>
      </c>
      <c r="B446" s="151" t="s">
        <v>1435</v>
      </c>
    </row>
    <row r="447" spans="1:2">
      <c r="A447" s="151" t="s">
        <v>1436</v>
      </c>
      <c r="B447" s="151" t="s">
        <v>1437</v>
      </c>
    </row>
    <row r="448" spans="1:2">
      <c r="A448" s="151" t="s">
        <v>1438</v>
      </c>
      <c r="B448" s="151" t="s">
        <v>1439</v>
      </c>
    </row>
    <row r="449" spans="1:2">
      <c r="A449" s="151" t="s">
        <v>1440</v>
      </c>
      <c r="B449" s="151" t="s">
        <v>1441</v>
      </c>
    </row>
    <row r="450" spans="1:2">
      <c r="A450" s="151" t="s">
        <v>1442</v>
      </c>
      <c r="B450" s="151" t="s">
        <v>1443</v>
      </c>
    </row>
    <row r="451" spans="1:2">
      <c r="A451" s="151" t="s">
        <v>1444</v>
      </c>
      <c r="B451" s="151" t="s">
        <v>1445</v>
      </c>
    </row>
    <row r="452" spans="1:2">
      <c r="A452" s="151" t="s">
        <v>1446</v>
      </c>
      <c r="B452" s="151" t="s">
        <v>1447</v>
      </c>
    </row>
    <row r="453" spans="1:2">
      <c r="A453" s="151" t="s">
        <v>1448</v>
      </c>
      <c r="B453" s="151" t="s">
        <v>1449</v>
      </c>
    </row>
    <row r="454" spans="1:2">
      <c r="A454" s="151" t="s">
        <v>1450</v>
      </c>
      <c r="B454" s="151" t="s">
        <v>1451</v>
      </c>
    </row>
    <row r="455" spans="1:2">
      <c r="A455" s="151" t="s">
        <v>1452</v>
      </c>
      <c r="B455" s="151" t="s">
        <v>1453</v>
      </c>
    </row>
    <row r="456" spans="1:2">
      <c r="A456" s="151" t="s">
        <v>1454</v>
      </c>
      <c r="B456" s="151" t="s">
        <v>1455</v>
      </c>
    </row>
    <row r="457" spans="1:2">
      <c r="A457" s="151" t="s">
        <v>1456</v>
      </c>
      <c r="B457" s="151" t="s">
        <v>1457</v>
      </c>
    </row>
    <row r="458" spans="1:2">
      <c r="A458" s="151" t="s">
        <v>1458</v>
      </c>
      <c r="B458" s="151" t="s">
        <v>1459</v>
      </c>
    </row>
    <row r="459" spans="1:2">
      <c r="A459" s="151" t="s">
        <v>1460</v>
      </c>
      <c r="B459" s="151" t="s">
        <v>1461</v>
      </c>
    </row>
    <row r="460" spans="1:2">
      <c r="A460" s="151" t="s">
        <v>1462</v>
      </c>
      <c r="B460" s="151" t="s">
        <v>1463</v>
      </c>
    </row>
    <row r="461" spans="1:2">
      <c r="A461" s="151" t="s">
        <v>1464</v>
      </c>
      <c r="B461" s="151" t="s">
        <v>1465</v>
      </c>
    </row>
    <row r="462" spans="1:2">
      <c r="A462" s="151" t="s">
        <v>1466</v>
      </c>
      <c r="B462" s="151" t="s">
        <v>1467</v>
      </c>
    </row>
    <row r="463" spans="1:2">
      <c r="A463" s="151" t="s">
        <v>1468</v>
      </c>
      <c r="B463" s="151" t="s">
        <v>1469</v>
      </c>
    </row>
    <row r="464" spans="1:2">
      <c r="A464" s="151" t="s">
        <v>1470</v>
      </c>
      <c r="B464" s="151" t="s">
        <v>1471</v>
      </c>
    </row>
    <row r="465" spans="1:2">
      <c r="A465" s="151" t="s">
        <v>1472</v>
      </c>
      <c r="B465" s="151" t="s">
        <v>1473</v>
      </c>
    </row>
    <row r="466" spans="1:2">
      <c r="A466" s="151" t="s">
        <v>1474</v>
      </c>
      <c r="B466" s="151" t="s">
        <v>1475</v>
      </c>
    </row>
    <row r="467" spans="1:2">
      <c r="A467" s="151" t="s">
        <v>1476</v>
      </c>
      <c r="B467" s="151" t="s">
        <v>1477</v>
      </c>
    </row>
    <row r="468" spans="1:2">
      <c r="A468" s="151" t="s">
        <v>1478</v>
      </c>
      <c r="B468" s="151" t="s">
        <v>1479</v>
      </c>
    </row>
    <row r="469" spans="1:2">
      <c r="A469" s="151" t="s">
        <v>1480</v>
      </c>
      <c r="B469" s="151" t="s">
        <v>1481</v>
      </c>
    </row>
    <row r="470" spans="1:2">
      <c r="A470" s="151" t="s">
        <v>1482</v>
      </c>
      <c r="B470" s="151" t="s">
        <v>1483</v>
      </c>
    </row>
    <row r="471" spans="1:2">
      <c r="A471" s="151" t="s">
        <v>1484</v>
      </c>
      <c r="B471" s="151" t="s">
        <v>1485</v>
      </c>
    </row>
    <row r="472" spans="1:2">
      <c r="A472" s="151" t="s">
        <v>1486</v>
      </c>
      <c r="B472" s="151" t="s">
        <v>1487</v>
      </c>
    </row>
    <row r="473" spans="1:2">
      <c r="A473" s="151" t="s">
        <v>1488</v>
      </c>
      <c r="B473" s="151" t="s">
        <v>1489</v>
      </c>
    </row>
    <row r="474" spans="1:2">
      <c r="A474" s="151" t="s">
        <v>1490</v>
      </c>
      <c r="B474" s="151" t="s">
        <v>1491</v>
      </c>
    </row>
    <row r="475" spans="1:2">
      <c r="A475" s="151" t="s">
        <v>1492</v>
      </c>
      <c r="B475" s="151" t="s">
        <v>1493</v>
      </c>
    </row>
    <row r="476" spans="1:2">
      <c r="A476" s="151" t="s">
        <v>1494</v>
      </c>
      <c r="B476" s="151" t="s">
        <v>1495</v>
      </c>
    </row>
    <row r="477" spans="1:2">
      <c r="A477" s="151" t="s">
        <v>1496</v>
      </c>
      <c r="B477" s="151" t="s">
        <v>1497</v>
      </c>
    </row>
    <row r="478" spans="1:2">
      <c r="A478" s="151" t="s">
        <v>1498</v>
      </c>
      <c r="B478" s="151" t="s">
        <v>1499</v>
      </c>
    </row>
    <row r="479" spans="1:2">
      <c r="A479" s="151" t="s">
        <v>1500</v>
      </c>
      <c r="B479" s="151" t="s">
        <v>1501</v>
      </c>
    </row>
    <row r="480" spans="1:2">
      <c r="A480" s="151" t="s">
        <v>1502</v>
      </c>
      <c r="B480" s="151" t="s">
        <v>1503</v>
      </c>
    </row>
    <row r="481" spans="1:2">
      <c r="A481" s="151" t="s">
        <v>1504</v>
      </c>
      <c r="B481" s="151" t="s">
        <v>1505</v>
      </c>
    </row>
    <row r="482" spans="1:2">
      <c r="A482" s="151" t="s">
        <v>1506</v>
      </c>
      <c r="B482" s="151" t="s">
        <v>1507</v>
      </c>
    </row>
    <row r="483" spans="1:2">
      <c r="A483" s="151" t="s">
        <v>1508</v>
      </c>
      <c r="B483" s="151" t="s">
        <v>1509</v>
      </c>
    </row>
    <row r="484" spans="1:2">
      <c r="A484" s="151" t="s">
        <v>1510</v>
      </c>
      <c r="B484" s="151" t="s">
        <v>1511</v>
      </c>
    </row>
    <row r="485" spans="1:2">
      <c r="A485" s="151" t="s">
        <v>1512</v>
      </c>
      <c r="B485" s="151" t="s">
        <v>1513</v>
      </c>
    </row>
    <row r="486" spans="1:2">
      <c r="A486" s="151" t="s">
        <v>1514</v>
      </c>
      <c r="B486" s="151" t="s">
        <v>1515</v>
      </c>
    </row>
    <row r="487" spans="1:2">
      <c r="A487" s="151" t="s">
        <v>1516</v>
      </c>
      <c r="B487" s="151" t="s">
        <v>1517</v>
      </c>
    </row>
    <row r="488" spans="1:2">
      <c r="A488" s="151" t="s">
        <v>1518</v>
      </c>
      <c r="B488" s="151" t="s">
        <v>1519</v>
      </c>
    </row>
    <row r="489" spans="1:2">
      <c r="A489" s="151" t="s">
        <v>1520</v>
      </c>
      <c r="B489" s="151" t="s">
        <v>1521</v>
      </c>
    </row>
    <row r="490" spans="1:2">
      <c r="A490" s="151" t="s">
        <v>1522</v>
      </c>
      <c r="B490" s="151" t="s">
        <v>1523</v>
      </c>
    </row>
    <row r="491" spans="1:2">
      <c r="A491" s="151" t="s">
        <v>1524</v>
      </c>
      <c r="B491" s="151" t="s">
        <v>1525</v>
      </c>
    </row>
    <row r="492" spans="1:2">
      <c r="A492" s="151" t="s">
        <v>1526</v>
      </c>
      <c r="B492" s="151" t="s">
        <v>1527</v>
      </c>
    </row>
    <row r="493" spans="1:2">
      <c r="A493" s="151" t="s">
        <v>1528</v>
      </c>
      <c r="B493" s="151" t="s">
        <v>1529</v>
      </c>
    </row>
    <row r="494" spans="1:2">
      <c r="A494" s="151" t="s">
        <v>1530</v>
      </c>
      <c r="B494" s="151" t="s">
        <v>1531</v>
      </c>
    </row>
    <row r="495" spans="1:2">
      <c r="A495" s="151" t="s">
        <v>1532</v>
      </c>
      <c r="B495" s="151" t="s">
        <v>1533</v>
      </c>
    </row>
    <row r="496" spans="1:2">
      <c r="A496" s="151" t="s">
        <v>1534</v>
      </c>
      <c r="B496" s="151" t="s">
        <v>1535</v>
      </c>
    </row>
    <row r="497" spans="1:2">
      <c r="A497" s="151" t="s">
        <v>1536</v>
      </c>
      <c r="B497" s="151" t="s">
        <v>1537</v>
      </c>
    </row>
    <row r="498" spans="1:2">
      <c r="A498" s="151" t="s">
        <v>1538</v>
      </c>
      <c r="B498" s="151" t="s">
        <v>1539</v>
      </c>
    </row>
    <row r="499" spans="1:2">
      <c r="A499" s="151" t="s">
        <v>1540</v>
      </c>
      <c r="B499" s="151" t="s">
        <v>1541</v>
      </c>
    </row>
    <row r="500" spans="1:2">
      <c r="A500" s="151" t="s">
        <v>1542</v>
      </c>
      <c r="B500" s="151" t="s">
        <v>1543</v>
      </c>
    </row>
    <row r="501" spans="1:2">
      <c r="A501" s="151" t="s">
        <v>1544</v>
      </c>
      <c r="B501" s="151" t="s">
        <v>292</v>
      </c>
    </row>
    <row r="502" spans="1:2">
      <c r="A502" s="151" t="s">
        <v>1545</v>
      </c>
      <c r="B502" s="151" t="s">
        <v>1546</v>
      </c>
    </row>
    <row r="503" spans="1:2">
      <c r="A503" s="151" t="s">
        <v>1547</v>
      </c>
      <c r="B503" s="151" t="s">
        <v>1548</v>
      </c>
    </row>
    <row r="504" spans="1:2">
      <c r="A504" s="151" t="s">
        <v>1549</v>
      </c>
      <c r="B504" s="151" t="s">
        <v>1550</v>
      </c>
    </row>
    <row r="505" spans="1:2">
      <c r="A505" s="151" t="s">
        <v>1551</v>
      </c>
      <c r="B505" s="151" t="s">
        <v>1552</v>
      </c>
    </row>
    <row r="506" spans="1:2">
      <c r="A506" s="151" t="s">
        <v>1553</v>
      </c>
      <c r="B506" s="151" t="s">
        <v>1554</v>
      </c>
    </row>
    <row r="507" spans="1:2">
      <c r="A507" s="151" t="s">
        <v>1555</v>
      </c>
      <c r="B507" s="151" t="s">
        <v>1556</v>
      </c>
    </row>
    <row r="508" spans="1:2">
      <c r="A508" s="151" t="s">
        <v>1557</v>
      </c>
      <c r="B508" s="151" t="s">
        <v>1558</v>
      </c>
    </row>
    <row r="509" spans="1:2">
      <c r="A509" s="151" t="s">
        <v>1559</v>
      </c>
      <c r="B509" s="151" t="s">
        <v>1560</v>
      </c>
    </row>
    <row r="510" spans="1:2">
      <c r="A510" s="151" t="s">
        <v>1561</v>
      </c>
      <c r="B510" s="151" t="s">
        <v>1562</v>
      </c>
    </row>
    <row r="511" spans="1:2">
      <c r="A511" s="151" t="s">
        <v>1563</v>
      </c>
      <c r="B511" s="151" t="s">
        <v>1564</v>
      </c>
    </row>
    <row r="512" spans="1:2">
      <c r="A512" s="151" t="s">
        <v>1565</v>
      </c>
      <c r="B512" s="151" t="s">
        <v>1566</v>
      </c>
    </row>
    <row r="513" spans="1:2">
      <c r="A513" s="151" t="s">
        <v>1567</v>
      </c>
      <c r="B513" s="151" t="s">
        <v>1568</v>
      </c>
    </row>
    <row r="514" spans="1:2">
      <c r="A514" s="151" t="s">
        <v>1569</v>
      </c>
      <c r="B514" s="151" t="s">
        <v>1570</v>
      </c>
    </row>
    <row r="515" spans="1:2">
      <c r="A515" s="151" t="s">
        <v>1571</v>
      </c>
      <c r="B515" s="151" t="s">
        <v>1572</v>
      </c>
    </row>
    <row r="516" spans="1:2">
      <c r="A516" s="151" t="s">
        <v>1573</v>
      </c>
      <c r="B516" s="151" t="s">
        <v>1574</v>
      </c>
    </row>
    <row r="517" spans="1:2">
      <c r="A517" s="151" t="s">
        <v>1575</v>
      </c>
      <c r="B517" s="151" t="s">
        <v>1576</v>
      </c>
    </row>
    <row r="518" spans="1:2">
      <c r="A518" s="151" t="s">
        <v>1577</v>
      </c>
      <c r="B518" s="151" t="s">
        <v>1578</v>
      </c>
    </row>
    <row r="519" spans="1:2">
      <c r="A519" s="151" t="s">
        <v>1579</v>
      </c>
      <c r="B519" s="151" t="s">
        <v>1580</v>
      </c>
    </row>
    <row r="520" spans="1:2">
      <c r="A520" s="151" t="s">
        <v>1581</v>
      </c>
      <c r="B520" s="151" t="s">
        <v>1582</v>
      </c>
    </row>
    <row r="521" spans="1:2">
      <c r="A521" s="151" t="s">
        <v>1583</v>
      </c>
      <c r="B521" s="151" t="s">
        <v>1584</v>
      </c>
    </row>
    <row r="522" spans="1:2">
      <c r="A522" s="151" t="s">
        <v>1585</v>
      </c>
      <c r="B522" s="151" t="s">
        <v>1586</v>
      </c>
    </row>
    <row r="523" spans="1:2">
      <c r="A523" s="151" t="s">
        <v>1587</v>
      </c>
      <c r="B523" s="151" t="s">
        <v>1588</v>
      </c>
    </row>
    <row r="524" spans="1:2">
      <c r="A524" s="151" t="s">
        <v>1589</v>
      </c>
      <c r="B524" s="151" t="s">
        <v>1590</v>
      </c>
    </row>
    <row r="525" spans="1:2">
      <c r="A525" s="151" t="s">
        <v>1591</v>
      </c>
      <c r="B525" s="151" t="s">
        <v>1592</v>
      </c>
    </row>
    <row r="526" spans="1:2">
      <c r="A526" s="151" t="s">
        <v>1593</v>
      </c>
      <c r="B526" s="151" t="s">
        <v>1594</v>
      </c>
    </row>
    <row r="527" spans="1:2">
      <c r="A527" s="151" t="s">
        <v>1595</v>
      </c>
      <c r="B527" s="151" t="s">
        <v>1596</v>
      </c>
    </row>
    <row r="528" spans="1:2">
      <c r="A528" s="151" t="s">
        <v>1597</v>
      </c>
      <c r="B528" s="151" t="s">
        <v>1598</v>
      </c>
    </row>
    <row r="529" spans="1:2">
      <c r="A529" s="151" t="s">
        <v>1599</v>
      </c>
      <c r="B529" s="151" t="s">
        <v>1600</v>
      </c>
    </row>
    <row r="530" spans="1:2">
      <c r="A530" s="151" t="s">
        <v>1601</v>
      </c>
      <c r="B530" s="151" t="s">
        <v>1602</v>
      </c>
    </row>
    <row r="531" spans="1:2">
      <c r="A531" s="151" t="s">
        <v>1603</v>
      </c>
      <c r="B531" s="151" t="s">
        <v>1604</v>
      </c>
    </row>
    <row r="532" spans="1:2">
      <c r="A532" s="151" t="s">
        <v>1605</v>
      </c>
      <c r="B532" s="151" t="s">
        <v>1606</v>
      </c>
    </row>
    <row r="533" spans="1:2">
      <c r="A533" s="151" t="s">
        <v>1607</v>
      </c>
      <c r="B533" s="151" t="s">
        <v>1608</v>
      </c>
    </row>
    <row r="534" spans="1:2">
      <c r="A534" s="151" t="s">
        <v>1609</v>
      </c>
      <c r="B534" s="151" t="s">
        <v>1610</v>
      </c>
    </row>
    <row r="535" spans="1:2">
      <c r="A535" s="151" t="s">
        <v>1611</v>
      </c>
      <c r="B535" s="151" t="s">
        <v>1612</v>
      </c>
    </row>
    <row r="536" spans="1:2">
      <c r="A536" s="151" t="s">
        <v>1613</v>
      </c>
      <c r="B536" s="151" t="s">
        <v>1614</v>
      </c>
    </row>
    <row r="537" spans="1:2">
      <c r="A537" s="151" t="s">
        <v>1615</v>
      </c>
      <c r="B537" s="151" t="s">
        <v>1616</v>
      </c>
    </row>
    <row r="538" spans="1:2">
      <c r="A538" s="151" t="s">
        <v>1617</v>
      </c>
      <c r="B538" s="151" t="s">
        <v>1618</v>
      </c>
    </row>
    <row r="539" spans="1:2">
      <c r="A539" s="151" t="s">
        <v>1619</v>
      </c>
      <c r="B539" s="151" t="s">
        <v>1620</v>
      </c>
    </row>
    <row r="540" spans="1:2">
      <c r="A540" s="151" t="s">
        <v>1621</v>
      </c>
      <c r="B540" s="151" t="s">
        <v>1622</v>
      </c>
    </row>
    <row r="541" spans="1:2">
      <c r="A541" s="151" t="s">
        <v>1623</v>
      </c>
      <c r="B541" s="151" t="s">
        <v>1624</v>
      </c>
    </row>
    <row r="542" spans="1:2">
      <c r="A542" s="151" t="s">
        <v>1625</v>
      </c>
      <c r="B542" s="151" t="s">
        <v>1626</v>
      </c>
    </row>
    <row r="543" spans="1:2">
      <c r="A543" s="151" t="s">
        <v>1627</v>
      </c>
      <c r="B543" s="151" t="s">
        <v>1628</v>
      </c>
    </row>
    <row r="544" spans="1:2">
      <c r="A544" s="151" t="s">
        <v>1629</v>
      </c>
      <c r="B544" s="151" t="s">
        <v>1630</v>
      </c>
    </row>
    <row r="545" spans="1:2">
      <c r="A545" s="151" t="s">
        <v>1631</v>
      </c>
      <c r="B545" s="151" t="s">
        <v>1632</v>
      </c>
    </row>
    <row r="546" spans="1:2">
      <c r="A546" s="151" t="s">
        <v>1633</v>
      </c>
      <c r="B546" s="151" t="s">
        <v>1634</v>
      </c>
    </row>
    <row r="547" spans="1:2">
      <c r="A547" s="151" t="s">
        <v>1635</v>
      </c>
      <c r="B547" s="151" t="s">
        <v>1636</v>
      </c>
    </row>
    <row r="548" spans="1:2">
      <c r="A548" s="151" t="s">
        <v>1637</v>
      </c>
      <c r="B548" s="151" t="s">
        <v>1638</v>
      </c>
    </row>
    <row r="549" spans="1:2">
      <c r="A549" s="151" t="s">
        <v>1639</v>
      </c>
      <c r="B549" s="151" t="s">
        <v>1640</v>
      </c>
    </row>
    <row r="550" spans="1:2">
      <c r="A550" s="151" t="s">
        <v>1641</v>
      </c>
      <c r="B550" s="151" t="s">
        <v>1642</v>
      </c>
    </row>
    <row r="551" spans="1:2">
      <c r="A551" s="151" t="s">
        <v>1643</v>
      </c>
      <c r="B551" s="151" t="s">
        <v>1644</v>
      </c>
    </row>
    <row r="552" spans="1:2">
      <c r="A552" s="151" t="s">
        <v>1645</v>
      </c>
      <c r="B552" s="151" t="s">
        <v>1646</v>
      </c>
    </row>
    <row r="553" spans="1:2">
      <c r="A553" s="151" t="s">
        <v>1647</v>
      </c>
      <c r="B553" s="151" t="s">
        <v>1648</v>
      </c>
    </row>
    <row r="554" spans="1:2">
      <c r="A554" s="151" t="s">
        <v>1649</v>
      </c>
      <c r="B554" s="151" t="s">
        <v>1650</v>
      </c>
    </row>
    <row r="555" spans="1:2">
      <c r="A555" s="151" t="s">
        <v>1651</v>
      </c>
      <c r="B555" s="151" t="s">
        <v>1652</v>
      </c>
    </row>
    <row r="556" spans="1:2">
      <c r="A556" s="151" t="s">
        <v>1653</v>
      </c>
      <c r="B556" s="151" t="s">
        <v>1654</v>
      </c>
    </row>
    <row r="557" spans="1:2">
      <c r="A557" s="151" t="s">
        <v>1655</v>
      </c>
      <c r="B557" s="151" t="s">
        <v>1656</v>
      </c>
    </row>
    <row r="558" spans="1:2">
      <c r="A558" s="151" t="s">
        <v>1657</v>
      </c>
      <c r="B558" s="151" t="s">
        <v>1658</v>
      </c>
    </row>
    <row r="559" spans="1:2">
      <c r="A559" s="151" t="s">
        <v>1659</v>
      </c>
      <c r="B559" s="151" t="s">
        <v>1660</v>
      </c>
    </row>
    <row r="560" spans="1:2">
      <c r="A560" s="151" t="s">
        <v>1661</v>
      </c>
      <c r="B560" s="151" t="s">
        <v>1662</v>
      </c>
    </row>
    <row r="561" spans="1:2">
      <c r="A561" s="151" t="s">
        <v>1663</v>
      </c>
      <c r="B561" s="151" t="s">
        <v>1664</v>
      </c>
    </row>
    <row r="562" spans="1:2">
      <c r="A562" s="151" t="s">
        <v>1665</v>
      </c>
      <c r="B562" s="151" t="s">
        <v>1666</v>
      </c>
    </row>
    <row r="563" spans="1:2">
      <c r="A563" s="151" t="s">
        <v>1667</v>
      </c>
      <c r="B563" s="151" t="s">
        <v>1668</v>
      </c>
    </row>
    <row r="564" spans="1:2">
      <c r="A564" s="151" t="s">
        <v>1669</v>
      </c>
      <c r="B564" s="151" t="s">
        <v>1670</v>
      </c>
    </row>
    <row r="565" spans="1:2">
      <c r="A565" s="151" t="s">
        <v>1671</v>
      </c>
      <c r="B565" s="151" t="s">
        <v>1672</v>
      </c>
    </row>
    <row r="566" spans="1:2">
      <c r="A566" s="151" t="s">
        <v>1673</v>
      </c>
      <c r="B566" s="151" t="s">
        <v>1674</v>
      </c>
    </row>
    <row r="567" spans="1:2">
      <c r="A567" s="151" t="s">
        <v>1675</v>
      </c>
      <c r="B567" s="151" t="s">
        <v>1676</v>
      </c>
    </row>
    <row r="568" spans="1:2">
      <c r="A568" s="151" t="s">
        <v>1677</v>
      </c>
      <c r="B568" s="151" t="s">
        <v>1678</v>
      </c>
    </row>
    <row r="569" spans="1:2">
      <c r="A569" s="151" t="s">
        <v>1679</v>
      </c>
      <c r="B569" s="151" t="s">
        <v>1680</v>
      </c>
    </row>
    <row r="570" spans="1:2">
      <c r="A570" s="151" t="s">
        <v>1681</v>
      </c>
      <c r="B570" s="151" t="s">
        <v>1682</v>
      </c>
    </row>
    <row r="571" spans="1:2">
      <c r="A571" s="151" t="s">
        <v>1683</v>
      </c>
      <c r="B571" s="151" t="s">
        <v>1684</v>
      </c>
    </row>
    <row r="572" spans="1:2">
      <c r="A572" s="151" t="s">
        <v>1685</v>
      </c>
      <c r="B572" s="151" t="s">
        <v>1686</v>
      </c>
    </row>
    <row r="573" spans="1:2">
      <c r="A573" s="151" t="s">
        <v>1687</v>
      </c>
      <c r="B573" s="151" t="s">
        <v>1688</v>
      </c>
    </row>
    <row r="574" spans="1:2">
      <c r="A574" s="151" t="s">
        <v>1689</v>
      </c>
      <c r="B574" s="151" t="s">
        <v>1690</v>
      </c>
    </row>
    <row r="575" spans="1:2">
      <c r="A575" s="151" t="s">
        <v>1691</v>
      </c>
      <c r="B575" s="151" t="s">
        <v>1692</v>
      </c>
    </row>
    <row r="576" spans="1:2">
      <c r="A576" s="151" t="s">
        <v>1693</v>
      </c>
      <c r="B576" s="151" t="s">
        <v>1694</v>
      </c>
    </row>
    <row r="577" spans="1:2">
      <c r="A577" s="151" t="s">
        <v>1695</v>
      </c>
      <c r="B577" s="151" t="s">
        <v>1696</v>
      </c>
    </row>
    <row r="578" spans="1:2">
      <c r="A578" s="151" t="s">
        <v>1697</v>
      </c>
      <c r="B578" s="151" t="s">
        <v>1698</v>
      </c>
    </row>
    <row r="579" spans="1:2">
      <c r="A579" s="151" t="s">
        <v>1699</v>
      </c>
      <c r="B579" s="151" t="s">
        <v>1700</v>
      </c>
    </row>
    <row r="580" spans="1:2">
      <c r="A580" s="151" t="s">
        <v>1701</v>
      </c>
      <c r="B580" s="151" t="s">
        <v>1702</v>
      </c>
    </row>
    <row r="581" spans="1:2">
      <c r="A581" s="151" t="s">
        <v>1703</v>
      </c>
      <c r="B581" s="151" t="s">
        <v>1704</v>
      </c>
    </row>
    <row r="582" spans="1:2">
      <c r="A582" s="151" t="s">
        <v>1705</v>
      </c>
      <c r="B582" s="151" t="s">
        <v>1706</v>
      </c>
    </row>
    <row r="583" spans="1:2">
      <c r="A583" s="151" t="s">
        <v>1707</v>
      </c>
      <c r="B583" s="151" t="s">
        <v>1708</v>
      </c>
    </row>
    <row r="584" spans="1:2">
      <c r="A584" s="151" t="s">
        <v>1709</v>
      </c>
      <c r="B584" s="151" t="s">
        <v>1710</v>
      </c>
    </row>
    <row r="585" spans="1:2">
      <c r="A585" s="151" t="s">
        <v>1711</v>
      </c>
      <c r="B585" s="151" t="s">
        <v>1712</v>
      </c>
    </row>
    <row r="586" spans="1:2">
      <c r="A586" s="151" t="s">
        <v>1713</v>
      </c>
      <c r="B586" s="151" t="s">
        <v>1714</v>
      </c>
    </row>
    <row r="587" spans="1:2">
      <c r="A587" s="151" t="s">
        <v>1715</v>
      </c>
      <c r="B587" s="151" t="s">
        <v>1716</v>
      </c>
    </row>
    <row r="588" spans="1:2">
      <c r="A588" s="151" t="s">
        <v>1717</v>
      </c>
      <c r="B588" s="151" t="s">
        <v>119</v>
      </c>
    </row>
    <row r="589" spans="1:2">
      <c r="A589" s="151" t="s">
        <v>1718</v>
      </c>
      <c r="B589" s="151" t="s">
        <v>1719</v>
      </c>
    </row>
    <row r="590" spans="1:2">
      <c r="A590" s="151" t="s">
        <v>1720</v>
      </c>
      <c r="B590" s="151" t="s">
        <v>1721</v>
      </c>
    </row>
    <row r="591" spans="1:2">
      <c r="A591" s="151" t="s">
        <v>1722</v>
      </c>
      <c r="B591" s="151" t="s">
        <v>1723</v>
      </c>
    </row>
    <row r="592" spans="1:2">
      <c r="A592" s="151" t="s">
        <v>1724</v>
      </c>
      <c r="B592" s="151" t="s">
        <v>1725</v>
      </c>
    </row>
    <row r="593" spans="1:2">
      <c r="A593" s="151" t="s">
        <v>1726</v>
      </c>
      <c r="B593" s="151" t="s">
        <v>1727</v>
      </c>
    </row>
    <row r="594" spans="1:2">
      <c r="A594" s="151" t="s">
        <v>1728</v>
      </c>
      <c r="B594" s="151" t="s">
        <v>1729</v>
      </c>
    </row>
    <row r="595" spans="1:2">
      <c r="A595" s="151" t="s">
        <v>1730</v>
      </c>
      <c r="B595" s="151" t="s">
        <v>1731</v>
      </c>
    </row>
    <row r="596" spans="1:2">
      <c r="A596" s="151" t="s">
        <v>1732</v>
      </c>
      <c r="B596" s="151" t="s">
        <v>1733</v>
      </c>
    </row>
    <row r="597" spans="1:2">
      <c r="A597" s="151" t="s">
        <v>1734</v>
      </c>
      <c r="B597" s="151" t="s">
        <v>1735</v>
      </c>
    </row>
    <row r="598" spans="1:2">
      <c r="A598" s="151" t="s">
        <v>1736</v>
      </c>
      <c r="B598" s="151" t="s">
        <v>1737</v>
      </c>
    </row>
    <row r="599" spans="1:2">
      <c r="A599" s="151" t="s">
        <v>1738</v>
      </c>
      <c r="B599" s="151" t="s">
        <v>1739</v>
      </c>
    </row>
    <row r="600" spans="1:2">
      <c r="A600" s="151" t="s">
        <v>1740</v>
      </c>
      <c r="B600" s="151" t="s">
        <v>1741</v>
      </c>
    </row>
    <row r="601" spans="1:2">
      <c r="A601" s="151" t="s">
        <v>1742</v>
      </c>
      <c r="B601" s="151" t="s">
        <v>1743</v>
      </c>
    </row>
    <row r="602" spans="1:2">
      <c r="A602" s="151" t="s">
        <v>1744</v>
      </c>
      <c r="B602" s="151" t="s">
        <v>1745</v>
      </c>
    </row>
    <row r="603" spans="1:2">
      <c r="A603" s="151" t="s">
        <v>1746</v>
      </c>
      <c r="B603" s="151" t="s">
        <v>1747</v>
      </c>
    </row>
    <row r="604" spans="1:2">
      <c r="A604" s="151" t="s">
        <v>1748</v>
      </c>
      <c r="B604" s="151" t="s">
        <v>1749</v>
      </c>
    </row>
    <row r="605" spans="1:2">
      <c r="A605" s="151" t="s">
        <v>1750</v>
      </c>
      <c r="B605" s="151" t="s">
        <v>1751</v>
      </c>
    </row>
    <row r="606" spans="1:2">
      <c r="A606" s="151" t="s">
        <v>1752</v>
      </c>
      <c r="B606" s="151" t="s">
        <v>1753</v>
      </c>
    </row>
    <row r="607" spans="1:2">
      <c r="A607" s="151" t="s">
        <v>1754</v>
      </c>
      <c r="B607" s="151" t="s">
        <v>1755</v>
      </c>
    </row>
    <row r="608" spans="1:2">
      <c r="A608" s="151" t="s">
        <v>1756</v>
      </c>
      <c r="B608" s="151" t="s">
        <v>1757</v>
      </c>
    </row>
    <row r="609" spans="1:2">
      <c r="A609" s="151" t="s">
        <v>1758</v>
      </c>
      <c r="B609" s="151" t="s">
        <v>1759</v>
      </c>
    </row>
    <row r="610" spans="1:2">
      <c r="A610" s="151" t="s">
        <v>1760</v>
      </c>
      <c r="B610" s="151" t="s">
        <v>1761</v>
      </c>
    </row>
    <row r="611" spans="1:2">
      <c r="A611" s="151" t="s">
        <v>1762</v>
      </c>
      <c r="B611" s="151" t="s">
        <v>1763</v>
      </c>
    </row>
    <row r="612" spans="1:2">
      <c r="A612" s="151" t="s">
        <v>1764</v>
      </c>
      <c r="B612" s="151" t="s">
        <v>1765</v>
      </c>
    </row>
    <row r="613" spans="1:2">
      <c r="A613" s="151" t="s">
        <v>1766</v>
      </c>
      <c r="B613" s="151" t="s">
        <v>1767</v>
      </c>
    </row>
    <row r="614" spans="1:2">
      <c r="A614" s="151" t="s">
        <v>1768</v>
      </c>
      <c r="B614" s="151" t="s">
        <v>1769</v>
      </c>
    </row>
    <row r="615" spans="1:2">
      <c r="A615" s="151" t="s">
        <v>1770</v>
      </c>
      <c r="B615" s="151" t="s">
        <v>1771</v>
      </c>
    </row>
    <row r="616" spans="1:2">
      <c r="A616" s="151" t="s">
        <v>1772</v>
      </c>
      <c r="B616" s="151" t="s">
        <v>1773</v>
      </c>
    </row>
    <row r="617" spans="1:2">
      <c r="A617" s="151" t="s">
        <v>1774</v>
      </c>
      <c r="B617" s="151" t="s">
        <v>1775</v>
      </c>
    </row>
    <row r="618" spans="1:2">
      <c r="A618" s="151" t="s">
        <v>1776</v>
      </c>
      <c r="B618" s="151" t="s">
        <v>1777</v>
      </c>
    </row>
    <row r="619" spans="1:2">
      <c r="A619" s="151" t="s">
        <v>1778</v>
      </c>
      <c r="B619" s="151" t="s">
        <v>1779</v>
      </c>
    </row>
    <row r="620" spans="1:2">
      <c r="A620" s="151" t="s">
        <v>1780</v>
      </c>
      <c r="B620" s="151" t="s">
        <v>1781</v>
      </c>
    </row>
    <row r="621" spans="1:2">
      <c r="A621" s="151" t="s">
        <v>1782</v>
      </c>
      <c r="B621" s="151" t="s">
        <v>1783</v>
      </c>
    </row>
    <row r="622" spans="1:2">
      <c r="A622" s="151" t="s">
        <v>1784</v>
      </c>
      <c r="B622" s="151" t="s">
        <v>1785</v>
      </c>
    </row>
    <row r="623" spans="1:2">
      <c r="A623" s="151" t="s">
        <v>1786</v>
      </c>
      <c r="B623" s="151" t="s">
        <v>1787</v>
      </c>
    </row>
    <row r="624" spans="1:2">
      <c r="A624" s="151" t="s">
        <v>1788</v>
      </c>
      <c r="B624" s="151" t="s">
        <v>1789</v>
      </c>
    </row>
    <row r="625" spans="1:2">
      <c r="A625" s="151" t="s">
        <v>1790</v>
      </c>
      <c r="B625" s="151" t="s">
        <v>1791</v>
      </c>
    </row>
    <row r="626" spans="1:2">
      <c r="A626" s="151" t="s">
        <v>1792</v>
      </c>
      <c r="B626" s="151" t="s">
        <v>1793</v>
      </c>
    </row>
    <row r="627" spans="1:2">
      <c r="A627" s="151" t="s">
        <v>1794</v>
      </c>
      <c r="B627" s="151" t="s">
        <v>297</v>
      </c>
    </row>
    <row r="628" spans="1:2">
      <c r="A628" s="151" t="s">
        <v>1795</v>
      </c>
      <c r="B628" s="151" t="s">
        <v>1796</v>
      </c>
    </row>
    <row r="629" spans="1:2">
      <c r="A629" s="151" t="s">
        <v>1797</v>
      </c>
      <c r="B629" s="151" t="s">
        <v>1798</v>
      </c>
    </row>
    <row r="630" spans="1:2">
      <c r="A630" s="151" t="s">
        <v>1799</v>
      </c>
      <c r="B630" s="151" t="s">
        <v>1800</v>
      </c>
    </row>
    <row r="631" spans="1:2">
      <c r="A631" s="151" t="s">
        <v>1801</v>
      </c>
      <c r="B631" s="151" t="s">
        <v>1802</v>
      </c>
    </row>
    <row r="632" spans="1:2">
      <c r="A632" s="151" t="s">
        <v>1803</v>
      </c>
      <c r="B632" s="151" t="s">
        <v>1804</v>
      </c>
    </row>
    <row r="633" spans="1:2">
      <c r="A633" s="151" t="s">
        <v>1805</v>
      </c>
      <c r="B633" s="151" t="s">
        <v>1806</v>
      </c>
    </row>
    <row r="634" spans="1:2">
      <c r="A634" s="151" t="s">
        <v>1807</v>
      </c>
      <c r="B634" s="151" t="s">
        <v>1808</v>
      </c>
    </row>
    <row r="635" spans="1:2">
      <c r="A635" s="151" t="s">
        <v>1809</v>
      </c>
      <c r="B635" s="151" t="s">
        <v>1810</v>
      </c>
    </row>
    <row r="636" spans="1:2">
      <c r="A636" s="151" t="s">
        <v>1811</v>
      </c>
      <c r="B636" s="151" t="s">
        <v>1812</v>
      </c>
    </row>
    <row r="637" spans="1:2">
      <c r="A637" s="151" t="s">
        <v>1813</v>
      </c>
      <c r="B637" s="151" t="s">
        <v>1814</v>
      </c>
    </row>
    <row r="638" spans="1:2">
      <c r="A638" s="151" t="s">
        <v>1815</v>
      </c>
      <c r="B638" s="151" t="s">
        <v>1816</v>
      </c>
    </row>
    <row r="639" spans="1:2">
      <c r="A639" s="151" t="s">
        <v>1817</v>
      </c>
      <c r="B639" s="151" t="s">
        <v>1818</v>
      </c>
    </row>
    <row r="640" spans="1:2">
      <c r="A640" s="151" t="s">
        <v>1819</v>
      </c>
      <c r="B640" s="151" t="s">
        <v>1820</v>
      </c>
    </row>
    <row r="641" spans="1:2">
      <c r="A641" s="151" t="s">
        <v>1821</v>
      </c>
      <c r="B641" s="151" t="s">
        <v>1822</v>
      </c>
    </row>
    <row r="642" spans="1:2">
      <c r="A642" s="151" t="s">
        <v>1823</v>
      </c>
      <c r="B642" s="151" t="s">
        <v>1824</v>
      </c>
    </row>
    <row r="643" spans="1:2">
      <c r="A643" s="151" t="s">
        <v>1825</v>
      </c>
      <c r="B643" s="151" t="s">
        <v>1826</v>
      </c>
    </row>
    <row r="644" spans="1:2">
      <c r="A644" s="151" t="s">
        <v>1827</v>
      </c>
      <c r="B644" s="151" t="s">
        <v>1828</v>
      </c>
    </row>
    <row r="645" spans="1:2">
      <c r="A645" s="151" t="s">
        <v>1829</v>
      </c>
      <c r="B645" s="151" t="s">
        <v>1830</v>
      </c>
    </row>
    <row r="646" spans="1:2">
      <c r="A646" s="151" t="s">
        <v>1831</v>
      </c>
      <c r="B646" s="151" t="s">
        <v>1832</v>
      </c>
    </row>
    <row r="647" spans="1:2">
      <c r="A647" s="151" t="s">
        <v>1833</v>
      </c>
      <c r="B647" s="151" t="s">
        <v>1834</v>
      </c>
    </row>
    <row r="648" spans="1:2">
      <c r="A648" s="151" t="s">
        <v>1835</v>
      </c>
      <c r="B648" s="151" t="s">
        <v>1836</v>
      </c>
    </row>
    <row r="649" spans="1:2">
      <c r="A649" s="151" t="s">
        <v>1837</v>
      </c>
      <c r="B649" s="151" t="s">
        <v>1838</v>
      </c>
    </row>
    <row r="650" spans="1:2">
      <c r="A650" s="151" t="s">
        <v>1839</v>
      </c>
      <c r="B650" s="151" t="s">
        <v>1840</v>
      </c>
    </row>
    <row r="651" spans="1:2">
      <c r="A651" s="151" t="s">
        <v>1841</v>
      </c>
      <c r="B651" s="151" t="s">
        <v>1842</v>
      </c>
    </row>
    <row r="652" spans="1:2">
      <c r="A652" s="151" t="s">
        <v>1843</v>
      </c>
      <c r="B652" s="151" t="s">
        <v>1844</v>
      </c>
    </row>
    <row r="653" spans="1:2">
      <c r="A653" s="151" t="s">
        <v>1845</v>
      </c>
      <c r="B653" s="151" t="s">
        <v>1846</v>
      </c>
    </row>
    <row r="654" spans="1:2">
      <c r="A654" s="151" t="s">
        <v>1847</v>
      </c>
      <c r="B654" s="151" t="s">
        <v>1848</v>
      </c>
    </row>
    <row r="655" spans="1:2">
      <c r="A655" s="151" t="s">
        <v>1849</v>
      </c>
      <c r="B655" s="151" t="s">
        <v>1850</v>
      </c>
    </row>
    <row r="656" spans="1:2">
      <c r="A656" s="151" t="s">
        <v>1851</v>
      </c>
      <c r="B656" s="151" t="s">
        <v>1852</v>
      </c>
    </row>
    <row r="657" spans="1:2">
      <c r="A657" s="151" t="s">
        <v>1853</v>
      </c>
      <c r="B657" s="151" t="s">
        <v>1854</v>
      </c>
    </row>
    <row r="658" spans="1:2">
      <c r="A658" s="151" t="s">
        <v>1855</v>
      </c>
      <c r="B658" s="151" t="s">
        <v>1856</v>
      </c>
    </row>
    <row r="659" spans="1:2">
      <c r="A659" s="151" t="s">
        <v>1857</v>
      </c>
      <c r="B659" s="151" t="s">
        <v>1858</v>
      </c>
    </row>
    <row r="660" spans="1:2">
      <c r="A660" s="151" t="s">
        <v>1859</v>
      </c>
      <c r="B660" s="151" t="s">
        <v>1860</v>
      </c>
    </row>
    <row r="661" spans="1:2">
      <c r="A661" s="151" t="s">
        <v>1861</v>
      </c>
      <c r="B661" s="151" t="s">
        <v>1862</v>
      </c>
    </row>
    <row r="662" spans="1:2">
      <c r="A662" s="151" t="s">
        <v>1863</v>
      </c>
      <c r="B662" s="151" t="s">
        <v>1864</v>
      </c>
    </row>
    <row r="663" spans="1:2">
      <c r="A663" s="151" t="s">
        <v>1865</v>
      </c>
      <c r="B663" s="151" t="s">
        <v>1866</v>
      </c>
    </row>
    <row r="664" spans="1:2">
      <c r="A664" s="151" t="s">
        <v>1867</v>
      </c>
      <c r="B664" s="151" t="s">
        <v>1868</v>
      </c>
    </row>
    <row r="665" spans="1:2">
      <c r="A665" s="151" t="s">
        <v>1869</v>
      </c>
      <c r="B665" s="151" t="s">
        <v>1870</v>
      </c>
    </row>
    <row r="666" spans="1:2">
      <c r="A666" s="151" t="s">
        <v>1871</v>
      </c>
      <c r="B666" s="151" t="s">
        <v>1872</v>
      </c>
    </row>
    <row r="667" spans="1:2">
      <c r="A667" s="151" t="s">
        <v>1873</v>
      </c>
      <c r="B667" s="151" t="s">
        <v>1874</v>
      </c>
    </row>
    <row r="668" spans="1:2">
      <c r="A668" s="151" t="s">
        <v>1875</v>
      </c>
      <c r="B668" s="151" t="s">
        <v>1876</v>
      </c>
    </row>
    <row r="669" spans="1:2">
      <c r="A669" s="151" t="s">
        <v>1877</v>
      </c>
      <c r="B669" s="151" t="s">
        <v>1878</v>
      </c>
    </row>
    <row r="670" spans="1:2">
      <c r="A670" s="151" t="s">
        <v>1879</v>
      </c>
      <c r="B670" s="151" t="s">
        <v>1880</v>
      </c>
    </row>
    <row r="671" spans="1:2">
      <c r="A671" s="151" t="s">
        <v>1881</v>
      </c>
      <c r="B671" s="151" t="s">
        <v>1882</v>
      </c>
    </row>
    <row r="672" spans="1:2">
      <c r="A672" s="151" t="s">
        <v>1883</v>
      </c>
      <c r="B672" s="151" t="s">
        <v>1884</v>
      </c>
    </row>
    <row r="673" spans="1:2">
      <c r="A673" s="151" t="s">
        <v>1885</v>
      </c>
      <c r="B673" s="151" t="s">
        <v>1886</v>
      </c>
    </row>
    <row r="674" spans="1:2">
      <c r="A674" s="151" t="s">
        <v>1887</v>
      </c>
      <c r="B674" s="151" t="s">
        <v>1888</v>
      </c>
    </row>
    <row r="675" spans="1:2">
      <c r="A675" s="151" t="s">
        <v>1889</v>
      </c>
      <c r="B675" s="151" t="s">
        <v>1890</v>
      </c>
    </row>
    <row r="676" spans="1:2">
      <c r="A676" s="151" t="s">
        <v>1891</v>
      </c>
      <c r="B676" s="151" t="s">
        <v>1892</v>
      </c>
    </row>
    <row r="677" spans="1:2">
      <c r="A677" s="151" t="s">
        <v>1893</v>
      </c>
      <c r="B677" s="151" t="s">
        <v>1894</v>
      </c>
    </row>
    <row r="678" spans="1:2">
      <c r="A678" s="151" t="s">
        <v>1895</v>
      </c>
      <c r="B678" s="151" t="s">
        <v>1896</v>
      </c>
    </row>
    <row r="679" spans="1:2">
      <c r="A679" s="151" t="s">
        <v>1897</v>
      </c>
      <c r="B679" s="151" t="s">
        <v>1898</v>
      </c>
    </row>
    <row r="680" spans="1:2">
      <c r="A680" s="151" t="s">
        <v>1899</v>
      </c>
      <c r="B680" s="151" t="s">
        <v>1900</v>
      </c>
    </row>
    <row r="681" spans="1:2">
      <c r="A681" s="151" t="s">
        <v>1901</v>
      </c>
      <c r="B681" s="151" t="s">
        <v>1902</v>
      </c>
    </row>
    <row r="682" spans="1:2">
      <c r="A682" s="151" t="s">
        <v>1903</v>
      </c>
      <c r="B682" s="151" t="s">
        <v>1904</v>
      </c>
    </row>
    <row r="683" spans="1:2">
      <c r="A683" s="151" t="s">
        <v>1905</v>
      </c>
      <c r="B683" s="151" t="s">
        <v>1906</v>
      </c>
    </row>
    <row r="684" spans="1:2">
      <c r="A684" s="151" t="s">
        <v>1907</v>
      </c>
      <c r="B684" s="151" t="s">
        <v>1908</v>
      </c>
    </row>
    <row r="685" spans="1:2">
      <c r="A685" s="151" t="s">
        <v>1909</v>
      </c>
      <c r="B685" s="151" t="s">
        <v>1910</v>
      </c>
    </row>
    <row r="686" spans="1:2">
      <c r="A686" s="151" t="s">
        <v>1911</v>
      </c>
      <c r="B686" s="151" t="s">
        <v>1912</v>
      </c>
    </row>
    <row r="687" spans="1:2">
      <c r="A687" s="151" t="s">
        <v>1913</v>
      </c>
      <c r="B687" s="151" t="s">
        <v>1914</v>
      </c>
    </row>
    <row r="688" spans="1:2">
      <c r="A688" s="151" t="s">
        <v>1915</v>
      </c>
      <c r="B688" s="151" t="s">
        <v>1916</v>
      </c>
    </row>
    <row r="689" spans="1:2">
      <c r="A689" s="151" t="s">
        <v>1917</v>
      </c>
      <c r="B689" s="151" t="s">
        <v>1918</v>
      </c>
    </row>
    <row r="690" spans="1:2">
      <c r="A690" s="151" t="s">
        <v>1919</v>
      </c>
      <c r="B690" s="151" t="s">
        <v>1920</v>
      </c>
    </row>
    <row r="691" spans="1:2">
      <c r="A691" s="151" t="s">
        <v>1921</v>
      </c>
      <c r="B691" s="151" t="s">
        <v>1922</v>
      </c>
    </row>
    <row r="692" spans="1:2">
      <c r="A692" s="151" t="s">
        <v>1923</v>
      </c>
      <c r="B692" s="151" t="s">
        <v>1924</v>
      </c>
    </row>
    <row r="693" spans="1:2">
      <c r="A693" s="151" t="s">
        <v>1925</v>
      </c>
      <c r="B693" s="151" t="s">
        <v>1926</v>
      </c>
    </row>
    <row r="694" spans="1:2">
      <c r="A694" s="151" t="s">
        <v>1927</v>
      </c>
      <c r="B694" s="151" t="s">
        <v>1928</v>
      </c>
    </row>
    <row r="695" spans="1:2">
      <c r="A695" s="151" t="s">
        <v>1929</v>
      </c>
      <c r="B695" s="151" t="s">
        <v>1930</v>
      </c>
    </row>
    <row r="696" spans="1:2">
      <c r="A696" s="151" t="s">
        <v>1931</v>
      </c>
      <c r="B696" s="151" t="s">
        <v>1932</v>
      </c>
    </row>
    <row r="697" spans="1:2">
      <c r="A697" s="151" t="s">
        <v>1933</v>
      </c>
      <c r="B697" s="151" t="s">
        <v>1934</v>
      </c>
    </row>
    <row r="698" spans="1:2">
      <c r="A698" s="151" t="s">
        <v>1935</v>
      </c>
      <c r="B698" s="151" t="s">
        <v>1936</v>
      </c>
    </row>
    <row r="699" spans="1:2">
      <c r="A699" s="151" t="s">
        <v>1937</v>
      </c>
      <c r="B699" s="151" t="s">
        <v>1938</v>
      </c>
    </row>
    <row r="700" spans="1:2">
      <c r="A700" s="151" t="s">
        <v>1939</v>
      </c>
      <c r="B700" s="151" t="s">
        <v>1940</v>
      </c>
    </row>
    <row r="701" spans="1:2">
      <c r="A701" s="151" t="s">
        <v>1941</v>
      </c>
      <c r="B701" s="151" t="s">
        <v>1942</v>
      </c>
    </row>
    <row r="702" spans="1:2">
      <c r="A702" s="151" t="s">
        <v>1943</v>
      </c>
      <c r="B702" s="151" t="s">
        <v>1944</v>
      </c>
    </row>
    <row r="703" spans="1:2">
      <c r="A703" s="151" t="s">
        <v>1945</v>
      </c>
      <c r="B703" s="151" t="s">
        <v>1946</v>
      </c>
    </row>
    <row r="704" spans="1:2">
      <c r="A704" s="151" t="s">
        <v>1947</v>
      </c>
      <c r="B704" s="151" t="s">
        <v>1948</v>
      </c>
    </row>
    <row r="705" spans="1:2">
      <c r="A705" s="151" t="s">
        <v>1949</v>
      </c>
      <c r="B705" s="151" t="s">
        <v>1950</v>
      </c>
    </row>
    <row r="706" spans="1:2">
      <c r="A706" s="151" t="s">
        <v>1951</v>
      </c>
      <c r="B706" s="151" t="s">
        <v>1952</v>
      </c>
    </row>
    <row r="707" spans="1:2">
      <c r="A707" s="151" t="s">
        <v>1953</v>
      </c>
      <c r="B707" s="151" t="s">
        <v>1954</v>
      </c>
    </row>
    <row r="708" spans="1:2">
      <c r="A708" s="151" t="s">
        <v>1955</v>
      </c>
      <c r="B708" s="151" t="s">
        <v>1956</v>
      </c>
    </row>
    <row r="709" spans="1:2">
      <c r="A709" s="151" t="s">
        <v>1957</v>
      </c>
      <c r="B709" s="151" t="s">
        <v>1958</v>
      </c>
    </row>
    <row r="710" spans="1:2">
      <c r="A710" s="151" t="s">
        <v>1959</v>
      </c>
      <c r="B710" s="151" t="s">
        <v>1960</v>
      </c>
    </row>
    <row r="711" spans="1:2">
      <c r="A711" s="151" t="s">
        <v>1961</v>
      </c>
      <c r="B711" s="151" t="s">
        <v>1962</v>
      </c>
    </row>
    <row r="712" spans="1:2">
      <c r="A712" s="151" t="s">
        <v>1963</v>
      </c>
      <c r="B712" s="151" t="s">
        <v>1964</v>
      </c>
    </row>
    <row r="713" spans="1:2">
      <c r="A713" s="151" t="s">
        <v>1965</v>
      </c>
      <c r="B713" s="151" t="s">
        <v>1966</v>
      </c>
    </row>
    <row r="714" spans="1:2">
      <c r="A714" s="151" t="s">
        <v>1967</v>
      </c>
      <c r="B714" s="151" t="s">
        <v>1968</v>
      </c>
    </row>
    <row r="715" spans="1:2">
      <c r="A715" s="151" t="s">
        <v>1969</v>
      </c>
      <c r="B715" s="151" t="s">
        <v>1970</v>
      </c>
    </row>
    <row r="716" spans="1:2">
      <c r="A716" s="151" t="s">
        <v>1971</v>
      </c>
      <c r="B716" s="151" t="s">
        <v>1972</v>
      </c>
    </row>
    <row r="717" spans="1:2">
      <c r="A717" s="151" t="s">
        <v>1973</v>
      </c>
      <c r="B717" s="151" t="s">
        <v>1974</v>
      </c>
    </row>
    <row r="718" spans="1:2">
      <c r="A718" s="151" t="s">
        <v>1975</v>
      </c>
      <c r="B718" s="151" t="s">
        <v>1976</v>
      </c>
    </row>
    <row r="719" spans="1:2">
      <c r="A719" s="151" t="s">
        <v>1977</v>
      </c>
      <c r="B719" s="151" t="s">
        <v>1978</v>
      </c>
    </row>
    <row r="720" spans="1:2">
      <c r="A720" s="151" t="s">
        <v>1979</v>
      </c>
      <c r="B720" s="151" t="s">
        <v>1980</v>
      </c>
    </row>
    <row r="721" spans="1:2">
      <c r="A721" s="151" t="s">
        <v>1981</v>
      </c>
      <c r="B721" s="151" t="s">
        <v>1982</v>
      </c>
    </row>
    <row r="722" spans="1:2">
      <c r="A722" s="151" t="s">
        <v>1983</v>
      </c>
      <c r="B722" s="151" t="s">
        <v>1984</v>
      </c>
    </row>
    <row r="723" spans="1:2">
      <c r="A723" s="151" t="s">
        <v>1985</v>
      </c>
      <c r="B723" s="151" t="s">
        <v>1986</v>
      </c>
    </row>
    <row r="724" spans="1:2">
      <c r="A724" s="151" t="s">
        <v>1987</v>
      </c>
      <c r="B724" s="151" t="s">
        <v>1988</v>
      </c>
    </row>
    <row r="725" spans="1:2">
      <c r="A725" s="151" t="s">
        <v>1989</v>
      </c>
      <c r="B725" s="151" t="s">
        <v>1990</v>
      </c>
    </row>
    <row r="726" spans="1:2">
      <c r="A726" s="151" t="s">
        <v>1991</v>
      </c>
      <c r="B726" s="151" t="s">
        <v>1992</v>
      </c>
    </row>
    <row r="727" spans="1:2">
      <c r="A727" s="151" t="s">
        <v>1993</v>
      </c>
      <c r="B727" s="151" t="s">
        <v>1994</v>
      </c>
    </row>
    <row r="728" spans="1:2">
      <c r="A728" s="151" t="s">
        <v>1995</v>
      </c>
      <c r="B728" s="151" t="s">
        <v>1996</v>
      </c>
    </row>
    <row r="729" spans="1:2">
      <c r="A729" s="151" t="s">
        <v>1997</v>
      </c>
      <c r="B729" s="151" t="s">
        <v>1998</v>
      </c>
    </row>
    <row r="730" spans="1:2">
      <c r="A730" s="151" t="s">
        <v>1999</v>
      </c>
      <c r="B730" s="151" t="s">
        <v>2000</v>
      </c>
    </row>
    <row r="731" spans="1:2">
      <c r="A731" s="151" t="s">
        <v>2001</v>
      </c>
      <c r="B731" s="151" t="s">
        <v>2002</v>
      </c>
    </row>
    <row r="732" spans="1:2">
      <c r="A732" s="151" t="s">
        <v>2003</v>
      </c>
      <c r="B732" s="151" t="s">
        <v>2004</v>
      </c>
    </row>
    <row r="733" spans="1:2">
      <c r="A733" s="151" t="s">
        <v>2005</v>
      </c>
      <c r="B733" s="151" t="s">
        <v>2006</v>
      </c>
    </row>
    <row r="734" spans="1:2">
      <c r="A734" s="151" t="s">
        <v>2007</v>
      </c>
      <c r="B734" s="151" t="s">
        <v>2008</v>
      </c>
    </row>
    <row r="735" spans="1:2">
      <c r="A735" s="151" t="s">
        <v>2009</v>
      </c>
      <c r="B735" s="151" t="s">
        <v>2010</v>
      </c>
    </row>
    <row r="736" spans="1:2">
      <c r="A736" s="151" t="s">
        <v>2011</v>
      </c>
      <c r="B736" s="151" t="s">
        <v>2012</v>
      </c>
    </row>
    <row r="737" spans="1:2">
      <c r="A737" s="151" t="s">
        <v>2013</v>
      </c>
      <c r="B737" s="151" t="s">
        <v>2014</v>
      </c>
    </row>
    <row r="738" spans="1:2">
      <c r="A738" s="151" t="s">
        <v>2015</v>
      </c>
      <c r="B738" s="151" t="s">
        <v>2016</v>
      </c>
    </row>
    <row r="739" spans="1:2">
      <c r="A739" s="151" t="s">
        <v>2017</v>
      </c>
      <c r="B739" s="151" t="s">
        <v>2018</v>
      </c>
    </row>
    <row r="740" spans="1:2">
      <c r="A740" s="151" t="s">
        <v>2019</v>
      </c>
      <c r="B740" s="151" t="s">
        <v>2020</v>
      </c>
    </row>
    <row r="741" spans="1:2">
      <c r="A741" s="151" t="s">
        <v>2021</v>
      </c>
      <c r="B741" s="151" t="s">
        <v>2022</v>
      </c>
    </row>
    <row r="742" spans="1:2">
      <c r="A742" s="151" t="s">
        <v>2023</v>
      </c>
      <c r="B742" s="151" t="s">
        <v>2024</v>
      </c>
    </row>
    <row r="743" spans="1:2">
      <c r="A743" s="151" t="s">
        <v>2025</v>
      </c>
      <c r="B743" s="151" t="s">
        <v>2026</v>
      </c>
    </row>
    <row r="744" spans="1:2">
      <c r="A744" s="151" t="s">
        <v>2027</v>
      </c>
      <c r="B744" s="151" t="s">
        <v>2028</v>
      </c>
    </row>
    <row r="745" spans="1:2">
      <c r="A745" s="151" t="s">
        <v>2029</v>
      </c>
      <c r="B745" s="151" t="s">
        <v>2030</v>
      </c>
    </row>
    <row r="746" spans="1:2">
      <c r="A746" s="151" t="s">
        <v>2031</v>
      </c>
      <c r="B746" s="151" t="s">
        <v>2032</v>
      </c>
    </row>
    <row r="747" spans="1:2">
      <c r="A747" s="151" t="s">
        <v>2033</v>
      </c>
      <c r="B747" s="151" t="s">
        <v>2034</v>
      </c>
    </row>
    <row r="748" spans="1:2">
      <c r="A748" s="151" t="s">
        <v>2035</v>
      </c>
      <c r="B748" s="151" t="s">
        <v>2036</v>
      </c>
    </row>
    <row r="749" spans="1:2">
      <c r="A749" s="151" t="s">
        <v>2037</v>
      </c>
      <c r="B749" s="151" t="s">
        <v>2038</v>
      </c>
    </row>
    <row r="750" spans="1:2">
      <c r="A750" s="151" t="s">
        <v>2039</v>
      </c>
      <c r="B750" s="151" t="s">
        <v>2040</v>
      </c>
    </row>
    <row r="751" spans="1:2">
      <c r="A751" s="151" t="s">
        <v>2041</v>
      </c>
      <c r="B751" s="151" t="s">
        <v>2042</v>
      </c>
    </row>
    <row r="752" spans="1:2">
      <c r="A752" s="151" t="s">
        <v>2043</v>
      </c>
      <c r="B752" s="151" t="s">
        <v>2044</v>
      </c>
    </row>
    <row r="753" spans="1:2">
      <c r="A753" s="151" t="s">
        <v>2045</v>
      </c>
      <c r="B753" s="151" t="s">
        <v>2046</v>
      </c>
    </row>
    <row r="754" spans="1:2">
      <c r="A754" s="151" t="s">
        <v>2047</v>
      </c>
      <c r="B754" s="151" t="s">
        <v>2048</v>
      </c>
    </row>
    <row r="755" spans="1:2">
      <c r="A755" s="151" t="s">
        <v>2049</v>
      </c>
      <c r="B755" s="151" t="s">
        <v>2050</v>
      </c>
    </row>
    <row r="756" spans="1:2">
      <c r="A756" s="151" t="s">
        <v>2051</v>
      </c>
      <c r="B756" s="151" t="s">
        <v>2052</v>
      </c>
    </row>
    <row r="757" spans="1:2">
      <c r="A757" s="151" t="s">
        <v>2053</v>
      </c>
      <c r="B757" s="151" t="s">
        <v>2054</v>
      </c>
    </row>
    <row r="758" spans="1:2">
      <c r="A758" s="151" t="s">
        <v>2055</v>
      </c>
      <c r="B758" s="151" t="s">
        <v>2056</v>
      </c>
    </row>
    <row r="759" spans="1:2">
      <c r="A759" s="151" t="s">
        <v>2057</v>
      </c>
      <c r="B759" s="151" t="s">
        <v>2058</v>
      </c>
    </row>
    <row r="760" spans="1:2">
      <c r="A760" s="151" t="s">
        <v>2059</v>
      </c>
      <c r="B760" s="151" t="s">
        <v>2060</v>
      </c>
    </row>
    <row r="761" spans="1:2">
      <c r="A761" s="151" t="s">
        <v>2061</v>
      </c>
      <c r="B761" s="151" t="s">
        <v>2062</v>
      </c>
    </row>
    <row r="762" spans="1:2">
      <c r="A762" s="151" t="s">
        <v>2063</v>
      </c>
      <c r="B762" s="151" t="s">
        <v>2064</v>
      </c>
    </row>
    <row r="763" spans="1:2">
      <c r="A763" s="151" t="s">
        <v>2065</v>
      </c>
      <c r="B763" s="151" t="s">
        <v>2066</v>
      </c>
    </row>
    <row r="764" spans="1:2">
      <c r="A764" s="151" t="s">
        <v>2067</v>
      </c>
      <c r="B764" s="151" t="s">
        <v>2068</v>
      </c>
    </row>
    <row r="765" spans="1:2">
      <c r="A765" s="151" t="s">
        <v>2069</v>
      </c>
      <c r="B765" s="151" t="s">
        <v>2070</v>
      </c>
    </row>
    <row r="766" spans="1:2">
      <c r="A766" s="151" t="s">
        <v>2071</v>
      </c>
      <c r="B766" s="151" t="s">
        <v>2072</v>
      </c>
    </row>
    <row r="767" spans="1:2">
      <c r="A767" s="151" t="s">
        <v>2073</v>
      </c>
      <c r="B767" s="151" t="s">
        <v>2074</v>
      </c>
    </row>
    <row r="768" spans="1:2">
      <c r="A768" s="151" t="s">
        <v>2075</v>
      </c>
      <c r="B768" s="151" t="s">
        <v>2076</v>
      </c>
    </row>
    <row r="769" spans="1:2">
      <c r="A769" s="151" t="s">
        <v>2077</v>
      </c>
      <c r="B769" s="151" t="s">
        <v>2078</v>
      </c>
    </row>
    <row r="770" spans="1:2">
      <c r="A770" s="151" t="s">
        <v>2079</v>
      </c>
      <c r="B770" s="151" t="s">
        <v>2080</v>
      </c>
    </row>
    <row r="771" spans="1:2">
      <c r="A771" s="151" t="s">
        <v>2081</v>
      </c>
      <c r="B771" s="151" t="s">
        <v>2082</v>
      </c>
    </row>
    <row r="772" spans="1:2">
      <c r="A772" s="151" t="s">
        <v>2083</v>
      </c>
      <c r="B772" s="151" t="s">
        <v>2084</v>
      </c>
    </row>
    <row r="773" spans="1:2">
      <c r="A773" s="151" t="s">
        <v>2085</v>
      </c>
      <c r="B773" s="151" t="s">
        <v>2086</v>
      </c>
    </row>
    <row r="774" spans="1:2">
      <c r="A774" s="151" t="s">
        <v>2087</v>
      </c>
      <c r="B774" s="151" t="s">
        <v>2088</v>
      </c>
    </row>
    <row r="775" spans="1:2">
      <c r="A775" s="151" t="s">
        <v>2089</v>
      </c>
      <c r="B775" s="151" t="s">
        <v>2090</v>
      </c>
    </row>
    <row r="776" spans="1:2">
      <c r="A776" s="151" t="s">
        <v>2091</v>
      </c>
      <c r="B776" s="151" t="s">
        <v>2092</v>
      </c>
    </row>
    <row r="777" spans="1:2">
      <c r="A777" s="151" t="s">
        <v>2093</v>
      </c>
      <c r="B777" s="151" t="s">
        <v>2094</v>
      </c>
    </row>
    <row r="778" spans="1:2">
      <c r="A778" s="151" t="s">
        <v>2095</v>
      </c>
      <c r="B778" s="151" t="s">
        <v>2096</v>
      </c>
    </row>
    <row r="779" spans="1:2">
      <c r="A779" s="151" t="s">
        <v>2097</v>
      </c>
      <c r="B779" s="151" t="s">
        <v>2098</v>
      </c>
    </row>
    <row r="780" spans="1:2">
      <c r="A780" s="151" t="s">
        <v>2099</v>
      </c>
      <c r="B780" s="151" t="s">
        <v>2100</v>
      </c>
    </row>
    <row r="781" spans="1:2">
      <c r="A781" s="151" t="s">
        <v>2101</v>
      </c>
      <c r="B781" s="151" t="s">
        <v>2102</v>
      </c>
    </row>
    <row r="782" spans="1:2">
      <c r="A782" s="151" t="s">
        <v>2103</v>
      </c>
      <c r="B782" s="151" t="s">
        <v>2104</v>
      </c>
    </row>
    <row r="783" spans="1:2">
      <c r="A783" s="151" t="s">
        <v>2105</v>
      </c>
      <c r="B783" s="151" t="s">
        <v>2106</v>
      </c>
    </row>
    <row r="784" spans="1:2">
      <c r="A784" s="151" t="s">
        <v>2107</v>
      </c>
      <c r="B784" s="151" t="s">
        <v>2108</v>
      </c>
    </row>
    <row r="785" spans="1:2">
      <c r="A785" s="151" t="s">
        <v>2109</v>
      </c>
      <c r="B785" s="151" t="s">
        <v>2110</v>
      </c>
    </row>
    <row r="786" spans="1:2">
      <c r="A786" s="151" t="s">
        <v>2111</v>
      </c>
      <c r="B786" s="151" t="s">
        <v>2112</v>
      </c>
    </row>
    <row r="787" spans="1:2">
      <c r="A787" s="151" t="s">
        <v>2113</v>
      </c>
      <c r="B787" s="151" t="s">
        <v>2114</v>
      </c>
    </row>
    <row r="788" spans="1:2">
      <c r="A788" s="151" t="s">
        <v>2115</v>
      </c>
      <c r="B788" s="151" t="s">
        <v>2116</v>
      </c>
    </row>
    <row r="789" spans="1:2">
      <c r="A789" s="151" t="s">
        <v>2117</v>
      </c>
      <c r="B789" s="151" t="s">
        <v>2118</v>
      </c>
    </row>
    <row r="790" spans="1:2">
      <c r="A790" s="151" t="s">
        <v>2119</v>
      </c>
      <c r="B790" s="151" t="s">
        <v>2120</v>
      </c>
    </row>
    <row r="791" spans="1:2">
      <c r="A791" s="151" t="s">
        <v>2121</v>
      </c>
      <c r="B791" s="151" t="s">
        <v>2122</v>
      </c>
    </row>
    <row r="792" spans="1:2">
      <c r="A792" s="151" t="s">
        <v>2123</v>
      </c>
      <c r="B792" s="151" t="s">
        <v>2124</v>
      </c>
    </row>
    <row r="793" spans="1:2">
      <c r="A793" s="151" t="s">
        <v>2125</v>
      </c>
      <c r="B793" s="151" t="s">
        <v>2126</v>
      </c>
    </row>
    <row r="794" spans="1:2">
      <c r="A794" s="151" t="s">
        <v>2127</v>
      </c>
      <c r="B794" s="151" t="s">
        <v>2128</v>
      </c>
    </row>
    <row r="795" spans="1:2">
      <c r="A795" s="151" t="s">
        <v>2129</v>
      </c>
      <c r="B795" s="151" t="s">
        <v>2130</v>
      </c>
    </row>
    <row r="796" spans="1:2">
      <c r="A796" s="151" t="s">
        <v>2131</v>
      </c>
      <c r="B796" s="151" t="s">
        <v>2132</v>
      </c>
    </row>
    <row r="797" spans="1:2">
      <c r="A797" s="151" t="s">
        <v>2133</v>
      </c>
      <c r="B797" s="151" t="s">
        <v>2134</v>
      </c>
    </row>
    <row r="798" spans="1:2">
      <c r="A798" s="151" t="s">
        <v>2135</v>
      </c>
      <c r="B798" s="151" t="s">
        <v>2136</v>
      </c>
    </row>
    <row r="799" spans="1:2">
      <c r="A799" s="151" t="s">
        <v>2137</v>
      </c>
      <c r="B799" s="151" t="s">
        <v>2138</v>
      </c>
    </row>
    <row r="800" spans="1:2">
      <c r="A800" s="151" t="s">
        <v>2139</v>
      </c>
      <c r="B800" s="151" t="s">
        <v>2140</v>
      </c>
    </row>
    <row r="801" spans="1:2">
      <c r="A801" s="151" t="s">
        <v>2141</v>
      </c>
      <c r="B801" s="151" t="s">
        <v>2142</v>
      </c>
    </row>
    <row r="802" spans="1:2">
      <c r="A802" s="151" t="s">
        <v>2143</v>
      </c>
      <c r="B802" s="151" t="s">
        <v>2144</v>
      </c>
    </row>
    <row r="803" spans="1:2">
      <c r="A803" s="151" t="s">
        <v>2145</v>
      </c>
      <c r="B803" s="151" t="s">
        <v>2146</v>
      </c>
    </row>
    <row r="804" spans="1:2">
      <c r="A804" s="151" t="s">
        <v>2147</v>
      </c>
      <c r="B804" s="151" t="s">
        <v>2148</v>
      </c>
    </row>
    <row r="805" spans="1:2">
      <c r="A805" s="151" t="s">
        <v>2149</v>
      </c>
      <c r="B805" s="151" t="s">
        <v>2150</v>
      </c>
    </row>
    <row r="806" spans="1:2">
      <c r="A806" s="151" t="s">
        <v>2151</v>
      </c>
      <c r="B806" s="151" t="s">
        <v>2152</v>
      </c>
    </row>
    <row r="807" spans="1:2">
      <c r="A807" s="151" t="s">
        <v>2153</v>
      </c>
      <c r="B807" s="151" t="s">
        <v>2154</v>
      </c>
    </row>
    <row r="808" spans="1:2">
      <c r="A808" s="151" t="s">
        <v>2155</v>
      </c>
      <c r="B808" s="151" t="s">
        <v>2156</v>
      </c>
    </row>
    <row r="809" spans="1:2">
      <c r="A809" s="151" t="s">
        <v>2157</v>
      </c>
      <c r="B809" s="151" t="s">
        <v>2158</v>
      </c>
    </row>
    <row r="810" spans="1:2">
      <c r="A810" s="151" t="s">
        <v>2159</v>
      </c>
      <c r="B810" s="151" t="s">
        <v>2160</v>
      </c>
    </row>
    <row r="811" spans="1:2">
      <c r="A811" s="151" t="s">
        <v>2161</v>
      </c>
      <c r="B811" s="151" t="s">
        <v>2162</v>
      </c>
    </row>
    <row r="812" spans="1:2">
      <c r="A812" s="151" t="s">
        <v>2163</v>
      </c>
      <c r="B812" s="151" t="s">
        <v>2164</v>
      </c>
    </row>
    <row r="813" spans="1:2">
      <c r="A813" s="151" t="s">
        <v>2165</v>
      </c>
      <c r="B813" s="151" t="s">
        <v>2166</v>
      </c>
    </row>
    <row r="814" spans="1:2">
      <c r="A814" s="151" t="s">
        <v>2167</v>
      </c>
      <c r="B814" s="151" t="s">
        <v>2168</v>
      </c>
    </row>
    <row r="815" spans="1:2">
      <c r="A815" s="151" t="s">
        <v>2169</v>
      </c>
      <c r="B815" s="151" t="s">
        <v>2170</v>
      </c>
    </row>
    <row r="816" spans="1:2">
      <c r="A816" s="151" t="s">
        <v>2171</v>
      </c>
      <c r="B816" s="151" t="s">
        <v>2172</v>
      </c>
    </row>
    <row r="817" spans="1:2">
      <c r="A817" s="151" t="s">
        <v>2173</v>
      </c>
      <c r="B817" s="151" t="s">
        <v>2174</v>
      </c>
    </row>
    <row r="818" spans="1:2">
      <c r="A818" s="151" t="s">
        <v>2175</v>
      </c>
      <c r="B818" s="151" t="s">
        <v>2176</v>
      </c>
    </row>
    <row r="819" spans="1:2">
      <c r="A819" s="151" t="s">
        <v>2177</v>
      </c>
      <c r="B819" s="151" t="s">
        <v>2178</v>
      </c>
    </row>
    <row r="820" spans="1:2">
      <c r="A820" s="151" t="s">
        <v>2179</v>
      </c>
      <c r="B820" s="151" t="s">
        <v>2180</v>
      </c>
    </row>
    <row r="821" spans="1:2">
      <c r="A821" s="151" t="s">
        <v>2181</v>
      </c>
      <c r="B821" s="151" t="s">
        <v>2182</v>
      </c>
    </row>
    <row r="822" spans="1:2">
      <c r="A822" s="151" t="s">
        <v>2183</v>
      </c>
      <c r="B822" s="151" t="s">
        <v>2184</v>
      </c>
    </row>
    <row r="823" spans="1:2">
      <c r="A823" s="151" t="s">
        <v>2185</v>
      </c>
      <c r="B823" s="151" t="s">
        <v>2186</v>
      </c>
    </row>
    <row r="824" spans="1:2">
      <c r="A824" s="151" t="s">
        <v>2187</v>
      </c>
      <c r="B824" s="151" t="s">
        <v>2188</v>
      </c>
    </row>
    <row r="825" spans="1:2">
      <c r="A825" s="151" t="s">
        <v>2189</v>
      </c>
      <c r="B825" s="151" t="s">
        <v>2190</v>
      </c>
    </row>
    <row r="826" spans="1:2">
      <c r="A826" s="151" t="s">
        <v>2191</v>
      </c>
      <c r="B826" s="151" t="s">
        <v>2192</v>
      </c>
    </row>
    <row r="827" spans="1:2">
      <c r="A827" s="151" t="s">
        <v>2193</v>
      </c>
      <c r="B827" s="151" t="s">
        <v>2194</v>
      </c>
    </row>
    <row r="828" spans="1:2">
      <c r="A828" s="151" t="s">
        <v>2195</v>
      </c>
      <c r="B828" s="151" t="s">
        <v>2196</v>
      </c>
    </row>
    <row r="829" spans="1:2">
      <c r="A829" s="151" t="s">
        <v>2197</v>
      </c>
      <c r="B829" s="151" t="s">
        <v>2198</v>
      </c>
    </row>
    <row r="830" spans="1:2">
      <c r="A830" s="151" t="s">
        <v>2199</v>
      </c>
      <c r="B830" s="151" t="s">
        <v>2200</v>
      </c>
    </row>
    <row r="831" spans="1:2">
      <c r="A831" s="151" t="s">
        <v>2201</v>
      </c>
      <c r="B831" s="151" t="s">
        <v>2202</v>
      </c>
    </row>
    <row r="832" spans="1:2">
      <c r="A832" s="151" t="s">
        <v>2203</v>
      </c>
      <c r="B832" s="151" t="s">
        <v>2204</v>
      </c>
    </row>
    <row r="833" spans="1:2">
      <c r="A833" s="151" t="s">
        <v>2205</v>
      </c>
      <c r="B833" s="151" t="s">
        <v>2206</v>
      </c>
    </row>
    <row r="834" spans="1:2">
      <c r="A834" s="151" t="s">
        <v>2207</v>
      </c>
      <c r="B834" s="151" t="s">
        <v>2208</v>
      </c>
    </row>
    <row r="835" spans="1:2">
      <c r="A835" s="151" t="s">
        <v>2209</v>
      </c>
      <c r="B835" s="151" t="s">
        <v>2210</v>
      </c>
    </row>
    <row r="836" spans="1:2">
      <c r="A836" s="151" t="s">
        <v>2211</v>
      </c>
      <c r="B836" s="151" t="s">
        <v>2212</v>
      </c>
    </row>
    <row r="837" spans="1:2">
      <c r="A837" s="151" t="s">
        <v>2213</v>
      </c>
      <c r="B837" s="151" t="s">
        <v>2214</v>
      </c>
    </row>
    <row r="838" spans="1:2">
      <c r="A838" s="151" t="s">
        <v>2215</v>
      </c>
      <c r="B838" s="151" t="s">
        <v>2216</v>
      </c>
    </row>
    <row r="839" spans="1:2">
      <c r="A839" s="151" t="s">
        <v>2217</v>
      </c>
      <c r="B839" s="151" t="s">
        <v>2218</v>
      </c>
    </row>
    <row r="840" spans="1:2">
      <c r="A840" s="151" t="s">
        <v>2219</v>
      </c>
      <c r="B840" s="151" t="s">
        <v>2220</v>
      </c>
    </row>
    <row r="841" spans="1:2">
      <c r="A841" s="151" t="s">
        <v>2221</v>
      </c>
      <c r="B841" s="151" t="s">
        <v>2222</v>
      </c>
    </row>
    <row r="842" spans="1:2">
      <c r="A842" s="151" t="s">
        <v>2223</v>
      </c>
      <c r="B842" s="151" t="s">
        <v>2224</v>
      </c>
    </row>
    <row r="843" spans="1:2">
      <c r="A843" s="151" t="s">
        <v>156</v>
      </c>
      <c r="B843" s="151" t="s">
        <v>2225</v>
      </c>
    </row>
    <row r="844" spans="1:2">
      <c r="A844" s="151" t="s">
        <v>2226</v>
      </c>
      <c r="B844" s="151" t="s">
        <v>2227</v>
      </c>
    </row>
    <row r="845" spans="1:2">
      <c r="A845" s="151" t="s">
        <v>2228</v>
      </c>
      <c r="B845" s="151" t="s">
        <v>2229</v>
      </c>
    </row>
    <row r="846" spans="1:2">
      <c r="A846" s="151" t="s">
        <v>2230</v>
      </c>
      <c r="B846" s="151" t="s">
        <v>2231</v>
      </c>
    </row>
    <row r="847" spans="1:2">
      <c r="A847" s="151" t="s">
        <v>2232</v>
      </c>
      <c r="B847" s="151" t="s">
        <v>2233</v>
      </c>
    </row>
    <row r="848" spans="1:2">
      <c r="A848" s="151" t="s">
        <v>2234</v>
      </c>
      <c r="B848" s="151" t="s">
        <v>2235</v>
      </c>
    </row>
    <row r="849" spans="1:2">
      <c r="A849" s="151" t="s">
        <v>2236</v>
      </c>
      <c r="B849" s="151" t="s">
        <v>2237</v>
      </c>
    </row>
    <row r="850" spans="1:2">
      <c r="A850" s="151" t="s">
        <v>2238</v>
      </c>
      <c r="B850" s="151" t="s">
        <v>2239</v>
      </c>
    </row>
    <row r="851" spans="1:2">
      <c r="A851" s="151" t="s">
        <v>2240</v>
      </c>
      <c r="B851" s="151" t="s">
        <v>2241</v>
      </c>
    </row>
    <row r="852" spans="1:2">
      <c r="A852" s="151" t="s">
        <v>2242</v>
      </c>
      <c r="B852" s="151" t="s">
        <v>2243</v>
      </c>
    </row>
    <row r="853" spans="1:2">
      <c r="A853" s="151" t="s">
        <v>2244</v>
      </c>
      <c r="B853" s="151" t="s">
        <v>2245</v>
      </c>
    </row>
    <row r="854" spans="1:2">
      <c r="A854" s="151" t="s">
        <v>2246</v>
      </c>
      <c r="B854" s="151" t="s">
        <v>2247</v>
      </c>
    </row>
    <row r="855" spans="1:2">
      <c r="A855" s="151" t="s">
        <v>2248</v>
      </c>
      <c r="B855" s="151" t="s">
        <v>2249</v>
      </c>
    </row>
    <row r="856" spans="1:2">
      <c r="A856" s="151" t="s">
        <v>2250</v>
      </c>
      <c r="B856" s="151" t="s">
        <v>2251</v>
      </c>
    </row>
    <row r="857" spans="1:2">
      <c r="A857" s="151" t="s">
        <v>2252</v>
      </c>
      <c r="B857" s="151" t="s">
        <v>2253</v>
      </c>
    </row>
    <row r="858" spans="1:2">
      <c r="A858" s="151" t="s">
        <v>2254</v>
      </c>
      <c r="B858" s="151" t="s">
        <v>2255</v>
      </c>
    </row>
    <row r="859" spans="1:2">
      <c r="A859" s="151" t="s">
        <v>2256</v>
      </c>
      <c r="B859" s="151" t="s">
        <v>2257</v>
      </c>
    </row>
    <row r="860" spans="1:2">
      <c r="A860" s="151" t="s">
        <v>2258</v>
      </c>
      <c r="B860" s="151" t="s">
        <v>2259</v>
      </c>
    </row>
    <row r="861" spans="1:2">
      <c r="A861" s="151" t="s">
        <v>2260</v>
      </c>
      <c r="B861" s="151" t="s">
        <v>2261</v>
      </c>
    </row>
    <row r="862" spans="1:2">
      <c r="A862" s="151" t="s">
        <v>2262</v>
      </c>
      <c r="B862" s="151" t="s">
        <v>2263</v>
      </c>
    </row>
    <row r="863" spans="1:2">
      <c r="A863" s="151" t="s">
        <v>2264</v>
      </c>
      <c r="B863" s="151" t="s">
        <v>2265</v>
      </c>
    </row>
    <row r="864" spans="1:2">
      <c r="A864" s="151" t="s">
        <v>2266</v>
      </c>
      <c r="B864" s="151" t="s">
        <v>2267</v>
      </c>
    </row>
    <row r="865" spans="1:2">
      <c r="A865" s="151" t="s">
        <v>2268</v>
      </c>
      <c r="B865" s="151" t="s">
        <v>2269</v>
      </c>
    </row>
    <row r="866" spans="1:2">
      <c r="A866" s="151" t="s">
        <v>2270</v>
      </c>
      <c r="B866" s="151" t="s">
        <v>2271</v>
      </c>
    </row>
    <row r="867" spans="1:2">
      <c r="A867" s="151" t="s">
        <v>2272</v>
      </c>
      <c r="B867" s="151" t="s">
        <v>2273</v>
      </c>
    </row>
    <row r="868" spans="1:2">
      <c r="A868" s="151" t="s">
        <v>2274</v>
      </c>
      <c r="B868" s="151" t="s">
        <v>2275</v>
      </c>
    </row>
    <row r="869" spans="1:2">
      <c r="A869" s="151" t="s">
        <v>2276</v>
      </c>
      <c r="B869" s="151" t="s">
        <v>2277</v>
      </c>
    </row>
    <row r="870" spans="1:2">
      <c r="A870" s="151" t="s">
        <v>2278</v>
      </c>
      <c r="B870" s="151" t="s">
        <v>2279</v>
      </c>
    </row>
    <row r="871" spans="1:2">
      <c r="A871" s="151" t="s">
        <v>2280</v>
      </c>
      <c r="B871" s="151" t="s">
        <v>2281</v>
      </c>
    </row>
    <row r="872" spans="1:2">
      <c r="A872" s="151" t="s">
        <v>2282</v>
      </c>
      <c r="B872" s="151" t="s">
        <v>373</v>
      </c>
    </row>
    <row r="873" spans="1:2">
      <c r="A873" s="151" t="s">
        <v>2283</v>
      </c>
      <c r="B873" s="151" t="s">
        <v>2284</v>
      </c>
    </row>
    <row r="874" spans="1:2">
      <c r="A874" s="151" t="s">
        <v>2285</v>
      </c>
      <c r="B874" s="151" t="s">
        <v>2286</v>
      </c>
    </row>
    <row r="875" spans="1:2">
      <c r="A875" s="151" t="s">
        <v>2287</v>
      </c>
      <c r="B875" s="151" t="s">
        <v>2288</v>
      </c>
    </row>
    <row r="876" spans="1:2">
      <c r="A876" s="151" t="s">
        <v>2289</v>
      </c>
      <c r="B876" s="151" t="s">
        <v>2290</v>
      </c>
    </row>
    <row r="877" spans="1:2">
      <c r="A877" s="151" t="s">
        <v>2291</v>
      </c>
      <c r="B877" s="151" t="s">
        <v>2292</v>
      </c>
    </row>
    <row r="878" spans="1:2">
      <c r="A878" s="151" t="s">
        <v>2293</v>
      </c>
      <c r="B878" s="151" t="s">
        <v>2294</v>
      </c>
    </row>
    <row r="879" spans="1:2">
      <c r="A879" s="151" t="s">
        <v>2295</v>
      </c>
      <c r="B879" s="151" t="s">
        <v>2296</v>
      </c>
    </row>
    <row r="880" spans="1:2">
      <c r="A880" s="151" t="s">
        <v>2297</v>
      </c>
      <c r="B880" s="151" t="s">
        <v>2298</v>
      </c>
    </row>
    <row r="881" spans="1:2">
      <c r="A881" s="151" t="s">
        <v>2299</v>
      </c>
      <c r="B881" s="151" t="s">
        <v>2300</v>
      </c>
    </row>
    <row r="882" spans="1:2">
      <c r="A882" s="151" t="s">
        <v>2301</v>
      </c>
      <c r="B882" s="151" t="s">
        <v>2302</v>
      </c>
    </row>
    <row r="883" spans="1:2">
      <c r="A883" s="151" t="s">
        <v>2303</v>
      </c>
      <c r="B883" s="151" t="s">
        <v>2304</v>
      </c>
    </row>
    <row r="884" spans="1:2">
      <c r="A884" s="151" t="s">
        <v>2305</v>
      </c>
      <c r="B884" s="151" t="s">
        <v>2306</v>
      </c>
    </row>
    <row r="885" spans="1:2">
      <c r="A885" s="151" t="s">
        <v>2307</v>
      </c>
      <c r="B885" s="151" t="s">
        <v>2308</v>
      </c>
    </row>
    <row r="886" spans="1:2">
      <c r="A886" s="151" t="s">
        <v>2309</v>
      </c>
      <c r="B886" s="151" t="s">
        <v>2310</v>
      </c>
    </row>
    <row r="887" spans="1:2">
      <c r="A887" s="151" t="s">
        <v>2311</v>
      </c>
      <c r="B887" s="151" t="s">
        <v>2312</v>
      </c>
    </row>
    <row r="888" spans="1:2">
      <c r="A888" s="151" t="s">
        <v>2313</v>
      </c>
      <c r="B888" s="151" t="s">
        <v>2314</v>
      </c>
    </row>
    <row r="889" spans="1:2">
      <c r="A889" s="151" t="s">
        <v>2315</v>
      </c>
      <c r="B889" s="151" t="s">
        <v>2316</v>
      </c>
    </row>
    <row r="890" spans="1:2">
      <c r="A890" s="151" t="s">
        <v>2317</v>
      </c>
      <c r="B890" s="151" t="s">
        <v>2318</v>
      </c>
    </row>
    <row r="891" spans="1:2">
      <c r="A891" s="151" t="s">
        <v>2319</v>
      </c>
      <c r="B891" s="151" t="s">
        <v>2320</v>
      </c>
    </row>
    <row r="892" spans="1:2">
      <c r="A892" s="151" t="s">
        <v>2321</v>
      </c>
      <c r="B892" s="151" t="s">
        <v>2322</v>
      </c>
    </row>
    <row r="893" spans="1:2">
      <c r="A893" s="151" t="s">
        <v>2323</v>
      </c>
      <c r="B893" s="151" t="s">
        <v>2324</v>
      </c>
    </row>
    <row r="894" spans="1:2">
      <c r="A894" s="151" t="s">
        <v>2325</v>
      </c>
      <c r="B894" s="151" t="s">
        <v>2326</v>
      </c>
    </row>
    <row r="895" spans="1:2">
      <c r="A895" s="151" t="s">
        <v>2327</v>
      </c>
      <c r="B895" s="151" t="s">
        <v>2328</v>
      </c>
    </row>
    <row r="896" spans="1:2">
      <c r="A896" s="151" t="s">
        <v>2329</v>
      </c>
      <c r="B896" s="151" t="s">
        <v>2330</v>
      </c>
    </row>
    <row r="897" spans="1:2">
      <c r="A897" s="151" t="s">
        <v>2331</v>
      </c>
      <c r="B897" s="151" t="s">
        <v>2332</v>
      </c>
    </row>
    <row r="898" spans="1:2">
      <c r="A898" s="151" t="s">
        <v>2333</v>
      </c>
      <c r="B898" s="151" t="s">
        <v>2334</v>
      </c>
    </row>
    <row r="899" spans="1:2">
      <c r="A899" s="151" t="s">
        <v>2335</v>
      </c>
      <c r="B899" s="151" t="s">
        <v>2336</v>
      </c>
    </row>
    <row r="900" spans="1:2">
      <c r="A900" s="151" t="s">
        <v>2337</v>
      </c>
      <c r="B900" s="151" t="s">
        <v>2338</v>
      </c>
    </row>
    <row r="901" spans="1:2">
      <c r="A901" s="151" t="s">
        <v>2339</v>
      </c>
      <c r="B901" s="151" t="s">
        <v>2340</v>
      </c>
    </row>
    <row r="902" spans="1:2">
      <c r="A902" s="151" t="s">
        <v>2341</v>
      </c>
      <c r="B902" s="151" t="s">
        <v>2342</v>
      </c>
    </row>
    <row r="903" spans="1:2">
      <c r="A903" s="151" t="s">
        <v>2343</v>
      </c>
      <c r="B903" s="151" t="s">
        <v>2344</v>
      </c>
    </row>
    <row r="904" spans="1:2">
      <c r="A904" s="151" t="s">
        <v>2345</v>
      </c>
      <c r="B904" s="151" t="s">
        <v>2346</v>
      </c>
    </row>
    <row r="905" spans="1:2">
      <c r="A905" s="151" t="s">
        <v>2347</v>
      </c>
      <c r="B905" s="151" t="s">
        <v>2348</v>
      </c>
    </row>
    <row r="906" spans="1:2">
      <c r="A906" s="151" t="s">
        <v>2349</v>
      </c>
      <c r="B906" s="151" t="s">
        <v>2350</v>
      </c>
    </row>
    <row r="907" spans="1:2">
      <c r="A907" s="151" t="s">
        <v>2351</v>
      </c>
      <c r="B907" s="151" t="s">
        <v>2352</v>
      </c>
    </row>
    <row r="908" spans="1:2">
      <c r="A908" s="151" t="s">
        <v>2353</v>
      </c>
      <c r="B908" s="151" t="s">
        <v>2354</v>
      </c>
    </row>
    <row r="909" spans="1:2">
      <c r="A909" s="151" t="s">
        <v>2355</v>
      </c>
      <c r="B909" s="151" t="s">
        <v>2356</v>
      </c>
    </row>
    <row r="910" spans="1:2">
      <c r="A910" s="151" t="s">
        <v>2357</v>
      </c>
      <c r="B910" s="151" t="s">
        <v>2358</v>
      </c>
    </row>
    <row r="911" spans="1:2">
      <c r="A911" s="151" t="s">
        <v>2359</v>
      </c>
      <c r="B911" s="151" t="s">
        <v>2360</v>
      </c>
    </row>
    <row r="912" spans="1:2">
      <c r="A912" s="151" t="s">
        <v>2361</v>
      </c>
      <c r="B912" s="151" t="s">
        <v>2362</v>
      </c>
    </row>
    <row r="913" spans="1:2">
      <c r="A913" s="151" t="s">
        <v>2363</v>
      </c>
      <c r="B913" s="151" t="s">
        <v>2364</v>
      </c>
    </row>
    <row r="914" spans="1:2">
      <c r="A914" s="151" t="s">
        <v>2365</v>
      </c>
      <c r="B914" s="151" t="s">
        <v>2366</v>
      </c>
    </row>
    <row r="915" spans="1:2">
      <c r="A915" s="151" t="s">
        <v>2367</v>
      </c>
      <c r="B915" s="151" t="s">
        <v>2368</v>
      </c>
    </row>
    <row r="916" spans="1:2">
      <c r="A916" s="151" t="s">
        <v>2369</v>
      </c>
      <c r="B916" s="151" t="s">
        <v>2370</v>
      </c>
    </row>
    <row r="917" spans="1:2">
      <c r="A917" s="151" t="s">
        <v>2371</v>
      </c>
      <c r="B917" s="151" t="s">
        <v>2372</v>
      </c>
    </row>
    <row r="918" spans="1:2">
      <c r="A918" s="151" t="s">
        <v>2373</v>
      </c>
      <c r="B918" s="151" t="s">
        <v>2374</v>
      </c>
    </row>
    <row r="919" spans="1:2">
      <c r="A919" s="151" t="s">
        <v>2375</v>
      </c>
      <c r="B919" s="151" t="s">
        <v>2376</v>
      </c>
    </row>
    <row r="920" spans="1:2">
      <c r="A920" s="151" t="s">
        <v>2377</v>
      </c>
      <c r="B920" s="151" t="s">
        <v>2378</v>
      </c>
    </row>
    <row r="921" spans="1:2">
      <c r="A921" s="151" t="s">
        <v>2379</v>
      </c>
      <c r="B921" s="151" t="s">
        <v>2380</v>
      </c>
    </row>
    <row r="922" spans="1:2">
      <c r="A922" s="151" t="s">
        <v>2381</v>
      </c>
      <c r="B922" s="151" t="s">
        <v>2382</v>
      </c>
    </row>
    <row r="923" spans="1:2">
      <c r="A923" s="151" t="s">
        <v>2383</v>
      </c>
      <c r="B923" s="151" t="s">
        <v>2384</v>
      </c>
    </row>
    <row r="924" spans="1:2">
      <c r="A924" s="151" t="s">
        <v>2385</v>
      </c>
      <c r="B924" s="151" t="s">
        <v>2386</v>
      </c>
    </row>
    <row r="925" spans="1:2">
      <c r="A925" s="151" t="s">
        <v>2387</v>
      </c>
      <c r="B925" s="151" t="s">
        <v>2388</v>
      </c>
    </row>
    <row r="926" spans="1:2">
      <c r="A926" s="151" t="s">
        <v>2389</v>
      </c>
      <c r="B926" s="151" t="s">
        <v>2390</v>
      </c>
    </row>
    <row r="927" spans="1:2">
      <c r="A927" s="151" t="s">
        <v>2391</v>
      </c>
      <c r="B927" s="151" t="s">
        <v>2392</v>
      </c>
    </row>
    <row r="928" spans="1:2">
      <c r="A928" s="151" t="s">
        <v>2393</v>
      </c>
      <c r="B928" s="151" t="s">
        <v>2394</v>
      </c>
    </row>
    <row r="929" spans="1:2">
      <c r="A929" s="151" t="s">
        <v>2395</v>
      </c>
      <c r="B929" s="151" t="s">
        <v>2396</v>
      </c>
    </row>
    <row r="930" spans="1:2">
      <c r="A930" s="151" t="s">
        <v>2397</v>
      </c>
      <c r="B930" s="151" t="s">
        <v>2398</v>
      </c>
    </row>
    <row r="931" spans="1:2">
      <c r="A931" s="151" t="s">
        <v>2399</v>
      </c>
      <c r="B931" s="151" t="s">
        <v>2400</v>
      </c>
    </row>
    <row r="932" spans="1:2">
      <c r="A932" s="151" t="s">
        <v>2401</v>
      </c>
      <c r="B932" s="151" t="s">
        <v>2402</v>
      </c>
    </row>
    <row r="933" spans="1:2">
      <c r="A933" s="151" t="s">
        <v>2403</v>
      </c>
      <c r="B933" s="151" t="s">
        <v>2404</v>
      </c>
    </row>
    <row r="934" spans="1:2">
      <c r="A934" s="151" t="s">
        <v>2405</v>
      </c>
      <c r="B934" s="151" t="s">
        <v>2406</v>
      </c>
    </row>
    <row r="935" spans="1:2">
      <c r="A935" s="151" t="s">
        <v>2407</v>
      </c>
      <c r="B935" s="151" t="s">
        <v>2408</v>
      </c>
    </row>
    <row r="936" spans="1:2">
      <c r="A936" s="151" t="s">
        <v>2409</v>
      </c>
      <c r="B936" s="151" t="s">
        <v>2410</v>
      </c>
    </row>
    <row r="937" spans="1:2">
      <c r="A937" s="151" t="s">
        <v>2411</v>
      </c>
      <c r="B937" s="151" t="s">
        <v>2412</v>
      </c>
    </row>
    <row r="938" spans="1:2">
      <c r="A938" s="151" t="s">
        <v>2413</v>
      </c>
      <c r="B938" s="151" t="s">
        <v>2414</v>
      </c>
    </row>
    <row r="939" spans="1:2">
      <c r="A939" s="151" t="s">
        <v>2415</v>
      </c>
      <c r="B939" s="151" t="s">
        <v>2416</v>
      </c>
    </row>
    <row r="940" spans="1:2">
      <c r="A940" s="151" t="s">
        <v>2417</v>
      </c>
      <c r="B940" s="151" t="s">
        <v>2418</v>
      </c>
    </row>
    <row r="941" spans="1:2">
      <c r="A941" s="151" t="s">
        <v>2419</v>
      </c>
      <c r="B941" s="151" t="s">
        <v>2420</v>
      </c>
    </row>
    <row r="942" spans="1:2">
      <c r="A942" s="151" t="s">
        <v>2421</v>
      </c>
      <c r="B942" s="151" t="s">
        <v>2422</v>
      </c>
    </row>
    <row r="943" spans="1:2">
      <c r="A943" s="151" t="s">
        <v>2423</v>
      </c>
      <c r="B943" s="151" t="s">
        <v>2424</v>
      </c>
    </row>
    <row r="944" spans="1:2">
      <c r="A944" s="151" t="s">
        <v>2425</v>
      </c>
      <c r="B944" s="151" t="s">
        <v>2426</v>
      </c>
    </row>
    <row r="945" spans="1:2">
      <c r="A945" s="151" t="s">
        <v>2427</v>
      </c>
      <c r="B945" s="151" t="s">
        <v>2428</v>
      </c>
    </row>
    <row r="946" spans="1:2">
      <c r="A946" s="151" t="s">
        <v>2429</v>
      </c>
      <c r="B946" s="151" t="s">
        <v>2430</v>
      </c>
    </row>
    <row r="947" spans="1:2">
      <c r="A947" s="151" t="s">
        <v>2431</v>
      </c>
      <c r="B947" s="151" t="s">
        <v>2432</v>
      </c>
    </row>
    <row r="948" spans="1:2">
      <c r="A948" s="151" t="s">
        <v>2433</v>
      </c>
      <c r="B948" s="151" t="s">
        <v>2434</v>
      </c>
    </row>
    <row r="949" spans="1:2">
      <c r="A949" s="151" t="s">
        <v>2435</v>
      </c>
      <c r="B949" s="151" t="s">
        <v>2436</v>
      </c>
    </row>
    <row r="950" spans="1:2">
      <c r="A950" s="151" t="s">
        <v>2437</v>
      </c>
      <c r="B950" s="151" t="s">
        <v>2438</v>
      </c>
    </row>
    <row r="951" spans="1:2">
      <c r="A951" s="151" t="s">
        <v>2439</v>
      </c>
      <c r="B951" s="151" t="s">
        <v>2440</v>
      </c>
    </row>
    <row r="952" spans="1:2">
      <c r="A952" s="151" t="s">
        <v>2441</v>
      </c>
      <c r="B952" s="151" t="s">
        <v>2442</v>
      </c>
    </row>
    <row r="953" spans="1:2">
      <c r="A953" s="151" t="s">
        <v>2443</v>
      </c>
      <c r="B953" s="151" t="s">
        <v>2444</v>
      </c>
    </row>
    <row r="954" spans="1:2">
      <c r="A954" s="151" t="s">
        <v>2445</v>
      </c>
      <c r="B954" s="151" t="s">
        <v>2446</v>
      </c>
    </row>
    <row r="955" spans="1:2">
      <c r="A955" s="151" t="s">
        <v>2447</v>
      </c>
      <c r="B955" s="151" t="s">
        <v>2448</v>
      </c>
    </row>
    <row r="956" spans="1:2">
      <c r="A956" s="151" t="s">
        <v>2449</v>
      </c>
      <c r="B956" s="151" t="s">
        <v>2450</v>
      </c>
    </row>
    <row r="957" spans="1:2">
      <c r="A957" s="151" t="s">
        <v>2451</v>
      </c>
      <c r="B957" s="151" t="s">
        <v>2452</v>
      </c>
    </row>
    <row r="958" spans="1:2">
      <c r="A958" s="151" t="s">
        <v>2453</v>
      </c>
      <c r="B958" s="151" t="s">
        <v>2454</v>
      </c>
    </row>
    <row r="959" spans="1:2">
      <c r="A959" s="151" t="s">
        <v>2455</v>
      </c>
      <c r="B959" s="151" t="s">
        <v>2456</v>
      </c>
    </row>
    <row r="960" spans="1:2">
      <c r="A960" s="151" t="s">
        <v>2457</v>
      </c>
      <c r="B960" s="151" t="s">
        <v>2458</v>
      </c>
    </row>
    <row r="961" spans="1:2">
      <c r="A961" s="151" t="s">
        <v>2459</v>
      </c>
      <c r="B961" s="151" t="s">
        <v>2460</v>
      </c>
    </row>
    <row r="962" spans="1:2">
      <c r="A962" s="151" t="s">
        <v>2461</v>
      </c>
      <c r="B962" s="151" t="s">
        <v>2462</v>
      </c>
    </row>
    <row r="963" spans="1:2">
      <c r="A963" s="151" t="s">
        <v>2463</v>
      </c>
      <c r="B963" s="151" t="s">
        <v>2464</v>
      </c>
    </row>
    <row r="964" spans="1:2">
      <c r="A964" s="151" t="s">
        <v>2465</v>
      </c>
      <c r="B964" s="151" t="s">
        <v>2466</v>
      </c>
    </row>
    <row r="965" spans="1:2">
      <c r="A965" s="151" t="s">
        <v>2467</v>
      </c>
      <c r="B965" s="151" t="s">
        <v>2468</v>
      </c>
    </row>
    <row r="966" spans="1:2">
      <c r="A966" s="151" t="s">
        <v>2469</v>
      </c>
      <c r="B966" s="151" t="s">
        <v>302</v>
      </c>
    </row>
    <row r="967" spans="1:2">
      <c r="A967" s="151" t="s">
        <v>2470</v>
      </c>
      <c r="B967" s="151" t="s">
        <v>2471</v>
      </c>
    </row>
    <row r="968" spans="1:2">
      <c r="A968" s="151" t="s">
        <v>2472</v>
      </c>
      <c r="B968" s="151" t="s">
        <v>2473</v>
      </c>
    </row>
    <row r="969" spans="1:2">
      <c r="A969" s="151" t="s">
        <v>2474</v>
      </c>
      <c r="B969" s="151" t="s">
        <v>2475</v>
      </c>
    </row>
    <row r="970" spans="1:2">
      <c r="A970" s="151" t="s">
        <v>2476</v>
      </c>
      <c r="B970" s="151" t="s">
        <v>2477</v>
      </c>
    </row>
    <row r="971" spans="1:2">
      <c r="A971" s="151" t="s">
        <v>2478</v>
      </c>
      <c r="B971" s="151" t="s">
        <v>2479</v>
      </c>
    </row>
    <row r="972" spans="1:2">
      <c r="A972" s="151" t="s">
        <v>2480</v>
      </c>
      <c r="B972" s="151" t="s">
        <v>2481</v>
      </c>
    </row>
    <row r="973" spans="1:2">
      <c r="A973" s="151" t="s">
        <v>2482</v>
      </c>
      <c r="B973" s="151" t="s">
        <v>2483</v>
      </c>
    </row>
    <row r="974" spans="1:2">
      <c r="A974" s="151" t="s">
        <v>2484</v>
      </c>
      <c r="B974" s="151" t="s">
        <v>2485</v>
      </c>
    </row>
    <row r="975" spans="1:2">
      <c r="A975" s="151" t="s">
        <v>2486</v>
      </c>
      <c r="B975" s="151" t="s">
        <v>2487</v>
      </c>
    </row>
    <row r="976" spans="1:2">
      <c r="A976" s="151" t="s">
        <v>2488</v>
      </c>
      <c r="B976" s="151" t="s">
        <v>2489</v>
      </c>
    </row>
    <row r="977" spans="1:2">
      <c r="A977" s="151" t="s">
        <v>2490</v>
      </c>
      <c r="B977" s="151" t="s">
        <v>2491</v>
      </c>
    </row>
    <row r="978" spans="1:2">
      <c r="A978" s="151" t="s">
        <v>2492</v>
      </c>
      <c r="B978" s="151" t="s">
        <v>2493</v>
      </c>
    </row>
    <row r="979" spans="1:2">
      <c r="A979" s="151" t="s">
        <v>2494</v>
      </c>
      <c r="B979" s="151" t="s">
        <v>2495</v>
      </c>
    </row>
    <row r="980" spans="1:2">
      <c r="A980" s="151" t="s">
        <v>2496</v>
      </c>
      <c r="B980" s="151" t="s">
        <v>2497</v>
      </c>
    </row>
    <row r="981" spans="1:2">
      <c r="A981" s="151" t="s">
        <v>2498</v>
      </c>
      <c r="B981" s="151" t="s">
        <v>2499</v>
      </c>
    </row>
    <row r="982" spans="1:2">
      <c r="A982" s="151" t="s">
        <v>2500</v>
      </c>
      <c r="B982" s="151" t="s">
        <v>2501</v>
      </c>
    </row>
    <row r="983" spans="1:2">
      <c r="A983" s="151" t="s">
        <v>2502</v>
      </c>
      <c r="B983" s="151" t="s">
        <v>2503</v>
      </c>
    </row>
    <row r="984" spans="1:2">
      <c r="A984" s="151" t="s">
        <v>2504</v>
      </c>
      <c r="B984" s="151" t="s">
        <v>2505</v>
      </c>
    </row>
    <row r="985" spans="1:2">
      <c r="A985" s="151" t="s">
        <v>2506</v>
      </c>
      <c r="B985" s="151" t="s">
        <v>2507</v>
      </c>
    </row>
    <row r="986" spans="1:2">
      <c r="A986" s="151" t="s">
        <v>2508</v>
      </c>
      <c r="B986" s="151" t="s">
        <v>2509</v>
      </c>
    </row>
    <row r="987" spans="1:2">
      <c r="A987" s="151" t="s">
        <v>2510</v>
      </c>
      <c r="B987" s="151" t="s">
        <v>2511</v>
      </c>
    </row>
    <row r="988" spans="1:2">
      <c r="A988" s="151" t="s">
        <v>2512</v>
      </c>
      <c r="B988" s="151" t="s">
        <v>2513</v>
      </c>
    </row>
    <row r="989" spans="1:2">
      <c r="A989" s="151" t="s">
        <v>2514</v>
      </c>
      <c r="B989" s="151" t="s">
        <v>2515</v>
      </c>
    </row>
    <row r="990" spans="1:2">
      <c r="A990" s="151" t="s">
        <v>2516</v>
      </c>
      <c r="B990" s="151" t="s">
        <v>2517</v>
      </c>
    </row>
    <row r="991" spans="1:2">
      <c r="A991" s="151" t="s">
        <v>2518</v>
      </c>
      <c r="B991" s="151" t="s">
        <v>307</v>
      </c>
    </row>
    <row r="992" spans="1:2">
      <c r="A992" s="151" t="s">
        <v>2519</v>
      </c>
      <c r="B992" s="151" t="s">
        <v>2520</v>
      </c>
    </row>
    <row r="993" spans="1:2">
      <c r="A993" s="151" t="s">
        <v>2521</v>
      </c>
      <c r="B993" s="151" t="s">
        <v>2522</v>
      </c>
    </row>
    <row r="994" spans="1:2">
      <c r="A994" s="151" t="s">
        <v>2523</v>
      </c>
      <c r="B994" s="151" t="s">
        <v>2524</v>
      </c>
    </row>
    <row r="995" spans="1:2">
      <c r="A995" s="151" t="s">
        <v>2525</v>
      </c>
      <c r="B995" s="151" t="s">
        <v>2526</v>
      </c>
    </row>
    <row r="996" spans="1:2">
      <c r="A996" s="151" t="s">
        <v>2527</v>
      </c>
      <c r="B996" s="151" t="s">
        <v>2528</v>
      </c>
    </row>
    <row r="997" spans="1:2">
      <c r="A997" s="151" t="s">
        <v>2529</v>
      </c>
      <c r="B997" s="151" t="s">
        <v>2530</v>
      </c>
    </row>
    <row r="998" spans="1:2">
      <c r="A998" s="151" t="s">
        <v>2531</v>
      </c>
      <c r="B998" s="151" t="s">
        <v>2532</v>
      </c>
    </row>
    <row r="999" spans="1:2">
      <c r="A999" s="151" t="s">
        <v>2533</v>
      </c>
      <c r="B999" s="151" t="s">
        <v>2534</v>
      </c>
    </row>
    <row r="1000" spans="1:2">
      <c r="A1000" s="151" t="s">
        <v>2535</v>
      </c>
      <c r="B1000" s="151" t="s">
        <v>2536</v>
      </c>
    </row>
    <row r="1001" spans="1:2">
      <c r="A1001" s="151" t="s">
        <v>2537</v>
      </c>
      <c r="B1001" s="151" t="s">
        <v>2538</v>
      </c>
    </row>
    <row r="1002" spans="1:2">
      <c r="A1002" s="151" t="s">
        <v>2539</v>
      </c>
      <c r="B1002" s="151" t="s">
        <v>2540</v>
      </c>
    </row>
    <row r="1003" spans="1:2">
      <c r="A1003" s="151" t="s">
        <v>2541</v>
      </c>
      <c r="B1003" s="151" t="s">
        <v>2542</v>
      </c>
    </row>
    <row r="1004" spans="1:2">
      <c r="A1004" s="151" t="s">
        <v>2543</v>
      </c>
      <c r="B1004" s="151" t="s">
        <v>2544</v>
      </c>
    </row>
    <row r="1005" spans="1:2">
      <c r="A1005" s="151" t="s">
        <v>2545</v>
      </c>
      <c r="B1005" s="151" t="s">
        <v>2546</v>
      </c>
    </row>
    <row r="1006" spans="1:2">
      <c r="A1006" s="151" t="s">
        <v>2547</v>
      </c>
      <c r="B1006" s="151" t="s">
        <v>2548</v>
      </c>
    </row>
    <row r="1007" spans="1:2">
      <c r="A1007" s="151" t="s">
        <v>2549</v>
      </c>
      <c r="B1007" s="151" t="s">
        <v>2550</v>
      </c>
    </row>
    <row r="1008" spans="1:2">
      <c r="A1008" s="151" t="s">
        <v>2551</v>
      </c>
      <c r="B1008" s="151" t="s">
        <v>2552</v>
      </c>
    </row>
    <row r="1009" spans="1:2">
      <c r="A1009" s="151" t="s">
        <v>2553</v>
      </c>
      <c r="B1009" s="151" t="s">
        <v>2554</v>
      </c>
    </row>
    <row r="1010" spans="1:2">
      <c r="A1010" s="151" t="s">
        <v>2555</v>
      </c>
      <c r="B1010" s="151" t="s">
        <v>2556</v>
      </c>
    </row>
    <row r="1011" spans="1:2">
      <c r="A1011" s="151" t="s">
        <v>2557</v>
      </c>
      <c r="B1011" s="151" t="s">
        <v>2558</v>
      </c>
    </row>
    <row r="1012" spans="1:2">
      <c r="A1012" s="151" t="s">
        <v>2559</v>
      </c>
      <c r="B1012" s="151" t="s">
        <v>2560</v>
      </c>
    </row>
    <row r="1013" spans="1:2">
      <c r="A1013" s="151" t="s">
        <v>2561</v>
      </c>
      <c r="B1013" s="151" t="s">
        <v>2562</v>
      </c>
    </row>
    <row r="1014" spans="1:2">
      <c r="A1014" s="151" t="s">
        <v>2563</v>
      </c>
      <c r="B1014" s="151" t="s">
        <v>2564</v>
      </c>
    </row>
    <row r="1015" spans="1:2">
      <c r="A1015" s="151" t="s">
        <v>2565</v>
      </c>
      <c r="B1015" s="151" t="s">
        <v>2566</v>
      </c>
    </row>
    <row r="1016" spans="1:2">
      <c r="A1016" s="151" t="s">
        <v>2567</v>
      </c>
      <c r="B1016" s="151" t="s">
        <v>2568</v>
      </c>
    </row>
    <row r="1017" spans="1:2">
      <c r="A1017" s="151" t="s">
        <v>2569</v>
      </c>
      <c r="B1017" s="151" t="s">
        <v>2570</v>
      </c>
    </row>
    <row r="1018" spans="1:2">
      <c r="A1018" s="151" t="s">
        <v>2571</v>
      </c>
      <c r="B1018" s="151" t="s">
        <v>2572</v>
      </c>
    </row>
    <row r="1019" spans="1:2">
      <c r="A1019" s="151" t="s">
        <v>2573</v>
      </c>
      <c r="B1019" s="151" t="s">
        <v>2574</v>
      </c>
    </row>
    <row r="1020" spans="1:2">
      <c r="A1020" s="151" t="s">
        <v>2575</v>
      </c>
      <c r="B1020" s="151" t="s">
        <v>2576</v>
      </c>
    </row>
    <row r="1021" spans="1:2">
      <c r="A1021" s="151" t="s">
        <v>2577</v>
      </c>
      <c r="B1021" s="151" t="s">
        <v>2578</v>
      </c>
    </row>
    <row r="1022" spans="1:2">
      <c r="A1022" s="151" t="s">
        <v>2579</v>
      </c>
      <c r="B1022" s="151" t="s">
        <v>2580</v>
      </c>
    </row>
    <row r="1023" spans="1:2">
      <c r="A1023" s="151" t="s">
        <v>2581</v>
      </c>
      <c r="B1023" s="151" t="s">
        <v>2582</v>
      </c>
    </row>
    <row r="1024" spans="1:2">
      <c r="A1024" s="151" t="s">
        <v>2583</v>
      </c>
      <c r="B1024" s="151" t="s">
        <v>2584</v>
      </c>
    </row>
    <row r="1025" spans="1:2">
      <c r="A1025" s="151" t="s">
        <v>2585</v>
      </c>
      <c r="B1025" s="151" t="s">
        <v>2586</v>
      </c>
    </row>
    <row r="1026" spans="1:2">
      <c r="A1026" s="151" t="s">
        <v>2587</v>
      </c>
      <c r="B1026" s="151" t="s">
        <v>2588</v>
      </c>
    </row>
    <row r="1027" spans="1:2">
      <c r="A1027" s="151" t="s">
        <v>2589</v>
      </c>
      <c r="B1027" s="151" t="s">
        <v>2590</v>
      </c>
    </row>
    <row r="1028" spans="1:2">
      <c r="A1028" s="151" t="s">
        <v>2591</v>
      </c>
      <c r="B1028" s="151" t="s">
        <v>2592</v>
      </c>
    </row>
    <row r="1029" spans="1:2">
      <c r="A1029" s="151" t="s">
        <v>2593</v>
      </c>
      <c r="B1029" s="151" t="s">
        <v>2594</v>
      </c>
    </row>
    <row r="1030" spans="1:2">
      <c r="A1030" s="151" t="s">
        <v>2595</v>
      </c>
      <c r="B1030" s="151" t="s">
        <v>2596</v>
      </c>
    </row>
    <row r="1031" spans="1:2">
      <c r="A1031" s="151" t="s">
        <v>2597</v>
      </c>
      <c r="B1031" s="151" t="s">
        <v>2598</v>
      </c>
    </row>
    <row r="1032" spans="1:2">
      <c r="A1032" s="151" t="s">
        <v>2599</v>
      </c>
      <c r="B1032" s="151" t="s">
        <v>2600</v>
      </c>
    </row>
    <row r="1033" spans="1:2">
      <c r="A1033" s="151" t="s">
        <v>2601</v>
      </c>
      <c r="B1033" s="151" t="s">
        <v>2602</v>
      </c>
    </row>
    <row r="1034" spans="1:2">
      <c r="A1034" s="151" t="s">
        <v>2603</v>
      </c>
      <c r="B1034" s="151" t="s">
        <v>2604</v>
      </c>
    </row>
    <row r="1035" spans="1:2">
      <c r="A1035" s="151" t="s">
        <v>2605</v>
      </c>
      <c r="B1035" s="151" t="s">
        <v>2606</v>
      </c>
    </row>
    <row r="1036" spans="1:2">
      <c r="A1036" s="151" t="s">
        <v>2607</v>
      </c>
      <c r="B1036" s="151" t="s">
        <v>2608</v>
      </c>
    </row>
    <row r="1037" spans="1:2">
      <c r="A1037" s="151" t="s">
        <v>2609</v>
      </c>
      <c r="B1037" s="151" t="s">
        <v>2610</v>
      </c>
    </row>
    <row r="1038" spans="1:2">
      <c r="A1038" s="151" t="s">
        <v>2611</v>
      </c>
      <c r="B1038" s="151" t="s">
        <v>2612</v>
      </c>
    </row>
    <row r="1039" spans="1:2">
      <c r="A1039" s="151" t="s">
        <v>2613</v>
      </c>
      <c r="B1039" s="151" t="s">
        <v>2614</v>
      </c>
    </row>
    <row r="1040" spans="1:2">
      <c r="A1040" s="151" t="s">
        <v>2615</v>
      </c>
      <c r="B1040" s="151" t="s">
        <v>2616</v>
      </c>
    </row>
    <row r="1041" spans="1:2">
      <c r="A1041" s="151" t="s">
        <v>2617</v>
      </c>
      <c r="B1041" s="151" t="s">
        <v>2618</v>
      </c>
    </row>
    <row r="1042" spans="1:2">
      <c r="A1042" s="151" t="s">
        <v>2619</v>
      </c>
      <c r="B1042" s="151" t="s">
        <v>2620</v>
      </c>
    </row>
    <row r="1043" spans="1:2">
      <c r="A1043" s="151" t="s">
        <v>2621</v>
      </c>
      <c r="B1043" s="151" t="s">
        <v>2622</v>
      </c>
    </row>
    <row r="1044" spans="1:2">
      <c r="A1044" s="151" t="s">
        <v>2623</v>
      </c>
      <c r="B1044" s="151" t="s">
        <v>2624</v>
      </c>
    </row>
    <row r="1045" spans="1:2">
      <c r="A1045" s="151" t="s">
        <v>2625</v>
      </c>
      <c r="B1045" s="151" t="s">
        <v>2626</v>
      </c>
    </row>
    <row r="1046" spans="1:2">
      <c r="A1046" s="151" t="s">
        <v>2627</v>
      </c>
      <c r="B1046" s="151" t="s">
        <v>2628</v>
      </c>
    </row>
    <row r="1047" spans="1:2">
      <c r="A1047" s="151" t="s">
        <v>2629</v>
      </c>
      <c r="B1047" s="151" t="s">
        <v>2630</v>
      </c>
    </row>
    <row r="1048" spans="1:2">
      <c r="A1048" s="151" t="s">
        <v>2631</v>
      </c>
      <c r="B1048" s="151" t="s">
        <v>2632</v>
      </c>
    </row>
    <row r="1049" spans="1:2">
      <c r="A1049" s="151" t="s">
        <v>2633</v>
      </c>
      <c r="B1049" s="151" t="s">
        <v>2634</v>
      </c>
    </row>
    <row r="1050" spans="1:2">
      <c r="A1050" s="151" t="s">
        <v>2635</v>
      </c>
      <c r="B1050" s="151" t="s">
        <v>2636</v>
      </c>
    </row>
    <row r="1051" spans="1:2">
      <c r="A1051" s="151" t="s">
        <v>2637</v>
      </c>
      <c r="B1051" s="151" t="s">
        <v>2638</v>
      </c>
    </row>
    <row r="1052" spans="1:2">
      <c r="A1052" s="151" t="s">
        <v>2639</v>
      </c>
      <c r="B1052" s="151" t="s">
        <v>2640</v>
      </c>
    </row>
    <row r="1053" spans="1:2">
      <c r="A1053" s="151" t="s">
        <v>2641</v>
      </c>
      <c r="B1053" s="151" t="s">
        <v>2642</v>
      </c>
    </row>
    <row r="1054" spans="1:2">
      <c r="A1054" s="151" t="s">
        <v>2643</v>
      </c>
      <c r="B1054" s="151" t="s">
        <v>2644</v>
      </c>
    </row>
    <row r="1055" spans="1:2">
      <c r="A1055" s="151" t="s">
        <v>2645</v>
      </c>
      <c r="B1055" s="151" t="s">
        <v>2646</v>
      </c>
    </row>
    <row r="1056" spans="1:2">
      <c r="A1056" s="151" t="s">
        <v>2647</v>
      </c>
      <c r="B1056" s="151" t="s">
        <v>2648</v>
      </c>
    </row>
    <row r="1057" spans="1:2">
      <c r="A1057" s="151" t="s">
        <v>2649</v>
      </c>
      <c r="B1057" s="151" t="s">
        <v>2650</v>
      </c>
    </row>
    <row r="1058" spans="1:2">
      <c r="A1058" s="151" t="s">
        <v>2651</v>
      </c>
      <c r="B1058" s="151" t="s">
        <v>2652</v>
      </c>
    </row>
    <row r="1059" spans="1:2">
      <c r="A1059" s="151" t="s">
        <v>2653</v>
      </c>
      <c r="B1059" s="151" t="s">
        <v>2654</v>
      </c>
    </row>
    <row r="1060" spans="1:2">
      <c r="A1060" s="151" t="s">
        <v>2655</v>
      </c>
      <c r="B1060" s="151" t="s">
        <v>2656</v>
      </c>
    </row>
    <row r="1061" spans="1:2">
      <c r="A1061" s="151" t="s">
        <v>2657</v>
      </c>
      <c r="B1061" s="151" t="s">
        <v>2658</v>
      </c>
    </row>
    <row r="1062" spans="1:2">
      <c r="A1062" s="151" t="s">
        <v>2659</v>
      </c>
      <c r="B1062" s="151" t="s">
        <v>2660</v>
      </c>
    </row>
    <row r="1063" spans="1:2">
      <c r="A1063" s="151" t="s">
        <v>2661</v>
      </c>
      <c r="B1063" s="151" t="s">
        <v>2662</v>
      </c>
    </row>
    <row r="1064" spans="1:2">
      <c r="A1064" s="151" t="s">
        <v>2663</v>
      </c>
      <c r="B1064" s="151" t="s">
        <v>2664</v>
      </c>
    </row>
    <row r="1065" spans="1:2">
      <c r="A1065" s="151" t="s">
        <v>2665</v>
      </c>
      <c r="B1065" s="151" t="s">
        <v>2666</v>
      </c>
    </row>
    <row r="1066" spans="1:2">
      <c r="A1066" s="151" t="s">
        <v>2667</v>
      </c>
      <c r="B1066" s="151" t="s">
        <v>2668</v>
      </c>
    </row>
    <row r="1067" spans="1:2">
      <c r="A1067" s="151" t="s">
        <v>2669</v>
      </c>
      <c r="B1067" s="151" t="s">
        <v>2670</v>
      </c>
    </row>
    <row r="1068" spans="1:2">
      <c r="A1068" s="151" t="s">
        <v>2671</v>
      </c>
      <c r="B1068" s="151" t="s">
        <v>2672</v>
      </c>
    </row>
    <row r="1069" spans="1:2">
      <c r="A1069" s="151" t="s">
        <v>2673</v>
      </c>
      <c r="B1069" s="151" t="s">
        <v>2674</v>
      </c>
    </row>
    <row r="1070" spans="1:2">
      <c r="A1070" s="151" t="s">
        <v>2675</v>
      </c>
      <c r="B1070" s="151" t="s">
        <v>2676</v>
      </c>
    </row>
    <row r="1071" spans="1:2">
      <c r="A1071" s="151" t="s">
        <v>2677</v>
      </c>
      <c r="B1071" s="151" t="s">
        <v>2678</v>
      </c>
    </row>
    <row r="1072" spans="1:2">
      <c r="A1072" s="151" t="s">
        <v>2679</v>
      </c>
      <c r="B1072" s="151" t="s">
        <v>2680</v>
      </c>
    </row>
    <row r="1073" spans="1:2">
      <c r="A1073" s="151" t="s">
        <v>2681</v>
      </c>
      <c r="B1073" s="151" t="s">
        <v>2682</v>
      </c>
    </row>
    <row r="1074" spans="1:2">
      <c r="A1074" s="151" t="s">
        <v>2683</v>
      </c>
      <c r="B1074" s="151" t="s">
        <v>2684</v>
      </c>
    </row>
    <row r="1075" spans="1:2">
      <c r="A1075" s="151" t="s">
        <v>2685</v>
      </c>
      <c r="B1075" s="151" t="s">
        <v>2686</v>
      </c>
    </row>
    <row r="1076" spans="1:2">
      <c r="A1076" s="151" t="s">
        <v>2687</v>
      </c>
      <c r="B1076" s="151" t="s">
        <v>2688</v>
      </c>
    </row>
    <row r="1077" spans="1:2">
      <c r="A1077" s="151" t="s">
        <v>2689</v>
      </c>
      <c r="B1077" s="151" t="s">
        <v>2690</v>
      </c>
    </row>
    <row r="1078" spans="1:2">
      <c r="A1078" s="151" t="s">
        <v>2691</v>
      </c>
      <c r="B1078" s="151" t="s">
        <v>2692</v>
      </c>
    </row>
    <row r="1079" spans="1:2">
      <c r="A1079" s="151" t="s">
        <v>2693</v>
      </c>
      <c r="B1079" s="151" t="s">
        <v>2694</v>
      </c>
    </row>
    <row r="1080" spans="1:2">
      <c r="A1080" s="151" t="s">
        <v>2695</v>
      </c>
      <c r="B1080" s="151" t="s">
        <v>2696</v>
      </c>
    </row>
    <row r="1081" spans="1:2">
      <c r="A1081" s="151" t="s">
        <v>2697</v>
      </c>
      <c r="B1081" s="151" t="s">
        <v>2698</v>
      </c>
    </row>
    <row r="1082" spans="1:2">
      <c r="A1082" s="151" t="s">
        <v>2699</v>
      </c>
      <c r="B1082" s="151" t="s">
        <v>2700</v>
      </c>
    </row>
    <row r="1083" spans="1:2">
      <c r="A1083" s="151" t="s">
        <v>2701</v>
      </c>
      <c r="B1083" s="151" t="s">
        <v>2702</v>
      </c>
    </row>
    <row r="1084" spans="1:2">
      <c r="A1084" s="151" t="s">
        <v>2703</v>
      </c>
      <c r="B1084" s="151" t="s">
        <v>2704</v>
      </c>
    </row>
    <row r="1085" spans="1:2">
      <c r="A1085" s="151" t="s">
        <v>2705</v>
      </c>
      <c r="B1085" s="151" t="s">
        <v>2706</v>
      </c>
    </row>
    <row r="1086" spans="1:2">
      <c r="A1086" s="151" t="s">
        <v>2707</v>
      </c>
      <c r="B1086" s="151" t="s">
        <v>2708</v>
      </c>
    </row>
    <row r="1087" spans="1:2">
      <c r="A1087" s="151" t="s">
        <v>2709</v>
      </c>
      <c r="B1087" s="151" t="s">
        <v>2710</v>
      </c>
    </row>
    <row r="1088" spans="1:2">
      <c r="A1088" s="151" t="s">
        <v>2711</v>
      </c>
      <c r="B1088" s="151" t="s">
        <v>2712</v>
      </c>
    </row>
    <row r="1089" spans="1:2">
      <c r="A1089" s="151" t="s">
        <v>2713</v>
      </c>
      <c r="B1089" s="151" t="s">
        <v>2714</v>
      </c>
    </row>
    <row r="1090" spans="1:2">
      <c r="A1090" s="151" t="s">
        <v>2715</v>
      </c>
      <c r="B1090" s="151" t="s">
        <v>2716</v>
      </c>
    </row>
    <row r="1091" spans="1:2">
      <c r="A1091" s="151" t="s">
        <v>2717</v>
      </c>
      <c r="B1091" s="151" t="s">
        <v>2718</v>
      </c>
    </row>
    <row r="1092" spans="1:2">
      <c r="A1092" s="151" t="s">
        <v>2719</v>
      </c>
      <c r="B1092" s="151" t="s">
        <v>2720</v>
      </c>
    </row>
    <row r="1093" spans="1:2">
      <c r="A1093" s="151" t="s">
        <v>2721</v>
      </c>
      <c r="B1093" s="151" t="s">
        <v>2722</v>
      </c>
    </row>
    <row r="1094" spans="1:2">
      <c r="A1094" s="151" t="s">
        <v>2723</v>
      </c>
      <c r="B1094" s="151" t="s">
        <v>2724</v>
      </c>
    </row>
    <row r="1095" spans="1:2">
      <c r="A1095" s="151" t="s">
        <v>2725</v>
      </c>
      <c r="B1095" s="151" t="s">
        <v>2726</v>
      </c>
    </row>
    <row r="1096" spans="1:2">
      <c r="A1096" s="151" t="s">
        <v>2727</v>
      </c>
      <c r="B1096" s="151" t="s">
        <v>2728</v>
      </c>
    </row>
    <row r="1097" spans="1:2">
      <c r="A1097" s="151" t="s">
        <v>2729</v>
      </c>
      <c r="B1097" s="151" t="s">
        <v>2730</v>
      </c>
    </row>
    <row r="1098" spans="1:2">
      <c r="A1098" s="151" t="s">
        <v>2731</v>
      </c>
      <c r="B1098" s="151" t="s">
        <v>2732</v>
      </c>
    </row>
    <row r="1099" spans="1:2">
      <c r="A1099" s="151" t="s">
        <v>2733</v>
      </c>
      <c r="B1099" s="151" t="s">
        <v>2734</v>
      </c>
    </row>
    <row r="1100" spans="1:2">
      <c r="A1100" s="151" t="s">
        <v>2735</v>
      </c>
      <c r="B1100" s="151" t="s">
        <v>2736</v>
      </c>
    </row>
    <row r="1101" spans="1:2">
      <c r="A1101" s="151" t="s">
        <v>2737</v>
      </c>
      <c r="B1101" s="151" t="s">
        <v>2738</v>
      </c>
    </row>
    <row r="1102" spans="1:2">
      <c r="A1102" s="151" t="s">
        <v>2739</v>
      </c>
      <c r="B1102" s="151" t="s">
        <v>2740</v>
      </c>
    </row>
    <row r="1103" spans="1:2">
      <c r="A1103" s="151" t="s">
        <v>2741</v>
      </c>
      <c r="B1103" s="151" t="s">
        <v>2742</v>
      </c>
    </row>
    <row r="1104" spans="1:2">
      <c r="A1104" s="151" t="s">
        <v>2743</v>
      </c>
      <c r="B1104" s="151" t="s">
        <v>2744</v>
      </c>
    </row>
    <row r="1105" spans="1:2">
      <c r="A1105" s="151" t="s">
        <v>2745</v>
      </c>
      <c r="B1105" s="151" t="s">
        <v>2746</v>
      </c>
    </row>
    <row r="1106" spans="1:2">
      <c r="A1106" s="151" t="s">
        <v>2747</v>
      </c>
      <c r="B1106" s="151" t="s">
        <v>2748</v>
      </c>
    </row>
    <row r="1107" spans="1:2">
      <c r="A1107" s="151" t="s">
        <v>2749</v>
      </c>
      <c r="B1107" s="151" t="s">
        <v>2750</v>
      </c>
    </row>
    <row r="1108" spans="1:2">
      <c r="A1108" s="151" t="s">
        <v>2751</v>
      </c>
      <c r="B1108" s="151" t="s">
        <v>2752</v>
      </c>
    </row>
    <row r="1109" spans="1:2">
      <c r="A1109" s="151" t="s">
        <v>2753</v>
      </c>
      <c r="B1109" s="151" t="s">
        <v>2754</v>
      </c>
    </row>
    <row r="1110" spans="1:2">
      <c r="A1110" s="151" t="s">
        <v>2755</v>
      </c>
      <c r="B1110" s="151" t="s">
        <v>2756</v>
      </c>
    </row>
    <row r="1111" spans="1:2">
      <c r="A1111" s="151" t="s">
        <v>2757</v>
      </c>
      <c r="B1111" s="151" t="s">
        <v>2758</v>
      </c>
    </row>
    <row r="1112" spans="1:2">
      <c r="A1112" s="151" t="s">
        <v>2759</v>
      </c>
      <c r="B1112" s="151" t="s">
        <v>2760</v>
      </c>
    </row>
    <row r="1113" spans="1:2">
      <c r="A1113" s="151" t="s">
        <v>2761</v>
      </c>
      <c r="B1113" s="151" t="s">
        <v>2762</v>
      </c>
    </row>
    <row r="1114" spans="1:2">
      <c r="A1114" s="151" t="s">
        <v>2763</v>
      </c>
      <c r="B1114" s="151" t="s">
        <v>2764</v>
      </c>
    </row>
    <row r="1115" spans="1:2">
      <c r="A1115" s="151" t="s">
        <v>2765</v>
      </c>
      <c r="B1115" s="151" t="s">
        <v>2766</v>
      </c>
    </row>
    <row r="1116" spans="1:2">
      <c r="A1116" s="151" t="s">
        <v>2767</v>
      </c>
      <c r="B1116" s="151" t="s">
        <v>2768</v>
      </c>
    </row>
    <row r="1117" spans="1:2">
      <c r="A1117" s="151" t="s">
        <v>2769</v>
      </c>
      <c r="B1117" s="151" t="s">
        <v>2770</v>
      </c>
    </row>
    <row r="1118" spans="1:2">
      <c r="A1118" s="151" t="s">
        <v>2771</v>
      </c>
      <c r="B1118" s="151" t="s">
        <v>2772</v>
      </c>
    </row>
    <row r="1119" spans="1:2">
      <c r="A1119" s="151" t="s">
        <v>2773</v>
      </c>
      <c r="B1119" s="151" t="s">
        <v>2774</v>
      </c>
    </row>
    <row r="1120" spans="1:2">
      <c r="A1120" s="151" t="s">
        <v>2775</v>
      </c>
      <c r="B1120" s="151" t="s">
        <v>2776</v>
      </c>
    </row>
    <row r="1121" spans="1:2">
      <c r="A1121" s="151" t="s">
        <v>2777</v>
      </c>
      <c r="B1121" s="151" t="s">
        <v>2778</v>
      </c>
    </row>
    <row r="1122" spans="1:2">
      <c r="A1122" s="151" t="s">
        <v>2779</v>
      </c>
      <c r="B1122" s="151" t="s">
        <v>2780</v>
      </c>
    </row>
    <row r="1123" spans="1:2">
      <c r="A1123" s="151" t="s">
        <v>2781</v>
      </c>
      <c r="B1123" s="151" t="s">
        <v>2782</v>
      </c>
    </row>
    <row r="1124" spans="1:2">
      <c r="A1124" s="151" t="s">
        <v>2783</v>
      </c>
      <c r="B1124" s="151" t="s">
        <v>2784</v>
      </c>
    </row>
    <row r="1125" spans="1:2">
      <c r="A1125" s="151" t="s">
        <v>2785</v>
      </c>
      <c r="B1125" s="151" t="s">
        <v>2786</v>
      </c>
    </row>
    <row r="1126" spans="1:2">
      <c r="A1126" s="151" t="s">
        <v>2787</v>
      </c>
      <c r="B1126" s="151" t="s">
        <v>2788</v>
      </c>
    </row>
    <row r="1127" spans="1:2">
      <c r="A1127" s="151" t="s">
        <v>2789</v>
      </c>
      <c r="B1127" s="151" t="s">
        <v>2790</v>
      </c>
    </row>
    <row r="1128" spans="1:2">
      <c r="A1128" s="151" t="s">
        <v>2791</v>
      </c>
      <c r="B1128" s="151" t="s">
        <v>2792</v>
      </c>
    </row>
    <row r="1129" spans="1:2">
      <c r="A1129" s="151" t="s">
        <v>2793</v>
      </c>
      <c r="B1129" s="151" t="s">
        <v>2794</v>
      </c>
    </row>
    <row r="1130" spans="1:2">
      <c r="A1130" s="151" t="s">
        <v>2795</v>
      </c>
      <c r="B1130" s="151" t="s">
        <v>2796</v>
      </c>
    </row>
    <row r="1131" spans="1:2">
      <c r="A1131" s="151" t="s">
        <v>2797</v>
      </c>
      <c r="B1131" s="151" t="s">
        <v>2798</v>
      </c>
    </row>
    <row r="1132" spans="1:2">
      <c r="A1132" s="151" t="s">
        <v>2799</v>
      </c>
      <c r="B1132" s="151" t="s">
        <v>2800</v>
      </c>
    </row>
    <row r="1133" spans="1:2">
      <c r="A1133" s="151" t="s">
        <v>2801</v>
      </c>
      <c r="B1133" s="151" t="s">
        <v>2802</v>
      </c>
    </row>
    <row r="1134" spans="1:2">
      <c r="A1134" s="151" t="s">
        <v>2803</v>
      </c>
      <c r="B1134" s="151" t="s">
        <v>2804</v>
      </c>
    </row>
    <row r="1135" spans="1:2">
      <c r="A1135" s="151" t="s">
        <v>2805</v>
      </c>
      <c r="B1135" s="151" t="s">
        <v>2806</v>
      </c>
    </row>
    <row r="1136" spans="1:2">
      <c r="A1136" s="151" t="s">
        <v>2807</v>
      </c>
      <c r="B1136" s="151" t="s">
        <v>2808</v>
      </c>
    </row>
    <row r="1137" spans="1:2">
      <c r="A1137" s="151" t="s">
        <v>2809</v>
      </c>
      <c r="B1137" s="151" t="s">
        <v>2810</v>
      </c>
    </row>
    <row r="1138" spans="1:2">
      <c r="A1138" s="151" t="s">
        <v>2811</v>
      </c>
      <c r="B1138" s="151" t="s">
        <v>2812</v>
      </c>
    </row>
    <row r="1139" spans="1:2">
      <c r="A1139" s="151" t="s">
        <v>2813</v>
      </c>
      <c r="B1139" s="151" t="s">
        <v>2814</v>
      </c>
    </row>
    <row r="1140" spans="1:2">
      <c r="A1140" s="151" t="s">
        <v>2815</v>
      </c>
      <c r="B1140" s="151" t="s">
        <v>2816</v>
      </c>
    </row>
    <row r="1141" spans="1:2">
      <c r="A1141" s="151" t="s">
        <v>2817</v>
      </c>
      <c r="B1141" s="151" t="s">
        <v>2818</v>
      </c>
    </row>
    <row r="1142" spans="1:2">
      <c r="A1142" s="151" t="s">
        <v>2819</v>
      </c>
      <c r="B1142" s="151" t="s">
        <v>2820</v>
      </c>
    </row>
    <row r="1143" spans="1:2">
      <c r="A1143" s="151" t="s">
        <v>2821</v>
      </c>
      <c r="B1143" s="151" t="s">
        <v>2822</v>
      </c>
    </row>
    <row r="1144" spans="1:2">
      <c r="A1144" s="151" t="s">
        <v>2823</v>
      </c>
      <c r="B1144" s="151" t="s">
        <v>2824</v>
      </c>
    </row>
    <row r="1145" spans="1:2">
      <c r="A1145" s="151" t="s">
        <v>2825</v>
      </c>
      <c r="B1145" s="151" t="s">
        <v>2826</v>
      </c>
    </row>
    <row r="1146" spans="1:2">
      <c r="A1146" s="151" t="s">
        <v>2827</v>
      </c>
      <c r="B1146" s="151" t="s">
        <v>2828</v>
      </c>
    </row>
    <row r="1147" spans="1:2">
      <c r="A1147" s="151" t="s">
        <v>2829</v>
      </c>
      <c r="B1147" s="151" t="s">
        <v>2830</v>
      </c>
    </row>
    <row r="1148" spans="1:2">
      <c r="A1148" s="151" t="s">
        <v>2831</v>
      </c>
      <c r="B1148" s="151" t="s">
        <v>2832</v>
      </c>
    </row>
    <row r="1149" spans="1:2">
      <c r="A1149" s="151" t="s">
        <v>2833</v>
      </c>
      <c r="B1149" s="151" t="s">
        <v>2834</v>
      </c>
    </row>
    <row r="1150" spans="1:2">
      <c r="A1150" s="151" t="s">
        <v>2835</v>
      </c>
      <c r="B1150" s="151" t="s">
        <v>2836</v>
      </c>
    </row>
    <row r="1151" spans="1:2">
      <c r="A1151" s="151" t="s">
        <v>2837</v>
      </c>
      <c r="B1151" s="151" t="s">
        <v>2838</v>
      </c>
    </row>
    <row r="1152" spans="1:2">
      <c r="A1152" s="151" t="s">
        <v>2839</v>
      </c>
      <c r="B1152" s="151" t="s">
        <v>2840</v>
      </c>
    </row>
    <row r="1153" spans="1:2">
      <c r="A1153" s="151" t="s">
        <v>2841</v>
      </c>
      <c r="B1153" s="151" t="s">
        <v>2842</v>
      </c>
    </row>
    <row r="1154" spans="1:2">
      <c r="A1154" s="151" t="s">
        <v>2843</v>
      </c>
      <c r="B1154" s="151" t="s">
        <v>2844</v>
      </c>
    </row>
    <row r="1155" spans="1:2">
      <c r="A1155" s="151" t="s">
        <v>2845</v>
      </c>
      <c r="B1155" s="151" t="s">
        <v>2846</v>
      </c>
    </row>
    <row r="1156" spans="1:2">
      <c r="A1156" s="151" t="s">
        <v>2847</v>
      </c>
      <c r="B1156" s="151" t="s">
        <v>2848</v>
      </c>
    </row>
    <row r="1157" spans="1:2">
      <c r="A1157" s="151" t="s">
        <v>2849</v>
      </c>
      <c r="B1157" s="151" t="s">
        <v>2850</v>
      </c>
    </row>
    <row r="1158" spans="1:2">
      <c r="A1158" s="151" t="s">
        <v>2851</v>
      </c>
      <c r="B1158" s="151" t="s">
        <v>2852</v>
      </c>
    </row>
    <row r="1159" spans="1:2">
      <c r="A1159" s="151" t="s">
        <v>2853</v>
      </c>
      <c r="B1159" s="151" t="s">
        <v>2854</v>
      </c>
    </row>
    <row r="1160" spans="1:2">
      <c r="A1160" s="151" t="s">
        <v>2855</v>
      </c>
      <c r="B1160" s="151" t="s">
        <v>2856</v>
      </c>
    </row>
    <row r="1161" spans="1:2">
      <c r="A1161" s="151" t="s">
        <v>2857</v>
      </c>
      <c r="B1161" s="151" t="s">
        <v>2858</v>
      </c>
    </row>
    <row r="1162" spans="1:2">
      <c r="A1162" s="151" t="s">
        <v>2859</v>
      </c>
      <c r="B1162" s="151" t="s">
        <v>2860</v>
      </c>
    </row>
    <row r="1163" spans="1:2">
      <c r="A1163" s="151" t="s">
        <v>2861</v>
      </c>
      <c r="B1163" s="151" t="s">
        <v>2862</v>
      </c>
    </row>
    <row r="1164" spans="1:2">
      <c r="A1164" s="151" t="s">
        <v>2863</v>
      </c>
      <c r="B1164" s="151" t="s">
        <v>2864</v>
      </c>
    </row>
    <row r="1165" spans="1:2">
      <c r="A1165" s="151" t="s">
        <v>2865</v>
      </c>
      <c r="B1165" s="151" t="s">
        <v>2866</v>
      </c>
    </row>
    <row r="1166" spans="1:2">
      <c r="A1166" s="151" t="s">
        <v>2867</v>
      </c>
      <c r="B1166" s="151" t="s">
        <v>2868</v>
      </c>
    </row>
    <row r="1167" spans="1:2">
      <c r="A1167" s="151" t="s">
        <v>2869</v>
      </c>
      <c r="B1167" s="151" t="s">
        <v>2870</v>
      </c>
    </row>
    <row r="1168" spans="1:2">
      <c r="A1168" s="151" t="s">
        <v>2871</v>
      </c>
      <c r="B1168" s="151" t="s">
        <v>2872</v>
      </c>
    </row>
    <row r="1169" spans="1:2">
      <c r="A1169" s="151" t="s">
        <v>2873</v>
      </c>
      <c r="B1169" s="151" t="s">
        <v>2874</v>
      </c>
    </row>
    <row r="1170" spans="1:2">
      <c r="A1170" s="151" t="s">
        <v>2875</v>
      </c>
      <c r="B1170" s="151" t="s">
        <v>2876</v>
      </c>
    </row>
    <row r="1171" spans="1:2">
      <c r="A1171" s="151" t="s">
        <v>2877</v>
      </c>
      <c r="B1171" s="151" t="s">
        <v>2878</v>
      </c>
    </row>
    <row r="1172" spans="1:2">
      <c r="A1172" s="151" t="s">
        <v>2879</v>
      </c>
      <c r="B1172" s="151" t="s">
        <v>2880</v>
      </c>
    </row>
    <row r="1173" spans="1:2">
      <c r="A1173" s="151" t="s">
        <v>2881</v>
      </c>
      <c r="B1173" s="151" t="s">
        <v>2882</v>
      </c>
    </row>
    <row r="1174" spans="1:2">
      <c r="A1174" s="151" t="s">
        <v>2883</v>
      </c>
      <c r="B1174" s="151" t="s">
        <v>2884</v>
      </c>
    </row>
    <row r="1175" spans="1:2">
      <c r="A1175" s="151" t="s">
        <v>2885</v>
      </c>
      <c r="B1175" s="151" t="s">
        <v>2886</v>
      </c>
    </row>
    <row r="1176" spans="1:2">
      <c r="A1176" s="151" t="s">
        <v>2887</v>
      </c>
      <c r="B1176" s="151" t="s">
        <v>2888</v>
      </c>
    </row>
    <row r="1177" spans="1:2">
      <c r="A1177" s="151" t="s">
        <v>2889</v>
      </c>
      <c r="B1177" s="151" t="s">
        <v>2890</v>
      </c>
    </row>
    <row r="1178" spans="1:2">
      <c r="A1178" s="151" t="s">
        <v>2891</v>
      </c>
      <c r="B1178" s="151" t="s">
        <v>2892</v>
      </c>
    </row>
    <row r="1179" spans="1:2">
      <c r="A1179" s="151" t="s">
        <v>2893</v>
      </c>
      <c r="B1179" s="151" t="s">
        <v>2894</v>
      </c>
    </row>
    <row r="1180" spans="1:2">
      <c r="A1180" s="151" t="s">
        <v>2895</v>
      </c>
      <c r="B1180" s="151" t="s">
        <v>2896</v>
      </c>
    </row>
    <row r="1181" spans="1:2">
      <c r="A1181" s="151" t="s">
        <v>2897</v>
      </c>
      <c r="B1181" s="151" t="s">
        <v>2898</v>
      </c>
    </row>
    <row r="1182" spans="1:2">
      <c r="A1182" s="151" t="s">
        <v>2899</v>
      </c>
      <c r="B1182" s="151" t="s">
        <v>2900</v>
      </c>
    </row>
    <row r="1183" spans="1:2">
      <c r="A1183" s="151" t="s">
        <v>2901</v>
      </c>
      <c r="B1183" s="151" t="s">
        <v>2902</v>
      </c>
    </row>
    <row r="1184" spans="1:2">
      <c r="A1184" s="151" t="s">
        <v>2903</v>
      </c>
      <c r="B1184" s="151" t="s">
        <v>2904</v>
      </c>
    </row>
    <row r="1185" spans="1:2">
      <c r="A1185" s="151" t="s">
        <v>2905</v>
      </c>
      <c r="B1185" s="151" t="s">
        <v>2906</v>
      </c>
    </row>
    <row r="1186" spans="1:2">
      <c r="A1186" s="151" t="s">
        <v>2907</v>
      </c>
      <c r="B1186" s="151" t="s">
        <v>2908</v>
      </c>
    </row>
    <row r="1187" spans="1:2">
      <c r="A1187" s="151" t="s">
        <v>2909</v>
      </c>
      <c r="B1187" s="151" t="s">
        <v>2910</v>
      </c>
    </row>
    <row r="1188" spans="1:2">
      <c r="A1188" s="151" t="s">
        <v>2911</v>
      </c>
      <c r="B1188" s="151" t="s">
        <v>2912</v>
      </c>
    </row>
    <row r="1189" spans="1:2">
      <c r="A1189" s="151" t="s">
        <v>2913</v>
      </c>
      <c r="B1189" s="151" t="s">
        <v>2914</v>
      </c>
    </row>
    <row r="1190" spans="1:2">
      <c r="A1190" s="151" t="s">
        <v>2915</v>
      </c>
      <c r="B1190" s="151" t="s">
        <v>2916</v>
      </c>
    </row>
    <row r="1191" spans="1:2">
      <c r="A1191" s="151" t="s">
        <v>2917</v>
      </c>
      <c r="B1191" s="151" t="s">
        <v>2918</v>
      </c>
    </row>
    <row r="1192" spans="1:2">
      <c r="A1192" s="151" t="s">
        <v>2919</v>
      </c>
      <c r="B1192" s="151" t="s">
        <v>2920</v>
      </c>
    </row>
    <row r="1193" spans="1:2">
      <c r="A1193" s="151" t="s">
        <v>2921</v>
      </c>
      <c r="B1193" s="151" t="s">
        <v>2922</v>
      </c>
    </row>
    <row r="1194" spans="1:2">
      <c r="A1194" s="151" t="s">
        <v>2923</v>
      </c>
      <c r="B1194" s="151" t="s">
        <v>2924</v>
      </c>
    </row>
    <row r="1195" spans="1:2">
      <c r="A1195" s="151" t="s">
        <v>2925</v>
      </c>
      <c r="B1195" s="151" t="s">
        <v>2926</v>
      </c>
    </row>
    <row r="1196" spans="1:2">
      <c r="A1196" s="151" t="s">
        <v>2927</v>
      </c>
      <c r="B1196" s="151" t="s">
        <v>2928</v>
      </c>
    </row>
    <row r="1197" spans="1:2">
      <c r="A1197" s="151" t="s">
        <v>2929</v>
      </c>
      <c r="B1197" s="151" t="s">
        <v>2930</v>
      </c>
    </row>
    <row r="1198" spans="1:2">
      <c r="A1198" s="151" t="s">
        <v>2931</v>
      </c>
      <c r="B1198" s="151" t="s">
        <v>2932</v>
      </c>
    </row>
    <row r="1199" spans="1:2">
      <c r="A1199" s="151" t="s">
        <v>2933</v>
      </c>
      <c r="B1199" s="151" t="s">
        <v>2934</v>
      </c>
    </row>
    <row r="1200" spans="1:2">
      <c r="A1200" s="151" t="s">
        <v>2935</v>
      </c>
      <c r="B1200" s="151" t="s">
        <v>2936</v>
      </c>
    </row>
    <row r="1201" spans="1:2">
      <c r="A1201" s="151" t="s">
        <v>2937</v>
      </c>
      <c r="B1201" s="151" t="s">
        <v>2938</v>
      </c>
    </row>
    <row r="1202" spans="1:2">
      <c r="A1202" s="151" t="s">
        <v>2939</v>
      </c>
      <c r="B1202" s="151" t="s">
        <v>2940</v>
      </c>
    </row>
    <row r="1203" spans="1:2">
      <c r="A1203" s="151" t="s">
        <v>2941</v>
      </c>
      <c r="B1203" s="151" t="s">
        <v>2942</v>
      </c>
    </row>
    <row r="1204" spans="1:2">
      <c r="A1204" s="151" t="s">
        <v>2943</v>
      </c>
      <c r="B1204" s="151" t="s">
        <v>2944</v>
      </c>
    </row>
    <row r="1205" spans="1:2">
      <c r="A1205" s="151" t="s">
        <v>2945</v>
      </c>
      <c r="B1205" s="151" t="s">
        <v>2946</v>
      </c>
    </row>
    <row r="1206" spans="1:2">
      <c r="A1206" s="151" t="s">
        <v>2947</v>
      </c>
      <c r="B1206" s="151" t="s">
        <v>2948</v>
      </c>
    </row>
    <row r="1207" spans="1:2">
      <c r="A1207" s="151" t="s">
        <v>2949</v>
      </c>
      <c r="B1207" s="151" t="s">
        <v>2950</v>
      </c>
    </row>
    <row r="1208" spans="1:2">
      <c r="A1208" s="151" t="s">
        <v>2951</v>
      </c>
      <c r="B1208" s="151" t="s">
        <v>2952</v>
      </c>
    </row>
    <row r="1209" spans="1:2">
      <c r="A1209" s="151" t="s">
        <v>2953</v>
      </c>
      <c r="B1209" s="151" t="s">
        <v>2954</v>
      </c>
    </row>
    <row r="1210" spans="1:2">
      <c r="A1210" s="151" t="s">
        <v>2955</v>
      </c>
      <c r="B1210" s="151" t="s">
        <v>2956</v>
      </c>
    </row>
    <row r="1211" spans="1:2">
      <c r="A1211" s="151" t="s">
        <v>2957</v>
      </c>
      <c r="B1211" s="151" t="s">
        <v>2958</v>
      </c>
    </row>
    <row r="1212" spans="1:2">
      <c r="A1212" s="151" t="s">
        <v>2959</v>
      </c>
      <c r="B1212" s="151" t="s">
        <v>2960</v>
      </c>
    </row>
    <row r="1213" spans="1:2">
      <c r="A1213" s="151" t="s">
        <v>2961</v>
      </c>
      <c r="B1213" s="151" t="s">
        <v>2962</v>
      </c>
    </row>
    <row r="1214" spans="1:2">
      <c r="A1214" s="151" t="s">
        <v>2963</v>
      </c>
      <c r="B1214" s="151" t="s">
        <v>2964</v>
      </c>
    </row>
    <row r="1215" spans="1:2">
      <c r="A1215" s="151" t="s">
        <v>2965</v>
      </c>
      <c r="B1215" s="151" t="s">
        <v>2966</v>
      </c>
    </row>
    <row r="1216" spans="1:2">
      <c r="A1216" s="151" t="s">
        <v>2967</v>
      </c>
      <c r="B1216" s="151" t="s">
        <v>2968</v>
      </c>
    </row>
    <row r="1217" spans="1:2">
      <c r="A1217" s="151" t="s">
        <v>2969</v>
      </c>
      <c r="B1217" s="151" t="s">
        <v>2970</v>
      </c>
    </row>
    <row r="1218" spans="1:2">
      <c r="A1218" s="151" t="s">
        <v>2971</v>
      </c>
      <c r="B1218" s="151" t="s">
        <v>2972</v>
      </c>
    </row>
    <row r="1219" spans="1:2">
      <c r="A1219" s="151" t="s">
        <v>2973</v>
      </c>
      <c r="B1219" s="151" t="s">
        <v>2974</v>
      </c>
    </row>
    <row r="1220" spans="1:2">
      <c r="A1220" s="151" t="s">
        <v>2975</v>
      </c>
      <c r="B1220" s="151" t="s">
        <v>2976</v>
      </c>
    </row>
    <row r="1221" spans="1:2">
      <c r="A1221" s="151" t="s">
        <v>2977</v>
      </c>
      <c r="B1221" s="151" t="s">
        <v>2978</v>
      </c>
    </row>
    <row r="1222" spans="1:2">
      <c r="A1222" s="151" t="s">
        <v>2979</v>
      </c>
      <c r="B1222" s="151" t="s">
        <v>2980</v>
      </c>
    </row>
    <row r="1223" spans="1:2">
      <c r="A1223" s="151" t="s">
        <v>2981</v>
      </c>
      <c r="B1223" s="151" t="s">
        <v>2982</v>
      </c>
    </row>
    <row r="1224" spans="1:2">
      <c r="A1224" s="151" t="s">
        <v>2983</v>
      </c>
      <c r="B1224" s="151" t="s">
        <v>2984</v>
      </c>
    </row>
    <row r="1225" spans="1:2">
      <c r="A1225" s="151" t="s">
        <v>2985</v>
      </c>
      <c r="B1225" s="151" t="s">
        <v>2986</v>
      </c>
    </row>
    <row r="1226" spans="1:2">
      <c r="A1226" s="151" t="s">
        <v>2987</v>
      </c>
      <c r="B1226" s="151" t="s">
        <v>2988</v>
      </c>
    </row>
    <row r="1227" spans="1:2">
      <c r="A1227" s="151" t="s">
        <v>2989</v>
      </c>
      <c r="B1227" s="151" t="s">
        <v>2990</v>
      </c>
    </row>
    <row r="1228" spans="1:2">
      <c r="A1228" s="151" t="s">
        <v>2991</v>
      </c>
      <c r="B1228" s="151" t="s">
        <v>2992</v>
      </c>
    </row>
    <row r="1229" spans="1:2">
      <c r="A1229" s="151" t="s">
        <v>2993</v>
      </c>
      <c r="B1229" s="151" t="s">
        <v>2994</v>
      </c>
    </row>
    <row r="1230" spans="1:2">
      <c r="A1230" s="151" t="s">
        <v>2995</v>
      </c>
      <c r="B1230" s="151" t="s">
        <v>2996</v>
      </c>
    </row>
    <row r="1231" spans="1:2">
      <c r="A1231" s="151" t="s">
        <v>2997</v>
      </c>
      <c r="B1231" s="151" t="s">
        <v>2998</v>
      </c>
    </row>
    <row r="1232" spans="1:2">
      <c r="A1232" s="151" t="s">
        <v>2999</v>
      </c>
      <c r="B1232" s="151" t="s">
        <v>3000</v>
      </c>
    </row>
    <row r="1233" spans="1:2">
      <c r="A1233" s="151" t="s">
        <v>3001</v>
      </c>
      <c r="B1233" s="151" t="s">
        <v>3002</v>
      </c>
    </row>
    <row r="1234" spans="1:2">
      <c r="A1234" s="151" t="s">
        <v>3003</v>
      </c>
      <c r="B1234" s="151" t="s">
        <v>3004</v>
      </c>
    </row>
    <row r="1235" spans="1:2">
      <c r="A1235" s="151" t="s">
        <v>3005</v>
      </c>
      <c r="B1235" s="151" t="s">
        <v>3006</v>
      </c>
    </row>
    <row r="1236" spans="1:2">
      <c r="A1236" s="151" t="s">
        <v>3007</v>
      </c>
      <c r="B1236" s="151" t="s">
        <v>3008</v>
      </c>
    </row>
    <row r="1237" spans="1:2">
      <c r="A1237" s="151" t="s">
        <v>3009</v>
      </c>
      <c r="B1237" s="151" t="s">
        <v>3010</v>
      </c>
    </row>
    <row r="1238" spans="1:2">
      <c r="A1238" s="151" t="s">
        <v>3011</v>
      </c>
      <c r="B1238" s="151" t="s">
        <v>3012</v>
      </c>
    </row>
    <row r="1239" spans="1:2">
      <c r="A1239" s="151" t="s">
        <v>3013</v>
      </c>
      <c r="B1239" s="151" t="s">
        <v>3014</v>
      </c>
    </row>
    <row r="1240" spans="1:2">
      <c r="A1240" s="151" t="s">
        <v>3015</v>
      </c>
      <c r="B1240" s="151" t="s">
        <v>3016</v>
      </c>
    </row>
    <row r="1241" spans="1:2">
      <c r="A1241" s="151" t="s">
        <v>3017</v>
      </c>
      <c r="B1241" s="151" t="s">
        <v>3018</v>
      </c>
    </row>
    <row r="1242" spans="1:2">
      <c r="A1242" s="151" t="s">
        <v>3019</v>
      </c>
      <c r="B1242" s="151" t="s">
        <v>3020</v>
      </c>
    </row>
    <row r="1243" spans="1:2">
      <c r="A1243" s="151" t="s">
        <v>3021</v>
      </c>
      <c r="B1243" s="151" t="s">
        <v>3022</v>
      </c>
    </row>
    <row r="1244" spans="1:2">
      <c r="A1244" s="151" t="s">
        <v>3023</v>
      </c>
      <c r="B1244" s="151" t="s">
        <v>3024</v>
      </c>
    </row>
    <row r="1245" spans="1:2">
      <c r="A1245" s="151" t="s">
        <v>3025</v>
      </c>
      <c r="B1245" s="151" t="s">
        <v>3026</v>
      </c>
    </row>
    <row r="1246" spans="1:2">
      <c r="A1246" s="151" t="s">
        <v>3027</v>
      </c>
      <c r="B1246" s="151" t="s">
        <v>3028</v>
      </c>
    </row>
    <row r="1247" spans="1:2">
      <c r="A1247" s="151" t="s">
        <v>3029</v>
      </c>
      <c r="B1247" s="151" t="s">
        <v>3030</v>
      </c>
    </row>
    <row r="1248" spans="1:2">
      <c r="A1248" s="151" t="s">
        <v>3031</v>
      </c>
      <c r="B1248" s="151" t="s">
        <v>3032</v>
      </c>
    </row>
    <row r="1249" spans="1:2">
      <c r="A1249" s="151" t="s">
        <v>3033</v>
      </c>
      <c r="B1249" s="151" t="s">
        <v>3034</v>
      </c>
    </row>
    <row r="1250" spans="1:2">
      <c r="A1250" s="151" t="s">
        <v>3035</v>
      </c>
      <c r="B1250" s="151" t="s">
        <v>3036</v>
      </c>
    </row>
    <row r="1251" spans="1:2">
      <c r="A1251" s="151" t="s">
        <v>3037</v>
      </c>
      <c r="B1251" s="151" t="s">
        <v>3038</v>
      </c>
    </row>
    <row r="1252" spans="1:2">
      <c r="A1252" s="151" t="s">
        <v>3039</v>
      </c>
      <c r="B1252" s="151" t="s">
        <v>3040</v>
      </c>
    </row>
    <row r="1253" spans="1:2">
      <c r="A1253" s="151" t="s">
        <v>3041</v>
      </c>
      <c r="B1253" s="151" t="s">
        <v>3042</v>
      </c>
    </row>
    <row r="1254" spans="1:2">
      <c r="A1254" s="151" t="s">
        <v>3043</v>
      </c>
      <c r="B1254" s="151" t="s">
        <v>3044</v>
      </c>
    </row>
    <row r="1255" spans="1:2">
      <c r="A1255" s="151" t="s">
        <v>3045</v>
      </c>
      <c r="B1255" s="151" t="s">
        <v>3046</v>
      </c>
    </row>
    <row r="1256" spans="1:2">
      <c r="A1256" s="151" t="s">
        <v>3047</v>
      </c>
      <c r="B1256" s="151" t="s">
        <v>3048</v>
      </c>
    </row>
    <row r="1257" spans="1:2">
      <c r="A1257" s="151" t="s">
        <v>3049</v>
      </c>
      <c r="B1257" s="151" t="s">
        <v>3050</v>
      </c>
    </row>
    <row r="1258" spans="1:2">
      <c r="A1258" s="151" t="s">
        <v>3051</v>
      </c>
      <c r="B1258" s="151" t="s">
        <v>3052</v>
      </c>
    </row>
    <row r="1259" spans="1:2">
      <c r="A1259" s="151" t="s">
        <v>3053</v>
      </c>
      <c r="B1259" s="151" t="s">
        <v>3054</v>
      </c>
    </row>
    <row r="1260" spans="1:2">
      <c r="A1260" s="151" t="s">
        <v>3055</v>
      </c>
      <c r="B1260" s="151" t="s">
        <v>3056</v>
      </c>
    </row>
    <row r="1261" spans="1:2">
      <c r="A1261" s="151" t="s">
        <v>3057</v>
      </c>
      <c r="B1261" s="151" t="s">
        <v>3058</v>
      </c>
    </row>
    <row r="1262" spans="1:2">
      <c r="A1262" s="151" t="s">
        <v>3059</v>
      </c>
      <c r="B1262" s="151" t="s">
        <v>311</v>
      </c>
    </row>
    <row r="1263" spans="1:2">
      <c r="A1263" s="151" t="s">
        <v>3060</v>
      </c>
      <c r="B1263" s="151" t="s">
        <v>3061</v>
      </c>
    </row>
    <row r="1264" spans="1:2">
      <c r="A1264" s="151" t="s">
        <v>3062</v>
      </c>
      <c r="B1264" s="151" t="s">
        <v>3063</v>
      </c>
    </row>
    <row r="1265" spans="1:2">
      <c r="A1265" s="151" t="s">
        <v>3064</v>
      </c>
      <c r="B1265" s="151" t="s">
        <v>3065</v>
      </c>
    </row>
    <row r="1266" spans="1:2">
      <c r="A1266" s="151" t="s">
        <v>3066</v>
      </c>
      <c r="B1266" s="151" t="s">
        <v>3067</v>
      </c>
    </row>
    <row r="1267" spans="1:2">
      <c r="A1267" s="151" t="s">
        <v>3068</v>
      </c>
      <c r="B1267" s="151" t="s">
        <v>3069</v>
      </c>
    </row>
    <row r="1268" spans="1:2">
      <c r="A1268" s="151" t="s">
        <v>3070</v>
      </c>
      <c r="B1268" s="151" t="s">
        <v>3071</v>
      </c>
    </row>
    <row r="1269" spans="1:2">
      <c r="A1269" s="151" t="s">
        <v>3072</v>
      </c>
      <c r="B1269" s="151" t="s">
        <v>316</v>
      </c>
    </row>
    <row r="1270" spans="1:2">
      <c r="A1270" s="151" t="s">
        <v>3073</v>
      </c>
      <c r="B1270" s="151" t="s">
        <v>3074</v>
      </c>
    </row>
    <row r="1271" spans="1:2">
      <c r="A1271" s="151" t="s">
        <v>3075</v>
      </c>
      <c r="B1271" s="151" t="s">
        <v>3076</v>
      </c>
    </row>
    <row r="1272" spans="1:2">
      <c r="A1272" s="151" t="s">
        <v>3077</v>
      </c>
      <c r="B1272" s="151" t="s">
        <v>3078</v>
      </c>
    </row>
    <row r="1273" spans="1:2">
      <c r="A1273" s="151" t="s">
        <v>3079</v>
      </c>
      <c r="B1273" s="151" t="s">
        <v>3080</v>
      </c>
    </row>
    <row r="1274" spans="1:2">
      <c r="A1274" s="151" t="s">
        <v>3081</v>
      </c>
      <c r="B1274" s="151" t="s">
        <v>3082</v>
      </c>
    </row>
    <row r="1275" spans="1:2">
      <c r="A1275" s="151" t="s">
        <v>3083</v>
      </c>
      <c r="B1275" s="151" t="s">
        <v>3084</v>
      </c>
    </row>
    <row r="1276" spans="1:2">
      <c r="A1276" s="151" t="s">
        <v>3085</v>
      </c>
      <c r="B1276" s="151" t="s">
        <v>3086</v>
      </c>
    </row>
    <row r="1277" spans="1:2">
      <c r="A1277" s="151" t="s">
        <v>3087</v>
      </c>
      <c r="B1277" s="151" t="s">
        <v>3088</v>
      </c>
    </row>
    <row r="1278" spans="1:2">
      <c r="A1278" s="151" t="s">
        <v>3089</v>
      </c>
      <c r="B1278" s="151" t="s">
        <v>3090</v>
      </c>
    </row>
    <row r="1279" spans="1:2">
      <c r="A1279" s="151" t="s">
        <v>3091</v>
      </c>
      <c r="B1279" s="151" t="s">
        <v>321</v>
      </c>
    </row>
    <row r="1280" spans="1:2">
      <c r="A1280" s="151" t="s">
        <v>3092</v>
      </c>
      <c r="B1280" s="151" t="s">
        <v>3093</v>
      </c>
    </row>
    <row r="1281" spans="1:2">
      <c r="A1281" s="151" t="s">
        <v>3094</v>
      </c>
      <c r="B1281" s="151" t="s">
        <v>3095</v>
      </c>
    </row>
    <row r="1282" spans="1:2">
      <c r="A1282" s="151" t="s">
        <v>3096</v>
      </c>
      <c r="B1282" s="151" t="s">
        <v>3097</v>
      </c>
    </row>
    <row r="1283" spans="1:2">
      <c r="A1283" s="151" t="s">
        <v>3098</v>
      </c>
      <c r="B1283" s="151" t="s">
        <v>326</v>
      </c>
    </row>
    <row r="1284" spans="1:2">
      <c r="A1284" s="151" t="s">
        <v>3099</v>
      </c>
      <c r="B1284" s="151" t="s">
        <v>331</v>
      </c>
    </row>
    <row r="1285" spans="1:2">
      <c r="A1285" s="151" t="s">
        <v>3100</v>
      </c>
      <c r="B1285" s="151" t="s">
        <v>336</v>
      </c>
    </row>
    <row r="1286" spans="1:2">
      <c r="A1286" s="151" t="s">
        <v>3101</v>
      </c>
      <c r="B1286" s="151" t="s">
        <v>3102</v>
      </c>
    </row>
    <row r="1287" spans="1:2">
      <c r="A1287" s="151" t="s">
        <v>3103</v>
      </c>
      <c r="B1287" s="151" t="s">
        <v>3104</v>
      </c>
    </row>
    <row r="1288" spans="1:2">
      <c r="A1288" s="151" t="s">
        <v>3105</v>
      </c>
      <c r="B1288" s="151" t="s">
        <v>3106</v>
      </c>
    </row>
    <row r="1289" spans="1:2">
      <c r="A1289" s="151" t="s">
        <v>3107</v>
      </c>
      <c r="B1289" s="151" t="s">
        <v>3108</v>
      </c>
    </row>
    <row r="1290" spans="1:2">
      <c r="A1290" s="151" t="s">
        <v>3109</v>
      </c>
      <c r="B1290" s="151" t="s">
        <v>3110</v>
      </c>
    </row>
    <row r="1291" spans="1:2">
      <c r="A1291" s="151" t="s">
        <v>3111</v>
      </c>
      <c r="B1291" s="151" t="s">
        <v>3112</v>
      </c>
    </row>
    <row r="1292" spans="1:2">
      <c r="A1292" s="151" t="s">
        <v>3113</v>
      </c>
      <c r="B1292" s="151" t="s">
        <v>3114</v>
      </c>
    </row>
    <row r="1293" spans="1:2">
      <c r="A1293" s="151" t="s">
        <v>3115</v>
      </c>
      <c r="B1293" s="151" t="s">
        <v>3116</v>
      </c>
    </row>
    <row r="1294" spans="1:2">
      <c r="A1294" s="151" t="s">
        <v>3117</v>
      </c>
      <c r="B1294" s="151" t="s">
        <v>3118</v>
      </c>
    </row>
    <row r="1295" spans="1:2">
      <c r="A1295" s="151" t="s">
        <v>3119</v>
      </c>
      <c r="B1295" s="151" t="s">
        <v>3120</v>
      </c>
    </row>
    <row r="1296" spans="1:2">
      <c r="A1296" s="151" t="s">
        <v>3121</v>
      </c>
      <c r="B1296" s="151" t="s">
        <v>3122</v>
      </c>
    </row>
    <row r="1297" spans="1:2">
      <c r="A1297" s="151" t="s">
        <v>3123</v>
      </c>
      <c r="B1297" s="151" t="s">
        <v>3124</v>
      </c>
    </row>
    <row r="1298" spans="1:2">
      <c r="A1298" s="151" t="s">
        <v>3125</v>
      </c>
      <c r="B1298" s="151" t="s">
        <v>3126</v>
      </c>
    </row>
    <row r="1299" spans="1:2">
      <c r="A1299" s="151" t="s">
        <v>3127</v>
      </c>
      <c r="B1299" s="151" t="s">
        <v>3128</v>
      </c>
    </row>
    <row r="1300" spans="1:2">
      <c r="A1300" s="151" t="s">
        <v>3129</v>
      </c>
      <c r="B1300" s="151" t="s">
        <v>341</v>
      </c>
    </row>
    <row r="1301" spans="1:2">
      <c r="A1301" s="151" t="s">
        <v>3130</v>
      </c>
      <c r="B1301" s="151" t="s">
        <v>3131</v>
      </c>
    </row>
    <row r="1302" spans="1:2">
      <c r="A1302" s="151" t="s">
        <v>3132</v>
      </c>
      <c r="B1302" s="151" t="s">
        <v>3133</v>
      </c>
    </row>
    <row r="1303" spans="1:2">
      <c r="A1303" s="151" t="s">
        <v>3134</v>
      </c>
      <c r="B1303" s="151" t="s">
        <v>346</v>
      </c>
    </row>
    <row r="1304" spans="1:2">
      <c r="A1304" s="151" t="s">
        <v>3135</v>
      </c>
      <c r="B1304" s="151" t="s">
        <v>3136</v>
      </c>
    </row>
    <row r="1305" spans="1:2">
      <c r="A1305" s="151" t="s">
        <v>3137</v>
      </c>
      <c r="B1305" s="151" t="s">
        <v>3138</v>
      </c>
    </row>
    <row r="1306" spans="1:2">
      <c r="A1306" s="151" t="s">
        <v>3139</v>
      </c>
      <c r="B1306" s="151" t="s">
        <v>3140</v>
      </c>
    </row>
    <row r="1307" spans="1:2">
      <c r="A1307" s="151" t="s">
        <v>3141</v>
      </c>
      <c r="B1307" s="151" t="s">
        <v>3142</v>
      </c>
    </row>
    <row r="1308" spans="1:2">
      <c r="A1308" s="151" t="s">
        <v>3143</v>
      </c>
      <c r="B1308" s="151" t="s">
        <v>3144</v>
      </c>
    </row>
    <row r="1309" spans="1:2">
      <c r="A1309" s="151" t="s">
        <v>3145</v>
      </c>
      <c r="B1309" s="151" t="s">
        <v>3146</v>
      </c>
    </row>
    <row r="1310" spans="1:2">
      <c r="A1310" s="151" t="s">
        <v>3147</v>
      </c>
      <c r="B1310" s="151" t="s">
        <v>3148</v>
      </c>
    </row>
    <row r="1311" spans="1:2">
      <c r="A1311" s="151" t="s">
        <v>3149</v>
      </c>
      <c r="B1311" s="151" t="s">
        <v>3150</v>
      </c>
    </row>
    <row r="1312" spans="1:2">
      <c r="A1312" s="151" t="s">
        <v>3151</v>
      </c>
      <c r="B1312" s="151" t="s">
        <v>3152</v>
      </c>
    </row>
    <row r="1313" spans="1:2">
      <c r="A1313" s="151" t="s">
        <v>3153</v>
      </c>
      <c r="B1313" s="151" t="s">
        <v>3154</v>
      </c>
    </row>
    <row r="1314" spans="1:2">
      <c r="A1314" s="151" t="s">
        <v>3155</v>
      </c>
      <c r="B1314" s="151" t="s">
        <v>3156</v>
      </c>
    </row>
    <row r="1315" spans="1:2">
      <c r="A1315" s="151" t="s">
        <v>3157</v>
      </c>
      <c r="B1315" s="151" t="s">
        <v>3158</v>
      </c>
    </row>
    <row r="1316" spans="1:2">
      <c r="A1316" s="151" t="s">
        <v>3159</v>
      </c>
      <c r="B1316" s="151" t="s">
        <v>3160</v>
      </c>
    </row>
    <row r="1317" spans="1:2">
      <c r="A1317" s="151" t="s">
        <v>3161</v>
      </c>
      <c r="B1317" s="151" t="s">
        <v>3162</v>
      </c>
    </row>
    <row r="1318" spans="1:2">
      <c r="A1318" s="151" t="s">
        <v>3163</v>
      </c>
      <c r="B1318" s="151" t="s">
        <v>3164</v>
      </c>
    </row>
    <row r="1319" spans="1:2">
      <c r="A1319" s="151" t="s">
        <v>3165</v>
      </c>
      <c r="B1319" s="151" t="s">
        <v>3166</v>
      </c>
    </row>
    <row r="1320" spans="1:2">
      <c r="A1320" s="151" t="s">
        <v>3167</v>
      </c>
      <c r="B1320" s="151" t="s">
        <v>3168</v>
      </c>
    </row>
    <row r="1321" spans="1:2">
      <c r="A1321" s="151" t="s">
        <v>3169</v>
      </c>
      <c r="B1321" s="151" t="s">
        <v>3170</v>
      </c>
    </row>
    <row r="1322" spans="1:2">
      <c r="A1322" s="151" t="s">
        <v>3171</v>
      </c>
      <c r="B1322" s="151" t="s">
        <v>3172</v>
      </c>
    </row>
    <row r="1323" spans="1:2">
      <c r="A1323" s="151" t="s">
        <v>3173</v>
      </c>
      <c r="B1323" s="151" t="s">
        <v>3174</v>
      </c>
    </row>
    <row r="1324" spans="1:2">
      <c r="A1324" s="151" t="s">
        <v>3175</v>
      </c>
      <c r="B1324" s="151" t="s">
        <v>3176</v>
      </c>
    </row>
    <row r="1325" spans="1:2">
      <c r="A1325" s="151" t="s">
        <v>3177</v>
      </c>
      <c r="B1325" s="151" t="s">
        <v>3178</v>
      </c>
    </row>
    <row r="1326" spans="1:2">
      <c r="A1326" s="151" t="s">
        <v>3179</v>
      </c>
      <c r="B1326" s="151" t="s">
        <v>3180</v>
      </c>
    </row>
    <row r="1327" spans="1:2">
      <c r="A1327" s="151" t="s">
        <v>3181</v>
      </c>
      <c r="B1327" s="151" t="s">
        <v>3182</v>
      </c>
    </row>
    <row r="1328" spans="1:2">
      <c r="A1328" s="151" t="s">
        <v>3183</v>
      </c>
      <c r="B1328" s="151" t="s">
        <v>3184</v>
      </c>
    </row>
    <row r="1329" spans="1:2">
      <c r="A1329" s="151" t="s">
        <v>3185</v>
      </c>
      <c r="B1329" s="151" t="s">
        <v>3186</v>
      </c>
    </row>
    <row r="1330" spans="1:2">
      <c r="A1330" s="151" t="s">
        <v>3187</v>
      </c>
      <c r="B1330" s="151" t="s">
        <v>3188</v>
      </c>
    </row>
    <row r="1331" spans="1:2">
      <c r="A1331" s="151" t="s">
        <v>3189</v>
      </c>
      <c r="B1331" s="151" t="s">
        <v>3190</v>
      </c>
    </row>
    <row r="1332" spans="1:2">
      <c r="A1332" s="151" t="s">
        <v>3191</v>
      </c>
      <c r="B1332" s="151" t="s">
        <v>3192</v>
      </c>
    </row>
    <row r="1333" spans="1:2">
      <c r="A1333" s="151" t="s">
        <v>3193</v>
      </c>
      <c r="B1333" s="151" t="s">
        <v>3194</v>
      </c>
    </row>
    <row r="1334" spans="1:2">
      <c r="A1334" s="151" t="s">
        <v>3195</v>
      </c>
      <c r="B1334" s="151" t="s">
        <v>3196</v>
      </c>
    </row>
    <row r="1335" spans="1:2">
      <c r="A1335" s="151" t="s">
        <v>3197</v>
      </c>
      <c r="B1335" s="151" t="s">
        <v>3198</v>
      </c>
    </row>
    <row r="1336" spans="1:2">
      <c r="A1336" s="151" t="s">
        <v>3199</v>
      </c>
      <c r="B1336" s="151" t="s">
        <v>3200</v>
      </c>
    </row>
    <row r="1337" spans="1:2">
      <c r="A1337" s="151" t="s">
        <v>3201</v>
      </c>
      <c r="B1337" s="151" t="s">
        <v>3202</v>
      </c>
    </row>
    <row r="1338" spans="1:2">
      <c r="A1338" s="151" t="s">
        <v>3203</v>
      </c>
      <c r="B1338" s="151" t="s">
        <v>3204</v>
      </c>
    </row>
    <row r="1339" spans="1:2">
      <c r="A1339" s="151" t="s">
        <v>3205</v>
      </c>
      <c r="B1339" s="151" t="s">
        <v>3206</v>
      </c>
    </row>
    <row r="1340" spans="1:2">
      <c r="A1340" s="151" t="s">
        <v>3207</v>
      </c>
      <c r="B1340" s="151" t="s">
        <v>3208</v>
      </c>
    </row>
    <row r="1341" spans="1:2">
      <c r="A1341" s="151" t="s">
        <v>3209</v>
      </c>
      <c r="B1341" s="151" t="s">
        <v>3210</v>
      </c>
    </row>
    <row r="1342" spans="1:2">
      <c r="A1342" s="151" t="s">
        <v>3211</v>
      </c>
      <c r="B1342" s="151" t="s">
        <v>3212</v>
      </c>
    </row>
    <row r="1343" spans="1:2">
      <c r="A1343" s="151" t="s">
        <v>3213</v>
      </c>
      <c r="B1343" s="151" t="s">
        <v>3214</v>
      </c>
    </row>
    <row r="1344" spans="1:2">
      <c r="A1344" s="151" t="s">
        <v>3215</v>
      </c>
      <c r="B1344" s="151" t="s">
        <v>3216</v>
      </c>
    </row>
    <row r="1345" spans="1:2">
      <c r="A1345" s="151" t="s">
        <v>3217</v>
      </c>
      <c r="B1345" s="151" t="s">
        <v>3218</v>
      </c>
    </row>
    <row r="1346" spans="1:2">
      <c r="A1346" s="151" t="s">
        <v>3219</v>
      </c>
      <c r="B1346" s="151" t="s">
        <v>3220</v>
      </c>
    </row>
    <row r="1347" spans="1:2">
      <c r="A1347" s="151" t="s">
        <v>3221</v>
      </c>
      <c r="B1347" s="151" t="s">
        <v>3222</v>
      </c>
    </row>
    <row r="1348" spans="1:2">
      <c r="A1348" s="151" t="s">
        <v>3223</v>
      </c>
      <c r="B1348" s="151" t="s">
        <v>3224</v>
      </c>
    </row>
    <row r="1349" spans="1:2">
      <c r="A1349" s="151" t="s">
        <v>3225</v>
      </c>
      <c r="B1349" s="151" t="s">
        <v>3226</v>
      </c>
    </row>
    <row r="1350" spans="1:2">
      <c r="A1350" s="151" t="s">
        <v>3227</v>
      </c>
      <c r="B1350" s="151" t="s">
        <v>3228</v>
      </c>
    </row>
    <row r="1351" spans="1:2">
      <c r="A1351" s="151" t="s">
        <v>3229</v>
      </c>
      <c r="B1351" s="151" t="s">
        <v>3230</v>
      </c>
    </row>
    <row r="1352" spans="1:2">
      <c r="A1352" s="151" t="s">
        <v>3231</v>
      </c>
      <c r="B1352" s="151" t="s">
        <v>3232</v>
      </c>
    </row>
    <row r="1353" spans="1:2">
      <c r="A1353" s="151" t="s">
        <v>3233</v>
      </c>
      <c r="B1353" s="151" t="s">
        <v>3234</v>
      </c>
    </row>
    <row r="1354" spans="1:2">
      <c r="A1354" s="151" t="s">
        <v>3235</v>
      </c>
      <c r="B1354" s="151" t="s">
        <v>3236</v>
      </c>
    </row>
    <row r="1355" spans="1:2">
      <c r="A1355" s="151" t="s">
        <v>3237</v>
      </c>
      <c r="B1355" s="151" t="s">
        <v>351</v>
      </c>
    </row>
    <row r="1356" spans="1:2">
      <c r="A1356" s="151" t="s">
        <v>3238</v>
      </c>
      <c r="B1356" s="151" t="s">
        <v>3239</v>
      </c>
    </row>
    <row r="1357" spans="1:2">
      <c r="A1357" s="151" t="s">
        <v>3240</v>
      </c>
      <c r="B1357" s="151" t="s">
        <v>356</v>
      </c>
    </row>
    <row r="1358" spans="1:2">
      <c r="A1358" s="151" t="s">
        <v>3241</v>
      </c>
      <c r="B1358" s="151" t="s">
        <v>3242</v>
      </c>
    </row>
    <row r="1359" spans="1:2">
      <c r="A1359" s="151" t="s">
        <v>3243</v>
      </c>
      <c r="B1359" s="151" t="s">
        <v>3244</v>
      </c>
    </row>
    <row r="1360" spans="1:2">
      <c r="A1360" s="151" t="s">
        <v>3245</v>
      </c>
      <c r="B1360" s="151" t="s">
        <v>3246</v>
      </c>
    </row>
    <row r="1361" spans="1:2">
      <c r="A1361" s="151" t="s">
        <v>3247</v>
      </c>
      <c r="B1361" s="151" t="s">
        <v>3248</v>
      </c>
    </row>
    <row r="1362" spans="1:2">
      <c r="A1362" s="151" t="s">
        <v>3249</v>
      </c>
      <c r="B1362" s="151" t="s">
        <v>3250</v>
      </c>
    </row>
    <row r="1363" spans="1:2">
      <c r="A1363" s="151" t="s">
        <v>3251</v>
      </c>
      <c r="B1363" s="151" t="s">
        <v>3252</v>
      </c>
    </row>
    <row r="1364" spans="1:2">
      <c r="A1364" s="151" t="s">
        <v>3253</v>
      </c>
      <c r="B1364" s="151" t="s">
        <v>3254</v>
      </c>
    </row>
    <row r="1365" spans="1:2">
      <c r="A1365" s="151" t="s">
        <v>3255</v>
      </c>
      <c r="B1365" s="151" t="s">
        <v>3256</v>
      </c>
    </row>
    <row r="1366" spans="1:2">
      <c r="A1366" s="151" t="s">
        <v>3257</v>
      </c>
      <c r="B1366" s="151" t="s">
        <v>3258</v>
      </c>
    </row>
    <row r="1367" spans="1:2">
      <c r="A1367" s="151" t="s">
        <v>3259</v>
      </c>
      <c r="B1367" s="151" t="s">
        <v>3260</v>
      </c>
    </row>
    <row r="1368" spans="1:2">
      <c r="A1368" s="151" t="s">
        <v>3261</v>
      </c>
      <c r="B1368" s="151" t="s">
        <v>3262</v>
      </c>
    </row>
    <row r="1369" spans="1:2">
      <c r="A1369" s="151" t="s">
        <v>3263</v>
      </c>
      <c r="B1369" s="151" t="s">
        <v>3264</v>
      </c>
    </row>
    <row r="1370" spans="1:2">
      <c r="A1370" s="151" t="s">
        <v>3265</v>
      </c>
      <c r="B1370" s="151" t="s">
        <v>3266</v>
      </c>
    </row>
    <row r="1371" spans="1:2">
      <c r="A1371" s="151" t="s">
        <v>3267</v>
      </c>
      <c r="B1371" s="151" t="s">
        <v>3268</v>
      </c>
    </row>
    <row r="1372" spans="1:2">
      <c r="A1372" s="151" t="s">
        <v>3269</v>
      </c>
      <c r="B1372" s="151" t="s">
        <v>3270</v>
      </c>
    </row>
    <row r="1373" spans="1:2">
      <c r="A1373" s="151" t="s">
        <v>3271</v>
      </c>
      <c r="B1373" s="151" t="s">
        <v>3272</v>
      </c>
    </row>
    <row r="1374" spans="1:2">
      <c r="A1374" s="151" t="s">
        <v>3273</v>
      </c>
      <c r="B1374" s="151" t="s">
        <v>3274</v>
      </c>
    </row>
    <row r="1375" spans="1:2">
      <c r="A1375" s="151" t="s">
        <v>3275</v>
      </c>
      <c r="B1375" s="151" t="s">
        <v>3276</v>
      </c>
    </row>
    <row r="1376" spans="1:2">
      <c r="A1376" s="151" t="s">
        <v>3277</v>
      </c>
      <c r="B1376" s="151" t="s">
        <v>3278</v>
      </c>
    </row>
    <row r="1377" spans="1:2">
      <c r="A1377" s="151" t="s">
        <v>3279</v>
      </c>
      <c r="B1377" s="151" t="s">
        <v>3280</v>
      </c>
    </row>
    <row r="1378" spans="1:2">
      <c r="A1378" s="151" t="s">
        <v>3281</v>
      </c>
      <c r="B1378" s="151" t="s">
        <v>3282</v>
      </c>
    </row>
    <row r="1379" spans="1:2">
      <c r="A1379" s="151" t="s">
        <v>3283</v>
      </c>
      <c r="B1379" s="151" t="s">
        <v>3284</v>
      </c>
    </row>
    <row r="1380" spans="1:2">
      <c r="A1380" s="151" t="s">
        <v>3285</v>
      </c>
      <c r="B1380" s="151" t="s">
        <v>3286</v>
      </c>
    </row>
    <row r="1381" spans="1:2">
      <c r="A1381" s="151" t="s">
        <v>3287</v>
      </c>
      <c r="B1381" s="151" t="s">
        <v>3288</v>
      </c>
    </row>
    <row r="1382" spans="1:2">
      <c r="A1382" s="151" t="s">
        <v>3289</v>
      </c>
      <c r="B1382" s="151" t="s">
        <v>3290</v>
      </c>
    </row>
    <row r="1383" spans="1:2">
      <c r="A1383" s="151" t="s">
        <v>3291</v>
      </c>
      <c r="B1383" s="151" t="s">
        <v>3292</v>
      </c>
    </row>
    <row r="1384" spans="1:2">
      <c r="A1384" s="151" t="s">
        <v>3293</v>
      </c>
      <c r="B1384" s="151" t="s">
        <v>3294</v>
      </c>
    </row>
    <row r="1385" spans="1:2">
      <c r="A1385" s="151" t="s">
        <v>3295</v>
      </c>
      <c r="B1385" s="151" t="s">
        <v>918</v>
      </c>
    </row>
    <row r="1386" spans="1:2">
      <c r="A1386" s="151" t="s">
        <v>3296</v>
      </c>
      <c r="B1386" s="151" t="s">
        <v>3297</v>
      </c>
    </row>
    <row r="1387" spans="1:2">
      <c r="A1387" s="151" t="s">
        <v>3298</v>
      </c>
      <c r="B1387" s="151" t="s">
        <v>361</v>
      </c>
    </row>
    <row r="1388" spans="1:2">
      <c r="A1388" s="151" t="s">
        <v>3299</v>
      </c>
      <c r="B1388" s="151" t="s">
        <v>3300</v>
      </c>
    </row>
    <row r="1389" spans="1:2">
      <c r="A1389" s="151" t="s">
        <v>3301</v>
      </c>
      <c r="B1389" s="151" t="s">
        <v>366</v>
      </c>
    </row>
    <row r="1390" spans="1:2">
      <c r="A1390" s="151" t="s">
        <v>3302</v>
      </c>
      <c r="B1390" s="151" t="s">
        <v>3303</v>
      </c>
    </row>
    <row r="1391" spans="1:2">
      <c r="A1391" s="151" t="s">
        <v>3304</v>
      </c>
      <c r="B1391" s="151" t="s">
        <v>371</v>
      </c>
    </row>
    <row r="1392" spans="1:2">
      <c r="A1392" s="151" t="s">
        <v>3305</v>
      </c>
      <c r="B1392" s="151" t="s">
        <v>376</v>
      </c>
    </row>
    <row r="1393" spans="1:2">
      <c r="A1393" s="151" t="s">
        <v>3306</v>
      </c>
      <c r="B1393" s="151" t="s">
        <v>120</v>
      </c>
    </row>
    <row r="1394" spans="1:2">
      <c r="A1394" s="151" t="s">
        <v>3307</v>
      </c>
      <c r="B1394" s="151" t="s">
        <v>3308</v>
      </c>
    </row>
    <row r="1395" spans="1:2">
      <c r="A1395" s="151" t="s">
        <v>3309</v>
      </c>
      <c r="B1395" s="151" t="s">
        <v>3310</v>
      </c>
    </row>
    <row r="1396" spans="1:2">
      <c r="A1396" s="151" t="s">
        <v>3311</v>
      </c>
      <c r="B1396" s="151" t="s">
        <v>3312</v>
      </c>
    </row>
    <row r="1397" spans="1:2">
      <c r="A1397" s="151" t="s">
        <v>3313</v>
      </c>
      <c r="B1397" s="151" t="s">
        <v>381</v>
      </c>
    </row>
    <row r="1398" spans="1:2">
      <c r="A1398" s="151" t="s">
        <v>3314</v>
      </c>
      <c r="B1398" s="151" t="s">
        <v>3315</v>
      </c>
    </row>
    <row r="1399" spans="1:2">
      <c r="A1399" s="151" t="s">
        <v>3316</v>
      </c>
      <c r="B1399" s="151" t="s">
        <v>3317</v>
      </c>
    </row>
    <row r="1400" spans="1:2">
      <c r="A1400" s="151" t="s">
        <v>3318</v>
      </c>
      <c r="B1400" s="151" t="s">
        <v>3319</v>
      </c>
    </row>
    <row r="1401" spans="1:2">
      <c r="A1401" s="151" t="s">
        <v>3320</v>
      </c>
      <c r="B1401" s="151" t="s">
        <v>3321</v>
      </c>
    </row>
    <row r="1402" spans="1:2">
      <c r="A1402" s="151" t="s">
        <v>3322</v>
      </c>
      <c r="B1402" s="151" t="s">
        <v>3323</v>
      </c>
    </row>
    <row r="1403" spans="1:2">
      <c r="A1403" s="151" t="s">
        <v>3324</v>
      </c>
      <c r="B1403" s="151" t="s">
        <v>3325</v>
      </c>
    </row>
    <row r="1404" spans="1:2">
      <c r="A1404" s="151" t="s">
        <v>3326</v>
      </c>
      <c r="B1404" s="151" t="s">
        <v>3327</v>
      </c>
    </row>
    <row r="1405" spans="1:2">
      <c r="A1405" s="151" t="s">
        <v>3328</v>
      </c>
      <c r="B1405" s="151" t="s">
        <v>3329</v>
      </c>
    </row>
    <row r="1406" spans="1:2">
      <c r="A1406" s="151" t="s">
        <v>3330</v>
      </c>
      <c r="B1406" s="151" t="s">
        <v>3331</v>
      </c>
    </row>
    <row r="1407" spans="1:2">
      <c r="A1407" s="151" t="s">
        <v>3332</v>
      </c>
      <c r="B1407" s="151" t="s">
        <v>3333</v>
      </c>
    </row>
    <row r="1408" spans="1:2">
      <c r="A1408" s="151" t="s">
        <v>3334</v>
      </c>
      <c r="B1408" s="151" t="s">
        <v>3335</v>
      </c>
    </row>
    <row r="1409" spans="1:2">
      <c r="A1409" s="151" t="s">
        <v>3336</v>
      </c>
      <c r="B1409" s="151" t="s">
        <v>3337</v>
      </c>
    </row>
    <row r="1410" spans="1:2">
      <c r="A1410" s="151" t="s">
        <v>3338</v>
      </c>
      <c r="B1410" s="151" t="s">
        <v>3339</v>
      </c>
    </row>
    <row r="1411" spans="1:2">
      <c r="A1411" s="151" t="s">
        <v>3340</v>
      </c>
      <c r="B1411" s="151" t="s">
        <v>3341</v>
      </c>
    </row>
    <row r="1412" spans="1:2">
      <c r="A1412" s="151" t="s">
        <v>3342</v>
      </c>
      <c r="B1412" s="151" t="s">
        <v>3343</v>
      </c>
    </row>
    <row r="1413" spans="1:2">
      <c r="A1413" s="151" t="s">
        <v>3344</v>
      </c>
      <c r="B1413" s="151" t="s">
        <v>3345</v>
      </c>
    </row>
    <row r="1414" spans="1:2">
      <c r="A1414" s="151" t="s">
        <v>3346</v>
      </c>
      <c r="B1414" s="151" t="s">
        <v>3347</v>
      </c>
    </row>
    <row r="1415" spans="1:2">
      <c r="A1415" s="151" t="s">
        <v>3348</v>
      </c>
      <c r="B1415" s="151" t="s">
        <v>3349</v>
      </c>
    </row>
    <row r="1416" spans="1:2">
      <c r="A1416" s="151" t="s">
        <v>3350</v>
      </c>
      <c r="B1416" s="151" t="s">
        <v>3351</v>
      </c>
    </row>
    <row r="1417" spans="1:2">
      <c r="A1417" s="151" t="s">
        <v>3352</v>
      </c>
      <c r="B1417" s="151" t="s">
        <v>3353</v>
      </c>
    </row>
    <row r="1418" spans="1:2">
      <c r="A1418" s="151" t="s">
        <v>3354</v>
      </c>
      <c r="B1418" s="151" t="s">
        <v>3355</v>
      </c>
    </row>
    <row r="1419" spans="1:2">
      <c r="A1419" s="151" t="s">
        <v>3356</v>
      </c>
      <c r="B1419" s="151" t="s">
        <v>3357</v>
      </c>
    </row>
    <row r="1420" spans="1:2">
      <c r="A1420" s="151" t="s">
        <v>3358</v>
      </c>
      <c r="B1420" s="151" t="s">
        <v>3359</v>
      </c>
    </row>
    <row r="1421" spans="1:2">
      <c r="A1421" s="151" t="s">
        <v>3360</v>
      </c>
      <c r="B1421" s="151" t="s">
        <v>3361</v>
      </c>
    </row>
    <row r="1422" spans="1:2">
      <c r="A1422" s="151" t="s">
        <v>3362</v>
      </c>
      <c r="B1422" s="151" t="s">
        <v>3363</v>
      </c>
    </row>
    <row r="1423" spans="1:2">
      <c r="A1423" s="151" t="s">
        <v>3364</v>
      </c>
      <c r="B1423" s="151" t="s">
        <v>3365</v>
      </c>
    </row>
    <row r="1424" spans="1:2">
      <c r="A1424" s="151" t="s">
        <v>3366</v>
      </c>
      <c r="B1424" s="151" t="s">
        <v>3367</v>
      </c>
    </row>
    <row r="1425" spans="1:2">
      <c r="A1425" s="151" t="s">
        <v>3368</v>
      </c>
      <c r="B1425" s="151" t="s">
        <v>3369</v>
      </c>
    </row>
    <row r="1426" spans="1:2">
      <c r="A1426" s="151" t="s">
        <v>3370</v>
      </c>
      <c r="B1426" s="151" t="s">
        <v>3371</v>
      </c>
    </row>
    <row r="1427" spans="1:2">
      <c r="A1427" s="151" t="s">
        <v>3372</v>
      </c>
      <c r="B1427" s="151" t="s">
        <v>3373</v>
      </c>
    </row>
    <row r="1428" spans="1:2">
      <c r="A1428" s="151" t="s">
        <v>3374</v>
      </c>
      <c r="B1428" s="151" t="s">
        <v>3375</v>
      </c>
    </row>
    <row r="1429" spans="1:2">
      <c r="A1429" s="151" t="s">
        <v>3376</v>
      </c>
      <c r="B1429" s="151" t="s">
        <v>3377</v>
      </c>
    </row>
    <row r="1430" spans="1:2">
      <c r="A1430" s="151" t="s">
        <v>3378</v>
      </c>
      <c r="B1430" s="151" t="s">
        <v>3379</v>
      </c>
    </row>
    <row r="1431" spans="1:2">
      <c r="A1431" s="151" t="s">
        <v>3380</v>
      </c>
      <c r="B1431" s="151" t="s">
        <v>3381</v>
      </c>
    </row>
    <row r="1432" spans="1:2">
      <c r="A1432" s="151" t="s">
        <v>3382</v>
      </c>
      <c r="B1432" s="151" t="s">
        <v>3383</v>
      </c>
    </row>
    <row r="1433" spans="1:2">
      <c r="A1433" s="151" t="s">
        <v>3384</v>
      </c>
      <c r="B1433" s="151" t="s">
        <v>3385</v>
      </c>
    </row>
    <row r="1434" spans="1:2">
      <c r="A1434" s="151" t="s">
        <v>3386</v>
      </c>
      <c r="B1434" s="151" t="s">
        <v>3387</v>
      </c>
    </row>
    <row r="1435" spans="1:2">
      <c r="A1435" s="151" t="s">
        <v>3388</v>
      </c>
      <c r="B1435" s="151" t="s">
        <v>3389</v>
      </c>
    </row>
    <row r="1436" spans="1:2">
      <c r="A1436" s="151" t="s">
        <v>3390</v>
      </c>
      <c r="B1436" s="151" t="s">
        <v>3391</v>
      </c>
    </row>
    <row r="1437" spans="1:2">
      <c r="A1437" s="151" t="s">
        <v>3392</v>
      </c>
      <c r="B1437" s="151" t="s">
        <v>3393</v>
      </c>
    </row>
    <row r="1438" spans="1:2">
      <c r="A1438" s="151" t="s">
        <v>3394</v>
      </c>
      <c r="B1438" s="151" t="s">
        <v>3395</v>
      </c>
    </row>
    <row r="1439" spans="1:2">
      <c r="A1439" s="151" t="s">
        <v>3396</v>
      </c>
      <c r="B1439" s="151" t="s">
        <v>3397</v>
      </c>
    </row>
    <row r="1440" spans="1:2">
      <c r="A1440" s="151" t="s">
        <v>3398</v>
      </c>
      <c r="B1440" s="151" t="s">
        <v>3399</v>
      </c>
    </row>
    <row r="1441" spans="1:2">
      <c r="A1441" s="151" t="s">
        <v>3400</v>
      </c>
      <c r="B1441" s="151" t="s">
        <v>3401</v>
      </c>
    </row>
    <row r="1442" spans="1:2">
      <c r="A1442" s="151" t="s">
        <v>3402</v>
      </c>
      <c r="B1442" s="151" t="s">
        <v>3403</v>
      </c>
    </row>
    <row r="1443" spans="1:2">
      <c r="A1443" s="151" t="s">
        <v>3404</v>
      </c>
      <c r="B1443" s="151" t="s">
        <v>3405</v>
      </c>
    </row>
    <row r="1444" spans="1:2">
      <c r="A1444" s="151" t="s">
        <v>3406</v>
      </c>
      <c r="B1444" s="151" t="s">
        <v>3407</v>
      </c>
    </row>
    <row r="1445" spans="1:2">
      <c r="A1445" s="151" t="s">
        <v>3408</v>
      </c>
      <c r="B1445" s="151" t="s">
        <v>3409</v>
      </c>
    </row>
    <row r="1446" spans="1:2">
      <c r="A1446" s="151" t="s">
        <v>3410</v>
      </c>
      <c r="B1446" s="151" t="s">
        <v>3411</v>
      </c>
    </row>
    <row r="1447" spans="1:2">
      <c r="A1447" s="151" t="s">
        <v>3412</v>
      </c>
      <c r="B1447" s="151" t="s">
        <v>3413</v>
      </c>
    </row>
    <row r="1448" spans="1:2">
      <c r="A1448" s="151" t="s">
        <v>3414</v>
      </c>
      <c r="B1448" s="151" t="s">
        <v>3415</v>
      </c>
    </row>
    <row r="1449" spans="1:2">
      <c r="A1449" s="151" t="s">
        <v>3416</v>
      </c>
      <c r="B1449" s="151" t="s">
        <v>3417</v>
      </c>
    </row>
    <row r="1450" spans="1:2">
      <c r="A1450" s="151" t="s">
        <v>3418</v>
      </c>
      <c r="B1450" s="151" t="s">
        <v>3419</v>
      </c>
    </row>
    <row r="1451" spans="1:2">
      <c r="A1451" s="151" t="s">
        <v>3420</v>
      </c>
      <c r="B1451" s="151" t="s">
        <v>3421</v>
      </c>
    </row>
    <row r="1452" spans="1:2">
      <c r="A1452" s="151" t="s">
        <v>3422</v>
      </c>
      <c r="B1452" s="151" t="s">
        <v>3423</v>
      </c>
    </row>
    <row r="1453" spans="1:2">
      <c r="A1453" s="151" t="s">
        <v>3424</v>
      </c>
      <c r="B1453" s="151" t="s">
        <v>3425</v>
      </c>
    </row>
    <row r="1454" spans="1:2">
      <c r="A1454" s="151" t="s">
        <v>3426</v>
      </c>
      <c r="B1454" s="151" t="s">
        <v>3427</v>
      </c>
    </row>
    <row r="1455" spans="1:2">
      <c r="A1455" s="151" t="s">
        <v>3428</v>
      </c>
      <c r="B1455" s="151" t="s">
        <v>3429</v>
      </c>
    </row>
    <row r="1456" spans="1:2">
      <c r="A1456" s="151" t="s">
        <v>3430</v>
      </c>
      <c r="B1456" s="151" t="s">
        <v>3431</v>
      </c>
    </row>
    <row r="1457" spans="1:2">
      <c r="A1457" s="151" t="s">
        <v>3432</v>
      </c>
      <c r="B1457" s="151" t="s">
        <v>3433</v>
      </c>
    </row>
    <row r="1458" spans="1:2">
      <c r="A1458" s="151" t="s">
        <v>3434</v>
      </c>
    </row>
    <row r="1459" spans="1:2">
      <c r="A1459" s="151" t="s">
        <v>3435</v>
      </c>
    </row>
    <row r="1460" spans="1:2">
      <c r="A1460" s="151" t="s">
        <v>3436</v>
      </c>
    </row>
    <row r="1461" spans="1:2">
      <c r="A1461" s="151" t="s">
        <v>3437</v>
      </c>
    </row>
    <row r="1462" spans="1:2">
      <c r="A1462" s="151" t="s">
        <v>3438</v>
      </c>
    </row>
    <row r="1463" spans="1:2">
      <c r="A1463" s="151" t="s">
        <v>3439</v>
      </c>
    </row>
    <row r="1464" spans="1:2">
      <c r="A1464" s="151" t="s">
        <v>3440</v>
      </c>
    </row>
    <row r="1465" spans="1:2">
      <c r="A1465" s="151" t="s">
        <v>3441</v>
      </c>
    </row>
    <row r="1466" spans="1:2">
      <c r="A1466" s="151" t="s">
        <v>3442</v>
      </c>
    </row>
    <row r="1467" spans="1:2">
      <c r="A1467" s="151" t="s">
        <v>3443</v>
      </c>
    </row>
    <row r="1468" spans="1:2">
      <c r="A1468" s="151" t="s">
        <v>3444</v>
      </c>
    </row>
    <row r="1469" spans="1:2">
      <c r="A1469" s="151" t="s">
        <v>3445</v>
      </c>
    </row>
    <row r="1470" spans="1:2">
      <c r="A1470" s="151" t="s">
        <v>3446</v>
      </c>
    </row>
    <row r="1471" spans="1:2">
      <c r="A1471" s="151" t="s">
        <v>3447</v>
      </c>
    </row>
    <row r="1472" spans="1:2">
      <c r="A1472" s="151" t="s">
        <v>3448</v>
      </c>
    </row>
    <row r="1473" spans="1:1">
      <c r="A1473" s="151" t="s">
        <v>3449</v>
      </c>
    </row>
    <row r="1474" spans="1:1">
      <c r="A1474" s="151" t="s">
        <v>3450</v>
      </c>
    </row>
    <row r="1475" spans="1:1">
      <c r="A1475" s="151" t="s">
        <v>3451</v>
      </c>
    </row>
    <row r="1476" spans="1:1">
      <c r="A1476" s="151" t="s">
        <v>3452</v>
      </c>
    </row>
    <row r="1477" spans="1:1">
      <c r="A1477" s="151" t="s">
        <v>3453</v>
      </c>
    </row>
    <row r="1478" spans="1:1">
      <c r="A1478" s="151" t="s">
        <v>3454</v>
      </c>
    </row>
    <row r="1479" spans="1:1">
      <c r="A1479" s="151" t="s">
        <v>3455</v>
      </c>
    </row>
    <row r="1480" spans="1:1">
      <c r="A1480" s="151" t="s">
        <v>3456</v>
      </c>
    </row>
    <row r="1481" spans="1:1">
      <c r="A1481" s="151" t="s">
        <v>3457</v>
      </c>
    </row>
    <row r="1482" spans="1:1">
      <c r="A1482" s="151" t="s">
        <v>3458</v>
      </c>
    </row>
    <row r="1483" spans="1:1">
      <c r="A1483" s="151" t="s">
        <v>3459</v>
      </c>
    </row>
    <row r="1484" spans="1:1">
      <c r="A1484" s="151" t="s">
        <v>3460</v>
      </c>
    </row>
    <row r="1485" spans="1:1">
      <c r="A1485" s="151" t="s">
        <v>3461</v>
      </c>
    </row>
    <row r="1486" spans="1:1">
      <c r="A1486" s="151" t="s">
        <v>3462</v>
      </c>
    </row>
    <row r="1487" spans="1:1">
      <c r="A1487" s="151" t="s">
        <v>3463</v>
      </c>
    </row>
    <row r="1488" spans="1:1">
      <c r="A1488" s="151" t="s">
        <v>3464</v>
      </c>
    </row>
    <row r="1489" spans="1:1">
      <c r="A1489" s="151" t="s">
        <v>3465</v>
      </c>
    </row>
    <row r="1490" spans="1:1">
      <c r="A1490" s="151" t="s">
        <v>3466</v>
      </c>
    </row>
    <row r="1491" spans="1:1">
      <c r="A1491" s="151" t="s">
        <v>3467</v>
      </c>
    </row>
    <row r="1492" spans="1:1">
      <c r="A1492" s="151" t="s">
        <v>3468</v>
      </c>
    </row>
    <row r="1493" spans="1:1">
      <c r="A1493" s="151" t="s">
        <v>3469</v>
      </c>
    </row>
    <row r="1494" spans="1:1">
      <c r="A1494" s="151" t="s">
        <v>3470</v>
      </c>
    </row>
    <row r="1495" spans="1:1">
      <c r="A1495" s="151" t="s">
        <v>3471</v>
      </c>
    </row>
    <row r="1496" spans="1:1">
      <c r="A1496" s="151" t="s">
        <v>3472</v>
      </c>
    </row>
    <row r="1497" spans="1:1">
      <c r="A1497" s="151" t="s">
        <v>3473</v>
      </c>
    </row>
    <row r="1498" spans="1:1">
      <c r="A1498" s="151" t="s">
        <v>3474</v>
      </c>
    </row>
    <row r="1499" spans="1:1">
      <c r="A1499" s="151" t="s">
        <v>3475</v>
      </c>
    </row>
    <row r="1500" spans="1:1">
      <c r="A1500" s="151" t="s">
        <v>3476</v>
      </c>
    </row>
    <row r="1501" spans="1:1">
      <c r="A1501" s="151" t="s">
        <v>3477</v>
      </c>
    </row>
    <row r="1502" spans="1:1">
      <c r="A1502" s="151" t="s">
        <v>3478</v>
      </c>
    </row>
    <row r="1503" spans="1:1">
      <c r="A1503" s="151" t="s">
        <v>3479</v>
      </c>
    </row>
    <row r="1504" spans="1:1">
      <c r="A1504" s="151" t="s">
        <v>3480</v>
      </c>
    </row>
    <row r="1505" spans="1:1">
      <c r="A1505" s="151" t="s">
        <v>3481</v>
      </c>
    </row>
    <row r="1506" spans="1:1">
      <c r="A1506" s="151" t="s">
        <v>3482</v>
      </c>
    </row>
    <row r="1507" spans="1:1">
      <c r="A1507" s="151" t="s">
        <v>3483</v>
      </c>
    </row>
    <row r="1508" spans="1:1">
      <c r="A1508" s="151" t="s">
        <v>3484</v>
      </c>
    </row>
    <row r="1509" spans="1:1">
      <c r="A1509" s="151" t="s">
        <v>3485</v>
      </c>
    </row>
    <row r="1510" spans="1:1">
      <c r="A1510" s="151" t="s">
        <v>3486</v>
      </c>
    </row>
    <row r="1511" spans="1:1">
      <c r="A1511" s="151" t="s">
        <v>3487</v>
      </c>
    </row>
    <row r="1512" spans="1:1">
      <c r="A1512" s="151" t="s">
        <v>3488</v>
      </c>
    </row>
    <row r="1513" spans="1:1">
      <c r="A1513" s="151" t="s">
        <v>3489</v>
      </c>
    </row>
    <row r="1514" spans="1:1">
      <c r="A1514" s="151" t="s">
        <v>3490</v>
      </c>
    </row>
    <row r="1515" spans="1:1">
      <c r="A1515" s="151" t="s">
        <v>3491</v>
      </c>
    </row>
    <row r="1516" spans="1:1">
      <c r="A1516" s="151" t="s">
        <v>3492</v>
      </c>
    </row>
    <row r="1517" spans="1:1">
      <c r="A1517" s="151" t="s">
        <v>3493</v>
      </c>
    </row>
    <row r="1518" spans="1:1">
      <c r="A1518" s="151" t="s">
        <v>3494</v>
      </c>
    </row>
    <row r="1519" spans="1:1">
      <c r="A1519" s="151" t="s">
        <v>3495</v>
      </c>
    </row>
    <row r="1520" spans="1:1">
      <c r="A1520" s="151" t="s">
        <v>3496</v>
      </c>
    </row>
    <row r="1521" spans="1:1">
      <c r="A1521" s="151" t="s">
        <v>3497</v>
      </c>
    </row>
    <row r="1522" spans="1:1">
      <c r="A1522" s="151" t="s">
        <v>3498</v>
      </c>
    </row>
    <row r="1523" spans="1:1">
      <c r="A1523" s="151" t="s">
        <v>3499</v>
      </c>
    </row>
    <row r="1524" spans="1:1">
      <c r="A1524" s="151" t="s">
        <v>3500</v>
      </c>
    </row>
    <row r="1525" spans="1:1">
      <c r="A1525" s="151" t="s">
        <v>3501</v>
      </c>
    </row>
    <row r="1526" spans="1:1">
      <c r="A1526" s="151" t="s">
        <v>3502</v>
      </c>
    </row>
    <row r="1527" spans="1:1">
      <c r="A1527" s="151" t="s">
        <v>3503</v>
      </c>
    </row>
    <row r="1528" spans="1:1">
      <c r="A1528" s="151" t="s">
        <v>3504</v>
      </c>
    </row>
    <row r="1529" spans="1:1">
      <c r="A1529" s="151" t="s">
        <v>3505</v>
      </c>
    </row>
    <row r="1530" spans="1:1">
      <c r="A1530" s="151" t="s">
        <v>3506</v>
      </c>
    </row>
    <row r="1531" spans="1:1">
      <c r="A1531" s="151" t="s">
        <v>3507</v>
      </c>
    </row>
    <row r="1532" spans="1:1">
      <c r="A1532" s="151" t="s">
        <v>3508</v>
      </c>
    </row>
    <row r="1533" spans="1:1">
      <c r="A1533" s="151" t="s">
        <v>3509</v>
      </c>
    </row>
    <row r="1534" spans="1:1">
      <c r="A1534" s="151" t="s">
        <v>3510</v>
      </c>
    </row>
    <row r="1535" spans="1:1">
      <c r="A1535" s="151" t="s">
        <v>3511</v>
      </c>
    </row>
    <row r="1536" spans="1:1">
      <c r="A1536" s="151" t="s">
        <v>3512</v>
      </c>
    </row>
    <row r="1537" spans="1:1">
      <c r="A1537" s="151" t="s">
        <v>3513</v>
      </c>
    </row>
    <row r="1538" spans="1:1">
      <c r="A1538" s="151" t="s">
        <v>3514</v>
      </c>
    </row>
    <row r="1539" spans="1:1">
      <c r="A1539" s="151" t="s">
        <v>3515</v>
      </c>
    </row>
    <row r="1540" spans="1:1">
      <c r="A1540" s="151" t="s">
        <v>3516</v>
      </c>
    </row>
    <row r="1541" spans="1:1">
      <c r="A1541" s="151" t="s">
        <v>3517</v>
      </c>
    </row>
    <row r="1542" spans="1:1">
      <c r="A1542" s="151" t="s">
        <v>3518</v>
      </c>
    </row>
    <row r="1543" spans="1:1">
      <c r="A1543" s="151" t="s">
        <v>3519</v>
      </c>
    </row>
    <row r="1544" spans="1:1">
      <c r="A1544" s="151" t="s">
        <v>3520</v>
      </c>
    </row>
    <row r="1545" spans="1:1">
      <c r="A1545" s="151" t="s">
        <v>3521</v>
      </c>
    </row>
    <row r="1546" spans="1:1">
      <c r="A1546" s="151" t="s">
        <v>3522</v>
      </c>
    </row>
    <row r="1547" spans="1:1">
      <c r="A1547" s="151" t="s">
        <v>3523</v>
      </c>
    </row>
    <row r="1548" spans="1:1">
      <c r="A1548" s="151" t="s">
        <v>3524</v>
      </c>
    </row>
    <row r="1549" spans="1:1">
      <c r="A1549" s="151" t="s">
        <v>3525</v>
      </c>
    </row>
    <row r="1550" spans="1:1">
      <c r="A1550" s="151" t="s">
        <v>3526</v>
      </c>
    </row>
    <row r="1551" spans="1:1">
      <c r="A1551" s="151" t="s">
        <v>3527</v>
      </c>
    </row>
    <row r="1552" spans="1:1">
      <c r="A1552" s="151" t="s">
        <v>3528</v>
      </c>
    </row>
    <row r="1553" spans="1:1">
      <c r="A1553" s="151" t="s">
        <v>3529</v>
      </c>
    </row>
    <row r="1554" spans="1:1">
      <c r="A1554" s="151" t="s">
        <v>3530</v>
      </c>
    </row>
    <row r="1555" spans="1:1">
      <c r="A1555" s="151" t="s">
        <v>3531</v>
      </c>
    </row>
    <row r="1556" spans="1:1">
      <c r="A1556" s="151" t="s">
        <v>3532</v>
      </c>
    </row>
    <row r="1557" spans="1:1">
      <c r="A1557" s="151" t="s">
        <v>3533</v>
      </c>
    </row>
    <row r="1558" spans="1:1">
      <c r="A1558" s="151" t="s">
        <v>3534</v>
      </c>
    </row>
    <row r="1559" spans="1:1">
      <c r="A1559" s="151" t="s">
        <v>3535</v>
      </c>
    </row>
    <row r="1560" spans="1:1">
      <c r="A1560" s="151" t="s">
        <v>3536</v>
      </c>
    </row>
    <row r="1561" spans="1:1">
      <c r="A1561" s="151" t="s">
        <v>3537</v>
      </c>
    </row>
    <row r="1562" spans="1:1">
      <c r="A1562" s="151" t="s">
        <v>3538</v>
      </c>
    </row>
    <row r="1563" spans="1:1">
      <c r="A1563" s="151" t="s">
        <v>3539</v>
      </c>
    </row>
    <row r="1564" spans="1:1">
      <c r="A1564" s="151" t="s">
        <v>3540</v>
      </c>
    </row>
    <row r="1565" spans="1:1">
      <c r="A1565" s="151" t="s">
        <v>3541</v>
      </c>
    </row>
    <row r="1566" spans="1:1">
      <c r="A1566" s="151" t="s">
        <v>3542</v>
      </c>
    </row>
    <row r="1567" spans="1:1">
      <c r="A1567" s="151" t="s">
        <v>3543</v>
      </c>
    </row>
    <row r="1568" spans="1:1">
      <c r="A1568" s="151" t="s">
        <v>3544</v>
      </c>
    </row>
    <row r="1569" spans="1:1">
      <c r="A1569" s="151" t="s">
        <v>3545</v>
      </c>
    </row>
    <row r="1570" spans="1:1">
      <c r="A1570" s="151" t="s">
        <v>3546</v>
      </c>
    </row>
    <row r="1571" spans="1:1">
      <c r="A1571" s="151" t="s">
        <v>3547</v>
      </c>
    </row>
    <row r="1572" spans="1:1">
      <c r="A1572" s="151" t="s">
        <v>3548</v>
      </c>
    </row>
    <row r="1573" spans="1:1">
      <c r="A1573" s="151" t="s">
        <v>3549</v>
      </c>
    </row>
    <row r="1574" spans="1:1">
      <c r="A1574" s="151" t="s">
        <v>3550</v>
      </c>
    </row>
    <row r="1575" spans="1:1">
      <c r="A1575" s="151" t="s">
        <v>3551</v>
      </c>
    </row>
    <row r="1576" spans="1:1">
      <c r="A1576" s="151" t="s">
        <v>3552</v>
      </c>
    </row>
    <row r="1577" spans="1:1">
      <c r="A1577" s="151" t="s">
        <v>3553</v>
      </c>
    </row>
    <row r="1578" spans="1:1">
      <c r="A1578" s="151" t="s">
        <v>3554</v>
      </c>
    </row>
    <row r="1579" spans="1:1">
      <c r="A1579" s="151" t="s">
        <v>3555</v>
      </c>
    </row>
    <row r="1580" spans="1:1">
      <c r="A1580" s="151" t="s">
        <v>3556</v>
      </c>
    </row>
    <row r="1581" spans="1:1">
      <c r="A1581" s="151" t="s">
        <v>3557</v>
      </c>
    </row>
    <row r="1582" spans="1:1">
      <c r="A1582" s="151" t="s">
        <v>3558</v>
      </c>
    </row>
    <row r="1583" spans="1:1">
      <c r="A1583" s="151" t="s">
        <v>3559</v>
      </c>
    </row>
    <row r="1584" spans="1:1">
      <c r="A1584" s="151" t="s">
        <v>3560</v>
      </c>
    </row>
    <row r="1585" spans="1:1">
      <c r="A1585" s="151" t="s">
        <v>3561</v>
      </c>
    </row>
    <row r="1586" spans="1:1">
      <c r="A1586" s="151" t="s">
        <v>3562</v>
      </c>
    </row>
    <row r="1587" spans="1:1">
      <c r="A1587" s="151" t="s">
        <v>3563</v>
      </c>
    </row>
    <row r="1588" spans="1:1">
      <c r="A1588" s="151" t="s">
        <v>3564</v>
      </c>
    </row>
    <row r="1589" spans="1:1">
      <c r="A1589" s="151" t="s">
        <v>3565</v>
      </c>
    </row>
    <row r="1590" spans="1:1">
      <c r="A1590" s="151" t="s">
        <v>3566</v>
      </c>
    </row>
    <row r="1591" spans="1:1">
      <c r="A1591" s="151" t="s">
        <v>3567</v>
      </c>
    </row>
    <row r="1592" spans="1:1">
      <c r="A1592" s="151" t="s">
        <v>3568</v>
      </c>
    </row>
    <row r="1593" spans="1:1">
      <c r="A1593" s="151" t="s">
        <v>3569</v>
      </c>
    </row>
    <row r="1594" spans="1:1">
      <c r="A1594" s="151" t="s">
        <v>3570</v>
      </c>
    </row>
    <row r="1595" spans="1:1">
      <c r="A1595" s="151" t="s">
        <v>3571</v>
      </c>
    </row>
    <row r="1596" spans="1:1">
      <c r="A1596" s="151" t="s">
        <v>3572</v>
      </c>
    </row>
    <row r="1597" spans="1:1">
      <c r="A1597" s="151" t="s">
        <v>3573</v>
      </c>
    </row>
    <row r="1598" spans="1:1">
      <c r="A1598" s="151" t="s">
        <v>3574</v>
      </c>
    </row>
    <row r="1599" spans="1:1">
      <c r="A1599" s="151" t="s">
        <v>3575</v>
      </c>
    </row>
    <row r="1600" spans="1:1">
      <c r="A1600" s="151" t="s">
        <v>3576</v>
      </c>
    </row>
    <row r="1601" spans="1:1">
      <c r="A1601" s="151" t="s">
        <v>3577</v>
      </c>
    </row>
    <row r="1602" spans="1:1">
      <c r="A1602" s="151" t="s">
        <v>3578</v>
      </c>
    </row>
    <row r="1603" spans="1:1">
      <c r="A1603" s="151" t="s">
        <v>3579</v>
      </c>
    </row>
    <row r="1604" spans="1:1">
      <c r="A1604" s="151" t="s">
        <v>3580</v>
      </c>
    </row>
    <row r="1605" spans="1:1">
      <c r="A1605" s="151" t="s">
        <v>3581</v>
      </c>
    </row>
    <row r="1606" spans="1:1">
      <c r="A1606" s="151" t="s">
        <v>3582</v>
      </c>
    </row>
    <row r="1607" spans="1:1">
      <c r="A1607" s="151" t="s">
        <v>3583</v>
      </c>
    </row>
    <row r="1608" spans="1:1">
      <c r="A1608" s="151" t="s">
        <v>3584</v>
      </c>
    </row>
    <row r="1609" spans="1:1">
      <c r="A1609" s="151" t="s">
        <v>3585</v>
      </c>
    </row>
    <row r="1610" spans="1:1">
      <c r="A1610" s="151" t="s">
        <v>3586</v>
      </c>
    </row>
    <row r="1611" spans="1:1">
      <c r="A1611" s="151" t="s">
        <v>3587</v>
      </c>
    </row>
    <row r="1612" spans="1:1">
      <c r="A1612" s="151" t="s">
        <v>3588</v>
      </c>
    </row>
    <row r="1613" spans="1:1">
      <c r="A1613" s="151" t="s">
        <v>3589</v>
      </c>
    </row>
    <row r="1614" spans="1:1">
      <c r="A1614" s="151" t="s">
        <v>3590</v>
      </c>
    </row>
    <row r="1615" spans="1:1">
      <c r="A1615" s="151" t="s">
        <v>3591</v>
      </c>
    </row>
    <row r="1616" spans="1:1">
      <c r="A1616" s="151" t="s">
        <v>3592</v>
      </c>
    </row>
    <row r="1617" spans="1:1">
      <c r="A1617" s="151" t="s">
        <v>3593</v>
      </c>
    </row>
    <row r="1618" spans="1:1">
      <c r="A1618" s="151" t="s">
        <v>3594</v>
      </c>
    </row>
    <row r="1619" spans="1:1">
      <c r="A1619" s="151" t="s">
        <v>3595</v>
      </c>
    </row>
    <row r="1620" spans="1:1">
      <c r="A1620" s="151" t="s">
        <v>3596</v>
      </c>
    </row>
    <row r="1621" spans="1:1">
      <c r="A1621" s="151" t="s">
        <v>3597</v>
      </c>
    </row>
    <row r="1622" spans="1:1">
      <c r="A1622" s="151" t="s">
        <v>3598</v>
      </c>
    </row>
    <row r="1623" spans="1:1">
      <c r="A1623" s="151" t="s">
        <v>3599</v>
      </c>
    </row>
    <row r="1624" spans="1:1">
      <c r="A1624" s="151" t="s">
        <v>3600</v>
      </c>
    </row>
    <row r="1625" spans="1:1">
      <c r="A1625" s="151" t="s">
        <v>3601</v>
      </c>
    </row>
    <row r="1626" spans="1:1">
      <c r="A1626" s="151" t="s">
        <v>3602</v>
      </c>
    </row>
    <row r="1627" spans="1:1">
      <c r="A1627" s="151" t="s">
        <v>3603</v>
      </c>
    </row>
    <row r="1628" spans="1:1">
      <c r="A1628" s="151" t="s">
        <v>3604</v>
      </c>
    </row>
    <row r="1629" spans="1:1">
      <c r="A1629" s="151" t="s">
        <v>3605</v>
      </c>
    </row>
    <row r="1630" spans="1:1">
      <c r="A1630" s="151" t="s">
        <v>3606</v>
      </c>
    </row>
    <row r="1631" spans="1:1">
      <c r="A1631" s="151" t="s">
        <v>3607</v>
      </c>
    </row>
    <row r="1632" spans="1:1">
      <c r="A1632" s="151" t="s">
        <v>3608</v>
      </c>
    </row>
    <row r="1633" spans="1:1">
      <c r="A1633" s="151" t="s">
        <v>3609</v>
      </c>
    </row>
    <row r="1634" spans="1:1">
      <c r="A1634" s="151" t="s">
        <v>3610</v>
      </c>
    </row>
    <row r="1635" spans="1:1">
      <c r="A1635" s="151" t="s">
        <v>3611</v>
      </c>
    </row>
    <row r="1636" spans="1:1">
      <c r="A1636" s="151" t="s">
        <v>3612</v>
      </c>
    </row>
    <row r="1637" spans="1:1">
      <c r="A1637" s="151" t="s">
        <v>3613</v>
      </c>
    </row>
    <row r="1638" spans="1:1">
      <c r="A1638" s="151" t="s">
        <v>3614</v>
      </c>
    </row>
    <row r="1639" spans="1:1">
      <c r="A1639" s="151" t="s">
        <v>3615</v>
      </c>
    </row>
    <row r="1640" spans="1:1">
      <c r="A1640" s="151" t="s">
        <v>3616</v>
      </c>
    </row>
    <row r="1641" spans="1:1">
      <c r="A1641" s="151" t="s">
        <v>3617</v>
      </c>
    </row>
    <row r="1642" spans="1:1">
      <c r="A1642" s="151" t="s">
        <v>3618</v>
      </c>
    </row>
    <row r="1643" spans="1:1">
      <c r="A1643" s="151" t="s">
        <v>3619</v>
      </c>
    </row>
    <row r="1644" spans="1:1">
      <c r="A1644" s="151" t="s">
        <v>3620</v>
      </c>
    </row>
    <row r="1645" spans="1:1">
      <c r="A1645" s="151" t="s">
        <v>3621</v>
      </c>
    </row>
    <row r="1646" spans="1:1">
      <c r="A1646" s="151" t="s">
        <v>3622</v>
      </c>
    </row>
    <row r="1647" spans="1:1">
      <c r="A1647" s="151" t="s">
        <v>3623</v>
      </c>
    </row>
    <row r="1648" spans="1:1">
      <c r="A1648" s="151" t="s">
        <v>3624</v>
      </c>
    </row>
    <row r="1649" spans="1:1">
      <c r="A1649" s="151" t="s">
        <v>3625</v>
      </c>
    </row>
    <row r="1650" spans="1:1">
      <c r="A1650" s="151" t="s">
        <v>3626</v>
      </c>
    </row>
    <row r="1651" spans="1:1">
      <c r="A1651" s="151" t="s">
        <v>3627</v>
      </c>
    </row>
    <row r="1652" spans="1:1">
      <c r="A1652" s="151" t="s">
        <v>3628</v>
      </c>
    </row>
    <row r="1653" spans="1:1">
      <c r="A1653" s="151" t="s">
        <v>3629</v>
      </c>
    </row>
    <row r="1654" spans="1:1">
      <c r="A1654" s="151" t="s">
        <v>3630</v>
      </c>
    </row>
    <row r="1655" spans="1:1">
      <c r="A1655" s="151" t="s">
        <v>3631</v>
      </c>
    </row>
    <row r="1656" spans="1:1">
      <c r="A1656" s="151" t="s">
        <v>3632</v>
      </c>
    </row>
    <row r="1657" spans="1:1">
      <c r="A1657" s="151" t="s">
        <v>3633</v>
      </c>
    </row>
    <row r="1658" spans="1:1">
      <c r="A1658" s="151" t="s">
        <v>3634</v>
      </c>
    </row>
    <row r="1659" spans="1:1">
      <c r="A1659" s="151" t="s">
        <v>3635</v>
      </c>
    </row>
    <row r="1660" spans="1:1">
      <c r="A1660" s="151" t="s">
        <v>3636</v>
      </c>
    </row>
    <row r="1661" spans="1:1">
      <c r="A1661" s="151" t="s">
        <v>3637</v>
      </c>
    </row>
    <row r="1662" spans="1:1">
      <c r="A1662" s="151" t="s">
        <v>3638</v>
      </c>
    </row>
    <row r="1663" spans="1:1">
      <c r="A1663" s="151" t="s">
        <v>3639</v>
      </c>
    </row>
    <row r="1664" spans="1:1">
      <c r="A1664" s="151" t="s">
        <v>3640</v>
      </c>
    </row>
    <row r="1665" spans="1:1">
      <c r="A1665" s="151" t="s">
        <v>3641</v>
      </c>
    </row>
    <row r="1666" spans="1:1">
      <c r="A1666" s="151" t="s">
        <v>3642</v>
      </c>
    </row>
    <row r="1667" spans="1:1">
      <c r="A1667" s="151" t="s">
        <v>3643</v>
      </c>
    </row>
    <row r="1668" spans="1:1">
      <c r="A1668" s="151" t="s">
        <v>3644</v>
      </c>
    </row>
    <row r="1669" spans="1:1">
      <c r="A1669" s="151" t="s">
        <v>3645</v>
      </c>
    </row>
    <row r="1670" spans="1:1">
      <c r="A1670" s="151" t="s">
        <v>3646</v>
      </c>
    </row>
    <row r="1671" spans="1:1">
      <c r="A1671" s="151" t="s">
        <v>3647</v>
      </c>
    </row>
    <row r="1672" spans="1:1">
      <c r="A1672" s="151" t="s">
        <v>3648</v>
      </c>
    </row>
    <row r="1673" spans="1:1">
      <c r="A1673" s="151" t="s">
        <v>3649</v>
      </c>
    </row>
    <row r="1674" spans="1:1">
      <c r="A1674" s="151" t="s">
        <v>3650</v>
      </c>
    </row>
    <row r="1675" spans="1:1">
      <c r="A1675" s="151" t="s">
        <v>3651</v>
      </c>
    </row>
    <row r="1676" spans="1:1">
      <c r="A1676" s="151" t="s">
        <v>3652</v>
      </c>
    </row>
    <row r="1677" spans="1:1">
      <c r="A1677" s="151" t="s">
        <v>3653</v>
      </c>
    </row>
    <row r="1678" spans="1:1">
      <c r="A1678" s="151" t="s">
        <v>3654</v>
      </c>
    </row>
    <row r="1679" spans="1:1">
      <c r="A1679" s="151" t="s">
        <v>3655</v>
      </c>
    </row>
    <row r="1680" spans="1:1">
      <c r="A1680" s="151" t="s">
        <v>3656</v>
      </c>
    </row>
    <row r="1681" spans="1:1">
      <c r="A1681" s="151" t="s">
        <v>3657</v>
      </c>
    </row>
    <row r="1682" spans="1:1">
      <c r="A1682" s="151" t="s">
        <v>3658</v>
      </c>
    </row>
    <row r="1683" spans="1:1">
      <c r="A1683" s="151" t="s">
        <v>3659</v>
      </c>
    </row>
    <row r="1684" spans="1:1">
      <c r="A1684" s="151" t="s">
        <v>3660</v>
      </c>
    </row>
    <row r="1685" spans="1:1">
      <c r="A1685" s="151" t="s">
        <v>3661</v>
      </c>
    </row>
    <row r="1686" spans="1:1">
      <c r="A1686" s="151" t="s">
        <v>3662</v>
      </c>
    </row>
    <row r="1687" spans="1:1">
      <c r="A1687" s="151" t="s">
        <v>3663</v>
      </c>
    </row>
    <row r="1688" spans="1:1">
      <c r="A1688" s="151" t="s">
        <v>3664</v>
      </c>
    </row>
    <row r="1689" spans="1:1">
      <c r="A1689" s="151" t="s">
        <v>3665</v>
      </c>
    </row>
    <row r="1690" spans="1:1">
      <c r="A1690" s="151" t="s">
        <v>3666</v>
      </c>
    </row>
    <row r="1691" spans="1:1">
      <c r="A1691" s="151" t="s">
        <v>3667</v>
      </c>
    </row>
    <row r="1692" spans="1:1">
      <c r="A1692" s="151" t="s">
        <v>3668</v>
      </c>
    </row>
    <row r="1693" spans="1:1">
      <c r="A1693" s="151" t="s">
        <v>3669</v>
      </c>
    </row>
    <row r="1694" spans="1:1">
      <c r="A1694" s="151" t="s">
        <v>3670</v>
      </c>
    </row>
    <row r="1695" spans="1:1">
      <c r="A1695" s="151" t="s">
        <v>3671</v>
      </c>
    </row>
    <row r="1696" spans="1:1">
      <c r="A1696" s="151" t="s">
        <v>3672</v>
      </c>
    </row>
    <row r="1697" spans="1:1">
      <c r="A1697" s="151" t="s">
        <v>3673</v>
      </c>
    </row>
    <row r="1698" spans="1:1">
      <c r="A1698" s="151" t="s">
        <v>3674</v>
      </c>
    </row>
    <row r="1699" spans="1:1">
      <c r="A1699" s="151" t="s">
        <v>3675</v>
      </c>
    </row>
    <row r="1700" spans="1:1">
      <c r="A1700" s="151" t="s">
        <v>3676</v>
      </c>
    </row>
    <row r="1701" spans="1:1">
      <c r="A1701" s="151" t="s">
        <v>3677</v>
      </c>
    </row>
    <row r="1702" spans="1:1">
      <c r="A1702" s="151" t="s">
        <v>3678</v>
      </c>
    </row>
    <row r="1703" spans="1:1">
      <c r="A1703" s="151" t="s">
        <v>3679</v>
      </c>
    </row>
    <row r="1704" spans="1:1">
      <c r="A1704" s="151" t="s">
        <v>3680</v>
      </c>
    </row>
    <row r="1705" spans="1:1">
      <c r="A1705" s="151" t="s">
        <v>3681</v>
      </c>
    </row>
    <row r="1706" spans="1:1">
      <c r="A1706" s="151" t="s">
        <v>3682</v>
      </c>
    </row>
    <row r="1707" spans="1:1">
      <c r="A1707" s="151" t="s">
        <v>3683</v>
      </c>
    </row>
    <row r="1708" spans="1:1">
      <c r="A1708" s="151" t="s">
        <v>3684</v>
      </c>
    </row>
    <row r="1709" spans="1:1">
      <c r="A1709" s="151" t="s">
        <v>3685</v>
      </c>
    </row>
    <row r="1710" spans="1:1">
      <c r="A1710" s="151" t="s">
        <v>3686</v>
      </c>
    </row>
    <row r="1711" spans="1:1">
      <c r="A1711" s="151" t="s">
        <v>3687</v>
      </c>
    </row>
    <row r="1712" spans="1:1">
      <c r="A1712" s="151" t="s">
        <v>3688</v>
      </c>
    </row>
    <row r="1713" spans="1:1">
      <c r="A1713" s="151" t="s">
        <v>3689</v>
      </c>
    </row>
    <row r="1714" spans="1:1">
      <c r="A1714" s="151" t="s">
        <v>3690</v>
      </c>
    </row>
    <row r="1715" spans="1:1">
      <c r="A1715" s="151" t="s">
        <v>3691</v>
      </c>
    </row>
    <row r="1716" spans="1:1">
      <c r="A1716" s="151" t="s">
        <v>3692</v>
      </c>
    </row>
    <row r="1717" spans="1:1">
      <c r="A1717" s="151" t="s">
        <v>3693</v>
      </c>
    </row>
    <row r="1718" spans="1:1">
      <c r="A1718" s="151" t="s">
        <v>3694</v>
      </c>
    </row>
    <row r="1719" spans="1:1">
      <c r="A1719" s="151" t="s">
        <v>3695</v>
      </c>
    </row>
    <row r="1720" spans="1:1">
      <c r="A1720" s="151" t="s">
        <v>3696</v>
      </c>
    </row>
    <row r="1721" spans="1:1">
      <c r="A1721" s="151" t="s">
        <v>3697</v>
      </c>
    </row>
    <row r="1722" spans="1:1">
      <c r="A1722" s="151" t="s">
        <v>3698</v>
      </c>
    </row>
    <row r="1723" spans="1:1">
      <c r="A1723" s="151" t="s">
        <v>3699</v>
      </c>
    </row>
    <row r="1724" spans="1:1">
      <c r="A1724" s="151" t="s">
        <v>3700</v>
      </c>
    </row>
    <row r="1725" spans="1:1">
      <c r="A1725" s="151" t="s">
        <v>3701</v>
      </c>
    </row>
    <row r="1726" spans="1:1">
      <c r="A1726" s="151" t="s">
        <v>3702</v>
      </c>
    </row>
    <row r="1727" spans="1:1">
      <c r="A1727" s="151" t="s">
        <v>3703</v>
      </c>
    </row>
    <row r="1728" spans="1:1">
      <c r="A1728" s="151" t="s">
        <v>3704</v>
      </c>
    </row>
    <row r="1729" spans="1:1">
      <c r="A1729" s="151" t="s">
        <v>3705</v>
      </c>
    </row>
    <row r="1730" spans="1:1">
      <c r="A1730" s="151" t="s">
        <v>3706</v>
      </c>
    </row>
    <row r="1731" spans="1:1">
      <c r="A1731" s="151" t="s">
        <v>3707</v>
      </c>
    </row>
    <row r="1732" spans="1:1">
      <c r="A1732" s="151" t="s">
        <v>3708</v>
      </c>
    </row>
    <row r="1733" spans="1:1">
      <c r="A1733" s="151" t="s">
        <v>3709</v>
      </c>
    </row>
    <row r="1734" spans="1:1">
      <c r="A1734" s="151" t="s">
        <v>3710</v>
      </c>
    </row>
    <row r="1735" spans="1:1">
      <c r="A1735" s="151" t="s">
        <v>3711</v>
      </c>
    </row>
    <row r="1736" spans="1:1">
      <c r="A1736" s="151" t="s">
        <v>3712</v>
      </c>
    </row>
    <row r="1737" spans="1:1">
      <c r="A1737" s="151" t="s">
        <v>3713</v>
      </c>
    </row>
    <row r="1738" spans="1:1">
      <c r="A1738" s="151" t="s">
        <v>3714</v>
      </c>
    </row>
    <row r="1739" spans="1:1">
      <c r="A1739" s="151" t="s">
        <v>3715</v>
      </c>
    </row>
    <row r="1740" spans="1:1">
      <c r="A1740" s="151" t="s">
        <v>3716</v>
      </c>
    </row>
    <row r="1741" spans="1:1">
      <c r="A1741" s="151" t="s">
        <v>3717</v>
      </c>
    </row>
    <row r="1742" spans="1:1">
      <c r="A1742" s="151" t="s">
        <v>3718</v>
      </c>
    </row>
    <row r="1743" spans="1:1">
      <c r="A1743" s="151" t="s">
        <v>3719</v>
      </c>
    </row>
    <row r="1744" spans="1:1">
      <c r="A1744" s="151" t="s">
        <v>3720</v>
      </c>
    </row>
    <row r="1745" spans="1:1">
      <c r="A1745" s="151" t="s">
        <v>3721</v>
      </c>
    </row>
    <row r="1746" spans="1:1">
      <c r="A1746" s="151" t="s">
        <v>3722</v>
      </c>
    </row>
    <row r="1747" spans="1:1">
      <c r="A1747" s="151" t="s">
        <v>3723</v>
      </c>
    </row>
    <row r="1748" spans="1:1">
      <c r="A1748" s="151" t="s">
        <v>3724</v>
      </c>
    </row>
    <row r="1749" spans="1:1">
      <c r="A1749" s="151" t="s">
        <v>3725</v>
      </c>
    </row>
    <row r="1750" spans="1:1">
      <c r="A1750" s="151" t="s">
        <v>3726</v>
      </c>
    </row>
    <row r="1751" spans="1:1">
      <c r="A1751" s="151" t="s">
        <v>3727</v>
      </c>
    </row>
    <row r="1752" spans="1:1">
      <c r="A1752" s="151" t="s">
        <v>3728</v>
      </c>
    </row>
    <row r="1753" spans="1:1">
      <c r="A1753" s="151" t="s">
        <v>3729</v>
      </c>
    </row>
    <row r="1754" spans="1:1">
      <c r="A1754" s="151" t="s">
        <v>3730</v>
      </c>
    </row>
    <row r="1755" spans="1:1">
      <c r="A1755" s="151" t="s">
        <v>3731</v>
      </c>
    </row>
    <row r="1756" spans="1:1">
      <c r="A1756" s="151" t="s">
        <v>3732</v>
      </c>
    </row>
    <row r="1757" spans="1:1">
      <c r="A1757" s="151" t="s">
        <v>3733</v>
      </c>
    </row>
    <row r="1758" spans="1:1">
      <c r="A1758" s="151" t="s">
        <v>3734</v>
      </c>
    </row>
    <row r="1759" spans="1:1">
      <c r="A1759" s="151" t="s">
        <v>3735</v>
      </c>
    </row>
    <row r="1760" spans="1:1">
      <c r="A1760" s="151" t="s">
        <v>3736</v>
      </c>
    </row>
    <row r="1761" spans="1:1">
      <c r="A1761" s="151" t="s">
        <v>3737</v>
      </c>
    </row>
    <row r="1762" spans="1:1">
      <c r="A1762" s="151" t="s">
        <v>3738</v>
      </c>
    </row>
    <row r="1763" spans="1:1">
      <c r="A1763" s="151" t="s">
        <v>3739</v>
      </c>
    </row>
    <row r="1764" spans="1:1">
      <c r="A1764" s="151" t="s">
        <v>3740</v>
      </c>
    </row>
    <row r="1765" spans="1:1">
      <c r="A1765" s="151" t="s">
        <v>3741</v>
      </c>
    </row>
    <row r="1766" spans="1:1">
      <c r="A1766" s="151" t="s">
        <v>3742</v>
      </c>
    </row>
    <row r="1767" spans="1:1">
      <c r="A1767" s="151" t="s">
        <v>3743</v>
      </c>
    </row>
    <row r="1768" spans="1:1">
      <c r="A1768" s="151" t="s">
        <v>3744</v>
      </c>
    </row>
    <row r="1769" spans="1:1">
      <c r="A1769" s="151" t="s">
        <v>3745</v>
      </c>
    </row>
    <row r="1770" spans="1:1">
      <c r="A1770" s="151" t="s">
        <v>3746</v>
      </c>
    </row>
    <row r="1771" spans="1:1">
      <c r="A1771" s="151" t="s">
        <v>3747</v>
      </c>
    </row>
    <row r="1772" spans="1:1">
      <c r="A1772" s="151" t="s">
        <v>3748</v>
      </c>
    </row>
    <row r="1773" spans="1:1">
      <c r="A1773" s="151" t="s">
        <v>3749</v>
      </c>
    </row>
    <row r="1774" spans="1:1">
      <c r="A1774" s="151" t="s">
        <v>3750</v>
      </c>
    </row>
    <row r="1775" spans="1:1">
      <c r="A1775" s="151" t="s">
        <v>3751</v>
      </c>
    </row>
    <row r="1776" spans="1:1">
      <c r="A1776" s="151" t="s">
        <v>3752</v>
      </c>
    </row>
    <row r="1777" spans="1:1">
      <c r="A1777" s="151" t="s">
        <v>3753</v>
      </c>
    </row>
    <row r="1778" spans="1:1">
      <c r="A1778" s="151" t="s">
        <v>3754</v>
      </c>
    </row>
    <row r="1779" spans="1:1">
      <c r="A1779" s="151" t="s">
        <v>3755</v>
      </c>
    </row>
    <row r="1780" spans="1:1">
      <c r="A1780" s="151" t="s">
        <v>3756</v>
      </c>
    </row>
    <row r="1781" spans="1:1">
      <c r="A1781" s="151" t="s">
        <v>3757</v>
      </c>
    </row>
    <row r="1782" spans="1:1">
      <c r="A1782" s="151" t="s">
        <v>3758</v>
      </c>
    </row>
    <row r="1783" spans="1:1">
      <c r="A1783" s="151" t="s">
        <v>3759</v>
      </c>
    </row>
    <row r="1784" spans="1:1">
      <c r="A1784" s="151" t="s">
        <v>3760</v>
      </c>
    </row>
    <row r="1785" spans="1:1">
      <c r="A1785" s="151" t="s">
        <v>3761</v>
      </c>
    </row>
    <row r="1786" spans="1:1">
      <c r="A1786" s="151" t="s">
        <v>3762</v>
      </c>
    </row>
    <row r="1787" spans="1:1">
      <c r="A1787" s="151" t="s">
        <v>3763</v>
      </c>
    </row>
    <row r="1788" spans="1:1">
      <c r="A1788" s="151" t="s">
        <v>3764</v>
      </c>
    </row>
    <row r="1789" spans="1:1">
      <c r="A1789" s="151" t="s">
        <v>3765</v>
      </c>
    </row>
    <row r="1790" spans="1:1">
      <c r="A1790" s="151" t="s">
        <v>3766</v>
      </c>
    </row>
    <row r="1791" spans="1:1">
      <c r="A1791" s="151" t="s">
        <v>3767</v>
      </c>
    </row>
    <row r="1792" spans="1:1">
      <c r="A1792" s="151" t="s">
        <v>3768</v>
      </c>
    </row>
    <row r="1793" spans="1:1">
      <c r="A1793" s="151" t="s">
        <v>3769</v>
      </c>
    </row>
    <row r="1794" spans="1:1">
      <c r="A1794" s="151" t="s">
        <v>3770</v>
      </c>
    </row>
    <row r="1795" spans="1:1">
      <c r="A1795" s="151" t="s">
        <v>3771</v>
      </c>
    </row>
    <row r="1796" spans="1:1">
      <c r="A1796" s="151" t="s">
        <v>3772</v>
      </c>
    </row>
    <row r="1797" spans="1:1">
      <c r="A1797" s="151" t="s">
        <v>3773</v>
      </c>
    </row>
    <row r="1798" spans="1:1">
      <c r="A1798" s="151" t="s">
        <v>3774</v>
      </c>
    </row>
    <row r="1799" spans="1:1">
      <c r="A1799" s="151" t="s">
        <v>3775</v>
      </c>
    </row>
    <row r="1800" spans="1:1">
      <c r="A1800" s="151" t="s">
        <v>3776</v>
      </c>
    </row>
    <row r="1801" spans="1:1">
      <c r="A1801" s="151" t="s">
        <v>3777</v>
      </c>
    </row>
    <row r="1802" spans="1:1">
      <c r="A1802" s="151" t="s">
        <v>3778</v>
      </c>
    </row>
    <row r="1803" spans="1:1">
      <c r="A1803" s="151" t="s">
        <v>3779</v>
      </c>
    </row>
    <row r="1804" spans="1:1">
      <c r="A1804" s="151" t="s">
        <v>3780</v>
      </c>
    </row>
    <row r="1805" spans="1:1">
      <c r="A1805" s="151" t="s">
        <v>3781</v>
      </c>
    </row>
    <row r="1806" spans="1:1">
      <c r="A1806" s="151" t="s">
        <v>3782</v>
      </c>
    </row>
    <row r="1807" spans="1:1">
      <c r="A1807" s="151" t="s">
        <v>3783</v>
      </c>
    </row>
    <row r="1808" spans="1:1">
      <c r="A1808" s="151" t="s">
        <v>3784</v>
      </c>
    </row>
    <row r="1809" spans="1:1">
      <c r="A1809" s="151" t="s">
        <v>3785</v>
      </c>
    </row>
    <row r="1810" spans="1:1">
      <c r="A1810" s="151" t="s">
        <v>3786</v>
      </c>
    </row>
    <row r="1811" spans="1:1">
      <c r="A1811" s="151" t="s">
        <v>3787</v>
      </c>
    </row>
    <row r="1812" spans="1:1">
      <c r="A1812" s="151" t="s">
        <v>3788</v>
      </c>
    </row>
    <row r="1813" spans="1:1">
      <c r="A1813" s="151" t="s">
        <v>3789</v>
      </c>
    </row>
    <row r="1814" spans="1:1">
      <c r="A1814" s="151" t="s">
        <v>3790</v>
      </c>
    </row>
    <row r="1815" spans="1:1">
      <c r="A1815" s="151" t="s">
        <v>3791</v>
      </c>
    </row>
    <row r="1816" spans="1:1">
      <c r="A1816" s="151" t="s">
        <v>3792</v>
      </c>
    </row>
    <row r="1817" spans="1:1">
      <c r="A1817" s="151" t="s">
        <v>3793</v>
      </c>
    </row>
    <row r="1818" spans="1:1">
      <c r="A1818" s="151" t="s">
        <v>3794</v>
      </c>
    </row>
    <row r="1819" spans="1:1">
      <c r="A1819" s="151" t="s">
        <v>3795</v>
      </c>
    </row>
    <row r="1820" spans="1:1">
      <c r="A1820" s="151" t="s">
        <v>3796</v>
      </c>
    </row>
    <row r="1821" spans="1:1">
      <c r="A1821" s="151" t="s">
        <v>3797</v>
      </c>
    </row>
    <row r="1822" spans="1:1">
      <c r="A1822" s="151" t="s">
        <v>3798</v>
      </c>
    </row>
    <row r="1823" spans="1:1">
      <c r="A1823" s="151" t="s">
        <v>3799</v>
      </c>
    </row>
    <row r="1824" spans="1:1">
      <c r="A1824" s="151" t="s">
        <v>3800</v>
      </c>
    </row>
    <row r="1825" spans="1:1">
      <c r="A1825" s="151" t="s">
        <v>3801</v>
      </c>
    </row>
    <row r="1826" spans="1:1">
      <c r="A1826" s="151" t="s">
        <v>3802</v>
      </c>
    </row>
    <row r="1827" spans="1:1">
      <c r="A1827" s="151" t="s">
        <v>3803</v>
      </c>
    </row>
    <row r="1828" spans="1:1">
      <c r="A1828" s="151" t="s">
        <v>3804</v>
      </c>
    </row>
    <row r="1829" spans="1:1">
      <c r="A1829" s="151" t="s">
        <v>3805</v>
      </c>
    </row>
    <row r="1830" spans="1:1">
      <c r="A1830" s="151" t="s">
        <v>3806</v>
      </c>
    </row>
    <row r="1831" spans="1:1">
      <c r="A1831" s="151" t="s">
        <v>3807</v>
      </c>
    </row>
    <row r="1832" spans="1:1">
      <c r="A1832" s="151" t="s">
        <v>3808</v>
      </c>
    </row>
    <row r="1833" spans="1:1">
      <c r="A1833" s="151" t="s">
        <v>3809</v>
      </c>
    </row>
    <row r="1834" spans="1:1">
      <c r="A1834" s="151" t="s">
        <v>3810</v>
      </c>
    </row>
    <row r="1835" spans="1:1">
      <c r="A1835" s="151" t="s">
        <v>3811</v>
      </c>
    </row>
    <row r="1836" spans="1:1">
      <c r="A1836" s="151" t="s">
        <v>3812</v>
      </c>
    </row>
    <row r="1837" spans="1:1">
      <c r="A1837" s="151" t="s">
        <v>3813</v>
      </c>
    </row>
    <row r="1838" spans="1:1">
      <c r="A1838" s="151" t="s">
        <v>3814</v>
      </c>
    </row>
    <row r="1839" spans="1:1">
      <c r="A1839" s="151" t="s">
        <v>3815</v>
      </c>
    </row>
    <row r="1840" spans="1:1">
      <c r="A1840" s="151" t="s">
        <v>3816</v>
      </c>
    </row>
    <row r="1841" spans="1:1">
      <c r="A1841" s="151" t="s">
        <v>3817</v>
      </c>
    </row>
    <row r="1842" spans="1:1">
      <c r="A1842" s="151" t="s">
        <v>3818</v>
      </c>
    </row>
    <row r="1843" spans="1:1">
      <c r="A1843" s="151" t="s">
        <v>3819</v>
      </c>
    </row>
    <row r="1844" spans="1:1">
      <c r="A1844" s="151" t="s">
        <v>3820</v>
      </c>
    </row>
    <row r="1845" spans="1:1">
      <c r="A1845" s="151" t="s">
        <v>3821</v>
      </c>
    </row>
    <row r="1846" spans="1:1">
      <c r="A1846" s="151" t="s">
        <v>3822</v>
      </c>
    </row>
    <row r="1847" spans="1:1">
      <c r="A1847" s="151" t="s">
        <v>3823</v>
      </c>
    </row>
    <row r="1848" spans="1:1">
      <c r="A1848" s="151" t="s">
        <v>3824</v>
      </c>
    </row>
    <row r="1849" spans="1:1">
      <c r="A1849" s="151" t="s">
        <v>3825</v>
      </c>
    </row>
    <row r="1850" spans="1:1">
      <c r="A1850" s="151" t="s">
        <v>3826</v>
      </c>
    </row>
    <row r="1851" spans="1:1">
      <c r="A1851" s="151" t="s">
        <v>3827</v>
      </c>
    </row>
    <row r="1852" spans="1:1">
      <c r="A1852" s="151" t="s">
        <v>3828</v>
      </c>
    </row>
    <row r="1853" spans="1:1">
      <c r="A1853" s="151" t="s">
        <v>3829</v>
      </c>
    </row>
    <row r="1854" spans="1:1">
      <c r="A1854" s="151" t="s">
        <v>3830</v>
      </c>
    </row>
    <row r="1855" spans="1:1">
      <c r="A1855" s="151" t="s">
        <v>3831</v>
      </c>
    </row>
    <row r="1856" spans="1:1">
      <c r="A1856" s="151" t="s">
        <v>3832</v>
      </c>
    </row>
    <row r="1857" spans="1:1">
      <c r="A1857" s="151" t="s">
        <v>3833</v>
      </c>
    </row>
    <row r="1858" spans="1:1">
      <c r="A1858" s="151" t="s">
        <v>3834</v>
      </c>
    </row>
    <row r="1859" spans="1:1">
      <c r="A1859" s="151" t="s">
        <v>3835</v>
      </c>
    </row>
    <row r="1860" spans="1:1">
      <c r="A1860" s="151" t="s">
        <v>3836</v>
      </c>
    </row>
    <row r="1861" spans="1:1">
      <c r="A1861" s="151" t="s">
        <v>3837</v>
      </c>
    </row>
    <row r="1862" spans="1:1">
      <c r="A1862" s="151" t="s">
        <v>3838</v>
      </c>
    </row>
    <row r="1863" spans="1:1">
      <c r="A1863" s="151" t="s">
        <v>3839</v>
      </c>
    </row>
    <row r="1864" spans="1:1">
      <c r="A1864" s="151" t="s">
        <v>3840</v>
      </c>
    </row>
    <row r="1865" spans="1:1">
      <c r="A1865" s="151" t="s">
        <v>3841</v>
      </c>
    </row>
    <row r="1866" spans="1:1">
      <c r="A1866" s="151" t="s">
        <v>3842</v>
      </c>
    </row>
    <row r="1867" spans="1:1">
      <c r="A1867" s="151" t="s">
        <v>3843</v>
      </c>
    </row>
    <row r="1868" spans="1:1">
      <c r="A1868" s="151" t="s">
        <v>3844</v>
      </c>
    </row>
    <row r="1869" spans="1:1">
      <c r="A1869" s="151" t="s">
        <v>3845</v>
      </c>
    </row>
    <row r="1870" spans="1:1">
      <c r="A1870" s="151" t="s">
        <v>3846</v>
      </c>
    </row>
    <row r="1871" spans="1:1">
      <c r="A1871" s="151" t="s">
        <v>3847</v>
      </c>
    </row>
    <row r="1872" spans="1:1">
      <c r="A1872" s="151" t="s">
        <v>3848</v>
      </c>
    </row>
    <row r="1873" spans="1:1">
      <c r="A1873" s="151" t="s">
        <v>3849</v>
      </c>
    </row>
    <row r="1874" spans="1:1">
      <c r="A1874" s="151" t="s">
        <v>3850</v>
      </c>
    </row>
    <row r="1875" spans="1:1">
      <c r="A1875" s="151" t="s">
        <v>3851</v>
      </c>
    </row>
    <row r="1876" spans="1:1">
      <c r="A1876" s="151" t="s">
        <v>3852</v>
      </c>
    </row>
    <row r="1877" spans="1:1">
      <c r="A1877" s="151" t="s">
        <v>3853</v>
      </c>
    </row>
    <row r="1878" spans="1:1">
      <c r="A1878" s="151" t="s">
        <v>3854</v>
      </c>
    </row>
    <row r="1879" spans="1:1">
      <c r="A1879" s="151" t="s">
        <v>3855</v>
      </c>
    </row>
    <row r="1880" spans="1:1">
      <c r="A1880" s="151" t="s">
        <v>3856</v>
      </c>
    </row>
    <row r="1881" spans="1:1">
      <c r="A1881" s="151" t="s">
        <v>3857</v>
      </c>
    </row>
    <row r="1882" spans="1:1">
      <c r="A1882" s="151" t="s">
        <v>3858</v>
      </c>
    </row>
    <row r="1883" spans="1:1">
      <c r="A1883" s="151" t="s">
        <v>3859</v>
      </c>
    </row>
    <row r="1884" spans="1:1">
      <c r="A1884" s="151" t="s">
        <v>3860</v>
      </c>
    </row>
    <row r="1885" spans="1:1">
      <c r="A1885" s="151" t="s">
        <v>3861</v>
      </c>
    </row>
    <row r="1886" spans="1:1">
      <c r="A1886" s="151" t="s">
        <v>3862</v>
      </c>
    </row>
    <row r="1887" spans="1:1">
      <c r="A1887" s="151" t="s">
        <v>3863</v>
      </c>
    </row>
    <row r="1888" spans="1:1">
      <c r="A1888" s="151" t="s">
        <v>3864</v>
      </c>
    </row>
    <row r="1889" spans="1:1">
      <c r="A1889" s="151" t="s">
        <v>3865</v>
      </c>
    </row>
    <row r="1890" spans="1:1">
      <c r="A1890" s="151" t="s">
        <v>3866</v>
      </c>
    </row>
    <row r="1891" spans="1:1">
      <c r="A1891" s="151" t="s">
        <v>3867</v>
      </c>
    </row>
    <row r="1892" spans="1:1">
      <c r="A1892" s="151" t="s">
        <v>3868</v>
      </c>
    </row>
    <row r="1893" spans="1:1">
      <c r="A1893" s="151" t="s">
        <v>3869</v>
      </c>
    </row>
    <row r="1894" spans="1:1">
      <c r="A1894" s="151" t="s">
        <v>3870</v>
      </c>
    </row>
    <row r="1895" spans="1:1">
      <c r="A1895" s="151" t="s">
        <v>3871</v>
      </c>
    </row>
    <row r="1896" spans="1:1">
      <c r="A1896" s="151" t="s">
        <v>3872</v>
      </c>
    </row>
    <row r="1897" spans="1:1">
      <c r="A1897" s="151" t="s">
        <v>3873</v>
      </c>
    </row>
    <row r="1898" spans="1:1">
      <c r="A1898" s="151" t="s">
        <v>3874</v>
      </c>
    </row>
    <row r="1899" spans="1:1">
      <c r="A1899" s="151" t="s">
        <v>3875</v>
      </c>
    </row>
    <row r="1900" spans="1:1">
      <c r="A1900" s="151" t="s">
        <v>3876</v>
      </c>
    </row>
    <row r="1901" spans="1:1">
      <c r="A1901" s="151" t="s">
        <v>3877</v>
      </c>
    </row>
    <row r="1902" spans="1:1">
      <c r="A1902" s="151" t="s">
        <v>3878</v>
      </c>
    </row>
    <row r="1903" spans="1:1">
      <c r="A1903" s="151" t="s">
        <v>3879</v>
      </c>
    </row>
    <row r="1904" spans="1:1">
      <c r="A1904" s="151" t="s">
        <v>3880</v>
      </c>
    </row>
    <row r="1905" spans="1:1">
      <c r="A1905" s="151" t="s">
        <v>3881</v>
      </c>
    </row>
    <row r="1906" spans="1:1">
      <c r="A1906" s="151" t="s">
        <v>3882</v>
      </c>
    </row>
    <row r="1907" spans="1:1">
      <c r="A1907" s="151" t="s">
        <v>3883</v>
      </c>
    </row>
    <row r="1908" spans="1:1">
      <c r="A1908" s="151" t="s">
        <v>3884</v>
      </c>
    </row>
    <row r="1909" spans="1:1">
      <c r="A1909" s="151" t="s">
        <v>3885</v>
      </c>
    </row>
    <row r="1910" spans="1:1">
      <c r="A1910" s="151" t="s">
        <v>3886</v>
      </c>
    </row>
    <row r="1911" spans="1:1">
      <c r="A1911" s="151" t="s">
        <v>3887</v>
      </c>
    </row>
    <row r="1912" spans="1:1">
      <c r="A1912" s="151" t="s">
        <v>3888</v>
      </c>
    </row>
    <row r="1913" spans="1:1">
      <c r="A1913" s="151" t="s">
        <v>3889</v>
      </c>
    </row>
    <row r="1914" spans="1:1">
      <c r="A1914" s="151" t="s">
        <v>3890</v>
      </c>
    </row>
    <row r="1915" spans="1:1">
      <c r="A1915" s="151" t="s">
        <v>3891</v>
      </c>
    </row>
    <row r="1916" spans="1:1">
      <c r="A1916" s="151" t="s">
        <v>3892</v>
      </c>
    </row>
    <row r="1917" spans="1:1">
      <c r="A1917" s="151" t="s">
        <v>3893</v>
      </c>
    </row>
    <row r="1918" spans="1:1">
      <c r="A1918" s="151" t="s">
        <v>3894</v>
      </c>
    </row>
    <row r="1919" spans="1:1">
      <c r="A1919" s="151" t="s">
        <v>3895</v>
      </c>
    </row>
    <row r="1920" spans="1:1">
      <c r="A1920" s="151" t="s">
        <v>3896</v>
      </c>
    </row>
    <row r="1921" spans="1:1">
      <c r="A1921" s="151" t="s">
        <v>3897</v>
      </c>
    </row>
    <row r="1922" spans="1:1">
      <c r="A1922" s="151" t="s">
        <v>3898</v>
      </c>
    </row>
    <row r="1923" spans="1:1">
      <c r="A1923" s="151" t="s">
        <v>3899</v>
      </c>
    </row>
    <row r="1924" spans="1:1">
      <c r="A1924" s="151" t="s">
        <v>3900</v>
      </c>
    </row>
    <row r="1925" spans="1:1">
      <c r="A1925" s="151" t="s">
        <v>3901</v>
      </c>
    </row>
    <row r="1926" spans="1:1">
      <c r="A1926" s="151" t="s">
        <v>3902</v>
      </c>
    </row>
    <row r="1927" spans="1:1">
      <c r="A1927" s="151" t="s">
        <v>3903</v>
      </c>
    </row>
    <row r="1928" spans="1:1">
      <c r="A1928" s="151" t="s">
        <v>3904</v>
      </c>
    </row>
    <row r="1929" spans="1:1">
      <c r="A1929" s="151" t="s">
        <v>3905</v>
      </c>
    </row>
    <row r="1930" spans="1:1">
      <c r="A1930" s="151" t="s">
        <v>3906</v>
      </c>
    </row>
    <row r="1931" spans="1:1">
      <c r="A1931" s="151" t="s">
        <v>3907</v>
      </c>
    </row>
    <row r="1932" spans="1:1">
      <c r="A1932" s="151" t="s">
        <v>3908</v>
      </c>
    </row>
    <row r="1933" spans="1:1">
      <c r="A1933" s="151" t="s">
        <v>3909</v>
      </c>
    </row>
    <row r="1934" spans="1:1">
      <c r="A1934" s="151" t="s">
        <v>3910</v>
      </c>
    </row>
    <row r="1935" spans="1:1">
      <c r="A1935" s="151" t="s">
        <v>3911</v>
      </c>
    </row>
    <row r="1936" spans="1:1">
      <c r="A1936" s="151" t="s">
        <v>3912</v>
      </c>
    </row>
    <row r="1937" spans="1:1">
      <c r="A1937" s="151" t="s">
        <v>3913</v>
      </c>
    </row>
    <row r="1938" spans="1:1">
      <c r="A1938" s="151" t="s">
        <v>3914</v>
      </c>
    </row>
    <row r="1939" spans="1:1">
      <c r="A1939" s="151" t="s">
        <v>3915</v>
      </c>
    </row>
    <row r="1940" spans="1:1">
      <c r="A1940" s="151" t="s">
        <v>3916</v>
      </c>
    </row>
    <row r="1941" spans="1:1">
      <c r="A1941" s="151" t="s">
        <v>3917</v>
      </c>
    </row>
    <row r="1942" spans="1:1">
      <c r="A1942" s="151" t="s">
        <v>3918</v>
      </c>
    </row>
    <row r="1943" spans="1:1">
      <c r="A1943" s="151" t="s">
        <v>3919</v>
      </c>
    </row>
    <row r="1944" spans="1:1">
      <c r="A1944" s="151" t="s">
        <v>3920</v>
      </c>
    </row>
    <row r="1945" spans="1:1">
      <c r="A1945" s="151" t="s">
        <v>3921</v>
      </c>
    </row>
    <row r="1946" spans="1:1">
      <c r="A1946" s="151" t="s">
        <v>3922</v>
      </c>
    </row>
    <row r="1947" spans="1:1">
      <c r="A1947" s="151" t="s">
        <v>3923</v>
      </c>
    </row>
    <row r="1948" spans="1:1">
      <c r="A1948" s="151" t="s">
        <v>3924</v>
      </c>
    </row>
    <row r="1949" spans="1:1">
      <c r="A1949" s="151" t="s">
        <v>3925</v>
      </c>
    </row>
    <row r="1950" spans="1:1">
      <c r="A1950" s="151" t="s">
        <v>3926</v>
      </c>
    </row>
    <row r="1951" spans="1:1">
      <c r="A1951" s="151" t="s">
        <v>3927</v>
      </c>
    </row>
    <row r="1952" spans="1:1">
      <c r="A1952" s="151" t="s">
        <v>3928</v>
      </c>
    </row>
    <row r="1953" spans="1:1">
      <c r="A1953" s="151" t="s">
        <v>3929</v>
      </c>
    </row>
    <row r="1954" spans="1:1">
      <c r="A1954" s="151" t="s">
        <v>3930</v>
      </c>
    </row>
    <row r="1955" spans="1:1">
      <c r="A1955" s="151" t="s">
        <v>3931</v>
      </c>
    </row>
    <row r="1956" spans="1:1">
      <c r="A1956" s="151" t="s">
        <v>3932</v>
      </c>
    </row>
    <row r="1957" spans="1:1">
      <c r="A1957" s="151" t="s">
        <v>3933</v>
      </c>
    </row>
    <row r="1958" spans="1:1">
      <c r="A1958" s="151" t="s">
        <v>3934</v>
      </c>
    </row>
    <row r="1959" spans="1:1">
      <c r="A1959" s="151" t="s">
        <v>3935</v>
      </c>
    </row>
    <row r="1960" spans="1:1">
      <c r="A1960" s="151" t="s">
        <v>3936</v>
      </c>
    </row>
    <row r="1961" spans="1:1">
      <c r="A1961" s="151" t="s">
        <v>3937</v>
      </c>
    </row>
    <row r="1962" spans="1:1">
      <c r="A1962" s="151" t="s">
        <v>3938</v>
      </c>
    </row>
    <row r="1963" spans="1:1">
      <c r="A1963" s="151" t="s">
        <v>3939</v>
      </c>
    </row>
    <row r="1964" spans="1:1">
      <c r="A1964" s="151" t="s">
        <v>3940</v>
      </c>
    </row>
    <row r="1965" spans="1:1">
      <c r="A1965" s="151" t="s">
        <v>3941</v>
      </c>
    </row>
    <row r="1966" spans="1:1">
      <c r="A1966" s="151" t="s">
        <v>3942</v>
      </c>
    </row>
    <row r="1967" spans="1:1">
      <c r="A1967" s="151" t="s">
        <v>3943</v>
      </c>
    </row>
    <row r="1968" spans="1:1">
      <c r="A1968" s="151" t="s">
        <v>3944</v>
      </c>
    </row>
    <row r="1969" spans="1:1">
      <c r="A1969" s="151" t="s">
        <v>3945</v>
      </c>
    </row>
    <row r="1970" spans="1:1">
      <c r="A1970" s="151" t="s">
        <v>3946</v>
      </c>
    </row>
    <row r="1971" spans="1:1">
      <c r="A1971" s="151" t="s">
        <v>3947</v>
      </c>
    </row>
    <row r="1972" spans="1:1">
      <c r="A1972" s="151" t="s">
        <v>3948</v>
      </c>
    </row>
    <row r="1973" spans="1:1">
      <c r="A1973" s="151" t="s">
        <v>3949</v>
      </c>
    </row>
    <row r="1974" spans="1:1">
      <c r="A1974" s="151" t="s">
        <v>3950</v>
      </c>
    </row>
    <row r="1975" spans="1:1">
      <c r="A1975" s="151" t="s">
        <v>3951</v>
      </c>
    </row>
    <row r="1976" spans="1:1">
      <c r="A1976" s="151" t="s">
        <v>3952</v>
      </c>
    </row>
    <row r="1977" spans="1:1">
      <c r="A1977" s="151" t="s">
        <v>3953</v>
      </c>
    </row>
    <row r="1978" spans="1:1">
      <c r="A1978" s="151" t="s">
        <v>3954</v>
      </c>
    </row>
    <row r="1979" spans="1:1">
      <c r="A1979" s="151" t="s">
        <v>3955</v>
      </c>
    </row>
    <row r="1980" spans="1:1">
      <c r="A1980" s="151" t="s">
        <v>3956</v>
      </c>
    </row>
    <row r="1981" spans="1:1">
      <c r="A1981" s="151" t="s">
        <v>3957</v>
      </c>
    </row>
    <row r="1982" spans="1:1">
      <c r="A1982" s="151" t="s">
        <v>3958</v>
      </c>
    </row>
    <row r="1983" spans="1:1">
      <c r="A1983" s="151" t="s">
        <v>3959</v>
      </c>
    </row>
    <row r="1984" spans="1:1">
      <c r="A1984" s="151" t="s">
        <v>3960</v>
      </c>
    </row>
    <row r="1985" spans="1:1">
      <c r="A1985" s="151" t="s">
        <v>3961</v>
      </c>
    </row>
    <row r="1986" spans="1:1">
      <c r="A1986" s="151" t="s">
        <v>3962</v>
      </c>
    </row>
    <row r="1987" spans="1:1">
      <c r="A1987" s="151" t="s">
        <v>3963</v>
      </c>
    </row>
    <row r="1988" spans="1:1">
      <c r="A1988" s="151" t="s">
        <v>3964</v>
      </c>
    </row>
    <row r="1989" spans="1:1">
      <c r="A1989" s="151" t="s">
        <v>3965</v>
      </c>
    </row>
    <row r="1990" spans="1:1">
      <c r="A1990" s="151" t="s">
        <v>3966</v>
      </c>
    </row>
    <row r="1991" spans="1:1">
      <c r="A1991" s="151" t="s">
        <v>3967</v>
      </c>
    </row>
    <row r="1992" spans="1:1">
      <c r="A1992" s="151" t="s">
        <v>3968</v>
      </c>
    </row>
    <row r="1993" spans="1:1">
      <c r="A1993" s="151" t="s">
        <v>3969</v>
      </c>
    </row>
    <row r="1994" spans="1:1">
      <c r="A1994" s="151" t="s">
        <v>3970</v>
      </c>
    </row>
    <row r="1995" spans="1:1">
      <c r="A1995" s="151" t="s">
        <v>3971</v>
      </c>
    </row>
    <row r="1996" spans="1:1">
      <c r="A1996" s="151" t="s">
        <v>3972</v>
      </c>
    </row>
    <row r="1997" spans="1:1">
      <c r="A1997" s="151" t="s">
        <v>3973</v>
      </c>
    </row>
    <row r="1998" spans="1:1">
      <c r="A1998" s="151" t="s">
        <v>3974</v>
      </c>
    </row>
    <row r="1999" spans="1:1">
      <c r="A1999" s="151" t="s">
        <v>3975</v>
      </c>
    </row>
    <row r="2000" spans="1:1">
      <c r="A2000" s="151" t="s">
        <v>3976</v>
      </c>
    </row>
    <row r="2001" spans="1:1">
      <c r="A2001" s="151" t="s">
        <v>3977</v>
      </c>
    </row>
    <row r="2002" spans="1:1">
      <c r="A2002" s="151" t="s">
        <v>3978</v>
      </c>
    </row>
    <row r="2003" spans="1:1">
      <c r="A2003" s="151" t="s">
        <v>3979</v>
      </c>
    </row>
    <row r="2004" spans="1:1">
      <c r="A2004" s="151" t="s">
        <v>3980</v>
      </c>
    </row>
    <row r="2005" spans="1:1">
      <c r="A2005" s="151" t="s">
        <v>3981</v>
      </c>
    </row>
    <row r="2006" spans="1:1">
      <c r="A2006" s="151" t="s">
        <v>3982</v>
      </c>
    </row>
    <row r="2007" spans="1:1">
      <c r="A2007" s="151" t="s">
        <v>3983</v>
      </c>
    </row>
    <row r="2008" spans="1:1">
      <c r="A2008" s="151" t="s">
        <v>3984</v>
      </c>
    </row>
    <row r="2009" spans="1:1">
      <c r="A2009" s="151" t="s">
        <v>3985</v>
      </c>
    </row>
    <row r="2010" spans="1:1">
      <c r="A2010" s="151" t="s">
        <v>3986</v>
      </c>
    </row>
    <row r="2011" spans="1:1">
      <c r="A2011" s="151" t="s">
        <v>3987</v>
      </c>
    </row>
    <row r="2012" spans="1:1">
      <c r="A2012" s="151" t="s">
        <v>3988</v>
      </c>
    </row>
    <row r="2013" spans="1:1">
      <c r="A2013" s="151" t="s">
        <v>3989</v>
      </c>
    </row>
    <row r="2014" spans="1:1">
      <c r="A2014" s="151" t="s">
        <v>3990</v>
      </c>
    </row>
    <row r="2015" spans="1:1">
      <c r="A2015" s="151" t="s">
        <v>3991</v>
      </c>
    </row>
    <row r="2016" spans="1:1">
      <c r="A2016" s="151" t="s">
        <v>3992</v>
      </c>
    </row>
    <row r="2017" spans="1:1">
      <c r="A2017" s="151" t="s">
        <v>3993</v>
      </c>
    </row>
    <row r="2018" spans="1:1">
      <c r="A2018" s="151" t="s">
        <v>3994</v>
      </c>
    </row>
    <row r="2019" spans="1:1">
      <c r="A2019" s="151" t="s">
        <v>3995</v>
      </c>
    </row>
    <row r="2020" spans="1:1">
      <c r="A2020" s="151" t="s">
        <v>3996</v>
      </c>
    </row>
    <row r="2021" spans="1:1">
      <c r="A2021" s="151" t="s">
        <v>3997</v>
      </c>
    </row>
    <row r="2022" spans="1:1">
      <c r="A2022" s="151" t="s">
        <v>3998</v>
      </c>
    </row>
    <row r="2023" spans="1:1">
      <c r="A2023" s="151" t="s">
        <v>3999</v>
      </c>
    </row>
    <row r="2024" spans="1:1">
      <c r="A2024" s="151" t="s">
        <v>4000</v>
      </c>
    </row>
    <row r="2025" spans="1:1">
      <c r="A2025" s="151" t="s">
        <v>4001</v>
      </c>
    </row>
    <row r="2026" spans="1:1">
      <c r="A2026" s="151" t="s">
        <v>4002</v>
      </c>
    </row>
    <row r="2027" spans="1:1">
      <c r="A2027" s="151" t="s">
        <v>4003</v>
      </c>
    </row>
    <row r="2028" spans="1:1">
      <c r="A2028" s="151" t="s">
        <v>4004</v>
      </c>
    </row>
    <row r="2029" spans="1:1">
      <c r="A2029" s="151" t="s">
        <v>4005</v>
      </c>
    </row>
    <row r="2030" spans="1:1">
      <c r="A2030" s="151" t="s">
        <v>4006</v>
      </c>
    </row>
    <row r="2031" spans="1:1">
      <c r="A2031" s="151" t="s">
        <v>4007</v>
      </c>
    </row>
    <row r="2032" spans="1:1">
      <c r="A2032" s="151" t="s">
        <v>4008</v>
      </c>
    </row>
    <row r="2033" spans="1:1">
      <c r="A2033" s="151" t="s">
        <v>4009</v>
      </c>
    </row>
    <row r="2034" spans="1:1">
      <c r="A2034" s="151" t="s">
        <v>4010</v>
      </c>
    </row>
    <row r="2035" spans="1:1">
      <c r="A2035" s="151" t="s">
        <v>4011</v>
      </c>
    </row>
    <row r="2036" spans="1:1">
      <c r="A2036" s="151" t="s">
        <v>4012</v>
      </c>
    </row>
    <row r="2037" spans="1:1">
      <c r="A2037" s="151" t="s">
        <v>4013</v>
      </c>
    </row>
    <row r="2038" spans="1:1">
      <c r="A2038" s="151" t="s">
        <v>4014</v>
      </c>
    </row>
    <row r="2039" spans="1:1">
      <c r="A2039" s="151" t="s">
        <v>4015</v>
      </c>
    </row>
    <row r="2040" spans="1:1">
      <c r="A2040" s="151" t="s">
        <v>4016</v>
      </c>
    </row>
    <row r="2041" spans="1:1">
      <c r="A2041" s="151" t="s">
        <v>4017</v>
      </c>
    </row>
    <row r="2042" spans="1:1">
      <c r="A2042" s="151" t="s">
        <v>4018</v>
      </c>
    </row>
    <row r="2043" spans="1:1">
      <c r="A2043" s="151" t="s">
        <v>4019</v>
      </c>
    </row>
    <row r="2044" spans="1:1">
      <c r="A2044" s="151" t="s">
        <v>4020</v>
      </c>
    </row>
    <row r="2045" spans="1:1">
      <c r="A2045" s="151" t="s">
        <v>4021</v>
      </c>
    </row>
    <row r="2046" spans="1:1">
      <c r="A2046" s="151" t="s">
        <v>4022</v>
      </c>
    </row>
    <row r="2047" spans="1:1">
      <c r="A2047" s="151" t="s">
        <v>4023</v>
      </c>
    </row>
    <row r="2048" spans="1:1">
      <c r="A2048" s="151" t="s">
        <v>4024</v>
      </c>
    </row>
    <row r="2049" spans="1:1">
      <c r="A2049" s="151" t="s">
        <v>4025</v>
      </c>
    </row>
    <row r="2050" spans="1:1">
      <c r="A2050" s="151" t="s">
        <v>4026</v>
      </c>
    </row>
    <row r="2051" spans="1:1">
      <c r="A2051" s="151" t="s">
        <v>4027</v>
      </c>
    </row>
    <row r="2052" spans="1:1">
      <c r="A2052" s="151" t="s">
        <v>4028</v>
      </c>
    </row>
    <row r="2053" spans="1:1">
      <c r="A2053" s="151" t="s">
        <v>4029</v>
      </c>
    </row>
    <row r="2054" spans="1:1">
      <c r="A2054" s="151" t="s">
        <v>4030</v>
      </c>
    </row>
    <row r="2055" spans="1:1">
      <c r="A2055" s="151" t="s">
        <v>4031</v>
      </c>
    </row>
    <row r="2056" spans="1:1">
      <c r="A2056" s="151" t="s">
        <v>4032</v>
      </c>
    </row>
    <row r="2057" spans="1:1">
      <c r="A2057" s="151" t="s">
        <v>4033</v>
      </c>
    </row>
    <row r="2058" spans="1:1">
      <c r="A2058" s="151" t="s">
        <v>4034</v>
      </c>
    </row>
    <row r="2059" spans="1:1">
      <c r="A2059" s="151" t="s">
        <v>4035</v>
      </c>
    </row>
    <row r="2060" spans="1:1">
      <c r="A2060" s="151" t="s">
        <v>4036</v>
      </c>
    </row>
    <row r="2061" spans="1:1">
      <c r="A2061" s="151" t="s">
        <v>4037</v>
      </c>
    </row>
    <row r="2062" spans="1:1">
      <c r="A2062" s="151" t="s">
        <v>4038</v>
      </c>
    </row>
    <row r="2063" spans="1:1">
      <c r="A2063" s="151" t="s">
        <v>4039</v>
      </c>
    </row>
    <row r="2064" spans="1:1">
      <c r="A2064" s="151" t="s">
        <v>4040</v>
      </c>
    </row>
    <row r="2065" spans="1:1">
      <c r="A2065" s="151" t="s">
        <v>4041</v>
      </c>
    </row>
    <row r="2066" spans="1:1">
      <c r="A2066" s="151" t="s">
        <v>4042</v>
      </c>
    </row>
    <row r="2067" spans="1:1">
      <c r="A2067" s="151" t="s">
        <v>4043</v>
      </c>
    </row>
    <row r="2068" spans="1:1">
      <c r="A2068" s="151" t="s">
        <v>4044</v>
      </c>
    </row>
    <row r="2069" spans="1:1">
      <c r="A2069" s="151" t="s">
        <v>4045</v>
      </c>
    </row>
    <row r="2070" spans="1:1">
      <c r="A2070" s="151" t="s">
        <v>4046</v>
      </c>
    </row>
    <row r="2071" spans="1:1">
      <c r="A2071" s="151" t="s">
        <v>4047</v>
      </c>
    </row>
    <row r="2072" spans="1:1">
      <c r="A2072" s="151" t="s">
        <v>4048</v>
      </c>
    </row>
    <row r="2073" spans="1:1">
      <c r="A2073" s="151" t="s">
        <v>4049</v>
      </c>
    </row>
    <row r="2074" spans="1:1">
      <c r="A2074" s="151" t="s">
        <v>4050</v>
      </c>
    </row>
    <row r="2075" spans="1:1">
      <c r="A2075" s="151" t="s">
        <v>4051</v>
      </c>
    </row>
    <row r="2076" spans="1:1">
      <c r="A2076" s="151" t="s">
        <v>4052</v>
      </c>
    </row>
    <row r="2077" spans="1:1">
      <c r="A2077" s="151" t="s">
        <v>4053</v>
      </c>
    </row>
    <row r="2078" spans="1:1">
      <c r="A2078" s="151" t="s">
        <v>4054</v>
      </c>
    </row>
    <row r="2079" spans="1:1">
      <c r="A2079" s="151" t="s">
        <v>4055</v>
      </c>
    </row>
    <row r="2080" spans="1:1">
      <c r="A2080" s="151" t="s">
        <v>4056</v>
      </c>
    </row>
    <row r="2081" spans="1:1">
      <c r="A2081" s="151" t="s">
        <v>4057</v>
      </c>
    </row>
    <row r="2082" spans="1:1">
      <c r="A2082" s="151" t="s">
        <v>4058</v>
      </c>
    </row>
    <row r="2083" spans="1:1">
      <c r="A2083" s="151" t="s">
        <v>4059</v>
      </c>
    </row>
    <row r="2084" spans="1:1">
      <c r="A2084" s="151" t="s">
        <v>4060</v>
      </c>
    </row>
    <row r="2085" spans="1:1">
      <c r="A2085" s="151" t="s">
        <v>4061</v>
      </c>
    </row>
    <row r="2086" spans="1:1">
      <c r="A2086" s="151" t="s">
        <v>4062</v>
      </c>
    </row>
    <row r="2087" spans="1:1">
      <c r="A2087" s="151" t="s">
        <v>4063</v>
      </c>
    </row>
    <row r="2088" spans="1:1">
      <c r="A2088" s="151" t="s">
        <v>4064</v>
      </c>
    </row>
    <row r="2089" spans="1:1">
      <c r="A2089" s="151" t="s">
        <v>4065</v>
      </c>
    </row>
    <row r="2090" spans="1:1">
      <c r="A2090" s="151" t="s">
        <v>4066</v>
      </c>
    </row>
    <row r="2091" spans="1:1">
      <c r="A2091" s="151" t="s">
        <v>4067</v>
      </c>
    </row>
    <row r="2092" spans="1:1">
      <c r="A2092" s="151" t="s">
        <v>4068</v>
      </c>
    </row>
    <row r="2093" spans="1:1">
      <c r="A2093" s="151" t="s">
        <v>4069</v>
      </c>
    </row>
    <row r="2094" spans="1:1">
      <c r="A2094" s="151" t="s">
        <v>4070</v>
      </c>
    </row>
    <row r="2095" spans="1:1">
      <c r="A2095" s="151" t="s">
        <v>4071</v>
      </c>
    </row>
    <row r="2096" spans="1:1">
      <c r="A2096" s="151" t="s">
        <v>4072</v>
      </c>
    </row>
    <row r="2097" spans="1:1">
      <c r="A2097" s="151" t="s">
        <v>4073</v>
      </c>
    </row>
    <row r="2098" spans="1:1">
      <c r="A2098" s="151" t="s">
        <v>4074</v>
      </c>
    </row>
    <row r="2099" spans="1:1">
      <c r="A2099" s="151" t="s">
        <v>4075</v>
      </c>
    </row>
    <row r="2100" spans="1:1">
      <c r="A2100" s="151" t="s">
        <v>4076</v>
      </c>
    </row>
    <row r="2101" spans="1:1">
      <c r="A2101" s="151" t="s">
        <v>4077</v>
      </c>
    </row>
    <row r="2102" spans="1:1">
      <c r="A2102" s="151" t="s">
        <v>4078</v>
      </c>
    </row>
    <row r="2103" spans="1:1">
      <c r="A2103" s="151" t="s">
        <v>4079</v>
      </c>
    </row>
    <row r="2104" spans="1:1">
      <c r="A2104" s="151" t="s">
        <v>4080</v>
      </c>
    </row>
    <row r="2105" spans="1:1">
      <c r="A2105" s="151" t="s">
        <v>4081</v>
      </c>
    </row>
    <row r="2106" spans="1:1">
      <c r="A2106" s="151" t="s">
        <v>4082</v>
      </c>
    </row>
    <row r="2107" spans="1:1">
      <c r="A2107" s="151" t="s">
        <v>4083</v>
      </c>
    </row>
    <row r="2108" spans="1:1">
      <c r="A2108" s="151" t="s">
        <v>4084</v>
      </c>
    </row>
    <row r="2109" spans="1:1">
      <c r="A2109" s="151" t="s">
        <v>4085</v>
      </c>
    </row>
    <row r="2110" spans="1:1">
      <c r="A2110" s="151" t="s">
        <v>4086</v>
      </c>
    </row>
    <row r="2111" spans="1:1">
      <c r="A2111" s="151" t="s">
        <v>4087</v>
      </c>
    </row>
    <row r="2112" spans="1:1">
      <c r="A2112" s="151" t="s">
        <v>4088</v>
      </c>
    </row>
    <row r="2113" spans="1:1">
      <c r="A2113" s="151" t="s">
        <v>4089</v>
      </c>
    </row>
    <row r="2114" spans="1:1">
      <c r="A2114" s="151" t="s">
        <v>4090</v>
      </c>
    </row>
    <row r="2115" spans="1:1">
      <c r="A2115" s="151" t="s">
        <v>4091</v>
      </c>
    </row>
    <row r="2116" spans="1:1">
      <c r="A2116" s="151" t="s">
        <v>4092</v>
      </c>
    </row>
    <row r="2117" spans="1:1">
      <c r="A2117" s="151" t="s">
        <v>4093</v>
      </c>
    </row>
    <row r="2118" spans="1:1">
      <c r="A2118" s="151" t="s">
        <v>4094</v>
      </c>
    </row>
    <row r="2119" spans="1:1">
      <c r="A2119" s="151" t="s">
        <v>4095</v>
      </c>
    </row>
    <row r="2120" spans="1:1">
      <c r="A2120" s="151" t="s">
        <v>4096</v>
      </c>
    </row>
    <row r="2121" spans="1:1">
      <c r="A2121" s="151" t="s">
        <v>4097</v>
      </c>
    </row>
    <row r="2122" spans="1:1">
      <c r="A2122" s="151" t="s">
        <v>4098</v>
      </c>
    </row>
    <row r="2123" spans="1:1">
      <c r="A2123" s="151" t="s">
        <v>4099</v>
      </c>
    </row>
    <row r="2124" spans="1:1">
      <c r="A2124" s="151" t="s">
        <v>4100</v>
      </c>
    </row>
    <row r="2125" spans="1:1">
      <c r="A2125" s="151" t="s">
        <v>4101</v>
      </c>
    </row>
    <row r="2126" spans="1:1">
      <c r="A2126" s="151" t="s">
        <v>4102</v>
      </c>
    </row>
    <row r="2127" spans="1:1">
      <c r="A2127" s="151" t="s">
        <v>4103</v>
      </c>
    </row>
    <row r="2128" spans="1:1">
      <c r="A2128" s="151" t="s">
        <v>4104</v>
      </c>
    </row>
    <row r="2129" spans="1:1">
      <c r="A2129" s="151" t="s">
        <v>4105</v>
      </c>
    </row>
    <row r="2130" spans="1:1">
      <c r="A2130" s="151" t="s">
        <v>4106</v>
      </c>
    </row>
    <row r="2131" spans="1:1">
      <c r="A2131" s="151" t="s">
        <v>4107</v>
      </c>
    </row>
    <row r="2132" spans="1:1">
      <c r="A2132" s="151" t="s">
        <v>4108</v>
      </c>
    </row>
    <row r="2133" spans="1:1">
      <c r="A2133" s="151" t="s">
        <v>4109</v>
      </c>
    </row>
    <row r="2134" spans="1:1">
      <c r="A2134" s="151" t="s">
        <v>4110</v>
      </c>
    </row>
    <row r="2135" spans="1:1">
      <c r="A2135" s="151" t="s">
        <v>4111</v>
      </c>
    </row>
    <row r="2136" spans="1:1">
      <c r="A2136" s="151" t="s">
        <v>4112</v>
      </c>
    </row>
    <row r="2137" spans="1:1">
      <c r="A2137" s="151" t="s">
        <v>4113</v>
      </c>
    </row>
    <row r="2138" spans="1:1">
      <c r="A2138" s="151" t="s">
        <v>4114</v>
      </c>
    </row>
    <row r="2139" spans="1:1">
      <c r="A2139" s="151" t="s">
        <v>4115</v>
      </c>
    </row>
    <row r="2140" spans="1:1">
      <c r="A2140" s="151" t="s">
        <v>4116</v>
      </c>
    </row>
    <row r="2141" spans="1:1">
      <c r="A2141" s="151" t="s">
        <v>4117</v>
      </c>
    </row>
    <row r="2142" spans="1:1">
      <c r="A2142" s="151" t="s">
        <v>4118</v>
      </c>
    </row>
    <row r="2143" spans="1:1">
      <c r="A2143" s="151" t="s">
        <v>4119</v>
      </c>
    </row>
    <row r="2144" spans="1:1">
      <c r="A2144" s="151" t="s">
        <v>4120</v>
      </c>
    </row>
    <row r="2145" spans="1:1">
      <c r="A2145" s="151" t="s">
        <v>4121</v>
      </c>
    </row>
    <row r="2146" spans="1:1">
      <c r="A2146" s="151" t="s">
        <v>4122</v>
      </c>
    </row>
    <row r="2147" spans="1:1">
      <c r="A2147" s="151" t="s">
        <v>4123</v>
      </c>
    </row>
    <row r="2148" spans="1:1">
      <c r="A2148" s="151" t="s">
        <v>4124</v>
      </c>
    </row>
    <row r="2149" spans="1:1">
      <c r="A2149" s="151" t="s">
        <v>4125</v>
      </c>
    </row>
    <row r="2150" spans="1:1">
      <c r="A2150" s="151" t="s">
        <v>4126</v>
      </c>
    </row>
    <row r="2151" spans="1:1">
      <c r="A2151" s="151" t="s">
        <v>4127</v>
      </c>
    </row>
    <row r="2152" spans="1:1">
      <c r="A2152" s="151" t="s">
        <v>4128</v>
      </c>
    </row>
    <row r="2153" spans="1:1">
      <c r="A2153" s="151" t="s">
        <v>4129</v>
      </c>
    </row>
    <row r="2154" spans="1:1">
      <c r="A2154" s="151" t="s">
        <v>4130</v>
      </c>
    </row>
    <row r="2155" spans="1:1">
      <c r="A2155" s="151" t="s">
        <v>4131</v>
      </c>
    </row>
    <row r="2156" spans="1:1">
      <c r="A2156" s="151" t="s">
        <v>4132</v>
      </c>
    </row>
    <row r="2157" spans="1:1">
      <c r="A2157" s="151" t="s">
        <v>4133</v>
      </c>
    </row>
    <row r="2158" spans="1:1">
      <c r="A2158" s="151" t="s">
        <v>4134</v>
      </c>
    </row>
    <row r="2159" spans="1:1">
      <c r="A2159" s="151" t="s">
        <v>4135</v>
      </c>
    </row>
    <row r="2160" spans="1:1">
      <c r="A2160" s="151" t="s">
        <v>4136</v>
      </c>
    </row>
    <row r="2161" spans="1:1">
      <c r="A2161" s="151" t="s">
        <v>4137</v>
      </c>
    </row>
    <row r="2162" spans="1:1">
      <c r="A2162" s="151" t="s">
        <v>4138</v>
      </c>
    </row>
    <row r="2163" spans="1:1">
      <c r="A2163" s="151" t="s">
        <v>4139</v>
      </c>
    </row>
    <row r="2164" spans="1:1">
      <c r="A2164" s="151" t="s">
        <v>4140</v>
      </c>
    </row>
    <row r="2165" spans="1:1">
      <c r="A2165" s="151" t="s">
        <v>4141</v>
      </c>
    </row>
    <row r="2166" spans="1:1">
      <c r="A2166" s="151" t="s">
        <v>4142</v>
      </c>
    </row>
    <row r="2167" spans="1:1">
      <c r="A2167" s="151" t="s">
        <v>4143</v>
      </c>
    </row>
    <row r="2168" spans="1:1">
      <c r="A2168" s="151" t="s">
        <v>4144</v>
      </c>
    </row>
    <row r="2169" spans="1:1">
      <c r="A2169" s="151" t="s">
        <v>4145</v>
      </c>
    </row>
    <row r="2170" spans="1:1">
      <c r="A2170" s="151" t="s">
        <v>4146</v>
      </c>
    </row>
    <row r="2171" spans="1:1">
      <c r="A2171" s="151" t="s">
        <v>4147</v>
      </c>
    </row>
    <row r="2172" spans="1:1">
      <c r="A2172" s="151" t="s">
        <v>4148</v>
      </c>
    </row>
    <row r="2173" spans="1:1">
      <c r="A2173" s="151" t="s">
        <v>4149</v>
      </c>
    </row>
    <row r="2174" spans="1:1">
      <c r="A2174" s="151" t="s">
        <v>4150</v>
      </c>
    </row>
    <row r="2175" spans="1:1">
      <c r="A2175" s="151" t="s">
        <v>4151</v>
      </c>
    </row>
    <row r="2176" spans="1:1">
      <c r="A2176" s="151" t="s">
        <v>4152</v>
      </c>
    </row>
    <row r="2177" spans="1:1">
      <c r="A2177" s="151" t="s">
        <v>4153</v>
      </c>
    </row>
    <row r="2178" spans="1:1">
      <c r="A2178" s="151" t="s">
        <v>4154</v>
      </c>
    </row>
    <row r="2179" spans="1:1">
      <c r="A2179" s="151" t="s">
        <v>4155</v>
      </c>
    </row>
    <row r="2180" spans="1:1">
      <c r="A2180" s="151" t="s">
        <v>4156</v>
      </c>
    </row>
    <row r="2181" spans="1:1">
      <c r="A2181" s="151" t="s">
        <v>4157</v>
      </c>
    </row>
    <row r="2182" spans="1:1">
      <c r="A2182" s="151" t="s">
        <v>4158</v>
      </c>
    </row>
    <row r="2183" spans="1:1">
      <c r="A2183" s="151" t="s">
        <v>4159</v>
      </c>
    </row>
    <row r="2184" spans="1:1">
      <c r="A2184" s="151" t="s">
        <v>4160</v>
      </c>
    </row>
    <row r="2185" spans="1:1">
      <c r="A2185" s="151" t="s">
        <v>4161</v>
      </c>
    </row>
    <row r="2186" spans="1:1">
      <c r="A2186" s="151" t="s">
        <v>4162</v>
      </c>
    </row>
    <row r="2187" spans="1:1">
      <c r="A2187" s="151" t="s">
        <v>4163</v>
      </c>
    </row>
    <row r="2188" spans="1:1">
      <c r="A2188" s="151" t="s">
        <v>4164</v>
      </c>
    </row>
    <row r="2189" spans="1:1">
      <c r="A2189" s="151" t="s">
        <v>4165</v>
      </c>
    </row>
    <row r="2190" spans="1:1">
      <c r="A2190" s="151" t="s">
        <v>4166</v>
      </c>
    </row>
    <row r="2191" spans="1:1">
      <c r="A2191" s="151" t="s">
        <v>4167</v>
      </c>
    </row>
    <row r="2192" spans="1:1">
      <c r="A2192" s="151" t="s">
        <v>4168</v>
      </c>
    </row>
    <row r="2193" spans="1:1">
      <c r="A2193" s="151" t="s">
        <v>4169</v>
      </c>
    </row>
    <row r="2194" spans="1:1">
      <c r="A2194" s="151" t="s">
        <v>4170</v>
      </c>
    </row>
    <row r="2195" spans="1:1">
      <c r="A2195" s="151" t="s">
        <v>4171</v>
      </c>
    </row>
    <row r="2196" spans="1:1">
      <c r="A2196" s="151" t="s">
        <v>4172</v>
      </c>
    </row>
    <row r="2197" spans="1:1">
      <c r="A2197" s="151" t="s">
        <v>4173</v>
      </c>
    </row>
    <row r="2198" spans="1:1">
      <c r="A2198" s="151" t="s">
        <v>4174</v>
      </c>
    </row>
    <row r="2199" spans="1:1">
      <c r="A2199" s="151" t="s">
        <v>4175</v>
      </c>
    </row>
    <row r="2200" spans="1:1">
      <c r="A2200" s="151" t="s">
        <v>4176</v>
      </c>
    </row>
    <row r="2201" spans="1:1">
      <c r="A2201" s="151" t="s">
        <v>4177</v>
      </c>
    </row>
    <row r="2202" spans="1:1">
      <c r="A2202" s="151" t="s">
        <v>4178</v>
      </c>
    </row>
    <row r="2203" spans="1:1">
      <c r="A2203" s="151" t="s">
        <v>4179</v>
      </c>
    </row>
    <row r="2204" spans="1:1">
      <c r="A2204" s="151" t="s">
        <v>4180</v>
      </c>
    </row>
    <row r="2205" spans="1:1">
      <c r="A2205" s="151" t="s">
        <v>4181</v>
      </c>
    </row>
    <row r="2206" spans="1:1">
      <c r="A2206" s="151" t="s">
        <v>4182</v>
      </c>
    </row>
    <row r="2207" spans="1:1">
      <c r="A2207" s="151" t="s">
        <v>4183</v>
      </c>
    </row>
    <row r="2208" spans="1:1">
      <c r="A2208" s="151" t="s">
        <v>4184</v>
      </c>
    </row>
    <row r="2209" spans="1:1">
      <c r="A2209" s="151" t="s">
        <v>4185</v>
      </c>
    </row>
    <row r="2210" spans="1:1">
      <c r="A2210" s="151" t="s">
        <v>4186</v>
      </c>
    </row>
    <row r="2211" spans="1:1">
      <c r="A2211" s="151" t="s">
        <v>4187</v>
      </c>
    </row>
    <row r="2212" spans="1:1">
      <c r="A2212" s="151" t="s">
        <v>4188</v>
      </c>
    </row>
    <row r="2213" spans="1:1">
      <c r="A2213" s="151" t="s">
        <v>4189</v>
      </c>
    </row>
    <row r="2214" spans="1:1">
      <c r="A2214" s="151" t="s">
        <v>4190</v>
      </c>
    </row>
    <row r="2215" spans="1:1">
      <c r="A2215" s="151" t="s">
        <v>4191</v>
      </c>
    </row>
    <row r="2216" spans="1:1">
      <c r="A2216" s="151" t="s">
        <v>4192</v>
      </c>
    </row>
    <row r="2217" spans="1:1">
      <c r="A2217" s="151" t="s">
        <v>4193</v>
      </c>
    </row>
    <row r="2218" spans="1:1">
      <c r="A2218" s="151" t="s">
        <v>4194</v>
      </c>
    </row>
    <row r="2219" spans="1:1">
      <c r="A2219" s="151" t="s">
        <v>4195</v>
      </c>
    </row>
    <row r="2220" spans="1:1">
      <c r="A2220" s="151" t="s">
        <v>4196</v>
      </c>
    </row>
    <row r="2221" spans="1:1">
      <c r="A2221" s="151" t="s">
        <v>4197</v>
      </c>
    </row>
    <row r="2222" spans="1:1">
      <c r="A2222" s="151" t="s">
        <v>4198</v>
      </c>
    </row>
    <row r="2223" spans="1:1">
      <c r="A2223" s="151" t="s">
        <v>4199</v>
      </c>
    </row>
    <row r="2224" spans="1:1">
      <c r="A2224" s="151" t="s">
        <v>4200</v>
      </c>
    </row>
    <row r="2225" spans="1:1">
      <c r="A2225" s="151" t="s">
        <v>4201</v>
      </c>
    </row>
    <row r="2226" spans="1:1">
      <c r="A2226" s="151" t="s">
        <v>4202</v>
      </c>
    </row>
    <row r="2227" spans="1:1">
      <c r="A2227" s="151" t="s">
        <v>4203</v>
      </c>
    </row>
    <row r="2228" spans="1:1">
      <c r="A2228" s="151" t="s">
        <v>4204</v>
      </c>
    </row>
    <row r="2229" spans="1:1">
      <c r="A2229" s="151" t="s">
        <v>4205</v>
      </c>
    </row>
    <row r="2230" spans="1:1">
      <c r="A2230" s="151" t="s">
        <v>4206</v>
      </c>
    </row>
    <row r="2231" spans="1:1">
      <c r="A2231" s="151" t="s">
        <v>4207</v>
      </c>
    </row>
    <row r="2232" spans="1:1">
      <c r="A2232" s="151" t="s">
        <v>4208</v>
      </c>
    </row>
    <row r="2233" spans="1:1">
      <c r="A2233" s="151" t="s">
        <v>4209</v>
      </c>
    </row>
    <row r="2234" spans="1:1">
      <c r="A2234" s="151" t="s">
        <v>4210</v>
      </c>
    </row>
    <row r="2235" spans="1:1">
      <c r="A2235" s="151" t="s">
        <v>4211</v>
      </c>
    </row>
    <row r="2236" spans="1:1">
      <c r="A2236" s="151" t="s">
        <v>4212</v>
      </c>
    </row>
    <row r="2237" spans="1:1">
      <c r="A2237" s="151" t="s">
        <v>4213</v>
      </c>
    </row>
    <row r="2238" spans="1:1">
      <c r="A2238" s="151" t="s">
        <v>4214</v>
      </c>
    </row>
    <row r="2239" spans="1:1">
      <c r="A2239" s="151" t="s">
        <v>4215</v>
      </c>
    </row>
    <row r="2240" spans="1:1">
      <c r="A2240" s="151" t="s">
        <v>4216</v>
      </c>
    </row>
    <row r="2241" spans="1:1">
      <c r="A2241" s="151" t="s">
        <v>4217</v>
      </c>
    </row>
    <row r="2242" spans="1:1">
      <c r="A2242" s="151" t="s">
        <v>4218</v>
      </c>
    </row>
    <row r="2243" spans="1:1">
      <c r="A2243" s="151" t="s">
        <v>4219</v>
      </c>
    </row>
    <row r="2244" spans="1:1">
      <c r="A2244" s="151" t="s">
        <v>4220</v>
      </c>
    </row>
    <row r="2245" spans="1:1">
      <c r="A2245" s="151" t="s">
        <v>4221</v>
      </c>
    </row>
    <row r="2246" spans="1:1">
      <c r="A2246" s="151" t="s">
        <v>4222</v>
      </c>
    </row>
    <row r="2247" spans="1:1">
      <c r="A2247" s="151" t="s">
        <v>4223</v>
      </c>
    </row>
    <row r="2248" spans="1:1">
      <c r="A2248" s="151" t="s">
        <v>4224</v>
      </c>
    </row>
    <row r="2249" spans="1:1">
      <c r="A2249" s="151" t="s">
        <v>4225</v>
      </c>
    </row>
    <row r="2250" spans="1:1">
      <c r="A2250" s="151" t="s">
        <v>4226</v>
      </c>
    </row>
    <row r="2251" spans="1:1">
      <c r="A2251" s="151" t="s">
        <v>4227</v>
      </c>
    </row>
    <row r="2252" spans="1:1">
      <c r="A2252" s="151" t="s">
        <v>4228</v>
      </c>
    </row>
    <row r="2253" spans="1:1">
      <c r="A2253" s="151" t="s">
        <v>4229</v>
      </c>
    </row>
    <row r="2254" spans="1:1">
      <c r="A2254" s="151" t="s">
        <v>4230</v>
      </c>
    </row>
    <row r="2255" spans="1:1">
      <c r="A2255" s="151" t="s">
        <v>4231</v>
      </c>
    </row>
    <row r="2256" spans="1:1">
      <c r="A2256" s="151" t="s">
        <v>4232</v>
      </c>
    </row>
    <row r="2257" spans="1:1">
      <c r="A2257" s="151" t="s">
        <v>4233</v>
      </c>
    </row>
    <row r="2258" spans="1:1">
      <c r="A2258" s="151" t="s">
        <v>4234</v>
      </c>
    </row>
    <row r="2259" spans="1:1">
      <c r="A2259" s="151" t="s">
        <v>4235</v>
      </c>
    </row>
    <row r="2260" spans="1:1">
      <c r="A2260" s="151" t="s">
        <v>4236</v>
      </c>
    </row>
    <row r="2261" spans="1:1">
      <c r="A2261" s="151" t="s">
        <v>4237</v>
      </c>
    </row>
    <row r="2262" spans="1:1">
      <c r="A2262" s="151" t="s">
        <v>4238</v>
      </c>
    </row>
    <row r="2263" spans="1:1">
      <c r="A2263" s="151" t="s">
        <v>4239</v>
      </c>
    </row>
    <row r="2264" spans="1:1">
      <c r="A2264" s="151" t="s">
        <v>4240</v>
      </c>
    </row>
    <row r="2265" spans="1:1">
      <c r="A2265" s="151" t="s">
        <v>4241</v>
      </c>
    </row>
    <row r="2266" spans="1:1">
      <c r="A2266" s="151" t="s">
        <v>4242</v>
      </c>
    </row>
    <row r="2267" spans="1:1">
      <c r="A2267" s="151" t="s">
        <v>4243</v>
      </c>
    </row>
    <row r="2268" spans="1:1">
      <c r="A2268" s="151" t="s">
        <v>4244</v>
      </c>
    </row>
    <row r="2269" spans="1:1">
      <c r="A2269" s="151" t="s">
        <v>4245</v>
      </c>
    </row>
    <row r="2270" spans="1:1">
      <c r="A2270" s="151" t="s">
        <v>4246</v>
      </c>
    </row>
    <row r="2271" spans="1:1">
      <c r="A2271" s="151" t="s">
        <v>4247</v>
      </c>
    </row>
    <row r="2272" spans="1:1">
      <c r="A2272" s="151" t="s">
        <v>4248</v>
      </c>
    </row>
    <row r="2273" spans="1:1">
      <c r="A2273" s="151" t="s">
        <v>4249</v>
      </c>
    </row>
    <row r="2274" spans="1:1">
      <c r="A2274" s="151" t="s">
        <v>4250</v>
      </c>
    </row>
    <row r="2275" spans="1:1">
      <c r="A2275" s="151" t="s">
        <v>4251</v>
      </c>
    </row>
    <row r="2276" spans="1:1">
      <c r="A2276" s="151" t="s">
        <v>4252</v>
      </c>
    </row>
    <row r="2277" spans="1:1">
      <c r="A2277" s="151" t="s">
        <v>4253</v>
      </c>
    </row>
    <row r="2278" spans="1:1">
      <c r="A2278" s="151" t="s">
        <v>4254</v>
      </c>
    </row>
    <row r="2279" spans="1:1">
      <c r="A2279" s="151" t="s">
        <v>4255</v>
      </c>
    </row>
    <row r="2280" spans="1:1">
      <c r="A2280" s="151" t="s">
        <v>4256</v>
      </c>
    </row>
    <row r="2281" spans="1:1">
      <c r="A2281" s="151" t="s">
        <v>4257</v>
      </c>
    </row>
    <row r="2282" spans="1:1">
      <c r="A2282" s="151" t="s">
        <v>4258</v>
      </c>
    </row>
    <row r="2283" spans="1:1">
      <c r="A2283" s="151" t="s">
        <v>4259</v>
      </c>
    </row>
    <row r="2284" spans="1:1">
      <c r="A2284" s="151" t="s">
        <v>4260</v>
      </c>
    </row>
    <row r="2285" spans="1:1">
      <c r="A2285" s="151" t="s">
        <v>4261</v>
      </c>
    </row>
    <row r="2286" spans="1:1">
      <c r="A2286" s="151" t="s">
        <v>4262</v>
      </c>
    </row>
    <row r="2287" spans="1:1">
      <c r="A2287" s="151" t="s">
        <v>4263</v>
      </c>
    </row>
    <row r="2288" spans="1:1">
      <c r="A2288" s="151" t="s">
        <v>4264</v>
      </c>
    </row>
    <row r="2289" spans="1:1">
      <c r="A2289" s="151" t="s">
        <v>4265</v>
      </c>
    </row>
    <row r="2290" spans="1:1">
      <c r="A2290" s="151" t="s">
        <v>4266</v>
      </c>
    </row>
    <row r="2291" spans="1:1">
      <c r="A2291" s="151" t="s">
        <v>4267</v>
      </c>
    </row>
    <row r="2292" spans="1:1">
      <c r="A2292" s="151" t="s">
        <v>4268</v>
      </c>
    </row>
    <row r="2293" spans="1:1">
      <c r="A2293" s="151" t="s">
        <v>4269</v>
      </c>
    </row>
    <row r="2294" spans="1:1">
      <c r="A2294" s="151" t="s">
        <v>4270</v>
      </c>
    </row>
    <row r="2295" spans="1:1">
      <c r="A2295" s="151" t="s">
        <v>4271</v>
      </c>
    </row>
    <row r="2296" spans="1:1">
      <c r="A2296" s="151" t="s">
        <v>4272</v>
      </c>
    </row>
    <row r="2297" spans="1:1">
      <c r="A2297" s="151" t="s">
        <v>4273</v>
      </c>
    </row>
    <row r="2298" spans="1:1">
      <c r="A2298" s="151" t="s">
        <v>4274</v>
      </c>
    </row>
    <row r="2299" spans="1:1">
      <c r="A2299" s="151" t="s">
        <v>4275</v>
      </c>
    </row>
    <row r="2300" spans="1:1">
      <c r="A2300" s="151" t="s">
        <v>4276</v>
      </c>
    </row>
    <row r="2301" spans="1:1">
      <c r="A2301" s="151" t="s">
        <v>4277</v>
      </c>
    </row>
    <row r="2302" spans="1:1">
      <c r="A2302" s="151" t="s">
        <v>4278</v>
      </c>
    </row>
    <row r="2303" spans="1:1">
      <c r="A2303" s="151" t="s">
        <v>4279</v>
      </c>
    </row>
    <row r="2304" spans="1:1">
      <c r="A2304" s="151" t="s">
        <v>4280</v>
      </c>
    </row>
    <row r="2305" spans="1:1">
      <c r="A2305" s="151" t="s">
        <v>4281</v>
      </c>
    </row>
    <row r="2306" spans="1:1">
      <c r="A2306" s="151" t="s">
        <v>4282</v>
      </c>
    </row>
    <row r="2307" spans="1:1">
      <c r="A2307" s="151" t="s">
        <v>4283</v>
      </c>
    </row>
    <row r="2308" spans="1:1">
      <c r="A2308" s="151" t="s">
        <v>4284</v>
      </c>
    </row>
    <row r="2309" spans="1:1">
      <c r="A2309" s="151" t="s">
        <v>4285</v>
      </c>
    </row>
    <row r="2310" spans="1:1">
      <c r="A2310" s="151" t="s">
        <v>4286</v>
      </c>
    </row>
    <row r="2311" spans="1:1">
      <c r="A2311" s="151" t="s">
        <v>4287</v>
      </c>
    </row>
    <row r="2312" spans="1:1">
      <c r="A2312" s="151" t="s">
        <v>4288</v>
      </c>
    </row>
    <row r="2313" spans="1:1">
      <c r="A2313" s="151" t="s">
        <v>4289</v>
      </c>
    </row>
    <row r="2314" spans="1:1">
      <c r="A2314" s="151" t="s">
        <v>4290</v>
      </c>
    </row>
    <row r="2315" spans="1:1">
      <c r="A2315" s="151" t="s">
        <v>4291</v>
      </c>
    </row>
    <row r="2316" spans="1:1">
      <c r="A2316" s="151" t="s">
        <v>4292</v>
      </c>
    </row>
    <row r="2317" spans="1:1">
      <c r="A2317" s="151" t="s">
        <v>4293</v>
      </c>
    </row>
    <row r="2318" spans="1:1">
      <c r="A2318" s="151" t="s">
        <v>4294</v>
      </c>
    </row>
    <row r="2319" spans="1:1">
      <c r="A2319" s="151" t="s">
        <v>4295</v>
      </c>
    </row>
    <row r="2320" spans="1:1">
      <c r="A2320" s="151" t="s">
        <v>4296</v>
      </c>
    </row>
    <row r="2321" spans="1:1">
      <c r="A2321" s="151" t="s">
        <v>4297</v>
      </c>
    </row>
    <row r="2322" spans="1:1">
      <c r="A2322" s="151" t="s">
        <v>4298</v>
      </c>
    </row>
    <row r="2323" spans="1:1">
      <c r="A2323" s="151" t="s">
        <v>4299</v>
      </c>
    </row>
    <row r="2324" spans="1:1">
      <c r="A2324" s="151" t="s">
        <v>4300</v>
      </c>
    </row>
    <row r="2325" spans="1:1">
      <c r="A2325" s="151" t="s">
        <v>4301</v>
      </c>
    </row>
    <row r="2326" spans="1:1">
      <c r="A2326" s="151" t="s">
        <v>4302</v>
      </c>
    </row>
    <row r="2327" spans="1:1">
      <c r="A2327" s="151" t="s">
        <v>4303</v>
      </c>
    </row>
    <row r="2328" spans="1:1">
      <c r="A2328" s="151" t="s">
        <v>4304</v>
      </c>
    </row>
    <row r="2329" spans="1:1">
      <c r="A2329" s="151" t="s">
        <v>4305</v>
      </c>
    </row>
    <row r="2330" spans="1:1">
      <c r="A2330" s="151" t="s">
        <v>4306</v>
      </c>
    </row>
    <row r="2331" spans="1:1">
      <c r="A2331" s="151" t="s">
        <v>4307</v>
      </c>
    </row>
    <row r="2332" spans="1:1">
      <c r="A2332" s="151" t="s">
        <v>4308</v>
      </c>
    </row>
    <row r="2333" spans="1:1">
      <c r="A2333" s="151" t="s">
        <v>4309</v>
      </c>
    </row>
    <row r="2334" spans="1:1">
      <c r="A2334" s="151" t="s">
        <v>4310</v>
      </c>
    </row>
    <row r="2335" spans="1:1">
      <c r="A2335" s="151" t="s">
        <v>4311</v>
      </c>
    </row>
    <row r="2336" spans="1:1">
      <c r="A2336" s="151" t="s">
        <v>4312</v>
      </c>
    </row>
    <row r="2337" spans="1:1">
      <c r="A2337" s="151" t="s">
        <v>4313</v>
      </c>
    </row>
    <row r="2338" spans="1:1">
      <c r="A2338" s="151" t="s">
        <v>4314</v>
      </c>
    </row>
    <row r="2339" spans="1:1">
      <c r="A2339" s="151" t="s">
        <v>4315</v>
      </c>
    </row>
    <row r="2340" spans="1:1">
      <c r="A2340" s="151" t="s">
        <v>4316</v>
      </c>
    </row>
    <row r="2341" spans="1:1">
      <c r="A2341" s="151" t="s">
        <v>4317</v>
      </c>
    </row>
    <row r="2342" spans="1:1">
      <c r="A2342" s="151" t="s">
        <v>4318</v>
      </c>
    </row>
    <row r="2343" spans="1:1">
      <c r="A2343" s="151" t="s">
        <v>4319</v>
      </c>
    </row>
    <row r="2344" spans="1:1">
      <c r="A2344" s="151" t="s">
        <v>4320</v>
      </c>
    </row>
    <row r="2345" spans="1:1">
      <c r="A2345" s="151" t="s">
        <v>4321</v>
      </c>
    </row>
    <row r="2346" spans="1:1">
      <c r="A2346" s="151" t="s">
        <v>4322</v>
      </c>
    </row>
    <row r="2347" spans="1:1">
      <c r="A2347" s="151" t="s">
        <v>4323</v>
      </c>
    </row>
    <row r="2348" spans="1:1">
      <c r="A2348" s="151" t="s">
        <v>4324</v>
      </c>
    </row>
    <row r="2349" spans="1:1">
      <c r="A2349" s="151" t="s">
        <v>4325</v>
      </c>
    </row>
    <row r="2350" spans="1:1">
      <c r="A2350" s="151" t="s">
        <v>4326</v>
      </c>
    </row>
    <row r="2351" spans="1:1">
      <c r="A2351" s="151" t="s">
        <v>4327</v>
      </c>
    </row>
    <row r="2352" spans="1:1">
      <c r="A2352" s="151" t="s">
        <v>4328</v>
      </c>
    </row>
    <row r="2353" spans="1:1">
      <c r="A2353" s="151" t="s">
        <v>4329</v>
      </c>
    </row>
    <row r="2354" spans="1:1">
      <c r="A2354" s="151" t="s">
        <v>4330</v>
      </c>
    </row>
    <row r="2355" spans="1:1">
      <c r="A2355" s="151" t="s">
        <v>4331</v>
      </c>
    </row>
    <row r="2356" spans="1:1">
      <c r="A2356" s="151" t="s">
        <v>4332</v>
      </c>
    </row>
    <row r="2357" spans="1:1">
      <c r="A2357" s="151" t="s">
        <v>4333</v>
      </c>
    </row>
    <row r="2358" spans="1:1">
      <c r="A2358" s="151" t="s">
        <v>4334</v>
      </c>
    </row>
    <row r="2359" spans="1:1">
      <c r="A2359" s="151" t="s">
        <v>4335</v>
      </c>
    </row>
    <row r="2360" spans="1:1">
      <c r="A2360" s="151" t="s">
        <v>4336</v>
      </c>
    </row>
    <row r="2361" spans="1:1">
      <c r="A2361" s="151" t="s">
        <v>4337</v>
      </c>
    </row>
    <row r="2362" spans="1:1">
      <c r="A2362" s="151" t="s">
        <v>4338</v>
      </c>
    </row>
    <row r="2363" spans="1:1">
      <c r="A2363" s="151" t="s">
        <v>4339</v>
      </c>
    </row>
    <row r="2364" spans="1:1">
      <c r="A2364" s="151" t="s">
        <v>4340</v>
      </c>
    </row>
    <row r="2365" spans="1:1">
      <c r="A2365" s="151" t="s">
        <v>4341</v>
      </c>
    </row>
    <row r="2366" spans="1:1">
      <c r="A2366" s="151" t="s">
        <v>4342</v>
      </c>
    </row>
    <row r="2367" spans="1:1">
      <c r="A2367" s="151" t="s">
        <v>4343</v>
      </c>
    </row>
    <row r="2368" spans="1:1">
      <c r="A2368" s="151" t="s">
        <v>4344</v>
      </c>
    </row>
    <row r="2369" spans="1:1">
      <c r="A2369" s="151" t="s">
        <v>4345</v>
      </c>
    </row>
    <row r="2370" spans="1:1">
      <c r="A2370" s="151" t="s">
        <v>4346</v>
      </c>
    </row>
    <row r="2371" spans="1:1">
      <c r="A2371" s="151" t="s">
        <v>4347</v>
      </c>
    </row>
    <row r="2372" spans="1:1">
      <c r="A2372" s="151" t="s">
        <v>4348</v>
      </c>
    </row>
    <row r="2373" spans="1:1">
      <c r="A2373" s="151" t="s">
        <v>4349</v>
      </c>
    </row>
    <row r="2374" spans="1:1">
      <c r="A2374" s="151" t="s">
        <v>4350</v>
      </c>
    </row>
    <row r="2375" spans="1:1">
      <c r="A2375" s="151" t="s">
        <v>4351</v>
      </c>
    </row>
    <row r="2376" spans="1:1">
      <c r="A2376" s="151" t="s">
        <v>4352</v>
      </c>
    </row>
    <row r="2377" spans="1:1">
      <c r="A2377" s="151" t="s">
        <v>4353</v>
      </c>
    </row>
    <row r="2378" spans="1:1">
      <c r="A2378" s="151" t="s">
        <v>4354</v>
      </c>
    </row>
    <row r="2379" spans="1:1">
      <c r="A2379" s="151" t="s">
        <v>4355</v>
      </c>
    </row>
    <row r="2380" spans="1:1">
      <c r="A2380" s="151" t="s">
        <v>4356</v>
      </c>
    </row>
    <row r="2381" spans="1:1">
      <c r="A2381" s="151" t="s">
        <v>4357</v>
      </c>
    </row>
    <row r="2382" spans="1:1">
      <c r="A2382" s="151" t="s">
        <v>4358</v>
      </c>
    </row>
    <row r="2383" spans="1:1">
      <c r="A2383" s="151" t="s">
        <v>4359</v>
      </c>
    </row>
    <row r="2384" spans="1:1">
      <c r="A2384" s="151" t="s">
        <v>4360</v>
      </c>
    </row>
    <row r="2385" spans="1:1">
      <c r="A2385" s="151" t="s">
        <v>4361</v>
      </c>
    </row>
    <row r="2386" spans="1:1">
      <c r="A2386" s="151" t="s">
        <v>4362</v>
      </c>
    </row>
    <row r="2387" spans="1:1">
      <c r="A2387" s="151" t="s">
        <v>4363</v>
      </c>
    </row>
    <row r="2388" spans="1:1">
      <c r="A2388" s="151" t="s">
        <v>4364</v>
      </c>
    </row>
    <row r="2389" spans="1:1">
      <c r="A2389" s="151" t="s">
        <v>4365</v>
      </c>
    </row>
    <row r="2390" spans="1:1">
      <c r="A2390" s="151" t="s">
        <v>4366</v>
      </c>
    </row>
    <row r="2391" spans="1:1">
      <c r="A2391" s="151" t="s">
        <v>4367</v>
      </c>
    </row>
    <row r="2392" spans="1:1">
      <c r="A2392" s="151" t="s">
        <v>4368</v>
      </c>
    </row>
    <row r="2393" spans="1:1">
      <c r="A2393" s="151" t="s">
        <v>4369</v>
      </c>
    </row>
    <row r="2394" spans="1:1">
      <c r="A2394" s="151" t="s">
        <v>4370</v>
      </c>
    </row>
    <row r="2395" spans="1:1">
      <c r="A2395" s="151" t="s">
        <v>4371</v>
      </c>
    </row>
    <row r="2396" spans="1:1">
      <c r="A2396" s="151" t="s">
        <v>4372</v>
      </c>
    </row>
    <row r="2397" spans="1:1">
      <c r="A2397" s="151" t="s">
        <v>4373</v>
      </c>
    </row>
    <row r="2398" spans="1:1">
      <c r="A2398" s="151" t="s">
        <v>4374</v>
      </c>
    </row>
    <row r="2399" spans="1:1">
      <c r="A2399" s="151" t="s">
        <v>4375</v>
      </c>
    </row>
    <row r="2400" spans="1:1">
      <c r="A2400" s="151" t="s">
        <v>4376</v>
      </c>
    </row>
    <row r="2401" spans="1:1">
      <c r="A2401" s="151" t="s">
        <v>4377</v>
      </c>
    </row>
    <row r="2402" spans="1:1">
      <c r="A2402" s="151" t="s">
        <v>4378</v>
      </c>
    </row>
    <row r="2403" spans="1:1">
      <c r="A2403" s="151" t="s">
        <v>4379</v>
      </c>
    </row>
    <row r="2404" spans="1:1">
      <c r="A2404" s="151" t="s">
        <v>4380</v>
      </c>
    </row>
    <row r="2405" spans="1:1">
      <c r="A2405" s="151" t="s">
        <v>4381</v>
      </c>
    </row>
    <row r="2406" spans="1:1">
      <c r="A2406" s="151" t="s">
        <v>4382</v>
      </c>
    </row>
    <row r="2407" spans="1:1">
      <c r="A2407" s="151" t="s">
        <v>4383</v>
      </c>
    </row>
    <row r="2408" spans="1:1">
      <c r="A2408" s="151" t="s">
        <v>4384</v>
      </c>
    </row>
    <row r="2409" spans="1:1">
      <c r="A2409" s="151" t="s">
        <v>4385</v>
      </c>
    </row>
    <row r="2410" spans="1:1">
      <c r="A2410" s="151" t="s">
        <v>4386</v>
      </c>
    </row>
    <row r="2411" spans="1:1">
      <c r="A2411" s="151" t="s">
        <v>4387</v>
      </c>
    </row>
    <row r="2412" spans="1:1">
      <c r="A2412" s="151" t="s">
        <v>4388</v>
      </c>
    </row>
    <row r="2413" spans="1:1">
      <c r="A2413" s="151" t="s">
        <v>4389</v>
      </c>
    </row>
    <row r="2414" spans="1:1">
      <c r="A2414" s="151" t="s">
        <v>4390</v>
      </c>
    </row>
    <row r="2415" spans="1:1">
      <c r="A2415" s="151" t="s">
        <v>4391</v>
      </c>
    </row>
    <row r="2416" spans="1:1">
      <c r="A2416" s="151" t="s">
        <v>4392</v>
      </c>
    </row>
    <row r="2417" spans="1:1">
      <c r="A2417" s="151" t="s">
        <v>4393</v>
      </c>
    </row>
    <row r="2418" spans="1:1">
      <c r="A2418" s="151" t="s">
        <v>4394</v>
      </c>
    </row>
    <row r="2419" spans="1:1">
      <c r="A2419" s="151" t="s">
        <v>4395</v>
      </c>
    </row>
    <row r="2420" spans="1:1">
      <c r="A2420" s="151" t="s">
        <v>4396</v>
      </c>
    </row>
    <row r="2421" spans="1:1">
      <c r="A2421" s="151" t="s">
        <v>4397</v>
      </c>
    </row>
    <row r="2422" spans="1:1">
      <c r="A2422" s="151" t="s">
        <v>4398</v>
      </c>
    </row>
    <row r="2423" spans="1:1">
      <c r="A2423" s="151" t="s">
        <v>4399</v>
      </c>
    </row>
    <row r="2424" spans="1:1">
      <c r="A2424" s="151" t="s">
        <v>4400</v>
      </c>
    </row>
    <row r="2425" spans="1:1">
      <c r="A2425" s="151" t="s">
        <v>4401</v>
      </c>
    </row>
    <row r="2426" spans="1:1">
      <c r="A2426" s="151" t="s">
        <v>4402</v>
      </c>
    </row>
    <row r="2427" spans="1:1">
      <c r="A2427" s="151" t="s">
        <v>4403</v>
      </c>
    </row>
    <row r="2428" spans="1:1">
      <c r="A2428" s="151" t="s">
        <v>4404</v>
      </c>
    </row>
    <row r="2429" spans="1:1">
      <c r="A2429" s="151" t="s">
        <v>4405</v>
      </c>
    </row>
    <row r="2430" spans="1:1">
      <c r="A2430" s="151" t="s">
        <v>4406</v>
      </c>
    </row>
    <row r="2431" spans="1:1">
      <c r="A2431" s="151" t="s">
        <v>4407</v>
      </c>
    </row>
    <row r="2432" spans="1:1">
      <c r="A2432" s="151" t="s">
        <v>4408</v>
      </c>
    </row>
    <row r="2433" spans="1:1">
      <c r="A2433" s="151" t="s">
        <v>4409</v>
      </c>
    </row>
    <row r="2434" spans="1:1">
      <c r="A2434" s="151" t="s">
        <v>4410</v>
      </c>
    </row>
    <row r="2435" spans="1:1">
      <c r="A2435" s="151" t="s">
        <v>4411</v>
      </c>
    </row>
    <row r="2436" spans="1:1">
      <c r="A2436" s="151" t="s">
        <v>4412</v>
      </c>
    </row>
    <row r="2437" spans="1:1">
      <c r="A2437" s="151" t="s">
        <v>4413</v>
      </c>
    </row>
    <row r="2438" spans="1:1">
      <c r="A2438" s="151" t="s">
        <v>4414</v>
      </c>
    </row>
    <row r="2439" spans="1:1">
      <c r="A2439" s="151" t="s">
        <v>4415</v>
      </c>
    </row>
    <row r="2440" spans="1:1">
      <c r="A2440" s="151" t="s">
        <v>4416</v>
      </c>
    </row>
    <row r="2441" spans="1:1">
      <c r="A2441" s="151" t="s">
        <v>4417</v>
      </c>
    </row>
    <row r="2442" spans="1:1">
      <c r="A2442" s="151" t="s">
        <v>4418</v>
      </c>
    </row>
    <row r="2443" spans="1:1">
      <c r="A2443" s="151" t="s">
        <v>4419</v>
      </c>
    </row>
    <row r="2444" spans="1:1">
      <c r="A2444" s="151" t="s">
        <v>4420</v>
      </c>
    </row>
    <row r="2445" spans="1:1">
      <c r="A2445" s="151" t="s">
        <v>4421</v>
      </c>
    </row>
    <row r="2446" spans="1:1">
      <c r="A2446" s="151" t="s">
        <v>4422</v>
      </c>
    </row>
    <row r="2447" spans="1:1">
      <c r="A2447" s="151" t="s">
        <v>4423</v>
      </c>
    </row>
    <row r="2448" spans="1:1">
      <c r="A2448" s="151" t="s">
        <v>4424</v>
      </c>
    </row>
    <row r="2449" spans="1:1">
      <c r="A2449" s="151" t="s">
        <v>4425</v>
      </c>
    </row>
    <row r="2450" spans="1:1">
      <c r="A2450" s="151" t="s">
        <v>4426</v>
      </c>
    </row>
    <row r="2451" spans="1:1">
      <c r="A2451" s="151" t="s">
        <v>4427</v>
      </c>
    </row>
    <row r="2452" spans="1:1">
      <c r="A2452" s="151" t="s">
        <v>4428</v>
      </c>
    </row>
    <row r="2453" spans="1:1">
      <c r="A2453" s="151" t="s">
        <v>4429</v>
      </c>
    </row>
    <row r="2454" spans="1:1">
      <c r="A2454" s="151" t="s">
        <v>4430</v>
      </c>
    </row>
    <row r="2455" spans="1:1">
      <c r="A2455" s="151" t="s">
        <v>4431</v>
      </c>
    </row>
    <row r="2456" spans="1:1">
      <c r="A2456" s="151" t="s">
        <v>4432</v>
      </c>
    </row>
    <row r="2457" spans="1:1">
      <c r="A2457" s="151" t="s">
        <v>4433</v>
      </c>
    </row>
    <row r="2458" spans="1:1">
      <c r="A2458" s="151" t="s">
        <v>4434</v>
      </c>
    </row>
    <row r="2459" spans="1:1">
      <c r="A2459" s="151" t="s">
        <v>4435</v>
      </c>
    </row>
    <row r="2460" spans="1:1">
      <c r="A2460" s="151" t="s">
        <v>4436</v>
      </c>
    </row>
    <row r="2461" spans="1:1">
      <c r="A2461" s="151" t="s">
        <v>4437</v>
      </c>
    </row>
    <row r="2462" spans="1:1">
      <c r="A2462" s="151" t="s">
        <v>4438</v>
      </c>
    </row>
    <row r="2463" spans="1:1">
      <c r="A2463" s="151" t="s">
        <v>4439</v>
      </c>
    </row>
    <row r="2464" spans="1:1">
      <c r="A2464" s="151" t="s">
        <v>4440</v>
      </c>
    </row>
    <row r="2465" spans="1:1">
      <c r="A2465" s="151" t="s">
        <v>4441</v>
      </c>
    </row>
    <row r="2466" spans="1:1">
      <c r="A2466" s="151" t="s">
        <v>4442</v>
      </c>
    </row>
    <row r="2467" spans="1:1">
      <c r="A2467" s="151" t="s">
        <v>4443</v>
      </c>
    </row>
    <row r="2468" spans="1:1">
      <c r="A2468" s="151" t="s">
        <v>4444</v>
      </c>
    </row>
    <row r="2469" spans="1:1">
      <c r="A2469" s="151" t="s">
        <v>4445</v>
      </c>
    </row>
    <row r="2470" spans="1:1">
      <c r="A2470" s="151" t="s">
        <v>4446</v>
      </c>
    </row>
    <row r="2471" spans="1:1">
      <c r="A2471" s="151" t="s">
        <v>4447</v>
      </c>
    </row>
    <row r="2472" spans="1:1">
      <c r="A2472" s="151" t="s">
        <v>4448</v>
      </c>
    </row>
    <row r="2473" spans="1:1">
      <c r="A2473" s="151" t="s">
        <v>4449</v>
      </c>
    </row>
    <row r="2474" spans="1:1">
      <c r="A2474" s="151" t="s">
        <v>4450</v>
      </c>
    </row>
    <row r="2475" spans="1:1">
      <c r="A2475" s="151" t="s">
        <v>4451</v>
      </c>
    </row>
    <row r="2476" spans="1:1">
      <c r="A2476" s="151" t="s">
        <v>4452</v>
      </c>
    </row>
    <row r="2477" spans="1:1">
      <c r="A2477" s="151" t="s">
        <v>4453</v>
      </c>
    </row>
    <row r="2478" spans="1:1">
      <c r="A2478" s="151" t="s">
        <v>4454</v>
      </c>
    </row>
    <row r="2479" spans="1:1">
      <c r="A2479" s="151" t="s">
        <v>4455</v>
      </c>
    </row>
    <row r="2480" spans="1:1">
      <c r="A2480" s="151" t="s">
        <v>4456</v>
      </c>
    </row>
    <row r="2481" spans="1:1">
      <c r="A2481" s="151" t="s">
        <v>4457</v>
      </c>
    </row>
    <row r="2482" spans="1:1">
      <c r="A2482" s="151" t="s">
        <v>4458</v>
      </c>
    </row>
    <row r="2483" spans="1:1">
      <c r="A2483" s="151" t="s">
        <v>4459</v>
      </c>
    </row>
    <row r="2484" spans="1:1">
      <c r="A2484" s="151" t="s">
        <v>4460</v>
      </c>
    </row>
    <row r="2485" spans="1:1">
      <c r="A2485" s="151" t="s">
        <v>4461</v>
      </c>
    </row>
    <row r="2486" spans="1:1">
      <c r="A2486" s="151" t="s">
        <v>4462</v>
      </c>
    </row>
    <row r="2487" spans="1:1">
      <c r="A2487" s="151" t="s">
        <v>4463</v>
      </c>
    </row>
    <row r="2488" spans="1:1">
      <c r="A2488" s="151" t="s">
        <v>4464</v>
      </c>
    </row>
    <row r="2489" spans="1:1">
      <c r="A2489" s="151" t="s">
        <v>4465</v>
      </c>
    </row>
    <row r="2490" spans="1:1">
      <c r="A2490" s="151" t="s">
        <v>4466</v>
      </c>
    </row>
    <row r="2491" spans="1:1">
      <c r="A2491" s="151" t="s">
        <v>4467</v>
      </c>
    </row>
    <row r="2492" spans="1:1">
      <c r="A2492" s="151" t="s">
        <v>4468</v>
      </c>
    </row>
    <row r="2493" spans="1:1">
      <c r="A2493" s="151" t="s">
        <v>4469</v>
      </c>
    </row>
    <row r="2494" spans="1:1">
      <c r="A2494" s="151" t="s">
        <v>4470</v>
      </c>
    </row>
    <row r="2495" spans="1:1">
      <c r="A2495" s="151" t="s">
        <v>4471</v>
      </c>
    </row>
    <row r="2496" spans="1:1">
      <c r="A2496" s="151" t="s">
        <v>4472</v>
      </c>
    </row>
    <row r="2497" spans="1:1">
      <c r="A2497" s="151" t="s">
        <v>4473</v>
      </c>
    </row>
    <row r="2498" spans="1:1">
      <c r="A2498" s="151" t="s">
        <v>4474</v>
      </c>
    </row>
    <row r="2499" spans="1:1">
      <c r="A2499" s="151" t="s">
        <v>4475</v>
      </c>
    </row>
    <row r="2500" spans="1:1">
      <c r="A2500" s="151" t="s">
        <v>4476</v>
      </c>
    </row>
    <row r="2501" spans="1:1">
      <c r="A2501" s="151" t="s">
        <v>4477</v>
      </c>
    </row>
    <row r="2502" spans="1:1">
      <c r="A2502" s="151" t="s">
        <v>4478</v>
      </c>
    </row>
    <row r="2503" spans="1:1">
      <c r="A2503" s="151" t="s">
        <v>4479</v>
      </c>
    </row>
    <row r="2504" spans="1:1">
      <c r="A2504" s="151" t="s">
        <v>4480</v>
      </c>
    </row>
    <row r="2505" spans="1:1">
      <c r="A2505" s="151" t="s">
        <v>4481</v>
      </c>
    </row>
    <row r="2506" spans="1:1">
      <c r="A2506" s="151" t="s">
        <v>4482</v>
      </c>
    </row>
    <row r="2507" spans="1:1">
      <c r="A2507" s="151" t="s">
        <v>4483</v>
      </c>
    </row>
    <row r="2508" spans="1:1">
      <c r="A2508" s="151" t="s">
        <v>4484</v>
      </c>
    </row>
    <row r="2509" spans="1:1">
      <c r="A2509" s="151" t="s">
        <v>4485</v>
      </c>
    </row>
    <row r="2510" spans="1:1">
      <c r="A2510" s="151" t="s">
        <v>4486</v>
      </c>
    </row>
    <row r="2511" spans="1:1">
      <c r="A2511" s="151" t="s">
        <v>4487</v>
      </c>
    </row>
    <row r="2512" spans="1:1">
      <c r="A2512" s="151" t="s">
        <v>4488</v>
      </c>
    </row>
    <row r="2513" spans="1:1">
      <c r="A2513" s="151" t="s">
        <v>4489</v>
      </c>
    </row>
    <row r="2514" spans="1:1">
      <c r="A2514" s="151" t="s">
        <v>4490</v>
      </c>
    </row>
    <row r="2515" spans="1:1">
      <c r="A2515" s="151" t="s">
        <v>4491</v>
      </c>
    </row>
    <row r="2516" spans="1:1">
      <c r="A2516" s="151" t="s">
        <v>4492</v>
      </c>
    </row>
    <row r="2517" spans="1:1">
      <c r="A2517" s="151" t="s">
        <v>4493</v>
      </c>
    </row>
    <row r="2518" spans="1:1">
      <c r="A2518" s="151" t="s">
        <v>4494</v>
      </c>
    </row>
    <row r="2519" spans="1:1">
      <c r="A2519" s="151" t="s">
        <v>4495</v>
      </c>
    </row>
    <row r="2520" spans="1:1">
      <c r="A2520" s="151" t="s">
        <v>4496</v>
      </c>
    </row>
    <row r="2521" spans="1:1">
      <c r="A2521" s="151" t="s">
        <v>4497</v>
      </c>
    </row>
    <row r="2522" spans="1:1">
      <c r="A2522" s="151" t="s">
        <v>4498</v>
      </c>
    </row>
    <row r="2523" spans="1:1">
      <c r="A2523" s="151" t="s">
        <v>4499</v>
      </c>
    </row>
    <row r="2524" spans="1:1">
      <c r="A2524" s="151" t="s">
        <v>4500</v>
      </c>
    </row>
    <row r="2525" spans="1:1">
      <c r="A2525" s="151" t="s">
        <v>4501</v>
      </c>
    </row>
    <row r="2526" spans="1:1">
      <c r="A2526" s="151" t="s">
        <v>4502</v>
      </c>
    </row>
    <row r="2527" spans="1:1">
      <c r="A2527" s="151" t="s">
        <v>4503</v>
      </c>
    </row>
    <row r="2528" spans="1:1">
      <c r="A2528" s="151" t="s">
        <v>4504</v>
      </c>
    </row>
    <row r="2529" spans="1:1">
      <c r="A2529" s="151" t="s">
        <v>4505</v>
      </c>
    </row>
    <row r="2530" spans="1:1">
      <c r="A2530" s="151" t="s">
        <v>4506</v>
      </c>
    </row>
    <row r="2531" spans="1:1">
      <c r="A2531" s="151" t="s">
        <v>4507</v>
      </c>
    </row>
    <row r="2532" spans="1:1">
      <c r="A2532" s="151" t="s">
        <v>4508</v>
      </c>
    </row>
    <row r="2533" spans="1:1">
      <c r="A2533" s="151" t="s">
        <v>4509</v>
      </c>
    </row>
    <row r="2534" spans="1:1">
      <c r="A2534" s="151" t="s">
        <v>4510</v>
      </c>
    </row>
    <row r="2535" spans="1:1">
      <c r="A2535" s="151" t="s">
        <v>4511</v>
      </c>
    </row>
    <row r="2536" spans="1:1">
      <c r="A2536" s="151" t="s">
        <v>4512</v>
      </c>
    </row>
    <row r="2537" spans="1:1">
      <c r="A2537" s="151" t="s">
        <v>4513</v>
      </c>
    </row>
    <row r="2538" spans="1:1">
      <c r="A2538" s="151" t="s">
        <v>4514</v>
      </c>
    </row>
    <row r="2539" spans="1:1">
      <c r="A2539" s="151" t="s">
        <v>4515</v>
      </c>
    </row>
    <row r="2540" spans="1:1">
      <c r="A2540" s="151" t="s">
        <v>4516</v>
      </c>
    </row>
    <row r="2541" spans="1:1">
      <c r="A2541" s="151" t="s">
        <v>4517</v>
      </c>
    </row>
    <row r="2542" spans="1:1">
      <c r="A2542" s="151" t="s">
        <v>4518</v>
      </c>
    </row>
    <row r="2543" spans="1:1">
      <c r="A2543" s="151" t="s">
        <v>4519</v>
      </c>
    </row>
    <row r="2544" spans="1:1">
      <c r="A2544" s="151" t="s">
        <v>4520</v>
      </c>
    </row>
    <row r="2545" spans="1:1">
      <c r="A2545" s="151" t="s">
        <v>4521</v>
      </c>
    </row>
    <row r="2546" spans="1:1">
      <c r="A2546" s="151" t="s">
        <v>4522</v>
      </c>
    </row>
    <row r="2547" spans="1:1">
      <c r="A2547" s="151" t="s">
        <v>4523</v>
      </c>
    </row>
    <row r="2548" spans="1:1">
      <c r="A2548" s="151" t="s">
        <v>4524</v>
      </c>
    </row>
    <row r="2549" spans="1:1">
      <c r="A2549" s="151" t="s">
        <v>4525</v>
      </c>
    </row>
    <row r="2550" spans="1:1">
      <c r="A2550" s="151" t="s">
        <v>4526</v>
      </c>
    </row>
    <row r="2551" spans="1:1">
      <c r="A2551" s="151" t="s">
        <v>4527</v>
      </c>
    </row>
    <row r="2552" spans="1:1">
      <c r="A2552" s="151" t="s">
        <v>4528</v>
      </c>
    </row>
    <row r="2553" spans="1:1">
      <c r="A2553" s="151" t="s">
        <v>4529</v>
      </c>
    </row>
    <row r="2554" spans="1:1">
      <c r="A2554" s="151" t="s">
        <v>4530</v>
      </c>
    </row>
    <row r="2555" spans="1:1">
      <c r="A2555" s="151" t="s">
        <v>4531</v>
      </c>
    </row>
    <row r="2556" spans="1:1">
      <c r="A2556" s="151" t="s">
        <v>4532</v>
      </c>
    </row>
    <row r="2557" spans="1:1">
      <c r="A2557" s="151" t="s">
        <v>4533</v>
      </c>
    </row>
    <row r="2558" spans="1:1">
      <c r="A2558" s="151" t="s">
        <v>4534</v>
      </c>
    </row>
    <row r="2559" spans="1:1">
      <c r="A2559" s="151" t="s">
        <v>4535</v>
      </c>
    </row>
    <row r="2560" spans="1:1">
      <c r="A2560" s="151" t="s">
        <v>4536</v>
      </c>
    </row>
    <row r="2561" spans="1:1">
      <c r="A2561" s="151" t="s">
        <v>4537</v>
      </c>
    </row>
    <row r="2562" spans="1:1">
      <c r="A2562" s="151" t="s">
        <v>4538</v>
      </c>
    </row>
    <row r="2563" spans="1:1">
      <c r="A2563" s="151" t="s">
        <v>4539</v>
      </c>
    </row>
    <row r="2564" spans="1:1">
      <c r="A2564" s="151" t="s">
        <v>4540</v>
      </c>
    </row>
    <row r="2565" spans="1:1">
      <c r="A2565" s="151" t="s">
        <v>4541</v>
      </c>
    </row>
    <row r="2566" spans="1:1">
      <c r="A2566" s="151" t="s">
        <v>4542</v>
      </c>
    </row>
    <row r="2567" spans="1:1">
      <c r="A2567" s="151" t="s">
        <v>4543</v>
      </c>
    </row>
    <row r="2568" spans="1:1">
      <c r="A2568" s="151" t="s">
        <v>4544</v>
      </c>
    </row>
    <row r="2569" spans="1:1">
      <c r="A2569" s="151" t="s">
        <v>4545</v>
      </c>
    </row>
    <row r="2570" spans="1:1">
      <c r="A2570" s="151" t="s">
        <v>4546</v>
      </c>
    </row>
    <row r="2571" spans="1:1">
      <c r="A2571" s="151" t="s">
        <v>4547</v>
      </c>
    </row>
    <row r="2572" spans="1:1">
      <c r="A2572" s="151" t="s">
        <v>4548</v>
      </c>
    </row>
    <row r="2573" spans="1:1">
      <c r="A2573" s="151" t="s">
        <v>4549</v>
      </c>
    </row>
    <row r="2574" spans="1:1">
      <c r="A2574" s="151" t="s">
        <v>4550</v>
      </c>
    </row>
    <row r="2575" spans="1:1">
      <c r="A2575" s="151" t="s">
        <v>4551</v>
      </c>
    </row>
    <row r="2576" spans="1:1">
      <c r="A2576" s="151" t="s">
        <v>4552</v>
      </c>
    </row>
    <row r="2577" spans="1:1">
      <c r="A2577" s="151" t="s">
        <v>4553</v>
      </c>
    </row>
    <row r="2578" spans="1:1">
      <c r="A2578" s="151" t="s">
        <v>4554</v>
      </c>
    </row>
    <row r="2579" spans="1:1">
      <c r="A2579" s="151" t="s">
        <v>4555</v>
      </c>
    </row>
    <row r="2580" spans="1:1">
      <c r="A2580" s="151" t="s">
        <v>4556</v>
      </c>
    </row>
    <row r="2581" spans="1:1">
      <c r="A2581" s="151" t="s">
        <v>4557</v>
      </c>
    </row>
    <row r="2582" spans="1:1">
      <c r="A2582" s="151" t="s">
        <v>4558</v>
      </c>
    </row>
    <row r="2583" spans="1:1">
      <c r="A2583" s="151" t="s">
        <v>4559</v>
      </c>
    </row>
    <row r="2584" spans="1:1">
      <c r="A2584" s="151" t="s">
        <v>4560</v>
      </c>
    </row>
    <row r="2585" spans="1:1">
      <c r="A2585" s="151" t="s">
        <v>4561</v>
      </c>
    </row>
    <row r="2586" spans="1:1">
      <c r="A2586" s="151" t="s">
        <v>4562</v>
      </c>
    </row>
    <row r="2587" spans="1:1">
      <c r="A2587" s="151" t="s">
        <v>4563</v>
      </c>
    </row>
    <row r="2588" spans="1:1">
      <c r="A2588" s="151" t="s">
        <v>4564</v>
      </c>
    </row>
    <row r="2589" spans="1:1">
      <c r="A2589" s="151" t="s">
        <v>4565</v>
      </c>
    </row>
    <row r="2590" spans="1:1">
      <c r="A2590" s="151" t="s">
        <v>4566</v>
      </c>
    </row>
    <row r="2591" spans="1:1">
      <c r="A2591" s="151" t="s">
        <v>4567</v>
      </c>
    </row>
    <row r="2592" spans="1:1">
      <c r="A2592" s="151" t="s">
        <v>4568</v>
      </c>
    </row>
    <row r="2593" spans="1:1">
      <c r="A2593" s="151" t="s">
        <v>4569</v>
      </c>
    </row>
    <row r="2594" spans="1:1">
      <c r="A2594" s="151" t="s">
        <v>4570</v>
      </c>
    </row>
    <row r="2595" spans="1:1">
      <c r="A2595" s="151" t="s">
        <v>4571</v>
      </c>
    </row>
    <row r="2596" spans="1:1">
      <c r="A2596" s="151" t="s">
        <v>4572</v>
      </c>
    </row>
    <row r="2597" spans="1:1">
      <c r="A2597" s="151" t="s">
        <v>4573</v>
      </c>
    </row>
    <row r="2598" spans="1:1">
      <c r="A2598" s="151" t="s">
        <v>4574</v>
      </c>
    </row>
    <row r="2599" spans="1:1">
      <c r="A2599" s="151" t="s">
        <v>4575</v>
      </c>
    </row>
    <row r="2600" spans="1:1">
      <c r="A2600" s="151" t="s">
        <v>4576</v>
      </c>
    </row>
    <row r="2601" spans="1:1">
      <c r="A2601" s="151" t="s">
        <v>4577</v>
      </c>
    </row>
    <row r="2602" spans="1:1">
      <c r="A2602" s="151" t="s">
        <v>4578</v>
      </c>
    </row>
    <row r="2603" spans="1:1">
      <c r="A2603" s="151" t="s">
        <v>4579</v>
      </c>
    </row>
    <row r="2604" spans="1:1">
      <c r="A2604" s="151" t="s">
        <v>4580</v>
      </c>
    </row>
    <row r="2605" spans="1:1">
      <c r="A2605" s="151" t="s">
        <v>4581</v>
      </c>
    </row>
    <row r="2606" spans="1:1">
      <c r="A2606" s="151" t="s">
        <v>4582</v>
      </c>
    </row>
    <row r="2607" spans="1:1">
      <c r="A2607" s="151" t="s">
        <v>4583</v>
      </c>
    </row>
    <row r="2608" spans="1:1">
      <c r="A2608" s="151" t="s">
        <v>4584</v>
      </c>
    </row>
    <row r="2609" spans="1:1">
      <c r="A2609" s="151" t="s">
        <v>4585</v>
      </c>
    </row>
    <row r="2610" spans="1:1">
      <c r="A2610" s="151" t="s">
        <v>4586</v>
      </c>
    </row>
    <row r="2611" spans="1:1">
      <c r="A2611" s="151" t="s">
        <v>4587</v>
      </c>
    </row>
    <row r="2612" spans="1:1">
      <c r="A2612" s="151" t="s">
        <v>4588</v>
      </c>
    </row>
    <row r="2613" spans="1:1">
      <c r="A2613" s="151" t="s">
        <v>4589</v>
      </c>
    </row>
    <row r="2614" spans="1:1">
      <c r="A2614" s="151" t="s">
        <v>4590</v>
      </c>
    </row>
    <row r="2615" spans="1:1">
      <c r="A2615" s="151" t="s">
        <v>4591</v>
      </c>
    </row>
    <row r="2616" spans="1:1">
      <c r="A2616" s="151" t="s">
        <v>4592</v>
      </c>
    </row>
    <row r="2617" spans="1:1">
      <c r="A2617" s="151" t="s">
        <v>4593</v>
      </c>
    </row>
    <row r="2618" spans="1:1">
      <c r="A2618" s="151" t="s">
        <v>4594</v>
      </c>
    </row>
    <row r="2619" spans="1:1">
      <c r="A2619" s="151" t="s">
        <v>4595</v>
      </c>
    </row>
    <row r="2620" spans="1:1">
      <c r="A2620" s="151" t="s">
        <v>4596</v>
      </c>
    </row>
    <row r="2621" spans="1:1">
      <c r="A2621" s="151" t="s">
        <v>4597</v>
      </c>
    </row>
    <row r="2622" spans="1:1">
      <c r="A2622" s="151" t="s">
        <v>4598</v>
      </c>
    </row>
    <row r="2623" spans="1:1">
      <c r="A2623" s="151" t="s">
        <v>4599</v>
      </c>
    </row>
    <row r="2624" spans="1:1">
      <c r="A2624" s="151" t="s">
        <v>4600</v>
      </c>
    </row>
    <row r="2625" spans="1:1">
      <c r="A2625" s="151" t="s">
        <v>4601</v>
      </c>
    </row>
    <row r="2626" spans="1:1">
      <c r="A2626" s="151" t="s">
        <v>4602</v>
      </c>
    </row>
    <row r="2627" spans="1:1">
      <c r="A2627" s="151" t="s">
        <v>4603</v>
      </c>
    </row>
    <row r="2628" spans="1:1">
      <c r="A2628" s="151" t="s">
        <v>4604</v>
      </c>
    </row>
    <row r="2629" spans="1:1">
      <c r="A2629" s="151" t="s">
        <v>4605</v>
      </c>
    </row>
    <row r="2630" spans="1:1">
      <c r="A2630" s="151" t="s">
        <v>4606</v>
      </c>
    </row>
    <row r="2631" spans="1:1">
      <c r="A2631" s="151" t="s">
        <v>4607</v>
      </c>
    </row>
    <row r="2632" spans="1:1">
      <c r="A2632" s="151" t="s">
        <v>4608</v>
      </c>
    </row>
    <row r="2633" spans="1:1">
      <c r="A2633" s="151" t="s">
        <v>4609</v>
      </c>
    </row>
    <row r="2634" spans="1:1">
      <c r="A2634" s="151" t="s">
        <v>4610</v>
      </c>
    </row>
    <row r="2635" spans="1:1">
      <c r="A2635" s="151" t="s">
        <v>4611</v>
      </c>
    </row>
    <row r="2636" spans="1:1">
      <c r="A2636" s="151" t="s">
        <v>4612</v>
      </c>
    </row>
    <row r="2637" spans="1:1">
      <c r="A2637" s="151" t="s">
        <v>4613</v>
      </c>
    </row>
    <row r="2638" spans="1:1">
      <c r="A2638" s="151" t="s">
        <v>4614</v>
      </c>
    </row>
    <row r="2639" spans="1:1">
      <c r="A2639" s="151" t="s">
        <v>4615</v>
      </c>
    </row>
    <row r="2640" spans="1:1">
      <c r="A2640" s="151" t="s">
        <v>4616</v>
      </c>
    </row>
    <row r="2641" spans="1:1">
      <c r="A2641" s="151" t="s">
        <v>4617</v>
      </c>
    </row>
    <row r="2642" spans="1:1">
      <c r="A2642" s="151" t="s">
        <v>4618</v>
      </c>
    </row>
    <row r="2643" spans="1:1">
      <c r="A2643" s="151" t="s">
        <v>4619</v>
      </c>
    </row>
    <row r="2644" spans="1:1">
      <c r="A2644" s="151" t="s">
        <v>4620</v>
      </c>
    </row>
    <row r="2645" spans="1:1">
      <c r="A2645" s="151" t="s">
        <v>4621</v>
      </c>
    </row>
    <row r="2646" spans="1:1">
      <c r="A2646" s="151" t="s">
        <v>4622</v>
      </c>
    </row>
    <row r="2647" spans="1:1">
      <c r="A2647" s="151" t="s">
        <v>4623</v>
      </c>
    </row>
    <row r="2648" spans="1:1">
      <c r="A2648" s="151" t="s">
        <v>4624</v>
      </c>
    </row>
    <row r="2649" spans="1:1">
      <c r="A2649" s="151" t="s">
        <v>4625</v>
      </c>
    </row>
    <row r="2650" spans="1:1">
      <c r="A2650" s="151" t="s">
        <v>4626</v>
      </c>
    </row>
    <row r="2651" spans="1:1">
      <c r="A2651" s="151" t="s">
        <v>4627</v>
      </c>
    </row>
    <row r="2652" spans="1:1">
      <c r="A2652" s="151" t="s">
        <v>4628</v>
      </c>
    </row>
    <row r="2653" spans="1:1">
      <c r="A2653" s="151" t="s">
        <v>4629</v>
      </c>
    </row>
    <row r="2654" spans="1:1">
      <c r="A2654" s="151" t="s">
        <v>4630</v>
      </c>
    </row>
    <row r="2655" spans="1:1">
      <c r="A2655" s="151" t="s">
        <v>4631</v>
      </c>
    </row>
    <row r="2656" spans="1:1">
      <c r="A2656" s="151" t="s">
        <v>4632</v>
      </c>
    </row>
    <row r="2657" spans="1:1">
      <c r="A2657" s="151" t="s">
        <v>4633</v>
      </c>
    </row>
    <row r="2658" spans="1:1">
      <c r="A2658" s="151" t="s">
        <v>4634</v>
      </c>
    </row>
    <row r="2659" spans="1:1">
      <c r="A2659" s="151" t="s">
        <v>4635</v>
      </c>
    </row>
    <row r="2660" spans="1:1">
      <c r="A2660" s="151" t="s">
        <v>4636</v>
      </c>
    </row>
    <row r="2661" spans="1:1">
      <c r="A2661" s="151" t="s">
        <v>4637</v>
      </c>
    </row>
    <row r="2662" spans="1:1">
      <c r="A2662" s="151" t="s">
        <v>4638</v>
      </c>
    </row>
    <row r="2663" spans="1:1">
      <c r="A2663" s="151" t="s">
        <v>4639</v>
      </c>
    </row>
    <row r="2664" spans="1:1">
      <c r="A2664" s="151" t="s">
        <v>4640</v>
      </c>
    </row>
    <row r="2665" spans="1:1">
      <c r="A2665" s="151" t="s">
        <v>4641</v>
      </c>
    </row>
    <row r="2666" spans="1:1">
      <c r="A2666" s="151" t="s">
        <v>4642</v>
      </c>
    </row>
    <row r="2667" spans="1:1">
      <c r="A2667" s="151" t="s">
        <v>4643</v>
      </c>
    </row>
    <row r="2668" spans="1:1">
      <c r="A2668" s="151" t="s">
        <v>4644</v>
      </c>
    </row>
    <row r="2669" spans="1:1">
      <c r="A2669" s="151" t="s">
        <v>4645</v>
      </c>
    </row>
    <row r="2670" spans="1:1">
      <c r="A2670" s="151" t="s">
        <v>4646</v>
      </c>
    </row>
    <row r="2671" spans="1:1">
      <c r="A2671" s="151" t="s">
        <v>4647</v>
      </c>
    </row>
    <row r="2672" spans="1:1">
      <c r="A2672" s="151" t="s">
        <v>4648</v>
      </c>
    </row>
    <row r="2673" spans="1:1">
      <c r="A2673" s="151" t="s">
        <v>4649</v>
      </c>
    </row>
    <row r="2674" spans="1:1">
      <c r="A2674" s="151" t="s">
        <v>4650</v>
      </c>
    </row>
    <row r="2675" spans="1:1">
      <c r="A2675" s="151" t="s">
        <v>4651</v>
      </c>
    </row>
    <row r="2676" spans="1:1">
      <c r="A2676" s="151" t="s">
        <v>4652</v>
      </c>
    </row>
    <row r="2677" spans="1:1">
      <c r="A2677" s="151" t="s">
        <v>4653</v>
      </c>
    </row>
    <row r="2678" spans="1:1">
      <c r="A2678" s="151" t="s">
        <v>4654</v>
      </c>
    </row>
    <row r="2679" spans="1:1">
      <c r="A2679" s="151" t="s">
        <v>4655</v>
      </c>
    </row>
    <row r="2680" spans="1:1">
      <c r="A2680" s="151" t="s">
        <v>4656</v>
      </c>
    </row>
    <row r="2681" spans="1:1">
      <c r="A2681" s="151" t="s">
        <v>4657</v>
      </c>
    </row>
    <row r="2682" spans="1:1">
      <c r="A2682" s="151" t="s">
        <v>4658</v>
      </c>
    </row>
    <row r="2683" spans="1:1">
      <c r="A2683" s="151" t="s">
        <v>4659</v>
      </c>
    </row>
    <row r="2684" spans="1:1">
      <c r="A2684" s="151" t="s">
        <v>4660</v>
      </c>
    </row>
    <row r="2685" spans="1:1">
      <c r="A2685" s="151" t="s">
        <v>4661</v>
      </c>
    </row>
    <row r="2686" spans="1:1">
      <c r="A2686" s="151" t="s">
        <v>4662</v>
      </c>
    </row>
    <row r="2687" spans="1:1">
      <c r="A2687" s="151" t="s">
        <v>4663</v>
      </c>
    </row>
    <row r="2688" spans="1:1">
      <c r="A2688" s="151" t="s">
        <v>4664</v>
      </c>
    </row>
    <row r="2689" spans="1:1">
      <c r="A2689" s="151" t="s">
        <v>4665</v>
      </c>
    </row>
    <row r="2690" spans="1:1">
      <c r="A2690" s="151" t="s">
        <v>4666</v>
      </c>
    </row>
    <row r="2691" spans="1:1">
      <c r="A2691" s="151" t="s">
        <v>4667</v>
      </c>
    </row>
    <row r="2692" spans="1:1">
      <c r="A2692" s="151" t="s">
        <v>4668</v>
      </c>
    </row>
    <row r="2693" spans="1:1">
      <c r="A2693" s="151" t="s">
        <v>4669</v>
      </c>
    </row>
    <row r="2694" spans="1:1">
      <c r="A2694" s="151" t="s">
        <v>4670</v>
      </c>
    </row>
    <row r="2695" spans="1:1">
      <c r="A2695" s="151" t="s">
        <v>4671</v>
      </c>
    </row>
    <row r="2696" spans="1:1">
      <c r="A2696" s="151" t="s">
        <v>4672</v>
      </c>
    </row>
    <row r="2697" spans="1:1">
      <c r="A2697" s="151" t="s">
        <v>4673</v>
      </c>
    </row>
    <row r="2698" spans="1:1">
      <c r="A2698" s="151" t="s">
        <v>4674</v>
      </c>
    </row>
    <row r="2699" spans="1:1">
      <c r="A2699" s="151" t="s">
        <v>4675</v>
      </c>
    </row>
    <row r="2700" spans="1:1">
      <c r="A2700" s="151" t="s">
        <v>4676</v>
      </c>
    </row>
    <row r="2701" spans="1:1">
      <c r="A2701" s="151" t="s">
        <v>4677</v>
      </c>
    </row>
    <row r="2702" spans="1:1">
      <c r="A2702" s="151" t="s">
        <v>4678</v>
      </c>
    </row>
    <row r="2703" spans="1:1">
      <c r="A2703" s="151" t="s">
        <v>4679</v>
      </c>
    </row>
    <row r="2704" spans="1:1">
      <c r="A2704" s="151" t="s">
        <v>4680</v>
      </c>
    </row>
    <row r="2705" spans="1:1">
      <c r="A2705" s="151" t="s">
        <v>4681</v>
      </c>
    </row>
    <row r="2706" spans="1:1">
      <c r="A2706" s="151" t="s">
        <v>4682</v>
      </c>
    </row>
    <row r="2707" spans="1:1">
      <c r="A2707" s="151" t="s">
        <v>4683</v>
      </c>
    </row>
    <row r="2708" spans="1:1">
      <c r="A2708" s="151" t="s">
        <v>4684</v>
      </c>
    </row>
    <row r="2709" spans="1:1">
      <c r="A2709" s="151" t="s">
        <v>4685</v>
      </c>
    </row>
    <row r="2710" spans="1:1">
      <c r="A2710" s="151" t="s">
        <v>4686</v>
      </c>
    </row>
    <row r="2711" spans="1:1">
      <c r="A2711" s="151" t="s">
        <v>4687</v>
      </c>
    </row>
    <row r="2712" spans="1:1">
      <c r="A2712" s="151" t="s">
        <v>4688</v>
      </c>
    </row>
    <row r="2713" spans="1:1">
      <c r="A2713" s="151" t="s">
        <v>4689</v>
      </c>
    </row>
    <row r="2714" spans="1:1">
      <c r="A2714" s="151" t="s">
        <v>4690</v>
      </c>
    </row>
    <row r="2715" spans="1:1">
      <c r="A2715" s="151" t="s">
        <v>4691</v>
      </c>
    </row>
    <row r="2716" spans="1:1">
      <c r="A2716" s="151" t="s">
        <v>4692</v>
      </c>
    </row>
    <row r="2717" spans="1:1">
      <c r="A2717" s="151" t="s">
        <v>4693</v>
      </c>
    </row>
    <row r="2718" spans="1:1">
      <c r="A2718" s="151" t="s">
        <v>4694</v>
      </c>
    </row>
    <row r="2719" spans="1:1">
      <c r="A2719" s="151" t="s">
        <v>4695</v>
      </c>
    </row>
    <row r="2720" spans="1:1">
      <c r="A2720" s="151" t="s">
        <v>4696</v>
      </c>
    </row>
    <row r="2721" spans="1:1">
      <c r="A2721" s="151" t="s">
        <v>4697</v>
      </c>
    </row>
    <row r="2722" spans="1:1">
      <c r="A2722" s="151" t="s">
        <v>4698</v>
      </c>
    </row>
    <row r="2723" spans="1:1">
      <c r="A2723" s="151" t="s">
        <v>4699</v>
      </c>
    </row>
    <row r="2724" spans="1:1">
      <c r="A2724" s="151" t="s">
        <v>4700</v>
      </c>
    </row>
    <row r="2725" spans="1:1">
      <c r="A2725" s="151" t="s">
        <v>4701</v>
      </c>
    </row>
    <row r="2726" spans="1:1">
      <c r="A2726" s="151" t="s">
        <v>4702</v>
      </c>
    </row>
    <row r="2727" spans="1:1">
      <c r="A2727" s="151" t="s">
        <v>4703</v>
      </c>
    </row>
    <row r="2728" spans="1:1">
      <c r="A2728" s="151" t="s">
        <v>4704</v>
      </c>
    </row>
    <row r="2729" spans="1:1">
      <c r="A2729" s="151" t="s">
        <v>4705</v>
      </c>
    </row>
    <row r="2730" spans="1:1">
      <c r="A2730" s="151" t="s">
        <v>4706</v>
      </c>
    </row>
    <row r="2731" spans="1:1">
      <c r="A2731" s="151" t="s">
        <v>4707</v>
      </c>
    </row>
    <row r="2732" spans="1:1">
      <c r="A2732" s="151" t="s">
        <v>4708</v>
      </c>
    </row>
    <row r="2733" spans="1:1">
      <c r="A2733" s="151" t="s">
        <v>4709</v>
      </c>
    </row>
    <row r="2734" spans="1:1">
      <c r="A2734" s="151" t="s">
        <v>4710</v>
      </c>
    </row>
    <row r="2735" spans="1:1">
      <c r="A2735" s="151" t="s">
        <v>4711</v>
      </c>
    </row>
    <row r="2736" spans="1:1">
      <c r="A2736" s="151" t="s">
        <v>4712</v>
      </c>
    </row>
    <row r="2737" spans="1:1">
      <c r="A2737" s="151" t="s">
        <v>4713</v>
      </c>
    </row>
    <row r="2738" spans="1:1">
      <c r="A2738" s="151" t="s">
        <v>4714</v>
      </c>
    </row>
    <row r="2739" spans="1:1">
      <c r="A2739" s="151" t="s">
        <v>4715</v>
      </c>
    </row>
    <row r="2740" spans="1:1">
      <c r="A2740" s="151" t="s">
        <v>4716</v>
      </c>
    </row>
    <row r="2741" spans="1:1">
      <c r="A2741" s="151" t="s">
        <v>4717</v>
      </c>
    </row>
    <row r="2742" spans="1:1">
      <c r="A2742" s="151" t="s">
        <v>4718</v>
      </c>
    </row>
    <row r="2743" spans="1:1">
      <c r="A2743" s="151" t="s">
        <v>4719</v>
      </c>
    </row>
    <row r="2744" spans="1:1">
      <c r="A2744" s="151" t="s">
        <v>4720</v>
      </c>
    </row>
    <row r="2745" spans="1:1">
      <c r="A2745" s="151" t="s">
        <v>4721</v>
      </c>
    </row>
    <row r="2746" spans="1:1">
      <c r="A2746" s="151" t="s">
        <v>4722</v>
      </c>
    </row>
    <row r="2747" spans="1:1">
      <c r="A2747" s="151" t="s">
        <v>4723</v>
      </c>
    </row>
    <row r="2748" spans="1:1">
      <c r="A2748" s="151" t="s">
        <v>4724</v>
      </c>
    </row>
    <row r="2749" spans="1:1">
      <c r="A2749" s="151" t="s">
        <v>4725</v>
      </c>
    </row>
    <row r="2750" spans="1:1">
      <c r="A2750" s="151" t="s">
        <v>4726</v>
      </c>
    </row>
    <row r="2751" spans="1:1">
      <c r="A2751" s="151" t="s">
        <v>4727</v>
      </c>
    </row>
    <row r="2752" spans="1:1">
      <c r="A2752" s="151" t="s">
        <v>4728</v>
      </c>
    </row>
    <row r="2753" spans="1:1">
      <c r="A2753" s="151" t="s">
        <v>4729</v>
      </c>
    </row>
    <row r="2754" spans="1:1">
      <c r="A2754" s="151" t="s">
        <v>4730</v>
      </c>
    </row>
    <row r="2755" spans="1:1">
      <c r="A2755" s="151" t="s">
        <v>4731</v>
      </c>
    </row>
    <row r="2756" spans="1:1">
      <c r="A2756" s="151" t="s">
        <v>4732</v>
      </c>
    </row>
    <row r="2757" spans="1:1">
      <c r="A2757" s="151" t="s">
        <v>4733</v>
      </c>
    </row>
    <row r="2758" spans="1:1">
      <c r="A2758" s="151" t="s">
        <v>4734</v>
      </c>
    </row>
    <row r="2759" spans="1:1">
      <c r="A2759" s="151" t="s">
        <v>4735</v>
      </c>
    </row>
    <row r="2760" spans="1:1">
      <c r="A2760" s="151" t="s">
        <v>4736</v>
      </c>
    </row>
    <row r="2761" spans="1:1">
      <c r="A2761" s="151" t="s">
        <v>4737</v>
      </c>
    </row>
    <row r="2762" spans="1:1">
      <c r="A2762" s="151" t="s">
        <v>4738</v>
      </c>
    </row>
    <row r="2763" spans="1:1">
      <c r="A2763" s="151" t="s">
        <v>4739</v>
      </c>
    </row>
    <row r="2764" spans="1:1">
      <c r="A2764" s="151" t="s">
        <v>4740</v>
      </c>
    </row>
    <row r="2765" spans="1:1">
      <c r="A2765" s="151" t="s">
        <v>4741</v>
      </c>
    </row>
    <row r="2766" spans="1:1">
      <c r="A2766" s="151" t="s">
        <v>4742</v>
      </c>
    </row>
    <row r="2767" spans="1:1">
      <c r="A2767" s="151" t="s">
        <v>4743</v>
      </c>
    </row>
    <row r="2768" spans="1:1">
      <c r="A2768" s="151" t="s">
        <v>4744</v>
      </c>
    </row>
    <row r="2769" spans="1:1">
      <c r="A2769" s="151" t="s">
        <v>4745</v>
      </c>
    </row>
    <row r="2770" spans="1:1">
      <c r="A2770" s="151" t="s">
        <v>4746</v>
      </c>
    </row>
    <row r="2771" spans="1:1">
      <c r="A2771" s="151" t="s">
        <v>4747</v>
      </c>
    </row>
    <row r="2772" spans="1:1">
      <c r="A2772" s="151" t="s">
        <v>4748</v>
      </c>
    </row>
    <row r="2773" spans="1:1">
      <c r="A2773" s="151" t="s">
        <v>4749</v>
      </c>
    </row>
    <row r="2774" spans="1:1">
      <c r="A2774" s="151" t="s">
        <v>4750</v>
      </c>
    </row>
    <row r="2775" spans="1:1">
      <c r="A2775" s="151" t="s">
        <v>4751</v>
      </c>
    </row>
    <row r="2776" spans="1:1">
      <c r="A2776" s="151" t="s">
        <v>4752</v>
      </c>
    </row>
    <row r="2777" spans="1:1">
      <c r="A2777" s="151" t="s">
        <v>4753</v>
      </c>
    </row>
    <row r="2778" spans="1:1">
      <c r="A2778" s="151" t="s">
        <v>4754</v>
      </c>
    </row>
    <row r="2779" spans="1:1">
      <c r="A2779" s="151" t="s">
        <v>4755</v>
      </c>
    </row>
    <row r="2780" spans="1:1">
      <c r="A2780" s="151" t="s">
        <v>4756</v>
      </c>
    </row>
    <row r="2781" spans="1:1">
      <c r="A2781" s="151" t="s">
        <v>4757</v>
      </c>
    </row>
    <row r="2782" spans="1:1">
      <c r="A2782" s="151" t="s">
        <v>4758</v>
      </c>
    </row>
    <row r="2783" spans="1:1">
      <c r="A2783" s="151" t="s">
        <v>4759</v>
      </c>
    </row>
    <row r="2784" spans="1:1">
      <c r="A2784" s="151" t="s">
        <v>4760</v>
      </c>
    </row>
    <row r="2785" spans="1:1">
      <c r="A2785" s="151" t="s">
        <v>4761</v>
      </c>
    </row>
    <row r="2786" spans="1:1">
      <c r="A2786" s="151" t="s">
        <v>4762</v>
      </c>
    </row>
    <row r="2787" spans="1:1">
      <c r="A2787" s="151" t="s">
        <v>4763</v>
      </c>
    </row>
    <row r="2788" spans="1:1">
      <c r="A2788" s="151" t="s">
        <v>4764</v>
      </c>
    </row>
    <row r="2789" spans="1:1">
      <c r="A2789" s="151" t="s">
        <v>4765</v>
      </c>
    </row>
    <row r="2790" spans="1:1">
      <c r="A2790" s="151" t="s">
        <v>4766</v>
      </c>
    </row>
    <row r="2791" spans="1:1">
      <c r="A2791" s="151" t="s">
        <v>4767</v>
      </c>
    </row>
    <row r="2792" spans="1:1">
      <c r="A2792" s="151" t="s">
        <v>4768</v>
      </c>
    </row>
    <row r="2793" spans="1:1">
      <c r="A2793" s="151" t="s">
        <v>4769</v>
      </c>
    </row>
    <row r="2794" spans="1:1">
      <c r="A2794" s="151" t="s">
        <v>4770</v>
      </c>
    </row>
    <row r="2795" spans="1:1">
      <c r="A2795" s="151" t="s">
        <v>4771</v>
      </c>
    </row>
    <row r="2796" spans="1:1">
      <c r="A2796" s="151" t="s">
        <v>4772</v>
      </c>
    </row>
    <row r="2797" spans="1:1">
      <c r="A2797" s="151" t="s">
        <v>4773</v>
      </c>
    </row>
    <row r="2798" spans="1:1">
      <c r="A2798" s="151" t="s">
        <v>4774</v>
      </c>
    </row>
    <row r="2799" spans="1:1">
      <c r="A2799" s="151" t="s">
        <v>4775</v>
      </c>
    </row>
    <row r="2800" spans="1:1">
      <c r="A2800" s="151" t="s">
        <v>4776</v>
      </c>
    </row>
    <row r="2801" spans="1:1">
      <c r="A2801" s="151" t="s">
        <v>4777</v>
      </c>
    </row>
    <row r="2802" spans="1:1">
      <c r="A2802" s="151" t="s">
        <v>4778</v>
      </c>
    </row>
    <row r="2803" spans="1:1">
      <c r="A2803" s="151" t="s">
        <v>4779</v>
      </c>
    </row>
    <row r="2804" spans="1:1">
      <c r="A2804" s="151" t="s">
        <v>4780</v>
      </c>
    </row>
    <row r="2805" spans="1:1">
      <c r="A2805" s="151" t="s">
        <v>4781</v>
      </c>
    </row>
    <row r="2806" spans="1:1">
      <c r="A2806" s="151" t="s">
        <v>4782</v>
      </c>
    </row>
    <row r="2807" spans="1:1">
      <c r="A2807" s="151" t="s">
        <v>4783</v>
      </c>
    </row>
    <row r="2808" spans="1:1">
      <c r="A2808" s="151" t="s">
        <v>4784</v>
      </c>
    </row>
    <row r="2809" spans="1:1">
      <c r="A2809" s="151" t="s">
        <v>4785</v>
      </c>
    </row>
    <row r="2810" spans="1:1">
      <c r="A2810" s="151" t="s">
        <v>4786</v>
      </c>
    </row>
    <row r="2811" spans="1:1">
      <c r="A2811" s="151" t="s">
        <v>4787</v>
      </c>
    </row>
    <row r="2812" spans="1:1">
      <c r="A2812" s="151" t="s">
        <v>4788</v>
      </c>
    </row>
    <row r="2813" spans="1:1">
      <c r="A2813" s="151" t="s">
        <v>4789</v>
      </c>
    </row>
    <row r="2814" spans="1:1">
      <c r="A2814" s="151" t="s">
        <v>4790</v>
      </c>
    </row>
    <row r="2815" spans="1:1">
      <c r="A2815" s="151" t="s">
        <v>4791</v>
      </c>
    </row>
    <row r="2816" spans="1:1">
      <c r="A2816" s="151" t="s">
        <v>4792</v>
      </c>
    </row>
    <row r="2817" spans="1:1">
      <c r="A2817" s="151" t="s">
        <v>4793</v>
      </c>
    </row>
    <row r="2818" spans="1:1">
      <c r="A2818" s="151" t="s">
        <v>4794</v>
      </c>
    </row>
    <row r="2819" spans="1:1">
      <c r="A2819" s="151" t="s">
        <v>4795</v>
      </c>
    </row>
    <row r="2820" spans="1:1">
      <c r="A2820" s="151" t="s">
        <v>4796</v>
      </c>
    </row>
    <row r="2821" spans="1:1">
      <c r="A2821" s="151" t="s">
        <v>4797</v>
      </c>
    </row>
    <row r="2822" spans="1:1">
      <c r="A2822" s="151" t="s">
        <v>4798</v>
      </c>
    </row>
    <row r="2823" spans="1:1">
      <c r="A2823" s="151" t="s">
        <v>4799</v>
      </c>
    </row>
    <row r="2824" spans="1:1">
      <c r="A2824" s="151" t="s">
        <v>4800</v>
      </c>
    </row>
    <row r="2825" spans="1:1">
      <c r="A2825" s="151" t="s">
        <v>4801</v>
      </c>
    </row>
    <row r="2826" spans="1:1">
      <c r="A2826" s="151" t="s">
        <v>4802</v>
      </c>
    </row>
    <row r="2827" spans="1:1">
      <c r="A2827" s="151" t="s">
        <v>4803</v>
      </c>
    </row>
    <row r="2828" spans="1:1">
      <c r="A2828" s="151" t="s">
        <v>4804</v>
      </c>
    </row>
    <row r="2829" spans="1:1">
      <c r="A2829" s="151" t="s">
        <v>4805</v>
      </c>
    </row>
    <row r="2830" spans="1:1">
      <c r="A2830" s="151" t="s">
        <v>4806</v>
      </c>
    </row>
    <row r="2831" spans="1:1">
      <c r="A2831" s="151" t="s">
        <v>4807</v>
      </c>
    </row>
    <row r="2832" spans="1:1">
      <c r="A2832" s="151" t="s">
        <v>4808</v>
      </c>
    </row>
    <row r="2833" spans="1:1">
      <c r="A2833" s="151" t="s">
        <v>4809</v>
      </c>
    </row>
    <row r="2834" spans="1:1">
      <c r="A2834" s="151" t="s">
        <v>4810</v>
      </c>
    </row>
    <row r="2835" spans="1:1">
      <c r="A2835" s="151" t="s">
        <v>4811</v>
      </c>
    </row>
    <row r="2836" spans="1:1">
      <c r="A2836" s="151" t="s">
        <v>4812</v>
      </c>
    </row>
    <row r="2837" spans="1:1">
      <c r="A2837" s="151" t="s">
        <v>4813</v>
      </c>
    </row>
    <row r="2838" spans="1:1">
      <c r="A2838" s="151" t="s">
        <v>4814</v>
      </c>
    </row>
    <row r="2839" spans="1:1">
      <c r="A2839" s="151" t="s">
        <v>4815</v>
      </c>
    </row>
    <row r="2840" spans="1:1">
      <c r="A2840" s="151" t="s">
        <v>4816</v>
      </c>
    </row>
    <row r="2841" spans="1:1">
      <c r="A2841" s="151" t="s">
        <v>4817</v>
      </c>
    </row>
    <row r="2842" spans="1:1">
      <c r="A2842" s="151" t="s">
        <v>4818</v>
      </c>
    </row>
    <row r="2843" spans="1:1">
      <c r="A2843" s="151" t="s">
        <v>4819</v>
      </c>
    </row>
    <row r="2844" spans="1:1">
      <c r="A2844" s="151" t="s">
        <v>4820</v>
      </c>
    </row>
    <row r="2845" spans="1:1">
      <c r="A2845" s="151" t="s">
        <v>4821</v>
      </c>
    </row>
    <row r="2846" spans="1:1">
      <c r="A2846" s="151" t="s">
        <v>4822</v>
      </c>
    </row>
    <row r="2847" spans="1:1">
      <c r="A2847" s="151" t="s">
        <v>4823</v>
      </c>
    </row>
    <row r="2848" spans="1:1">
      <c r="A2848" s="151" t="s">
        <v>4824</v>
      </c>
    </row>
    <row r="2849" spans="1:1">
      <c r="A2849" s="151" t="s">
        <v>4825</v>
      </c>
    </row>
    <row r="2850" spans="1:1">
      <c r="A2850" s="151" t="s">
        <v>4826</v>
      </c>
    </row>
    <row r="2851" spans="1:1">
      <c r="A2851" s="151" t="s">
        <v>4827</v>
      </c>
    </row>
    <row r="2852" spans="1:1">
      <c r="A2852" s="151" t="s">
        <v>4828</v>
      </c>
    </row>
    <row r="2853" spans="1:1">
      <c r="A2853" s="151" t="s">
        <v>4829</v>
      </c>
    </row>
    <row r="2854" spans="1:1">
      <c r="A2854" s="151" t="s">
        <v>4830</v>
      </c>
    </row>
    <row r="2855" spans="1:1">
      <c r="A2855" s="151" t="s">
        <v>4831</v>
      </c>
    </row>
    <row r="2856" spans="1:1">
      <c r="A2856" s="151" t="s">
        <v>4832</v>
      </c>
    </row>
    <row r="2857" spans="1:1">
      <c r="A2857" s="151" t="s">
        <v>4833</v>
      </c>
    </row>
    <row r="2858" spans="1:1">
      <c r="A2858" s="151" t="s">
        <v>4834</v>
      </c>
    </row>
    <row r="2859" spans="1:1">
      <c r="A2859" s="151" t="s">
        <v>4835</v>
      </c>
    </row>
    <row r="2860" spans="1:1">
      <c r="A2860" s="151" t="s">
        <v>4836</v>
      </c>
    </row>
    <row r="2861" spans="1:1">
      <c r="A2861" s="151" t="s">
        <v>4837</v>
      </c>
    </row>
    <row r="2862" spans="1:1">
      <c r="A2862" s="151" t="s">
        <v>4838</v>
      </c>
    </row>
    <row r="2863" spans="1:1">
      <c r="A2863" s="151" t="s">
        <v>4839</v>
      </c>
    </row>
    <row r="2864" spans="1:1">
      <c r="A2864" s="151" t="s">
        <v>4840</v>
      </c>
    </row>
    <row r="2865" spans="1:1">
      <c r="A2865" s="151" t="s">
        <v>4841</v>
      </c>
    </row>
    <row r="2866" spans="1:1">
      <c r="A2866" s="151" t="s">
        <v>4842</v>
      </c>
    </row>
    <row r="2867" spans="1:1">
      <c r="A2867" s="151" t="s">
        <v>4843</v>
      </c>
    </row>
    <row r="2868" spans="1:1">
      <c r="A2868" s="151" t="s">
        <v>4844</v>
      </c>
    </row>
    <row r="2869" spans="1:1">
      <c r="A2869" s="151" t="s">
        <v>4845</v>
      </c>
    </row>
    <row r="2870" spans="1:1">
      <c r="A2870" s="151" t="s">
        <v>4846</v>
      </c>
    </row>
    <row r="2871" spans="1:1">
      <c r="A2871" s="151" t="s">
        <v>4847</v>
      </c>
    </row>
    <row r="2872" spans="1:1">
      <c r="A2872" s="151" t="s">
        <v>4848</v>
      </c>
    </row>
    <row r="2873" spans="1:1">
      <c r="A2873" s="151" t="s">
        <v>4849</v>
      </c>
    </row>
    <row r="2874" spans="1:1">
      <c r="A2874" s="151" t="s">
        <v>4850</v>
      </c>
    </row>
    <row r="2875" spans="1:1">
      <c r="A2875" s="151" t="s">
        <v>4851</v>
      </c>
    </row>
    <row r="2876" spans="1:1">
      <c r="A2876" s="151" t="s">
        <v>4852</v>
      </c>
    </row>
    <row r="2877" spans="1:1">
      <c r="A2877" s="151" t="s">
        <v>4853</v>
      </c>
    </row>
    <row r="2878" spans="1:1">
      <c r="A2878" s="151" t="s">
        <v>4854</v>
      </c>
    </row>
    <row r="2879" spans="1:1">
      <c r="A2879" s="151" t="s">
        <v>4855</v>
      </c>
    </row>
    <row r="2880" spans="1:1">
      <c r="A2880" s="151" t="s">
        <v>4856</v>
      </c>
    </row>
    <row r="2881" spans="1:1">
      <c r="A2881" s="151" t="s">
        <v>4857</v>
      </c>
    </row>
    <row r="2882" spans="1:1">
      <c r="A2882" s="151" t="s">
        <v>4858</v>
      </c>
    </row>
    <row r="2883" spans="1:1">
      <c r="A2883" s="151" t="s">
        <v>4859</v>
      </c>
    </row>
    <row r="2884" spans="1:1">
      <c r="A2884" s="151" t="s">
        <v>4860</v>
      </c>
    </row>
    <row r="2885" spans="1:1">
      <c r="A2885" s="151" t="s">
        <v>4861</v>
      </c>
    </row>
    <row r="2886" spans="1:1">
      <c r="A2886" s="151" t="s">
        <v>4862</v>
      </c>
    </row>
    <row r="2887" spans="1:1">
      <c r="A2887" s="151" t="s">
        <v>4863</v>
      </c>
    </row>
    <row r="2888" spans="1:1">
      <c r="A2888" s="151" t="s">
        <v>4864</v>
      </c>
    </row>
    <row r="2889" spans="1:1">
      <c r="A2889" s="151" t="s">
        <v>4865</v>
      </c>
    </row>
    <row r="2890" spans="1:1">
      <c r="A2890" s="151" t="s">
        <v>4866</v>
      </c>
    </row>
    <row r="2891" spans="1:1">
      <c r="A2891" s="151" t="s">
        <v>4867</v>
      </c>
    </row>
    <row r="2892" spans="1:1">
      <c r="A2892" s="151" t="s">
        <v>4868</v>
      </c>
    </row>
    <row r="2893" spans="1:1">
      <c r="A2893" s="151" t="s">
        <v>4869</v>
      </c>
    </row>
    <row r="2894" spans="1:1">
      <c r="A2894" s="151" t="s">
        <v>4870</v>
      </c>
    </row>
    <row r="2895" spans="1:1">
      <c r="A2895" s="151" t="s">
        <v>4871</v>
      </c>
    </row>
    <row r="2896" spans="1:1">
      <c r="A2896" s="151" t="s">
        <v>4872</v>
      </c>
    </row>
    <row r="2897" spans="1:1">
      <c r="A2897" s="151" t="s">
        <v>4873</v>
      </c>
    </row>
    <row r="2898" spans="1:1">
      <c r="A2898" s="151" t="s">
        <v>4874</v>
      </c>
    </row>
    <row r="2899" spans="1:1">
      <c r="A2899" s="151" t="s">
        <v>4875</v>
      </c>
    </row>
    <row r="2900" spans="1:1">
      <c r="A2900" s="151" t="s">
        <v>4876</v>
      </c>
    </row>
    <row r="2901" spans="1:1">
      <c r="A2901" s="151" t="s">
        <v>4877</v>
      </c>
    </row>
    <row r="2902" spans="1:1">
      <c r="A2902" s="151" t="s">
        <v>4878</v>
      </c>
    </row>
    <row r="2903" spans="1:1">
      <c r="A2903" s="151" t="s">
        <v>4879</v>
      </c>
    </row>
    <row r="2904" spans="1:1">
      <c r="A2904" s="151" t="s">
        <v>4880</v>
      </c>
    </row>
    <row r="2905" spans="1:1">
      <c r="A2905" s="151" t="s">
        <v>4881</v>
      </c>
    </row>
    <row r="2906" spans="1:1">
      <c r="A2906" s="151" t="s">
        <v>4882</v>
      </c>
    </row>
    <row r="2907" spans="1:1">
      <c r="A2907" s="151" t="s">
        <v>4883</v>
      </c>
    </row>
    <row r="2908" spans="1:1">
      <c r="A2908" s="151" t="s">
        <v>4884</v>
      </c>
    </row>
    <row r="2909" spans="1:1">
      <c r="A2909" s="151" t="s">
        <v>4885</v>
      </c>
    </row>
    <row r="2910" spans="1:1">
      <c r="A2910" s="151" t="s">
        <v>4886</v>
      </c>
    </row>
    <row r="2911" spans="1:1">
      <c r="A2911" s="151" t="s">
        <v>4887</v>
      </c>
    </row>
    <row r="2912" spans="1:1">
      <c r="A2912" s="151" t="s">
        <v>4888</v>
      </c>
    </row>
    <row r="2913" spans="1:1">
      <c r="A2913" s="151" t="s">
        <v>4889</v>
      </c>
    </row>
    <row r="2914" spans="1:1">
      <c r="A2914" s="151" t="s">
        <v>4890</v>
      </c>
    </row>
    <row r="2915" spans="1:1">
      <c r="A2915" s="151" t="s">
        <v>4891</v>
      </c>
    </row>
    <row r="2916" spans="1:1">
      <c r="A2916" s="151" t="s">
        <v>4892</v>
      </c>
    </row>
    <row r="2917" spans="1:1">
      <c r="A2917" s="151" t="s">
        <v>4893</v>
      </c>
    </row>
    <row r="2918" spans="1:1">
      <c r="A2918" s="151" t="s">
        <v>4894</v>
      </c>
    </row>
    <row r="2919" spans="1:1">
      <c r="A2919" s="151" t="s">
        <v>4895</v>
      </c>
    </row>
    <row r="2920" spans="1:1">
      <c r="A2920" s="151" t="s">
        <v>4896</v>
      </c>
    </row>
    <row r="2921" spans="1:1">
      <c r="A2921" s="151" t="s">
        <v>4897</v>
      </c>
    </row>
    <row r="2922" spans="1:1">
      <c r="A2922" s="151" t="s">
        <v>4898</v>
      </c>
    </row>
    <row r="2923" spans="1:1">
      <c r="A2923" s="151" t="s">
        <v>4899</v>
      </c>
    </row>
    <row r="2924" spans="1:1">
      <c r="A2924" s="151" t="s">
        <v>4900</v>
      </c>
    </row>
    <row r="2925" spans="1:1">
      <c r="A2925" s="151" t="s">
        <v>4901</v>
      </c>
    </row>
    <row r="2926" spans="1:1">
      <c r="A2926" s="151" t="s">
        <v>4902</v>
      </c>
    </row>
    <row r="2927" spans="1:1">
      <c r="A2927" s="151" t="s">
        <v>4903</v>
      </c>
    </row>
    <row r="2928" spans="1:1">
      <c r="A2928" s="151" t="s">
        <v>4904</v>
      </c>
    </row>
    <row r="2929" spans="1:1">
      <c r="A2929" s="151" t="s">
        <v>4905</v>
      </c>
    </row>
    <row r="2930" spans="1:1">
      <c r="A2930" s="151" t="s">
        <v>4906</v>
      </c>
    </row>
    <row r="2931" spans="1:1">
      <c r="A2931" s="151" t="s">
        <v>4907</v>
      </c>
    </row>
    <row r="2932" spans="1:1">
      <c r="A2932" s="151" t="s">
        <v>4908</v>
      </c>
    </row>
    <row r="2933" spans="1:1">
      <c r="A2933" s="151" t="s">
        <v>4909</v>
      </c>
    </row>
    <row r="2934" spans="1:1">
      <c r="A2934" s="151" t="s">
        <v>4910</v>
      </c>
    </row>
    <row r="2935" spans="1:1">
      <c r="A2935" s="151" t="s">
        <v>4911</v>
      </c>
    </row>
    <row r="2936" spans="1:1">
      <c r="A2936" s="151" t="s">
        <v>4912</v>
      </c>
    </row>
    <row r="2937" spans="1:1">
      <c r="A2937" s="151" t="s">
        <v>4913</v>
      </c>
    </row>
    <row r="2938" spans="1:1">
      <c r="A2938" s="151" t="s">
        <v>4914</v>
      </c>
    </row>
    <row r="2939" spans="1:1">
      <c r="A2939" s="151" t="s">
        <v>4915</v>
      </c>
    </row>
    <row r="2940" spans="1:1">
      <c r="A2940" s="151" t="s">
        <v>4916</v>
      </c>
    </row>
    <row r="2941" spans="1:1">
      <c r="A2941" s="151" t="s">
        <v>4917</v>
      </c>
    </row>
    <row r="2942" spans="1:1">
      <c r="A2942" s="151" t="s">
        <v>4918</v>
      </c>
    </row>
    <row r="2943" spans="1:1">
      <c r="A2943" s="151" t="s">
        <v>4919</v>
      </c>
    </row>
    <row r="2944" spans="1:1">
      <c r="A2944" s="151" t="s">
        <v>4920</v>
      </c>
    </row>
    <row r="2945" spans="1:1">
      <c r="A2945" s="151" t="s">
        <v>4921</v>
      </c>
    </row>
    <row r="2946" spans="1:1">
      <c r="A2946" s="151" t="s">
        <v>4922</v>
      </c>
    </row>
    <row r="2947" spans="1:1">
      <c r="A2947" s="151" t="s">
        <v>4923</v>
      </c>
    </row>
    <row r="2948" spans="1:1">
      <c r="A2948" s="151" t="s">
        <v>4924</v>
      </c>
    </row>
    <row r="2949" spans="1:1">
      <c r="A2949" s="151" t="s">
        <v>4925</v>
      </c>
    </row>
    <row r="2950" spans="1:1">
      <c r="A2950" s="151" t="s">
        <v>4926</v>
      </c>
    </row>
    <row r="2951" spans="1:1">
      <c r="A2951" s="151" t="s">
        <v>4927</v>
      </c>
    </row>
    <row r="2952" spans="1:1">
      <c r="A2952" s="151" t="s">
        <v>4928</v>
      </c>
    </row>
    <row r="2953" spans="1:1">
      <c r="A2953" s="151" t="s">
        <v>4929</v>
      </c>
    </row>
    <row r="2954" spans="1:1">
      <c r="A2954" s="151" t="s">
        <v>4930</v>
      </c>
    </row>
    <row r="2955" spans="1:1">
      <c r="A2955" s="151" t="s">
        <v>4931</v>
      </c>
    </row>
    <row r="2956" spans="1:1">
      <c r="A2956" s="151" t="s">
        <v>4932</v>
      </c>
    </row>
    <row r="2957" spans="1:1">
      <c r="A2957" s="151" t="s">
        <v>4933</v>
      </c>
    </row>
    <row r="2958" spans="1:1">
      <c r="A2958" s="151" t="s">
        <v>4934</v>
      </c>
    </row>
    <row r="2959" spans="1:1">
      <c r="A2959" s="151" t="s">
        <v>4935</v>
      </c>
    </row>
    <row r="2960" spans="1:1">
      <c r="A2960" s="151" t="s">
        <v>4936</v>
      </c>
    </row>
    <row r="2961" spans="1:1">
      <c r="A2961" s="151" t="s">
        <v>4937</v>
      </c>
    </row>
    <row r="2962" spans="1:1">
      <c r="A2962" s="151" t="s">
        <v>4938</v>
      </c>
    </row>
    <row r="2963" spans="1:1">
      <c r="A2963" s="151" t="s">
        <v>4939</v>
      </c>
    </row>
    <row r="2964" spans="1:1">
      <c r="A2964" s="151" t="s">
        <v>4940</v>
      </c>
    </row>
    <row r="2965" spans="1:1">
      <c r="A2965" s="151" t="s">
        <v>4941</v>
      </c>
    </row>
    <row r="2966" spans="1:1">
      <c r="A2966" s="151" t="s">
        <v>4942</v>
      </c>
    </row>
    <row r="2967" spans="1:1">
      <c r="A2967" s="151" t="s">
        <v>4943</v>
      </c>
    </row>
    <row r="2968" spans="1:1">
      <c r="A2968" s="151" t="s">
        <v>4944</v>
      </c>
    </row>
    <row r="2969" spans="1:1">
      <c r="A2969" s="151" t="s">
        <v>4945</v>
      </c>
    </row>
    <row r="2970" spans="1:1">
      <c r="A2970" s="151" t="s">
        <v>4946</v>
      </c>
    </row>
    <row r="2971" spans="1:1">
      <c r="A2971" s="151" t="s">
        <v>4947</v>
      </c>
    </row>
    <row r="2972" spans="1:1">
      <c r="A2972" s="151" t="s">
        <v>4948</v>
      </c>
    </row>
    <row r="2973" spans="1:1">
      <c r="A2973" s="151" t="s">
        <v>4949</v>
      </c>
    </row>
    <row r="2974" spans="1:1">
      <c r="A2974" s="151" t="s">
        <v>4950</v>
      </c>
    </row>
    <row r="2975" spans="1:1">
      <c r="A2975" s="151" t="s">
        <v>4951</v>
      </c>
    </row>
    <row r="2976" spans="1:1">
      <c r="A2976" s="151" t="s">
        <v>4952</v>
      </c>
    </row>
    <row r="2977" spans="1:1">
      <c r="A2977" s="151" t="s">
        <v>4953</v>
      </c>
    </row>
    <row r="2978" spans="1:1">
      <c r="A2978" s="151" t="s">
        <v>4954</v>
      </c>
    </row>
    <row r="2979" spans="1:1">
      <c r="A2979" s="151" t="s">
        <v>4955</v>
      </c>
    </row>
    <row r="2980" spans="1:1">
      <c r="A2980" s="151" t="s">
        <v>4956</v>
      </c>
    </row>
    <row r="2981" spans="1:1">
      <c r="A2981" s="151" t="s">
        <v>4957</v>
      </c>
    </row>
    <row r="2982" spans="1:1">
      <c r="A2982" s="151" t="s">
        <v>4958</v>
      </c>
    </row>
    <row r="2983" spans="1:1">
      <c r="A2983" s="151" t="s">
        <v>4959</v>
      </c>
    </row>
    <row r="2984" spans="1:1">
      <c r="A2984" s="151" t="s">
        <v>4960</v>
      </c>
    </row>
    <row r="2985" spans="1:1">
      <c r="A2985" s="151" t="s">
        <v>4961</v>
      </c>
    </row>
    <row r="2986" spans="1:1">
      <c r="A2986" s="151" t="s">
        <v>4962</v>
      </c>
    </row>
    <row r="2987" spans="1:1">
      <c r="A2987" s="151" t="s">
        <v>4963</v>
      </c>
    </row>
    <row r="2988" spans="1:1">
      <c r="A2988" s="151" t="s">
        <v>4964</v>
      </c>
    </row>
    <row r="2989" spans="1:1">
      <c r="A2989" s="151" t="s">
        <v>4965</v>
      </c>
    </row>
    <row r="2990" spans="1:1">
      <c r="A2990" s="151" t="s">
        <v>4966</v>
      </c>
    </row>
    <row r="2991" spans="1:1">
      <c r="A2991" s="151" t="s">
        <v>4967</v>
      </c>
    </row>
    <row r="2992" spans="1:1">
      <c r="A2992" s="151" t="s">
        <v>4968</v>
      </c>
    </row>
    <row r="2993" spans="1:1">
      <c r="A2993" s="151" t="s">
        <v>4969</v>
      </c>
    </row>
    <row r="2994" spans="1:1">
      <c r="A2994" s="151" t="s">
        <v>4970</v>
      </c>
    </row>
    <row r="2995" spans="1:1">
      <c r="A2995" s="151" t="s">
        <v>4971</v>
      </c>
    </row>
    <row r="2996" spans="1:1">
      <c r="A2996" s="151" t="s">
        <v>4972</v>
      </c>
    </row>
    <row r="2997" spans="1:1">
      <c r="A2997" s="151" t="s">
        <v>4973</v>
      </c>
    </row>
    <row r="2998" spans="1:1">
      <c r="A2998" s="151" t="s">
        <v>4974</v>
      </c>
    </row>
    <row r="2999" spans="1:1">
      <c r="A2999" s="151" t="s">
        <v>4975</v>
      </c>
    </row>
    <row r="3000" spans="1:1">
      <c r="A3000" s="151" t="s">
        <v>4976</v>
      </c>
    </row>
    <row r="3001" spans="1:1">
      <c r="A3001" s="151" t="s">
        <v>4977</v>
      </c>
    </row>
    <row r="3002" spans="1:1">
      <c r="A3002" s="151" t="s">
        <v>4978</v>
      </c>
    </row>
    <row r="3003" spans="1:1">
      <c r="A3003" s="151" t="s">
        <v>4979</v>
      </c>
    </row>
    <row r="3004" spans="1:1">
      <c r="A3004" s="151" t="s">
        <v>4980</v>
      </c>
    </row>
    <row r="3005" spans="1:1">
      <c r="A3005" s="151" t="s">
        <v>4981</v>
      </c>
    </row>
    <row r="3006" spans="1:1">
      <c r="A3006" s="151" t="s">
        <v>4982</v>
      </c>
    </row>
    <row r="3007" spans="1:1">
      <c r="A3007" s="151" t="s">
        <v>4983</v>
      </c>
    </row>
    <row r="3008" spans="1:1">
      <c r="A3008" s="151" t="s">
        <v>4984</v>
      </c>
    </row>
    <row r="3009" spans="1:1">
      <c r="A3009" s="151" t="s">
        <v>4985</v>
      </c>
    </row>
    <row r="3010" spans="1:1">
      <c r="A3010" s="151" t="s">
        <v>4986</v>
      </c>
    </row>
    <row r="3011" spans="1:1">
      <c r="A3011" s="151" t="s">
        <v>4987</v>
      </c>
    </row>
    <row r="3012" spans="1:1">
      <c r="A3012" s="151" t="s">
        <v>4988</v>
      </c>
    </row>
    <row r="3013" spans="1:1">
      <c r="A3013" s="151" t="s">
        <v>4989</v>
      </c>
    </row>
    <row r="3014" spans="1:1">
      <c r="A3014" s="151" t="s">
        <v>4990</v>
      </c>
    </row>
    <row r="3015" spans="1:1">
      <c r="A3015" s="151" t="s">
        <v>4991</v>
      </c>
    </row>
    <row r="3016" spans="1:1">
      <c r="A3016" s="151" t="s">
        <v>4992</v>
      </c>
    </row>
    <row r="3017" spans="1:1">
      <c r="A3017" s="151" t="s">
        <v>4993</v>
      </c>
    </row>
    <row r="3018" spans="1:1">
      <c r="A3018" s="151" t="s">
        <v>4994</v>
      </c>
    </row>
    <row r="3019" spans="1:1">
      <c r="A3019" s="151" t="s">
        <v>4995</v>
      </c>
    </row>
    <row r="3020" spans="1:1">
      <c r="A3020" s="151" t="s">
        <v>4996</v>
      </c>
    </row>
    <row r="3021" spans="1:1">
      <c r="A3021" s="151" t="s">
        <v>4997</v>
      </c>
    </row>
    <row r="3022" spans="1:1">
      <c r="A3022" s="151" t="s">
        <v>4998</v>
      </c>
    </row>
    <row r="3023" spans="1:1">
      <c r="A3023" s="151" t="s">
        <v>4999</v>
      </c>
    </row>
    <row r="3024" spans="1:1">
      <c r="A3024" s="151" t="s">
        <v>5000</v>
      </c>
    </row>
    <row r="3025" spans="1:1">
      <c r="A3025" s="151" t="s">
        <v>5001</v>
      </c>
    </row>
    <row r="3026" spans="1:1">
      <c r="A3026" s="151" t="s">
        <v>5002</v>
      </c>
    </row>
    <row r="3027" spans="1:1">
      <c r="A3027" s="151" t="s">
        <v>5003</v>
      </c>
    </row>
    <row r="3028" spans="1:1">
      <c r="A3028" s="151" t="s">
        <v>5004</v>
      </c>
    </row>
    <row r="3029" spans="1:1">
      <c r="A3029" s="151" t="s">
        <v>5005</v>
      </c>
    </row>
    <row r="3030" spans="1:1">
      <c r="A3030" s="151" t="s">
        <v>5006</v>
      </c>
    </row>
    <row r="3031" spans="1:1">
      <c r="A3031" s="151" t="s">
        <v>5007</v>
      </c>
    </row>
    <row r="3032" spans="1:1">
      <c r="A3032" s="151" t="s">
        <v>5008</v>
      </c>
    </row>
    <row r="3033" spans="1:1">
      <c r="A3033" s="151" t="s">
        <v>5009</v>
      </c>
    </row>
    <row r="3034" spans="1:1">
      <c r="A3034" s="151" t="s">
        <v>5010</v>
      </c>
    </row>
    <row r="3035" spans="1:1">
      <c r="A3035" s="151" t="s">
        <v>5011</v>
      </c>
    </row>
    <row r="3036" spans="1:1">
      <c r="A3036" s="151" t="s">
        <v>5012</v>
      </c>
    </row>
    <row r="3037" spans="1:1">
      <c r="A3037" s="151" t="s">
        <v>5013</v>
      </c>
    </row>
    <row r="3038" spans="1:1">
      <c r="A3038" s="151" t="s">
        <v>5014</v>
      </c>
    </row>
    <row r="3039" spans="1:1">
      <c r="A3039" s="151" t="s">
        <v>5015</v>
      </c>
    </row>
    <row r="3040" spans="1:1">
      <c r="A3040" s="151" t="s">
        <v>5016</v>
      </c>
    </row>
    <row r="3041" spans="1:1">
      <c r="A3041" s="151" t="s">
        <v>5017</v>
      </c>
    </row>
    <row r="3042" spans="1:1">
      <c r="A3042" s="151" t="s">
        <v>5018</v>
      </c>
    </row>
    <row r="3043" spans="1:1">
      <c r="A3043" s="151" t="s">
        <v>5019</v>
      </c>
    </row>
    <row r="3044" spans="1:1">
      <c r="A3044" s="151" t="s">
        <v>5020</v>
      </c>
    </row>
    <row r="3045" spans="1:1">
      <c r="A3045" s="151" t="s">
        <v>5021</v>
      </c>
    </row>
    <row r="3046" spans="1:1">
      <c r="A3046" s="151" t="s">
        <v>5022</v>
      </c>
    </row>
    <row r="3047" spans="1:1">
      <c r="A3047" s="151" t="s">
        <v>5023</v>
      </c>
    </row>
    <row r="3048" spans="1:1">
      <c r="A3048" s="151" t="s">
        <v>5024</v>
      </c>
    </row>
    <row r="3049" spans="1:1">
      <c r="A3049" s="151" t="s">
        <v>5025</v>
      </c>
    </row>
    <row r="3050" spans="1:1">
      <c r="A3050" s="151" t="s">
        <v>5026</v>
      </c>
    </row>
    <row r="3051" spans="1:1">
      <c r="A3051" s="151" t="s">
        <v>5027</v>
      </c>
    </row>
    <row r="3052" spans="1:1">
      <c r="A3052" s="151" t="s">
        <v>5028</v>
      </c>
    </row>
    <row r="3053" spans="1:1">
      <c r="A3053" s="151" t="s">
        <v>5029</v>
      </c>
    </row>
    <row r="3054" spans="1:1">
      <c r="A3054" s="151" t="s">
        <v>5030</v>
      </c>
    </row>
    <row r="3055" spans="1:1">
      <c r="A3055" s="151" t="s">
        <v>5031</v>
      </c>
    </row>
    <row r="3056" spans="1:1">
      <c r="A3056" s="151" t="s">
        <v>5032</v>
      </c>
    </row>
    <row r="3057" spans="1:1">
      <c r="A3057" s="151" t="s">
        <v>5033</v>
      </c>
    </row>
    <row r="3058" spans="1:1">
      <c r="A3058" s="151" t="s">
        <v>5034</v>
      </c>
    </row>
    <row r="3059" spans="1:1">
      <c r="A3059" s="151" t="s">
        <v>5035</v>
      </c>
    </row>
    <row r="3060" spans="1:1">
      <c r="A3060" s="151" t="s">
        <v>5036</v>
      </c>
    </row>
    <row r="3061" spans="1:1">
      <c r="A3061" s="151" t="s">
        <v>5037</v>
      </c>
    </row>
    <row r="3062" spans="1:1">
      <c r="A3062" s="151" t="s">
        <v>5038</v>
      </c>
    </row>
    <row r="3063" spans="1:1">
      <c r="A3063" s="151" t="s">
        <v>5039</v>
      </c>
    </row>
    <row r="3064" spans="1:1">
      <c r="A3064" s="151" t="s">
        <v>5040</v>
      </c>
    </row>
    <row r="3065" spans="1:1">
      <c r="A3065" s="151" t="s">
        <v>5041</v>
      </c>
    </row>
    <row r="3066" spans="1:1">
      <c r="A3066" s="151" t="s">
        <v>5042</v>
      </c>
    </row>
    <row r="3067" spans="1:1">
      <c r="A3067" s="151" t="s">
        <v>5043</v>
      </c>
    </row>
    <row r="3068" spans="1:1">
      <c r="A3068" s="151" t="s">
        <v>5044</v>
      </c>
    </row>
    <row r="3069" spans="1:1">
      <c r="A3069" s="151" t="s">
        <v>5045</v>
      </c>
    </row>
    <row r="3070" spans="1:1">
      <c r="A3070" s="151" t="s">
        <v>5046</v>
      </c>
    </row>
    <row r="3071" spans="1:1">
      <c r="A3071" s="151" t="s">
        <v>5047</v>
      </c>
    </row>
    <row r="3072" spans="1:1">
      <c r="A3072" s="151" t="s">
        <v>5048</v>
      </c>
    </row>
    <row r="3073" spans="1:1">
      <c r="A3073" s="151" t="s">
        <v>5049</v>
      </c>
    </row>
    <row r="3074" spans="1:1">
      <c r="A3074" s="151" t="s">
        <v>5050</v>
      </c>
    </row>
    <row r="3075" spans="1:1">
      <c r="A3075" s="151" t="s">
        <v>5051</v>
      </c>
    </row>
    <row r="3076" spans="1:1">
      <c r="A3076" s="151" t="s">
        <v>5052</v>
      </c>
    </row>
    <row r="3077" spans="1:1">
      <c r="A3077" s="151" t="s">
        <v>5053</v>
      </c>
    </row>
    <row r="3078" spans="1:1">
      <c r="A3078" s="151" t="s">
        <v>5054</v>
      </c>
    </row>
    <row r="3079" spans="1:1">
      <c r="A3079" s="151" t="s">
        <v>5055</v>
      </c>
    </row>
    <row r="3080" spans="1:1">
      <c r="A3080" s="151" t="s">
        <v>5056</v>
      </c>
    </row>
    <row r="3081" spans="1:1">
      <c r="A3081" s="151" t="s">
        <v>5057</v>
      </c>
    </row>
    <row r="3082" spans="1:1">
      <c r="A3082" s="151" t="s">
        <v>5058</v>
      </c>
    </row>
    <row r="3083" spans="1:1">
      <c r="A3083" s="151" t="s">
        <v>5059</v>
      </c>
    </row>
    <row r="3084" spans="1:1">
      <c r="A3084" s="151" t="s">
        <v>5060</v>
      </c>
    </row>
    <row r="3085" spans="1:1">
      <c r="A3085" s="151" t="s">
        <v>5061</v>
      </c>
    </row>
    <row r="3086" spans="1:1">
      <c r="A3086" s="151" t="s">
        <v>5062</v>
      </c>
    </row>
    <row r="3087" spans="1:1">
      <c r="A3087" s="151" t="s">
        <v>5063</v>
      </c>
    </row>
    <row r="3088" spans="1:1">
      <c r="A3088" s="151" t="s">
        <v>5064</v>
      </c>
    </row>
    <row r="3089" spans="1:1">
      <c r="A3089" s="151" t="s">
        <v>5065</v>
      </c>
    </row>
    <row r="3090" spans="1:1">
      <c r="A3090" s="151" t="s">
        <v>5066</v>
      </c>
    </row>
    <row r="3091" spans="1:1">
      <c r="A3091" s="151" t="s">
        <v>5067</v>
      </c>
    </row>
    <row r="3092" spans="1:1">
      <c r="A3092" s="151" t="s">
        <v>5068</v>
      </c>
    </row>
    <row r="3093" spans="1:1">
      <c r="A3093" s="151" t="s">
        <v>5069</v>
      </c>
    </row>
    <row r="3094" spans="1:1">
      <c r="A3094" s="151" t="s">
        <v>5070</v>
      </c>
    </row>
    <row r="3095" spans="1:1">
      <c r="A3095" s="151" t="s">
        <v>5071</v>
      </c>
    </row>
    <row r="3096" spans="1:1">
      <c r="A3096" s="151" t="s">
        <v>5072</v>
      </c>
    </row>
    <row r="3097" spans="1:1">
      <c r="A3097" s="151" t="s">
        <v>5073</v>
      </c>
    </row>
    <row r="3098" spans="1:1">
      <c r="A3098" s="151" t="s">
        <v>5074</v>
      </c>
    </row>
    <row r="3099" spans="1:1">
      <c r="A3099" s="151" t="s">
        <v>5075</v>
      </c>
    </row>
    <row r="3100" spans="1:1">
      <c r="A3100" s="151" t="s">
        <v>5076</v>
      </c>
    </row>
    <row r="3101" spans="1:1">
      <c r="A3101" s="151" t="s">
        <v>5077</v>
      </c>
    </row>
    <row r="3102" spans="1:1">
      <c r="A3102" s="151" t="s">
        <v>5078</v>
      </c>
    </row>
    <row r="3103" spans="1:1">
      <c r="A3103" s="151" t="s">
        <v>5079</v>
      </c>
    </row>
    <row r="3104" spans="1:1">
      <c r="A3104" s="151" t="s">
        <v>5080</v>
      </c>
    </row>
    <row r="3105" spans="1:1">
      <c r="A3105" s="151" t="s">
        <v>5081</v>
      </c>
    </row>
    <row r="3106" spans="1:1">
      <c r="A3106" s="151" t="s">
        <v>5082</v>
      </c>
    </row>
    <row r="3107" spans="1:1">
      <c r="A3107" s="151" t="s">
        <v>5083</v>
      </c>
    </row>
    <row r="3108" spans="1:1">
      <c r="A3108" s="151" t="s">
        <v>5084</v>
      </c>
    </row>
    <row r="3109" spans="1:1">
      <c r="A3109" s="151" t="s">
        <v>5085</v>
      </c>
    </row>
    <row r="3110" spans="1:1">
      <c r="A3110" s="151" t="s">
        <v>5086</v>
      </c>
    </row>
    <row r="3111" spans="1:1">
      <c r="A3111" s="151" t="s">
        <v>5087</v>
      </c>
    </row>
    <row r="3112" spans="1:1">
      <c r="A3112" s="151" t="s">
        <v>5088</v>
      </c>
    </row>
    <row r="3113" spans="1:1">
      <c r="A3113" s="151" t="s">
        <v>5089</v>
      </c>
    </row>
    <row r="3114" spans="1:1">
      <c r="A3114" s="151" t="s">
        <v>5090</v>
      </c>
    </row>
    <row r="3115" spans="1:1">
      <c r="A3115" s="151" t="s">
        <v>5091</v>
      </c>
    </row>
    <row r="3116" spans="1:1">
      <c r="A3116" s="151" t="s">
        <v>5092</v>
      </c>
    </row>
    <row r="3117" spans="1:1">
      <c r="A3117" s="151" t="s">
        <v>5093</v>
      </c>
    </row>
    <row r="3118" spans="1:1">
      <c r="A3118" s="151" t="s">
        <v>5094</v>
      </c>
    </row>
    <row r="3119" spans="1:1">
      <c r="A3119" s="151" t="s">
        <v>5095</v>
      </c>
    </row>
    <row r="3120" spans="1:1">
      <c r="A3120" s="151" t="s">
        <v>5096</v>
      </c>
    </row>
    <row r="3121" spans="1:1">
      <c r="A3121" s="151" t="s">
        <v>5097</v>
      </c>
    </row>
    <row r="3122" spans="1:1">
      <c r="A3122" s="151" t="s">
        <v>5098</v>
      </c>
    </row>
    <row r="3123" spans="1:1">
      <c r="A3123" s="151" t="s">
        <v>5099</v>
      </c>
    </row>
    <row r="3124" spans="1:1">
      <c r="A3124" s="151" t="s">
        <v>5100</v>
      </c>
    </row>
    <row r="3125" spans="1:1">
      <c r="A3125" s="151" t="s">
        <v>5101</v>
      </c>
    </row>
    <row r="3126" spans="1:1">
      <c r="A3126" s="151" t="s">
        <v>5102</v>
      </c>
    </row>
    <row r="3127" spans="1:1">
      <c r="A3127" s="151" t="s">
        <v>5103</v>
      </c>
    </row>
    <row r="3128" spans="1:1">
      <c r="A3128" s="151" t="s">
        <v>5104</v>
      </c>
    </row>
    <row r="3129" spans="1:1">
      <c r="A3129" s="151" t="s">
        <v>5105</v>
      </c>
    </row>
    <row r="3130" spans="1:1">
      <c r="A3130" s="151" t="s">
        <v>5106</v>
      </c>
    </row>
    <row r="3131" spans="1:1">
      <c r="A3131" s="151" t="s">
        <v>5107</v>
      </c>
    </row>
    <row r="3132" spans="1:1">
      <c r="A3132" s="151" t="s">
        <v>5108</v>
      </c>
    </row>
    <row r="3133" spans="1:1">
      <c r="A3133" s="151" t="s">
        <v>5109</v>
      </c>
    </row>
    <row r="3134" spans="1:1">
      <c r="A3134" s="151" t="s">
        <v>5110</v>
      </c>
    </row>
    <row r="3135" spans="1:1">
      <c r="A3135" s="151" t="s">
        <v>5111</v>
      </c>
    </row>
    <row r="3136" spans="1:1">
      <c r="A3136" s="151" t="s">
        <v>5112</v>
      </c>
    </row>
    <row r="3137" spans="1:1">
      <c r="A3137" s="151" t="s">
        <v>5113</v>
      </c>
    </row>
    <row r="3138" spans="1:1">
      <c r="A3138" s="151" t="s">
        <v>5114</v>
      </c>
    </row>
    <row r="3139" spans="1:1">
      <c r="A3139" s="151" t="s">
        <v>5115</v>
      </c>
    </row>
    <row r="3140" spans="1:1">
      <c r="A3140" s="151" t="s">
        <v>5116</v>
      </c>
    </row>
    <row r="3141" spans="1:1">
      <c r="A3141" s="151" t="s">
        <v>5117</v>
      </c>
    </row>
    <row r="3142" spans="1:1">
      <c r="A3142" s="151" t="s">
        <v>5118</v>
      </c>
    </row>
    <row r="3143" spans="1:1">
      <c r="A3143" s="151" t="s">
        <v>5119</v>
      </c>
    </row>
    <row r="3144" spans="1:1">
      <c r="A3144" s="151" t="s">
        <v>5120</v>
      </c>
    </row>
    <row r="3145" spans="1:1">
      <c r="A3145" s="151" t="s">
        <v>5121</v>
      </c>
    </row>
    <row r="3146" spans="1:1">
      <c r="A3146" s="151" t="s">
        <v>5122</v>
      </c>
    </row>
    <row r="3147" spans="1:1">
      <c r="A3147" s="151" t="s">
        <v>5123</v>
      </c>
    </row>
    <row r="3148" spans="1:1">
      <c r="A3148" s="151" t="s">
        <v>5124</v>
      </c>
    </row>
    <row r="3149" spans="1:1">
      <c r="A3149" s="151" t="s">
        <v>5125</v>
      </c>
    </row>
    <row r="3150" spans="1:1">
      <c r="A3150" s="151" t="s">
        <v>5126</v>
      </c>
    </row>
    <row r="3151" spans="1:1">
      <c r="A3151" s="151" t="s">
        <v>5127</v>
      </c>
    </row>
    <row r="3152" spans="1:1">
      <c r="A3152" s="151" t="s">
        <v>5128</v>
      </c>
    </row>
    <row r="3153" spans="1:1">
      <c r="A3153" s="151" t="s">
        <v>5129</v>
      </c>
    </row>
    <row r="3154" spans="1:1">
      <c r="A3154" s="151" t="s">
        <v>5130</v>
      </c>
    </row>
    <row r="3155" spans="1:1">
      <c r="A3155" s="151" t="s">
        <v>5131</v>
      </c>
    </row>
    <row r="3156" spans="1:1">
      <c r="A3156" s="151" t="s">
        <v>5132</v>
      </c>
    </row>
    <row r="3157" spans="1:1">
      <c r="A3157" s="151" t="s">
        <v>5133</v>
      </c>
    </row>
    <row r="3158" spans="1:1">
      <c r="A3158" s="151" t="s">
        <v>5134</v>
      </c>
    </row>
    <row r="3159" spans="1:1">
      <c r="A3159" s="151" t="s">
        <v>5135</v>
      </c>
    </row>
    <row r="3160" spans="1:1">
      <c r="A3160" s="151" t="s">
        <v>5136</v>
      </c>
    </row>
    <row r="3161" spans="1:1">
      <c r="A3161" s="151" t="s">
        <v>5137</v>
      </c>
    </row>
    <row r="3162" spans="1:1">
      <c r="A3162" s="151" t="s">
        <v>5138</v>
      </c>
    </row>
    <row r="3163" spans="1:1">
      <c r="A3163" s="151" t="s">
        <v>5139</v>
      </c>
    </row>
    <row r="3164" spans="1:1">
      <c r="A3164" s="151" t="s">
        <v>5140</v>
      </c>
    </row>
    <row r="3165" spans="1:1">
      <c r="A3165" s="151" t="s">
        <v>5141</v>
      </c>
    </row>
    <row r="3166" spans="1:1">
      <c r="A3166" s="151" t="s">
        <v>5142</v>
      </c>
    </row>
    <row r="3167" spans="1:1">
      <c r="A3167" s="151" t="s">
        <v>5143</v>
      </c>
    </row>
    <row r="3168" spans="1:1">
      <c r="A3168" s="151" t="s">
        <v>5144</v>
      </c>
    </row>
    <row r="3169" spans="1:1">
      <c r="A3169" s="151" t="s">
        <v>5145</v>
      </c>
    </row>
    <row r="3170" spans="1:1">
      <c r="A3170" s="151" t="s">
        <v>5146</v>
      </c>
    </row>
    <row r="3171" spans="1:1">
      <c r="A3171" s="151" t="s">
        <v>5147</v>
      </c>
    </row>
    <row r="3172" spans="1:1">
      <c r="A3172" s="151" t="s">
        <v>5148</v>
      </c>
    </row>
    <row r="3173" spans="1:1">
      <c r="A3173" s="151" t="s">
        <v>5149</v>
      </c>
    </row>
    <row r="3174" spans="1:1">
      <c r="A3174" s="151" t="s">
        <v>5150</v>
      </c>
    </row>
    <row r="3175" spans="1:1">
      <c r="A3175" s="151" t="s">
        <v>5151</v>
      </c>
    </row>
    <row r="3176" spans="1:1">
      <c r="A3176" s="151" t="s">
        <v>5152</v>
      </c>
    </row>
    <row r="3177" spans="1:1">
      <c r="A3177" s="151" t="s">
        <v>5153</v>
      </c>
    </row>
    <row r="3178" spans="1:1">
      <c r="A3178" s="151" t="s">
        <v>5154</v>
      </c>
    </row>
    <row r="3179" spans="1:1">
      <c r="A3179" s="151" t="s">
        <v>5155</v>
      </c>
    </row>
    <row r="3180" spans="1:1">
      <c r="A3180" s="151" t="s">
        <v>5156</v>
      </c>
    </row>
    <row r="3181" spans="1:1">
      <c r="A3181" s="151" t="s">
        <v>5157</v>
      </c>
    </row>
    <row r="3182" spans="1:1">
      <c r="A3182" s="151" t="s">
        <v>5158</v>
      </c>
    </row>
    <row r="3183" spans="1:1">
      <c r="A3183" s="151" t="s">
        <v>5159</v>
      </c>
    </row>
    <row r="3184" spans="1:1">
      <c r="A3184" s="151" t="s">
        <v>5160</v>
      </c>
    </row>
    <row r="3185" spans="1:1">
      <c r="A3185" s="151" t="s">
        <v>5161</v>
      </c>
    </row>
    <row r="3186" spans="1:1">
      <c r="A3186" s="151" t="s">
        <v>5162</v>
      </c>
    </row>
    <row r="3187" spans="1:1">
      <c r="A3187" s="151" t="s">
        <v>5163</v>
      </c>
    </row>
    <row r="3188" spans="1:1">
      <c r="A3188" s="151" t="s">
        <v>5164</v>
      </c>
    </row>
    <row r="3189" spans="1:1">
      <c r="A3189" s="151" t="s">
        <v>5165</v>
      </c>
    </row>
    <row r="3190" spans="1:1">
      <c r="A3190" s="151" t="s">
        <v>5166</v>
      </c>
    </row>
    <row r="3191" spans="1:1">
      <c r="A3191" s="151" t="s">
        <v>5167</v>
      </c>
    </row>
    <row r="3192" spans="1:1">
      <c r="A3192" s="151" t="s">
        <v>5168</v>
      </c>
    </row>
    <row r="3193" spans="1:1">
      <c r="A3193" s="151" t="s">
        <v>5169</v>
      </c>
    </row>
    <row r="3194" spans="1:1">
      <c r="A3194" s="151" t="s">
        <v>5170</v>
      </c>
    </row>
    <row r="3195" spans="1:1">
      <c r="A3195" s="151" t="s">
        <v>5171</v>
      </c>
    </row>
    <row r="3196" spans="1:1">
      <c r="A3196" s="151" t="s">
        <v>5172</v>
      </c>
    </row>
    <row r="3197" spans="1:1">
      <c r="A3197" s="151" t="s">
        <v>5173</v>
      </c>
    </row>
    <row r="3198" spans="1:1">
      <c r="A3198" s="151" t="s">
        <v>5174</v>
      </c>
    </row>
    <row r="3199" spans="1:1">
      <c r="A3199" s="151" t="s">
        <v>5175</v>
      </c>
    </row>
    <row r="3200" spans="1:1">
      <c r="A3200" s="151" t="s">
        <v>5176</v>
      </c>
    </row>
    <row r="3201" spans="1:1">
      <c r="A3201" s="151" t="s">
        <v>5177</v>
      </c>
    </row>
    <row r="3202" spans="1:1">
      <c r="A3202" s="151" t="s">
        <v>5178</v>
      </c>
    </row>
    <row r="3203" spans="1:1">
      <c r="A3203" s="151" t="s">
        <v>5179</v>
      </c>
    </row>
    <row r="3204" spans="1:1">
      <c r="A3204" s="151" t="s">
        <v>5180</v>
      </c>
    </row>
    <row r="3205" spans="1:1">
      <c r="A3205" s="151" t="s">
        <v>5181</v>
      </c>
    </row>
    <row r="3206" spans="1:1">
      <c r="A3206" s="151" t="s">
        <v>5182</v>
      </c>
    </row>
    <row r="3207" spans="1:1">
      <c r="A3207" s="151" t="s">
        <v>5183</v>
      </c>
    </row>
    <row r="3208" spans="1:1">
      <c r="A3208" s="151" t="s">
        <v>5184</v>
      </c>
    </row>
    <row r="3209" spans="1:1">
      <c r="A3209" s="151" t="s">
        <v>5185</v>
      </c>
    </row>
    <row r="3210" spans="1:1">
      <c r="A3210" s="151" t="s">
        <v>5186</v>
      </c>
    </row>
    <row r="3211" spans="1:1">
      <c r="A3211" s="151" t="s">
        <v>5187</v>
      </c>
    </row>
    <row r="3212" spans="1:1">
      <c r="A3212" s="151" t="s">
        <v>5188</v>
      </c>
    </row>
    <row r="3213" spans="1:1">
      <c r="A3213" s="151" t="s">
        <v>5189</v>
      </c>
    </row>
    <row r="3214" spans="1:1">
      <c r="A3214" s="151" t="s">
        <v>5190</v>
      </c>
    </row>
    <row r="3215" spans="1:1">
      <c r="A3215" s="151" t="s">
        <v>5191</v>
      </c>
    </row>
    <row r="3216" spans="1:1">
      <c r="A3216" s="151" t="s">
        <v>5192</v>
      </c>
    </row>
    <row r="3217" spans="1:1">
      <c r="A3217" s="151" t="s">
        <v>5193</v>
      </c>
    </row>
    <row r="3218" spans="1:1">
      <c r="A3218" s="151" t="s">
        <v>5194</v>
      </c>
    </row>
    <row r="3219" spans="1:1">
      <c r="A3219" s="151" t="s">
        <v>5195</v>
      </c>
    </row>
    <row r="3220" spans="1:1">
      <c r="A3220" s="151" t="s">
        <v>5196</v>
      </c>
    </row>
    <row r="3221" spans="1:1">
      <c r="A3221" s="151" t="s">
        <v>5197</v>
      </c>
    </row>
    <row r="3222" spans="1:1">
      <c r="A3222" s="151" t="s">
        <v>5198</v>
      </c>
    </row>
    <row r="3223" spans="1:1">
      <c r="A3223" s="151" t="s">
        <v>5199</v>
      </c>
    </row>
    <row r="3224" spans="1:1">
      <c r="A3224" s="151" t="s">
        <v>5200</v>
      </c>
    </row>
    <row r="3225" spans="1:1">
      <c r="A3225" s="151" t="s">
        <v>5201</v>
      </c>
    </row>
    <row r="3226" spans="1:1">
      <c r="A3226" s="151" t="s">
        <v>5202</v>
      </c>
    </row>
    <row r="3227" spans="1:1">
      <c r="A3227" s="151" t="s">
        <v>5203</v>
      </c>
    </row>
    <row r="3228" spans="1:1">
      <c r="A3228" s="151" t="s">
        <v>5204</v>
      </c>
    </row>
    <row r="3229" spans="1:1">
      <c r="A3229" s="151" t="s">
        <v>5205</v>
      </c>
    </row>
    <row r="3230" spans="1:1">
      <c r="A3230" s="151" t="s">
        <v>5206</v>
      </c>
    </row>
    <row r="3231" spans="1:1">
      <c r="A3231" s="151" t="s">
        <v>5207</v>
      </c>
    </row>
    <row r="3232" spans="1:1">
      <c r="A3232" s="151" t="s">
        <v>5208</v>
      </c>
    </row>
    <row r="3233" spans="1:1">
      <c r="A3233" s="151" t="s">
        <v>5209</v>
      </c>
    </row>
    <row r="3234" spans="1:1">
      <c r="A3234" s="151" t="s">
        <v>5210</v>
      </c>
    </row>
    <row r="3235" spans="1:1">
      <c r="A3235" s="151" t="s">
        <v>5211</v>
      </c>
    </row>
    <row r="3236" spans="1:1">
      <c r="A3236" s="151" t="s">
        <v>5212</v>
      </c>
    </row>
    <row r="3237" spans="1:1">
      <c r="A3237" s="151" t="s">
        <v>5213</v>
      </c>
    </row>
    <row r="3238" spans="1:1">
      <c r="A3238" s="151" t="s">
        <v>5214</v>
      </c>
    </row>
    <row r="3239" spans="1:1">
      <c r="A3239" s="151" t="s">
        <v>5215</v>
      </c>
    </row>
    <row r="3240" spans="1:1">
      <c r="A3240" s="151" t="s">
        <v>5216</v>
      </c>
    </row>
    <row r="3241" spans="1:1">
      <c r="A3241" s="151" t="s">
        <v>5217</v>
      </c>
    </row>
    <row r="3242" spans="1:1">
      <c r="A3242" s="151" t="s">
        <v>5218</v>
      </c>
    </row>
    <row r="3243" spans="1:1">
      <c r="A3243" s="151" t="s">
        <v>5219</v>
      </c>
    </row>
    <row r="3244" spans="1:1">
      <c r="A3244" s="151" t="s">
        <v>5220</v>
      </c>
    </row>
    <row r="3245" spans="1:1">
      <c r="A3245" s="151" t="s">
        <v>5221</v>
      </c>
    </row>
    <row r="3246" spans="1:1">
      <c r="A3246" s="151" t="s">
        <v>5222</v>
      </c>
    </row>
    <row r="3247" spans="1:1">
      <c r="A3247" s="151" t="s">
        <v>5223</v>
      </c>
    </row>
    <row r="3248" spans="1:1">
      <c r="A3248" s="151" t="s">
        <v>5224</v>
      </c>
    </row>
    <row r="3249" spans="1:1">
      <c r="A3249" s="151" t="s">
        <v>5225</v>
      </c>
    </row>
    <row r="3250" spans="1:1">
      <c r="A3250" s="151" t="s">
        <v>5226</v>
      </c>
    </row>
    <row r="3251" spans="1:1">
      <c r="A3251" s="151" t="s">
        <v>5227</v>
      </c>
    </row>
    <row r="3252" spans="1:1">
      <c r="A3252" s="151" t="s">
        <v>5228</v>
      </c>
    </row>
    <row r="3253" spans="1:1">
      <c r="A3253" s="151" t="s">
        <v>5229</v>
      </c>
    </row>
    <row r="3254" spans="1:1">
      <c r="A3254" s="151" t="s">
        <v>5230</v>
      </c>
    </row>
    <row r="3255" spans="1:1">
      <c r="A3255" s="151" t="s">
        <v>5231</v>
      </c>
    </row>
    <row r="3256" spans="1:1">
      <c r="A3256" s="151" t="s">
        <v>5232</v>
      </c>
    </row>
    <row r="3257" spans="1:1">
      <c r="A3257" s="151" t="s">
        <v>5233</v>
      </c>
    </row>
    <row r="3258" spans="1:1">
      <c r="A3258" s="151" t="s">
        <v>5234</v>
      </c>
    </row>
    <row r="3259" spans="1:1">
      <c r="A3259" s="151" t="s">
        <v>5235</v>
      </c>
    </row>
    <row r="3260" spans="1:1">
      <c r="A3260" s="151" t="s">
        <v>5236</v>
      </c>
    </row>
    <row r="3261" spans="1:1">
      <c r="A3261" s="151" t="s">
        <v>5237</v>
      </c>
    </row>
    <row r="3262" spans="1:1">
      <c r="A3262" s="151" t="s">
        <v>5238</v>
      </c>
    </row>
    <row r="3263" spans="1:1">
      <c r="A3263" s="151" t="s">
        <v>5239</v>
      </c>
    </row>
    <row r="3264" spans="1:1">
      <c r="A3264" s="151" t="s">
        <v>5240</v>
      </c>
    </row>
    <row r="3265" spans="1:1">
      <c r="A3265" s="151" t="s">
        <v>5241</v>
      </c>
    </row>
    <row r="3266" spans="1:1">
      <c r="A3266" s="151" t="s">
        <v>5242</v>
      </c>
    </row>
    <row r="3267" spans="1:1">
      <c r="A3267" s="151" t="s">
        <v>5243</v>
      </c>
    </row>
    <row r="3268" spans="1:1">
      <c r="A3268" s="151" t="s">
        <v>5244</v>
      </c>
    </row>
    <row r="3269" spans="1:1">
      <c r="A3269" s="151" t="s">
        <v>5245</v>
      </c>
    </row>
    <row r="3270" spans="1:1">
      <c r="A3270" s="151" t="s">
        <v>5246</v>
      </c>
    </row>
    <row r="3271" spans="1:1">
      <c r="A3271" s="151" t="s">
        <v>5247</v>
      </c>
    </row>
    <row r="3272" spans="1:1">
      <c r="A3272" s="151" t="s">
        <v>5248</v>
      </c>
    </row>
    <row r="3273" spans="1:1">
      <c r="A3273" s="151" t="s">
        <v>5249</v>
      </c>
    </row>
    <row r="3274" spans="1:1">
      <c r="A3274" s="151" t="s">
        <v>5250</v>
      </c>
    </row>
    <row r="3275" spans="1:1">
      <c r="A3275" s="151" t="s">
        <v>5251</v>
      </c>
    </row>
    <row r="3276" spans="1:1">
      <c r="A3276" s="151" t="s">
        <v>5252</v>
      </c>
    </row>
    <row r="3277" spans="1:1">
      <c r="A3277" s="151" t="s">
        <v>5253</v>
      </c>
    </row>
    <row r="3278" spans="1:1">
      <c r="A3278" s="151" t="s">
        <v>5254</v>
      </c>
    </row>
    <row r="3279" spans="1:1">
      <c r="A3279" s="151" t="s">
        <v>5255</v>
      </c>
    </row>
    <row r="3280" spans="1:1">
      <c r="A3280" s="151" t="s">
        <v>5256</v>
      </c>
    </row>
    <row r="3281" spans="1:1">
      <c r="A3281" s="151" t="s">
        <v>5257</v>
      </c>
    </row>
    <row r="3282" spans="1:1">
      <c r="A3282" s="151" t="s">
        <v>5258</v>
      </c>
    </row>
    <row r="3283" spans="1:1">
      <c r="A3283" s="151" t="s">
        <v>5259</v>
      </c>
    </row>
    <row r="3284" spans="1:1">
      <c r="A3284" s="151" t="s">
        <v>5260</v>
      </c>
    </row>
    <row r="3285" spans="1:1">
      <c r="A3285" s="151" t="s">
        <v>5261</v>
      </c>
    </row>
    <row r="3286" spans="1:1">
      <c r="A3286" s="151" t="s">
        <v>5262</v>
      </c>
    </row>
    <row r="3287" spans="1:1">
      <c r="A3287" s="151" t="s">
        <v>5263</v>
      </c>
    </row>
    <row r="3288" spans="1:1">
      <c r="A3288" s="151" t="s">
        <v>5264</v>
      </c>
    </row>
    <row r="3289" spans="1:1">
      <c r="A3289" s="151" t="s">
        <v>5265</v>
      </c>
    </row>
    <row r="3290" spans="1:1">
      <c r="A3290" s="151" t="s">
        <v>5266</v>
      </c>
    </row>
    <row r="3291" spans="1:1">
      <c r="A3291" s="151" t="s">
        <v>5267</v>
      </c>
    </row>
    <row r="3292" spans="1:1">
      <c r="A3292" s="151" t="s">
        <v>5268</v>
      </c>
    </row>
    <row r="3293" spans="1:1">
      <c r="A3293" s="151" t="s">
        <v>5269</v>
      </c>
    </row>
    <row r="3294" spans="1:1">
      <c r="A3294" s="151" t="s">
        <v>5270</v>
      </c>
    </row>
    <row r="3295" spans="1:1">
      <c r="A3295" s="151" t="s">
        <v>5271</v>
      </c>
    </row>
    <row r="3296" spans="1:1">
      <c r="A3296" s="151" t="s">
        <v>5272</v>
      </c>
    </row>
    <row r="3297" spans="1:1">
      <c r="A3297" s="151" t="s">
        <v>5273</v>
      </c>
    </row>
    <row r="3298" spans="1:1">
      <c r="A3298" s="151" t="s">
        <v>5274</v>
      </c>
    </row>
    <row r="3299" spans="1:1">
      <c r="A3299" s="151" t="s">
        <v>5275</v>
      </c>
    </row>
    <row r="3300" spans="1:1">
      <c r="A3300" s="151" t="s">
        <v>5276</v>
      </c>
    </row>
    <row r="3301" spans="1:1">
      <c r="A3301" s="151" t="s">
        <v>5277</v>
      </c>
    </row>
    <row r="3302" spans="1:1">
      <c r="A3302" s="151" t="s">
        <v>5278</v>
      </c>
    </row>
    <row r="3303" spans="1:1">
      <c r="A3303" s="151" t="s">
        <v>5279</v>
      </c>
    </row>
    <row r="3304" spans="1:1">
      <c r="A3304" s="151" t="s">
        <v>5280</v>
      </c>
    </row>
    <row r="3305" spans="1:1">
      <c r="A3305" s="151" t="s">
        <v>5281</v>
      </c>
    </row>
    <row r="3306" spans="1:1">
      <c r="A3306" s="151" t="s">
        <v>5282</v>
      </c>
    </row>
    <row r="3307" spans="1:1">
      <c r="A3307" s="151" t="s">
        <v>5283</v>
      </c>
    </row>
    <row r="3308" spans="1:1">
      <c r="A3308" s="151" t="s">
        <v>5284</v>
      </c>
    </row>
    <row r="3309" spans="1:1">
      <c r="A3309" s="151" t="s">
        <v>5285</v>
      </c>
    </row>
    <row r="3310" spans="1:1">
      <c r="A3310" s="151" t="s">
        <v>5286</v>
      </c>
    </row>
    <row r="3311" spans="1:1">
      <c r="A3311" s="151" t="s">
        <v>5287</v>
      </c>
    </row>
    <row r="3312" spans="1:1">
      <c r="A3312" s="151" t="s">
        <v>5288</v>
      </c>
    </row>
    <row r="3313" spans="1:1">
      <c r="A3313" s="151" t="s">
        <v>5289</v>
      </c>
    </row>
    <row r="3314" spans="1:1">
      <c r="A3314" s="151" t="s">
        <v>5290</v>
      </c>
    </row>
    <row r="3315" spans="1:1">
      <c r="A3315" s="151" t="s">
        <v>5291</v>
      </c>
    </row>
    <row r="3316" spans="1:1">
      <c r="A3316" s="151" t="s">
        <v>5292</v>
      </c>
    </row>
    <row r="3317" spans="1:1">
      <c r="A3317" s="151" t="s">
        <v>5293</v>
      </c>
    </row>
    <row r="3318" spans="1:1">
      <c r="A3318" s="151" t="s">
        <v>5294</v>
      </c>
    </row>
    <row r="3319" spans="1:1">
      <c r="A3319" s="151" t="s">
        <v>5295</v>
      </c>
    </row>
    <row r="3320" spans="1:1">
      <c r="A3320" s="151" t="s">
        <v>5296</v>
      </c>
    </row>
    <row r="3321" spans="1:1">
      <c r="A3321" s="151" t="s">
        <v>5297</v>
      </c>
    </row>
    <row r="3322" spans="1:1">
      <c r="A3322" s="151" t="s">
        <v>5298</v>
      </c>
    </row>
    <row r="3323" spans="1:1">
      <c r="A3323" s="151" t="s">
        <v>5299</v>
      </c>
    </row>
    <row r="3324" spans="1:1">
      <c r="A3324" s="151" t="s">
        <v>5300</v>
      </c>
    </row>
    <row r="3325" spans="1:1">
      <c r="A3325" s="151" t="s">
        <v>5301</v>
      </c>
    </row>
    <row r="3326" spans="1:1">
      <c r="A3326" s="151" t="s">
        <v>5302</v>
      </c>
    </row>
    <row r="3327" spans="1:1">
      <c r="A3327" s="151" t="s">
        <v>5303</v>
      </c>
    </row>
    <row r="3328" spans="1:1">
      <c r="A3328" s="151" t="s">
        <v>5304</v>
      </c>
    </row>
    <row r="3329" spans="1:1">
      <c r="A3329" s="151" t="s">
        <v>5305</v>
      </c>
    </row>
    <row r="3330" spans="1:1">
      <c r="A3330" s="151" t="s">
        <v>5306</v>
      </c>
    </row>
    <row r="3331" spans="1:1">
      <c r="A3331" s="151" t="s">
        <v>5307</v>
      </c>
    </row>
    <row r="3332" spans="1:1">
      <c r="A3332" s="151" t="s">
        <v>5308</v>
      </c>
    </row>
    <row r="3333" spans="1:1">
      <c r="A3333" s="151" t="s">
        <v>5309</v>
      </c>
    </row>
    <row r="3334" spans="1:1">
      <c r="A3334" s="151" t="s">
        <v>5310</v>
      </c>
    </row>
    <row r="3335" spans="1:1">
      <c r="A3335" s="151" t="s">
        <v>5311</v>
      </c>
    </row>
    <row r="3336" spans="1:1">
      <c r="A3336" s="151" t="s">
        <v>5312</v>
      </c>
    </row>
    <row r="3337" spans="1:1">
      <c r="A3337" s="151" t="s">
        <v>5313</v>
      </c>
    </row>
    <row r="3338" spans="1:1">
      <c r="A3338" s="151" t="s">
        <v>5314</v>
      </c>
    </row>
    <row r="3339" spans="1:1">
      <c r="A3339" s="151" t="s">
        <v>5315</v>
      </c>
    </row>
    <row r="3340" spans="1:1">
      <c r="A3340" s="151" t="s">
        <v>5316</v>
      </c>
    </row>
    <row r="3341" spans="1:1">
      <c r="A3341" s="151" t="s">
        <v>5317</v>
      </c>
    </row>
    <row r="3342" spans="1:1">
      <c r="A3342" s="151" t="s">
        <v>5318</v>
      </c>
    </row>
    <row r="3343" spans="1:1">
      <c r="A3343" s="151" t="s">
        <v>5319</v>
      </c>
    </row>
    <row r="3344" spans="1:1">
      <c r="A3344" s="151" t="s">
        <v>5320</v>
      </c>
    </row>
    <row r="3345" spans="1:1">
      <c r="A3345" s="151" t="s">
        <v>5321</v>
      </c>
    </row>
    <row r="3346" spans="1:1">
      <c r="A3346" s="151" t="s">
        <v>5322</v>
      </c>
    </row>
    <row r="3347" spans="1:1">
      <c r="A3347" s="151" t="s">
        <v>5323</v>
      </c>
    </row>
    <row r="3348" spans="1:1">
      <c r="A3348" s="151" t="s">
        <v>5324</v>
      </c>
    </row>
    <row r="3349" spans="1:1">
      <c r="A3349" s="151" t="s">
        <v>5325</v>
      </c>
    </row>
    <row r="3350" spans="1:1">
      <c r="A3350" s="151" t="s">
        <v>5326</v>
      </c>
    </row>
    <row r="3351" spans="1:1">
      <c r="A3351" s="151" t="s">
        <v>5327</v>
      </c>
    </row>
    <row r="3352" spans="1:1">
      <c r="A3352" s="151" t="s">
        <v>5328</v>
      </c>
    </row>
    <row r="3353" spans="1:1">
      <c r="A3353" s="151" t="s">
        <v>5329</v>
      </c>
    </row>
    <row r="3354" spans="1:1">
      <c r="A3354" s="151" t="s">
        <v>5330</v>
      </c>
    </row>
    <row r="3355" spans="1:1">
      <c r="A3355" s="151" t="s">
        <v>5331</v>
      </c>
    </row>
    <row r="3356" spans="1:1">
      <c r="A3356" s="151" t="s">
        <v>5332</v>
      </c>
    </row>
    <row r="3357" spans="1:1">
      <c r="A3357" s="151" t="s">
        <v>5333</v>
      </c>
    </row>
    <row r="3358" spans="1:1">
      <c r="A3358" s="151" t="s">
        <v>5334</v>
      </c>
    </row>
    <row r="3359" spans="1:1">
      <c r="A3359" s="151" t="s">
        <v>5335</v>
      </c>
    </row>
    <row r="3360" spans="1:1">
      <c r="A3360" s="151" t="s">
        <v>5336</v>
      </c>
    </row>
    <row r="3361" spans="1:1">
      <c r="A3361" s="151" t="s">
        <v>5337</v>
      </c>
    </row>
    <row r="3362" spans="1:1">
      <c r="A3362" s="151" t="s">
        <v>5338</v>
      </c>
    </row>
    <row r="3363" spans="1:1">
      <c r="A3363" s="151" t="s">
        <v>5339</v>
      </c>
    </row>
    <row r="3364" spans="1:1">
      <c r="A3364" s="151" t="s">
        <v>5340</v>
      </c>
    </row>
    <row r="3365" spans="1:1">
      <c r="A3365" s="151" t="s">
        <v>5341</v>
      </c>
    </row>
    <row r="3366" spans="1:1">
      <c r="A3366" s="151" t="s">
        <v>5342</v>
      </c>
    </row>
    <row r="3367" spans="1:1">
      <c r="A3367" s="151" t="s">
        <v>5343</v>
      </c>
    </row>
    <row r="3368" spans="1:1">
      <c r="A3368" s="151" t="s">
        <v>5344</v>
      </c>
    </row>
    <row r="3369" spans="1:1">
      <c r="A3369" s="151" t="s">
        <v>5345</v>
      </c>
    </row>
    <row r="3370" spans="1:1">
      <c r="A3370" s="151" t="s">
        <v>5346</v>
      </c>
    </row>
    <row r="3371" spans="1:1">
      <c r="A3371" s="151" t="s">
        <v>5347</v>
      </c>
    </row>
    <row r="3372" spans="1:1">
      <c r="A3372" s="151" t="s">
        <v>5348</v>
      </c>
    </row>
    <row r="3373" spans="1:1">
      <c r="A3373" s="151" t="s">
        <v>5349</v>
      </c>
    </row>
    <row r="3374" spans="1:1">
      <c r="A3374" s="151" t="s">
        <v>5350</v>
      </c>
    </row>
    <row r="3375" spans="1:1">
      <c r="A3375" s="151" t="s">
        <v>5351</v>
      </c>
    </row>
    <row r="3376" spans="1:1">
      <c r="A3376" s="151" t="s">
        <v>5352</v>
      </c>
    </row>
    <row r="3377" spans="1:1">
      <c r="A3377" s="151" t="s">
        <v>5353</v>
      </c>
    </row>
    <row r="3378" spans="1:1">
      <c r="A3378" s="151" t="s">
        <v>5354</v>
      </c>
    </row>
    <row r="3379" spans="1:1">
      <c r="A3379" s="151" t="s">
        <v>5355</v>
      </c>
    </row>
    <row r="3380" spans="1:1">
      <c r="A3380" s="151" t="s">
        <v>5356</v>
      </c>
    </row>
    <row r="3381" spans="1:1">
      <c r="A3381" s="151" t="s">
        <v>5357</v>
      </c>
    </row>
    <row r="3382" spans="1:1">
      <c r="A3382" s="151" t="s">
        <v>5358</v>
      </c>
    </row>
    <row r="3383" spans="1:1">
      <c r="A3383" s="151" t="s">
        <v>5359</v>
      </c>
    </row>
    <row r="3384" spans="1:1">
      <c r="A3384" s="151" t="s">
        <v>5360</v>
      </c>
    </row>
    <row r="3385" spans="1:1">
      <c r="A3385" s="151" t="s">
        <v>5361</v>
      </c>
    </row>
    <row r="3386" spans="1:1">
      <c r="A3386" s="151" t="s">
        <v>5362</v>
      </c>
    </row>
    <row r="3387" spans="1:1">
      <c r="A3387" s="151" t="s">
        <v>5363</v>
      </c>
    </row>
    <row r="3388" spans="1:1">
      <c r="A3388" s="151" t="s">
        <v>5364</v>
      </c>
    </row>
    <row r="3389" spans="1:1">
      <c r="A3389" s="151" t="s">
        <v>5365</v>
      </c>
    </row>
    <row r="3390" spans="1:1">
      <c r="A3390" s="151" t="s">
        <v>5366</v>
      </c>
    </row>
    <row r="3391" spans="1:1">
      <c r="A3391" s="151" t="s">
        <v>5367</v>
      </c>
    </row>
    <row r="3392" spans="1:1">
      <c r="A3392" s="151" t="s">
        <v>5368</v>
      </c>
    </row>
    <row r="3393" spans="1:1">
      <c r="A3393" s="151" t="s">
        <v>5369</v>
      </c>
    </row>
    <row r="3394" spans="1:1">
      <c r="A3394" s="151" t="s">
        <v>5370</v>
      </c>
    </row>
    <row r="3395" spans="1:1">
      <c r="A3395" s="151" t="s">
        <v>5371</v>
      </c>
    </row>
    <row r="3396" spans="1:1">
      <c r="A3396" s="151" t="s">
        <v>5372</v>
      </c>
    </row>
    <row r="3397" spans="1:1">
      <c r="A3397" s="151" t="s">
        <v>5373</v>
      </c>
    </row>
    <row r="3398" spans="1:1">
      <c r="A3398" s="151" t="s">
        <v>5374</v>
      </c>
    </row>
    <row r="3399" spans="1:1">
      <c r="A3399" s="151" t="s">
        <v>5375</v>
      </c>
    </row>
    <row r="3400" spans="1:1">
      <c r="A3400" s="151" t="s">
        <v>5376</v>
      </c>
    </row>
    <row r="3401" spans="1:1">
      <c r="A3401" s="151" t="s">
        <v>5377</v>
      </c>
    </row>
    <row r="3402" spans="1:1">
      <c r="A3402" s="151" t="s">
        <v>5378</v>
      </c>
    </row>
    <row r="3403" spans="1:1">
      <c r="A3403" s="151" t="s">
        <v>5379</v>
      </c>
    </row>
    <row r="3404" spans="1:1">
      <c r="A3404" s="151" t="s">
        <v>5380</v>
      </c>
    </row>
    <row r="3405" spans="1:1">
      <c r="A3405" s="151" t="s">
        <v>5381</v>
      </c>
    </row>
    <row r="3406" spans="1:1">
      <c r="A3406" s="151" t="s">
        <v>5382</v>
      </c>
    </row>
    <row r="3407" spans="1:1">
      <c r="A3407" s="151" t="s">
        <v>5383</v>
      </c>
    </row>
    <row r="3408" spans="1:1">
      <c r="A3408" s="151" t="s">
        <v>5384</v>
      </c>
    </row>
    <row r="3409" spans="1:1">
      <c r="A3409" s="151" t="s">
        <v>5385</v>
      </c>
    </row>
    <row r="3410" spans="1:1">
      <c r="A3410" s="151" t="s">
        <v>5386</v>
      </c>
    </row>
    <row r="3411" spans="1:1">
      <c r="A3411" s="151" t="s">
        <v>5387</v>
      </c>
    </row>
    <row r="3412" spans="1:1">
      <c r="A3412" s="151" t="s">
        <v>5388</v>
      </c>
    </row>
    <row r="3413" spans="1:1">
      <c r="A3413" s="151" t="s">
        <v>5389</v>
      </c>
    </row>
    <row r="3414" spans="1:1">
      <c r="A3414" s="151" t="s">
        <v>5390</v>
      </c>
    </row>
    <row r="3415" spans="1:1">
      <c r="A3415" s="151" t="s">
        <v>5391</v>
      </c>
    </row>
    <row r="3416" spans="1:1">
      <c r="A3416" s="151" t="s">
        <v>5392</v>
      </c>
    </row>
    <row r="3417" spans="1:1">
      <c r="A3417" s="151" t="s">
        <v>5393</v>
      </c>
    </row>
    <row r="3418" spans="1:1">
      <c r="A3418" s="151" t="s">
        <v>5394</v>
      </c>
    </row>
    <row r="3419" spans="1:1">
      <c r="A3419" s="151" t="s">
        <v>5395</v>
      </c>
    </row>
    <row r="3420" spans="1:1">
      <c r="A3420" s="151" t="s">
        <v>5396</v>
      </c>
    </row>
    <row r="3421" spans="1:1">
      <c r="A3421" s="151" t="s">
        <v>5397</v>
      </c>
    </row>
    <row r="3422" spans="1:1">
      <c r="A3422" s="151" t="s">
        <v>5398</v>
      </c>
    </row>
    <row r="3423" spans="1:1">
      <c r="A3423" s="151" t="s">
        <v>5399</v>
      </c>
    </row>
    <row r="3424" spans="1:1">
      <c r="A3424" s="151" t="s">
        <v>5400</v>
      </c>
    </row>
    <row r="3425" spans="1:1">
      <c r="A3425" s="151" t="s">
        <v>5401</v>
      </c>
    </row>
    <row r="3426" spans="1:1">
      <c r="A3426" s="151" t="s">
        <v>5402</v>
      </c>
    </row>
    <row r="3427" spans="1:1">
      <c r="A3427" s="151" t="s">
        <v>5403</v>
      </c>
    </row>
    <row r="3428" spans="1:1">
      <c r="A3428" s="151" t="s">
        <v>5404</v>
      </c>
    </row>
    <row r="3429" spans="1:1">
      <c r="A3429" s="151" t="s">
        <v>5405</v>
      </c>
    </row>
    <row r="3430" spans="1:1">
      <c r="A3430" s="151" t="s">
        <v>5406</v>
      </c>
    </row>
    <row r="3431" spans="1:1">
      <c r="A3431" s="151" t="s">
        <v>5407</v>
      </c>
    </row>
    <row r="3432" spans="1:1">
      <c r="A3432" s="151" t="s">
        <v>5408</v>
      </c>
    </row>
    <row r="3433" spans="1:1">
      <c r="A3433" s="151" t="s">
        <v>5409</v>
      </c>
    </row>
    <row r="3434" spans="1:1">
      <c r="A3434" s="151" t="s">
        <v>5410</v>
      </c>
    </row>
    <row r="3435" spans="1:1">
      <c r="A3435" s="151" t="s">
        <v>5411</v>
      </c>
    </row>
    <row r="3436" spans="1:1">
      <c r="A3436" s="151" t="s">
        <v>5412</v>
      </c>
    </row>
    <row r="3437" spans="1:1">
      <c r="A3437" s="151" t="s">
        <v>5413</v>
      </c>
    </row>
    <row r="3438" spans="1:1">
      <c r="A3438" s="151" t="s">
        <v>5414</v>
      </c>
    </row>
    <row r="3439" spans="1:1">
      <c r="A3439" s="151" t="s">
        <v>5415</v>
      </c>
    </row>
    <row r="3440" spans="1:1">
      <c r="A3440" s="151" t="s">
        <v>5416</v>
      </c>
    </row>
    <row r="3441" spans="1:1">
      <c r="A3441" s="151" t="s">
        <v>5417</v>
      </c>
    </row>
    <row r="3442" spans="1:1">
      <c r="A3442" s="151" t="s">
        <v>5418</v>
      </c>
    </row>
    <row r="3443" spans="1:1">
      <c r="A3443" s="151" t="s">
        <v>5419</v>
      </c>
    </row>
    <row r="3444" spans="1:1">
      <c r="A3444" s="151" t="s">
        <v>5420</v>
      </c>
    </row>
    <row r="3445" spans="1:1">
      <c r="A3445" s="151" t="s">
        <v>5421</v>
      </c>
    </row>
    <row r="3446" spans="1:1">
      <c r="A3446" s="151" t="s">
        <v>5422</v>
      </c>
    </row>
    <row r="3447" spans="1:1">
      <c r="A3447" s="151" t="s">
        <v>5423</v>
      </c>
    </row>
    <row r="3448" spans="1:1">
      <c r="A3448" s="151" t="s">
        <v>5424</v>
      </c>
    </row>
    <row r="3449" spans="1:1">
      <c r="A3449" s="151" t="s">
        <v>5425</v>
      </c>
    </row>
    <row r="3450" spans="1:1">
      <c r="A3450" s="151" t="s">
        <v>5426</v>
      </c>
    </row>
    <row r="3451" spans="1:1">
      <c r="A3451" s="151" t="s">
        <v>5427</v>
      </c>
    </row>
    <row r="3452" spans="1:1">
      <c r="A3452" s="151" t="s">
        <v>5428</v>
      </c>
    </row>
    <row r="3453" spans="1:1">
      <c r="A3453" s="151" t="s">
        <v>5429</v>
      </c>
    </row>
    <row r="3454" spans="1:1">
      <c r="A3454" s="151" t="s">
        <v>5430</v>
      </c>
    </row>
    <row r="3455" spans="1:1">
      <c r="A3455" s="151" t="s">
        <v>5431</v>
      </c>
    </row>
    <row r="3456" spans="1:1">
      <c r="A3456" s="151" t="s">
        <v>5432</v>
      </c>
    </row>
    <row r="3457" spans="1:1">
      <c r="A3457" s="151" t="s">
        <v>5433</v>
      </c>
    </row>
    <row r="3458" spans="1:1">
      <c r="A3458" s="151" t="s">
        <v>5434</v>
      </c>
    </row>
    <row r="3459" spans="1:1">
      <c r="A3459" s="151" t="s">
        <v>5435</v>
      </c>
    </row>
    <row r="3460" spans="1:1">
      <c r="A3460" s="151" t="s">
        <v>5436</v>
      </c>
    </row>
    <row r="3461" spans="1:1">
      <c r="A3461" s="151" t="s">
        <v>5437</v>
      </c>
    </row>
    <row r="3462" spans="1:1">
      <c r="A3462" s="151" t="s">
        <v>5438</v>
      </c>
    </row>
    <row r="3463" spans="1:1">
      <c r="A3463" s="151" t="s">
        <v>5439</v>
      </c>
    </row>
    <row r="3464" spans="1:1">
      <c r="A3464" s="151" t="s">
        <v>5440</v>
      </c>
    </row>
    <row r="3465" spans="1:1">
      <c r="A3465" s="151" t="s">
        <v>5441</v>
      </c>
    </row>
    <row r="3466" spans="1:1">
      <c r="A3466" s="151" t="s">
        <v>5442</v>
      </c>
    </row>
    <row r="3467" spans="1:1">
      <c r="A3467" s="151" t="s">
        <v>5443</v>
      </c>
    </row>
    <row r="3468" spans="1:1">
      <c r="A3468" s="151" t="s">
        <v>5444</v>
      </c>
    </row>
    <row r="3469" spans="1:1">
      <c r="A3469" s="151" t="s">
        <v>5445</v>
      </c>
    </row>
    <row r="3470" spans="1:1">
      <c r="A3470" s="151" t="s">
        <v>5446</v>
      </c>
    </row>
    <row r="3471" spans="1:1">
      <c r="A3471" s="151" t="s">
        <v>5447</v>
      </c>
    </row>
    <row r="3472" spans="1:1">
      <c r="A3472" s="151" t="s">
        <v>5448</v>
      </c>
    </row>
    <row r="3473" spans="1:1">
      <c r="A3473" s="151" t="s">
        <v>5449</v>
      </c>
    </row>
    <row r="3474" spans="1:1">
      <c r="A3474" s="151" t="s">
        <v>5450</v>
      </c>
    </row>
    <row r="3475" spans="1:1">
      <c r="A3475" s="151" t="s">
        <v>5451</v>
      </c>
    </row>
    <row r="3476" spans="1:1">
      <c r="A3476" s="151" t="s">
        <v>5452</v>
      </c>
    </row>
    <row r="3477" spans="1:1">
      <c r="A3477" s="151" t="s">
        <v>5453</v>
      </c>
    </row>
    <row r="3478" spans="1:1">
      <c r="A3478" s="151" t="s">
        <v>5454</v>
      </c>
    </row>
    <row r="3479" spans="1:1">
      <c r="A3479" s="151" t="s">
        <v>5455</v>
      </c>
    </row>
    <row r="3480" spans="1:1">
      <c r="A3480" s="151" t="s">
        <v>5456</v>
      </c>
    </row>
    <row r="3481" spans="1:1">
      <c r="A3481" s="151" t="s">
        <v>5457</v>
      </c>
    </row>
    <row r="3482" spans="1:1">
      <c r="A3482" s="151" t="s">
        <v>5458</v>
      </c>
    </row>
    <row r="3483" spans="1:1">
      <c r="A3483" s="151" t="s">
        <v>5459</v>
      </c>
    </row>
    <row r="3484" spans="1:1">
      <c r="A3484" s="151" t="s">
        <v>5460</v>
      </c>
    </row>
    <row r="3485" spans="1:1">
      <c r="A3485" s="151" t="s">
        <v>5461</v>
      </c>
    </row>
    <row r="3486" spans="1:1">
      <c r="A3486" s="151" t="s">
        <v>5462</v>
      </c>
    </row>
    <row r="3487" spans="1:1">
      <c r="A3487" s="151" t="s">
        <v>5463</v>
      </c>
    </row>
    <row r="3488" spans="1:1">
      <c r="A3488" s="151" t="s">
        <v>5464</v>
      </c>
    </row>
    <row r="3489" spans="1:1">
      <c r="A3489" s="151" t="s">
        <v>5465</v>
      </c>
    </row>
    <row r="3490" spans="1:1">
      <c r="A3490" s="151" t="s">
        <v>5466</v>
      </c>
    </row>
    <row r="3491" spans="1:1">
      <c r="A3491" s="151" t="s">
        <v>5467</v>
      </c>
    </row>
    <row r="3492" spans="1:1">
      <c r="A3492" s="151" t="s">
        <v>5468</v>
      </c>
    </row>
    <row r="3493" spans="1:1">
      <c r="A3493" s="151" t="s">
        <v>5469</v>
      </c>
    </row>
    <row r="3494" spans="1:1">
      <c r="A3494" s="151" t="s">
        <v>5470</v>
      </c>
    </row>
    <row r="3495" spans="1:1">
      <c r="A3495" s="151" t="s">
        <v>5471</v>
      </c>
    </row>
    <row r="3496" spans="1:1">
      <c r="A3496" s="151" t="s">
        <v>5472</v>
      </c>
    </row>
    <row r="3497" spans="1:1">
      <c r="A3497" s="151" t="s">
        <v>5473</v>
      </c>
    </row>
    <row r="3498" spans="1:1">
      <c r="A3498" s="151" t="s">
        <v>5474</v>
      </c>
    </row>
    <row r="3499" spans="1:1">
      <c r="A3499" s="151" t="s">
        <v>5475</v>
      </c>
    </row>
    <row r="3500" spans="1:1">
      <c r="A3500" s="151" t="s">
        <v>5476</v>
      </c>
    </row>
    <row r="3501" spans="1:1">
      <c r="A3501" s="151" t="s">
        <v>5477</v>
      </c>
    </row>
    <row r="3502" spans="1:1">
      <c r="A3502" s="151" t="s">
        <v>5478</v>
      </c>
    </row>
    <row r="3503" spans="1:1">
      <c r="A3503" s="151" t="s">
        <v>5479</v>
      </c>
    </row>
    <row r="3504" spans="1:1">
      <c r="A3504" s="151" t="s">
        <v>5480</v>
      </c>
    </row>
    <row r="3505" spans="1:1">
      <c r="A3505" s="151" t="s">
        <v>5481</v>
      </c>
    </row>
    <row r="3506" spans="1:1">
      <c r="A3506" s="151" t="s">
        <v>5482</v>
      </c>
    </row>
    <row r="3507" spans="1:1">
      <c r="A3507" s="151" t="s">
        <v>5483</v>
      </c>
    </row>
    <row r="3508" spans="1:1">
      <c r="A3508" s="151" t="s">
        <v>5484</v>
      </c>
    </row>
    <row r="3509" spans="1:1">
      <c r="A3509" s="151" t="s">
        <v>5485</v>
      </c>
    </row>
    <row r="3510" spans="1:1">
      <c r="A3510" s="151" t="s">
        <v>5486</v>
      </c>
    </row>
    <row r="3511" spans="1:1">
      <c r="A3511" s="151" t="s">
        <v>5487</v>
      </c>
    </row>
    <row r="3512" spans="1:1">
      <c r="A3512" s="151" t="s">
        <v>5488</v>
      </c>
    </row>
    <row r="3513" spans="1:1">
      <c r="A3513" s="151" t="s">
        <v>5489</v>
      </c>
    </row>
    <row r="3514" spans="1:1">
      <c r="A3514" s="151" t="s">
        <v>5490</v>
      </c>
    </row>
    <row r="3515" spans="1:1">
      <c r="A3515" s="151" t="s">
        <v>5491</v>
      </c>
    </row>
    <row r="3516" spans="1:1">
      <c r="A3516" s="151" t="s">
        <v>5492</v>
      </c>
    </row>
    <row r="3517" spans="1:1">
      <c r="A3517" s="151" t="s">
        <v>5493</v>
      </c>
    </row>
    <row r="3518" spans="1:1">
      <c r="A3518" s="151" t="s">
        <v>5494</v>
      </c>
    </row>
    <row r="3519" spans="1:1">
      <c r="A3519" s="151" t="s">
        <v>5495</v>
      </c>
    </row>
    <row r="3520" spans="1:1">
      <c r="A3520" s="151" t="s">
        <v>5496</v>
      </c>
    </row>
    <row r="3521" spans="1:1">
      <c r="A3521" s="151" t="s">
        <v>5497</v>
      </c>
    </row>
    <row r="3522" spans="1:1">
      <c r="A3522" s="151" t="s">
        <v>5498</v>
      </c>
    </row>
    <row r="3523" spans="1:1">
      <c r="A3523" s="151" t="s">
        <v>5499</v>
      </c>
    </row>
    <row r="3524" spans="1:1">
      <c r="A3524" s="151" t="s">
        <v>5500</v>
      </c>
    </row>
    <row r="3525" spans="1:1">
      <c r="A3525" s="151" t="s">
        <v>5501</v>
      </c>
    </row>
    <row r="3526" spans="1:1">
      <c r="A3526" s="151" t="s">
        <v>5502</v>
      </c>
    </row>
    <row r="3527" spans="1:1">
      <c r="A3527" s="151" t="s">
        <v>5503</v>
      </c>
    </row>
    <row r="3528" spans="1:1">
      <c r="A3528" s="151" t="s">
        <v>5504</v>
      </c>
    </row>
    <row r="3529" spans="1:1">
      <c r="A3529" s="151" t="s">
        <v>5505</v>
      </c>
    </row>
    <row r="3530" spans="1:1">
      <c r="A3530" s="151" t="s">
        <v>5506</v>
      </c>
    </row>
    <row r="3531" spans="1:1">
      <c r="A3531" s="151" t="s">
        <v>5507</v>
      </c>
    </row>
    <row r="3532" spans="1:1">
      <c r="A3532" s="151" t="s">
        <v>5508</v>
      </c>
    </row>
    <row r="3533" spans="1:1">
      <c r="A3533" s="151" t="s">
        <v>5509</v>
      </c>
    </row>
    <row r="3534" spans="1:1">
      <c r="A3534" s="151" t="s">
        <v>5510</v>
      </c>
    </row>
    <row r="3535" spans="1:1">
      <c r="A3535" s="151" t="s">
        <v>5511</v>
      </c>
    </row>
    <row r="3536" spans="1:1">
      <c r="A3536" s="151" t="s">
        <v>5512</v>
      </c>
    </row>
    <row r="3537" spans="1:1">
      <c r="A3537" s="151" t="s">
        <v>5513</v>
      </c>
    </row>
    <row r="3538" spans="1:1">
      <c r="A3538" s="151" t="s">
        <v>5514</v>
      </c>
    </row>
    <row r="3539" spans="1:1">
      <c r="A3539" s="151" t="s">
        <v>5515</v>
      </c>
    </row>
    <row r="3540" spans="1:1">
      <c r="A3540" s="151" t="s">
        <v>5516</v>
      </c>
    </row>
    <row r="3541" spans="1:1">
      <c r="A3541" s="151" t="s">
        <v>5517</v>
      </c>
    </row>
    <row r="3542" spans="1:1">
      <c r="A3542" s="151" t="s">
        <v>5518</v>
      </c>
    </row>
    <row r="3543" spans="1:1">
      <c r="A3543" s="151" t="s">
        <v>5519</v>
      </c>
    </row>
    <row r="3544" spans="1:1">
      <c r="A3544" s="151" t="s">
        <v>5520</v>
      </c>
    </row>
    <row r="3545" spans="1:1">
      <c r="A3545" s="151" t="s">
        <v>5521</v>
      </c>
    </row>
    <row r="3546" spans="1:1">
      <c r="A3546" s="151" t="s">
        <v>5522</v>
      </c>
    </row>
    <row r="3547" spans="1:1">
      <c r="A3547" s="151" t="s">
        <v>5523</v>
      </c>
    </row>
    <row r="3548" spans="1:1">
      <c r="A3548" s="151" t="s">
        <v>5524</v>
      </c>
    </row>
    <row r="3549" spans="1:1">
      <c r="A3549" s="151" t="s">
        <v>5525</v>
      </c>
    </row>
    <row r="3550" spans="1:1">
      <c r="A3550" s="151" t="s">
        <v>5526</v>
      </c>
    </row>
    <row r="3551" spans="1:1">
      <c r="A3551" s="151" t="s">
        <v>5527</v>
      </c>
    </row>
    <row r="3552" spans="1:1">
      <c r="A3552" s="151" t="s">
        <v>5528</v>
      </c>
    </row>
    <row r="3553" spans="1:1">
      <c r="A3553" s="151" t="s">
        <v>5529</v>
      </c>
    </row>
    <row r="3554" spans="1:1">
      <c r="A3554" s="151" t="s">
        <v>5530</v>
      </c>
    </row>
    <row r="3555" spans="1:1">
      <c r="A3555" s="151" t="s">
        <v>5531</v>
      </c>
    </row>
    <row r="3556" spans="1:1">
      <c r="A3556" s="151" t="s">
        <v>5532</v>
      </c>
    </row>
    <row r="3557" spans="1:1">
      <c r="A3557" s="151" t="s">
        <v>5533</v>
      </c>
    </row>
    <row r="3558" spans="1:1">
      <c r="A3558" s="151" t="s">
        <v>5534</v>
      </c>
    </row>
    <row r="3559" spans="1:1">
      <c r="A3559" s="151" t="s">
        <v>5535</v>
      </c>
    </row>
    <row r="3560" spans="1:1">
      <c r="A3560" s="151" t="s">
        <v>5536</v>
      </c>
    </row>
    <row r="3561" spans="1:1">
      <c r="A3561" s="151" t="s">
        <v>5537</v>
      </c>
    </row>
    <row r="3562" spans="1:1">
      <c r="A3562" s="151" t="s">
        <v>5538</v>
      </c>
    </row>
    <row r="3563" spans="1:1">
      <c r="A3563" s="151" t="s">
        <v>5539</v>
      </c>
    </row>
    <row r="3564" spans="1:1">
      <c r="A3564" s="151" t="s">
        <v>5540</v>
      </c>
    </row>
    <row r="3565" spans="1:1">
      <c r="A3565" s="151" t="s">
        <v>5541</v>
      </c>
    </row>
    <row r="3566" spans="1:1">
      <c r="A3566" s="151" t="s">
        <v>5542</v>
      </c>
    </row>
    <row r="3567" spans="1:1">
      <c r="A3567" s="151" t="s">
        <v>5543</v>
      </c>
    </row>
    <row r="3568" spans="1:1">
      <c r="A3568" s="151" t="s">
        <v>5544</v>
      </c>
    </row>
    <row r="3569" spans="1:1">
      <c r="A3569" s="151" t="s">
        <v>5545</v>
      </c>
    </row>
    <row r="3570" spans="1:1">
      <c r="A3570" s="151" t="s">
        <v>5546</v>
      </c>
    </row>
    <row r="3571" spans="1:1">
      <c r="A3571" s="151" t="s">
        <v>5547</v>
      </c>
    </row>
    <row r="3572" spans="1:1">
      <c r="A3572" s="151" t="s">
        <v>5548</v>
      </c>
    </row>
    <row r="3573" spans="1:1">
      <c r="A3573" s="151" t="s">
        <v>5549</v>
      </c>
    </row>
    <row r="3574" spans="1:1">
      <c r="A3574" s="151" t="s">
        <v>5550</v>
      </c>
    </row>
    <row r="3575" spans="1:1">
      <c r="A3575" s="151" t="s">
        <v>5551</v>
      </c>
    </row>
    <row r="3576" spans="1:1">
      <c r="A3576" s="151" t="s">
        <v>5552</v>
      </c>
    </row>
    <row r="3577" spans="1:1">
      <c r="A3577" s="151" t="s">
        <v>5553</v>
      </c>
    </row>
    <row r="3578" spans="1:1">
      <c r="A3578" s="151" t="s">
        <v>5554</v>
      </c>
    </row>
    <row r="3579" spans="1:1">
      <c r="A3579" s="151" t="s">
        <v>5555</v>
      </c>
    </row>
    <row r="3580" spans="1:1">
      <c r="A3580" s="151" t="s">
        <v>5556</v>
      </c>
    </row>
    <row r="3581" spans="1:1">
      <c r="A3581" s="151" t="s">
        <v>5557</v>
      </c>
    </row>
    <row r="3582" spans="1:1">
      <c r="A3582" s="151" t="s">
        <v>5558</v>
      </c>
    </row>
    <row r="3583" spans="1:1">
      <c r="A3583" s="151" t="s">
        <v>5559</v>
      </c>
    </row>
    <row r="3584" spans="1:1">
      <c r="A3584" s="151" t="s">
        <v>5560</v>
      </c>
    </row>
    <row r="3585" spans="1:1">
      <c r="A3585" s="151" t="s">
        <v>5561</v>
      </c>
    </row>
    <row r="3586" spans="1:1">
      <c r="A3586" s="151" t="s">
        <v>5562</v>
      </c>
    </row>
    <row r="3587" spans="1:1">
      <c r="A3587" s="151" t="s">
        <v>5563</v>
      </c>
    </row>
    <row r="3588" spans="1:1">
      <c r="A3588" s="151" t="s">
        <v>5564</v>
      </c>
    </row>
    <row r="3589" spans="1:1">
      <c r="A3589" s="151" t="s">
        <v>5565</v>
      </c>
    </row>
    <row r="3590" spans="1:1">
      <c r="A3590" s="151" t="s">
        <v>5566</v>
      </c>
    </row>
    <row r="3591" spans="1:1">
      <c r="A3591" s="151" t="s">
        <v>5567</v>
      </c>
    </row>
    <row r="3592" spans="1:1">
      <c r="A3592" s="151" t="s">
        <v>5568</v>
      </c>
    </row>
    <row r="3593" spans="1:1">
      <c r="A3593" s="151" t="s">
        <v>5569</v>
      </c>
    </row>
    <row r="3594" spans="1:1">
      <c r="A3594" s="151" t="s">
        <v>5570</v>
      </c>
    </row>
    <row r="3595" spans="1:1">
      <c r="A3595" s="151" t="s">
        <v>5571</v>
      </c>
    </row>
    <row r="3596" spans="1:1">
      <c r="A3596" s="151" t="s">
        <v>5572</v>
      </c>
    </row>
    <row r="3597" spans="1:1">
      <c r="A3597" s="151" t="s">
        <v>5573</v>
      </c>
    </row>
    <row r="3598" spans="1:1">
      <c r="A3598" s="151" t="s">
        <v>5574</v>
      </c>
    </row>
    <row r="3599" spans="1:1">
      <c r="A3599" s="151" t="s">
        <v>5575</v>
      </c>
    </row>
    <row r="3600" spans="1:1">
      <c r="A3600" s="151" t="s">
        <v>5576</v>
      </c>
    </row>
    <row r="3601" spans="1:1">
      <c r="A3601" s="151" t="s">
        <v>5577</v>
      </c>
    </row>
    <row r="3602" spans="1:1">
      <c r="A3602" s="151" t="s">
        <v>5578</v>
      </c>
    </row>
    <row r="3603" spans="1:1">
      <c r="A3603" s="151" t="s">
        <v>5579</v>
      </c>
    </row>
    <row r="3604" spans="1:1">
      <c r="A3604" s="151" t="s">
        <v>5580</v>
      </c>
    </row>
    <row r="3605" spans="1:1">
      <c r="A3605" s="151" t="s">
        <v>5581</v>
      </c>
    </row>
    <row r="3606" spans="1:1">
      <c r="A3606" s="151" t="s">
        <v>5582</v>
      </c>
    </row>
    <row r="3607" spans="1:1">
      <c r="A3607" s="151" t="s">
        <v>5583</v>
      </c>
    </row>
    <row r="3608" spans="1:1">
      <c r="A3608" s="151" t="s">
        <v>5584</v>
      </c>
    </row>
    <row r="3609" spans="1:1">
      <c r="A3609" s="151" t="s">
        <v>5585</v>
      </c>
    </row>
    <row r="3610" spans="1:1">
      <c r="A3610" s="151" t="s">
        <v>5586</v>
      </c>
    </row>
    <row r="3611" spans="1:1">
      <c r="A3611" s="151" t="s">
        <v>5587</v>
      </c>
    </row>
    <row r="3612" spans="1:1">
      <c r="A3612" s="151" t="s">
        <v>5588</v>
      </c>
    </row>
    <row r="3613" spans="1:1">
      <c r="A3613" s="151" t="s">
        <v>5589</v>
      </c>
    </row>
    <row r="3614" spans="1:1">
      <c r="A3614" s="151" t="s">
        <v>5590</v>
      </c>
    </row>
    <row r="3615" spans="1:1">
      <c r="A3615" s="151" t="s">
        <v>5591</v>
      </c>
    </row>
    <row r="3616" spans="1:1">
      <c r="A3616" s="151" t="s">
        <v>5592</v>
      </c>
    </row>
    <row r="3617" spans="1:1">
      <c r="A3617" s="151" t="s">
        <v>5593</v>
      </c>
    </row>
    <row r="3618" spans="1:1">
      <c r="A3618" s="151" t="s">
        <v>5594</v>
      </c>
    </row>
    <row r="3619" spans="1:1">
      <c r="A3619" s="151" t="s">
        <v>5595</v>
      </c>
    </row>
    <row r="3620" spans="1:1">
      <c r="A3620" s="151" t="s">
        <v>5596</v>
      </c>
    </row>
    <row r="3621" spans="1:1">
      <c r="A3621" s="151" t="s">
        <v>5597</v>
      </c>
    </row>
    <row r="3622" spans="1:1">
      <c r="A3622" s="151" t="s">
        <v>5598</v>
      </c>
    </row>
    <row r="3623" spans="1:1">
      <c r="A3623" s="151" t="s">
        <v>5599</v>
      </c>
    </row>
    <row r="3624" spans="1:1">
      <c r="A3624" s="151" t="s">
        <v>5600</v>
      </c>
    </row>
    <row r="3625" spans="1:1">
      <c r="A3625" s="151" t="s">
        <v>5601</v>
      </c>
    </row>
    <row r="3626" spans="1:1">
      <c r="A3626" s="151" t="s">
        <v>5602</v>
      </c>
    </row>
    <row r="3627" spans="1:1">
      <c r="A3627" s="151" t="s">
        <v>5603</v>
      </c>
    </row>
    <row r="3628" spans="1:1">
      <c r="A3628" s="151" t="s">
        <v>5604</v>
      </c>
    </row>
    <row r="3629" spans="1:1">
      <c r="A3629" s="151" t="s">
        <v>5605</v>
      </c>
    </row>
    <row r="3630" spans="1:1">
      <c r="A3630" s="151" t="s">
        <v>5606</v>
      </c>
    </row>
    <row r="3631" spans="1:1">
      <c r="A3631" s="151" t="s">
        <v>5607</v>
      </c>
    </row>
    <row r="3632" spans="1:1">
      <c r="A3632" s="151" t="s">
        <v>5608</v>
      </c>
    </row>
    <row r="3633" spans="1:1">
      <c r="A3633" s="151" t="s">
        <v>5609</v>
      </c>
    </row>
    <row r="3634" spans="1:1">
      <c r="A3634" s="151" t="s">
        <v>5610</v>
      </c>
    </row>
    <row r="3635" spans="1:1">
      <c r="A3635" s="151" t="s">
        <v>5611</v>
      </c>
    </row>
    <row r="3636" spans="1:1">
      <c r="A3636" s="151" t="s">
        <v>5612</v>
      </c>
    </row>
    <row r="3637" spans="1:1">
      <c r="A3637" s="151" t="s">
        <v>5613</v>
      </c>
    </row>
    <row r="3638" spans="1:1">
      <c r="A3638" s="151" t="s">
        <v>5614</v>
      </c>
    </row>
    <row r="3639" spans="1:1">
      <c r="A3639" s="151" t="s">
        <v>5615</v>
      </c>
    </row>
    <row r="3640" spans="1:1">
      <c r="A3640" s="151" t="s">
        <v>5616</v>
      </c>
    </row>
    <row r="3641" spans="1:1">
      <c r="A3641" s="151" t="s">
        <v>5617</v>
      </c>
    </row>
    <row r="3642" spans="1:1">
      <c r="A3642" s="151" t="s">
        <v>5618</v>
      </c>
    </row>
    <row r="3643" spans="1:1">
      <c r="A3643" s="151" t="s">
        <v>5619</v>
      </c>
    </row>
    <row r="3644" spans="1:1">
      <c r="A3644" s="151" t="s">
        <v>5620</v>
      </c>
    </row>
    <row r="3645" spans="1:1">
      <c r="A3645" s="151" t="s">
        <v>5621</v>
      </c>
    </row>
    <row r="3646" spans="1:1">
      <c r="A3646" s="151" t="s">
        <v>5622</v>
      </c>
    </row>
    <row r="3647" spans="1:1">
      <c r="A3647" s="151" t="s">
        <v>5623</v>
      </c>
    </row>
    <row r="3648" spans="1:1">
      <c r="A3648" s="151" t="s">
        <v>5624</v>
      </c>
    </row>
    <row r="3649" spans="1:1">
      <c r="A3649" s="151" t="s">
        <v>5625</v>
      </c>
    </row>
    <row r="3650" spans="1:1">
      <c r="A3650" s="151" t="s">
        <v>5626</v>
      </c>
    </row>
    <row r="3651" spans="1:1">
      <c r="A3651" s="151" t="s">
        <v>5627</v>
      </c>
    </row>
    <row r="3652" spans="1:1">
      <c r="A3652" s="151" t="s">
        <v>5628</v>
      </c>
    </row>
    <row r="3653" spans="1:1">
      <c r="A3653" s="151" t="s">
        <v>5629</v>
      </c>
    </row>
    <row r="3654" spans="1:1">
      <c r="A3654" s="151" t="s">
        <v>5630</v>
      </c>
    </row>
    <row r="3655" spans="1:1">
      <c r="A3655" s="151" t="s">
        <v>5631</v>
      </c>
    </row>
    <row r="3656" spans="1:1">
      <c r="A3656" s="151" t="s">
        <v>5632</v>
      </c>
    </row>
    <row r="3657" spans="1:1">
      <c r="A3657" s="151" t="s">
        <v>5633</v>
      </c>
    </row>
    <row r="3658" spans="1:1">
      <c r="A3658" s="151" t="s">
        <v>5634</v>
      </c>
    </row>
    <row r="3659" spans="1:1">
      <c r="A3659" s="151" t="s">
        <v>5635</v>
      </c>
    </row>
    <row r="3660" spans="1:1">
      <c r="A3660" s="151" t="s">
        <v>5636</v>
      </c>
    </row>
    <row r="3661" spans="1:1">
      <c r="A3661" s="151" t="s">
        <v>5637</v>
      </c>
    </row>
    <row r="3662" spans="1:1">
      <c r="A3662" s="151" t="s">
        <v>5638</v>
      </c>
    </row>
    <row r="3663" spans="1:1">
      <c r="A3663" s="151" t="s">
        <v>5639</v>
      </c>
    </row>
    <row r="3664" spans="1:1">
      <c r="A3664" s="151" t="s">
        <v>5640</v>
      </c>
    </row>
    <row r="3665" spans="1:1">
      <c r="A3665" s="151" t="s">
        <v>5641</v>
      </c>
    </row>
    <row r="3666" spans="1:1">
      <c r="A3666" s="151" t="s">
        <v>5642</v>
      </c>
    </row>
    <row r="3667" spans="1:1">
      <c r="A3667" s="151" t="s">
        <v>5643</v>
      </c>
    </row>
    <row r="3668" spans="1:1">
      <c r="A3668" s="151" t="s">
        <v>5644</v>
      </c>
    </row>
    <row r="3669" spans="1:1">
      <c r="A3669" s="151" t="s">
        <v>5645</v>
      </c>
    </row>
    <row r="3670" spans="1:1">
      <c r="A3670" s="151" t="s">
        <v>5646</v>
      </c>
    </row>
    <row r="3671" spans="1:1">
      <c r="A3671" s="151" t="s">
        <v>5647</v>
      </c>
    </row>
    <row r="3672" spans="1:1">
      <c r="A3672" s="151" t="s">
        <v>5648</v>
      </c>
    </row>
    <row r="3673" spans="1:1">
      <c r="A3673" s="151" t="s">
        <v>5649</v>
      </c>
    </row>
    <row r="3674" spans="1:1">
      <c r="A3674" s="151" t="s">
        <v>5650</v>
      </c>
    </row>
    <row r="3675" spans="1:1">
      <c r="A3675" s="151" t="s">
        <v>5651</v>
      </c>
    </row>
    <row r="3676" spans="1:1">
      <c r="A3676" s="151" t="s">
        <v>5652</v>
      </c>
    </row>
    <row r="3677" spans="1:1">
      <c r="A3677" s="151" t="s">
        <v>5653</v>
      </c>
    </row>
    <row r="3678" spans="1:1">
      <c r="A3678" s="151" t="s">
        <v>5654</v>
      </c>
    </row>
    <row r="3679" spans="1:1">
      <c r="A3679" s="151" t="s">
        <v>5655</v>
      </c>
    </row>
    <row r="3680" spans="1:1">
      <c r="A3680" s="151" t="s">
        <v>5656</v>
      </c>
    </row>
    <row r="3681" spans="1:1">
      <c r="A3681" s="151" t="s">
        <v>5657</v>
      </c>
    </row>
    <row r="3682" spans="1:1">
      <c r="A3682" s="151" t="s">
        <v>5658</v>
      </c>
    </row>
    <row r="3683" spans="1:1">
      <c r="A3683" s="151" t="s">
        <v>5659</v>
      </c>
    </row>
    <row r="3684" spans="1:1">
      <c r="A3684" s="151" t="s">
        <v>5660</v>
      </c>
    </row>
    <row r="3685" spans="1:1">
      <c r="A3685" s="151" t="s">
        <v>5661</v>
      </c>
    </row>
    <row r="3686" spans="1:1">
      <c r="A3686" s="151" t="s">
        <v>5662</v>
      </c>
    </row>
    <row r="3687" spans="1:1">
      <c r="A3687" s="151" t="s">
        <v>5663</v>
      </c>
    </row>
    <row r="3688" spans="1:1">
      <c r="A3688" s="151" t="s">
        <v>5664</v>
      </c>
    </row>
    <row r="3689" spans="1:1">
      <c r="A3689" s="151" t="s">
        <v>5665</v>
      </c>
    </row>
    <row r="3690" spans="1:1">
      <c r="A3690" s="151" t="s">
        <v>5666</v>
      </c>
    </row>
    <row r="3691" spans="1:1">
      <c r="A3691" s="151" t="s">
        <v>5667</v>
      </c>
    </row>
    <row r="3692" spans="1:1">
      <c r="A3692" s="151" t="s">
        <v>5668</v>
      </c>
    </row>
    <row r="3693" spans="1:1">
      <c r="A3693" s="151" t="s">
        <v>5669</v>
      </c>
    </row>
    <row r="3694" spans="1:1">
      <c r="A3694" s="151" t="s">
        <v>5670</v>
      </c>
    </row>
    <row r="3695" spans="1:1">
      <c r="A3695" s="151" t="s">
        <v>5671</v>
      </c>
    </row>
    <row r="3696" spans="1:1">
      <c r="A3696" s="151" t="s">
        <v>5672</v>
      </c>
    </row>
    <row r="3697" spans="1:1">
      <c r="A3697" s="151" t="s">
        <v>5673</v>
      </c>
    </row>
    <row r="3698" spans="1:1">
      <c r="A3698" s="151" t="s">
        <v>5674</v>
      </c>
    </row>
    <row r="3699" spans="1:1">
      <c r="A3699" s="151" t="s">
        <v>5675</v>
      </c>
    </row>
    <row r="3700" spans="1:1">
      <c r="A3700" s="151" t="s">
        <v>5676</v>
      </c>
    </row>
    <row r="3701" spans="1:1">
      <c r="A3701" s="151" t="s">
        <v>5677</v>
      </c>
    </row>
    <row r="3702" spans="1:1">
      <c r="A3702" s="151" t="s">
        <v>5678</v>
      </c>
    </row>
    <row r="3703" spans="1:1">
      <c r="A3703" s="151" t="s">
        <v>5679</v>
      </c>
    </row>
    <row r="3704" spans="1:1">
      <c r="A3704" s="151" t="s">
        <v>5680</v>
      </c>
    </row>
    <row r="3705" spans="1:1">
      <c r="A3705" s="151" t="s">
        <v>5681</v>
      </c>
    </row>
    <row r="3706" spans="1:1">
      <c r="A3706" s="151" t="s">
        <v>5682</v>
      </c>
    </row>
    <row r="3707" spans="1:1">
      <c r="A3707" s="151" t="s">
        <v>5683</v>
      </c>
    </row>
    <row r="3708" spans="1:1">
      <c r="A3708" s="151" t="s">
        <v>5684</v>
      </c>
    </row>
    <row r="3709" spans="1:1">
      <c r="A3709" s="151" t="s">
        <v>5685</v>
      </c>
    </row>
    <row r="3710" spans="1:1">
      <c r="A3710" s="151" t="s">
        <v>5686</v>
      </c>
    </row>
    <row r="3711" spans="1:1">
      <c r="A3711" s="151" t="s">
        <v>5687</v>
      </c>
    </row>
    <row r="3712" spans="1:1">
      <c r="A3712" s="151" t="s">
        <v>5688</v>
      </c>
    </row>
    <row r="3713" spans="1:1">
      <c r="A3713" s="151" t="s">
        <v>5689</v>
      </c>
    </row>
    <row r="3714" spans="1:1">
      <c r="A3714" s="151" t="s">
        <v>5690</v>
      </c>
    </row>
    <row r="3715" spans="1:1">
      <c r="A3715" s="151" t="s">
        <v>5691</v>
      </c>
    </row>
    <row r="3716" spans="1:1">
      <c r="A3716" s="151" t="s">
        <v>5692</v>
      </c>
    </row>
    <row r="3717" spans="1:1">
      <c r="A3717" s="151" t="s">
        <v>5693</v>
      </c>
    </row>
    <row r="3718" spans="1:1">
      <c r="A3718" s="151" t="s">
        <v>5694</v>
      </c>
    </row>
    <row r="3719" spans="1:1">
      <c r="A3719" s="151" t="s">
        <v>5695</v>
      </c>
    </row>
    <row r="3720" spans="1:1">
      <c r="A3720" s="151" t="s">
        <v>5696</v>
      </c>
    </row>
    <row r="3721" spans="1:1">
      <c r="A3721" s="151" t="s">
        <v>5697</v>
      </c>
    </row>
    <row r="3722" spans="1:1">
      <c r="A3722" s="151" t="s">
        <v>5698</v>
      </c>
    </row>
    <row r="3723" spans="1:1">
      <c r="A3723" s="151" t="s">
        <v>5699</v>
      </c>
    </row>
    <row r="3724" spans="1:1">
      <c r="A3724" s="151" t="s">
        <v>5700</v>
      </c>
    </row>
    <row r="3725" spans="1:1">
      <c r="A3725" s="151" t="s">
        <v>5701</v>
      </c>
    </row>
    <row r="3726" spans="1:1">
      <c r="A3726" s="151" t="s">
        <v>5702</v>
      </c>
    </row>
    <row r="3727" spans="1:1">
      <c r="A3727" s="151" t="s">
        <v>5703</v>
      </c>
    </row>
    <row r="3728" spans="1:1">
      <c r="A3728" s="151" t="s">
        <v>5704</v>
      </c>
    </row>
    <row r="3729" spans="1:1">
      <c r="A3729" s="151" t="s">
        <v>5705</v>
      </c>
    </row>
    <row r="3730" spans="1:1">
      <c r="A3730" s="151" t="s">
        <v>5706</v>
      </c>
    </row>
    <row r="3731" spans="1:1">
      <c r="A3731" s="151" t="s">
        <v>5707</v>
      </c>
    </row>
    <row r="3732" spans="1:1">
      <c r="A3732" s="151" t="s">
        <v>5708</v>
      </c>
    </row>
    <row r="3733" spans="1:1">
      <c r="A3733" s="151" t="s">
        <v>5709</v>
      </c>
    </row>
    <row r="3734" spans="1:1">
      <c r="A3734" s="151" t="s">
        <v>5710</v>
      </c>
    </row>
    <row r="3735" spans="1:1">
      <c r="A3735" s="151" t="s">
        <v>5711</v>
      </c>
    </row>
    <row r="3736" spans="1:1">
      <c r="A3736" s="151" t="s">
        <v>5712</v>
      </c>
    </row>
    <row r="3737" spans="1:1">
      <c r="A3737" s="151" t="s">
        <v>5713</v>
      </c>
    </row>
    <row r="3738" spans="1:1">
      <c r="A3738" s="151" t="s">
        <v>5714</v>
      </c>
    </row>
    <row r="3739" spans="1:1">
      <c r="A3739" s="151" t="s">
        <v>5715</v>
      </c>
    </row>
    <row r="3740" spans="1:1">
      <c r="A3740" s="151" t="s">
        <v>5716</v>
      </c>
    </row>
    <row r="3741" spans="1:1">
      <c r="A3741" s="151" t="s">
        <v>5717</v>
      </c>
    </row>
    <row r="3742" spans="1:1">
      <c r="A3742" s="151" t="s">
        <v>5718</v>
      </c>
    </row>
    <row r="3743" spans="1:1">
      <c r="A3743" s="151" t="s">
        <v>5719</v>
      </c>
    </row>
    <row r="3744" spans="1:1">
      <c r="A3744" s="151" t="s">
        <v>5720</v>
      </c>
    </row>
    <row r="3745" spans="1:1">
      <c r="A3745" s="151" t="s">
        <v>5721</v>
      </c>
    </row>
    <row r="3746" spans="1:1">
      <c r="A3746" s="151" t="s">
        <v>5722</v>
      </c>
    </row>
    <row r="3747" spans="1:1">
      <c r="A3747" s="151" t="s">
        <v>5723</v>
      </c>
    </row>
    <row r="3748" spans="1:1">
      <c r="A3748" s="151" t="s">
        <v>5724</v>
      </c>
    </row>
    <row r="3749" spans="1:1">
      <c r="A3749" s="151" t="s">
        <v>5725</v>
      </c>
    </row>
    <row r="3750" spans="1:1">
      <c r="A3750" s="151" t="s">
        <v>5726</v>
      </c>
    </row>
    <row r="3751" spans="1:1">
      <c r="A3751" s="151" t="s">
        <v>5727</v>
      </c>
    </row>
    <row r="3752" spans="1:1">
      <c r="A3752" s="151" t="s">
        <v>5728</v>
      </c>
    </row>
    <row r="3753" spans="1:1">
      <c r="A3753" s="151" t="s">
        <v>5729</v>
      </c>
    </row>
    <row r="3754" spans="1:1">
      <c r="A3754" s="151" t="s">
        <v>5730</v>
      </c>
    </row>
    <row r="3755" spans="1:1">
      <c r="A3755" s="151" t="s">
        <v>5731</v>
      </c>
    </row>
    <row r="3756" spans="1:1">
      <c r="A3756" s="151" t="s">
        <v>5732</v>
      </c>
    </row>
    <row r="3757" spans="1:1">
      <c r="A3757" s="151" t="s">
        <v>5733</v>
      </c>
    </row>
    <row r="3758" spans="1:1">
      <c r="A3758" s="151" t="s">
        <v>5734</v>
      </c>
    </row>
    <row r="3759" spans="1:1">
      <c r="A3759" s="151" t="s">
        <v>5735</v>
      </c>
    </row>
    <row r="3760" spans="1:1">
      <c r="A3760" s="151" t="s">
        <v>5736</v>
      </c>
    </row>
    <row r="3761" spans="1:1">
      <c r="A3761" s="151" t="s">
        <v>5737</v>
      </c>
    </row>
    <row r="3762" spans="1:1">
      <c r="A3762" s="151" t="s">
        <v>5738</v>
      </c>
    </row>
    <row r="3763" spans="1:1">
      <c r="A3763" s="151" t="s">
        <v>5739</v>
      </c>
    </row>
    <row r="3764" spans="1:1">
      <c r="A3764" s="151" t="s">
        <v>5740</v>
      </c>
    </row>
    <row r="3765" spans="1:1">
      <c r="A3765" s="151" t="s">
        <v>5741</v>
      </c>
    </row>
    <row r="3766" spans="1:1">
      <c r="A3766" s="151" t="s">
        <v>5742</v>
      </c>
    </row>
    <row r="3767" spans="1:1">
      <c r="A3767" s="151" t="s">
        <v>5743</v>
      </c>
    </row>
    <row r="3768" spans="1:1">
      <c r="A3768" s="151" t="s">
        <v>5744</v>
      </c>
    </row>
    <row r="3769" spans="1:1">
      <c r="A3769" s="151" t="s">
        <v>5745</v>
      </c>
    </row>
    <row r="3770" spans="1:1">
      <c r="A3770" s="151" t="s">
        <v>5746</v>
      </c>
    </row>
    <row r="3771" spans="1:1">
      <c r="A3771" s="151" t="s">
        <v>5747</v>
      </c>
    </row>
    <row r="3772" spans="1:1">
      <c r="A3772" s="151" t="s">
        <v>5748</v>
      </c>
    </row>
    <row r="3773" spans="1:1">
      <c r="A3773" s="151" t="s">
        <v>5749</v>
      </c>
    </row>
    <row r="3774" spans="1:1">
      <c r="A3774" s="151" t="s">
        <v>5750</v>
      </c>
    </row>
    <row r="3775" spans="1:1">
      <c r="A3775" s="151" t="s">
        <v>5751</v>
      </c>
    </row>
    <row r="3776" spans="1:1">
      <c r="A3776" s="151" t="s">
        <v>5752</v>
      </c>
    </row>
    <row r="3777" spans="1:1">
      <c r="A3777" s="151" t="s">
        <v>5753</v>
      </c>
    </row>
    <row r="3778" spans="1:1">
      <c r="A3778" s="151" t="s">
        <v>5754</v>
      </c>
    </row>
    <row r="3779" spans="1:1">
      <c r="A3779" s="151" t="s">
        <v>5755</v>
      </c>
    </row>
    <row r="3780" spans="1:1">
      <c r="A3780" s="151" t="s">
        <v>5756</v>
      </c>
    </row>
    <row r="3781" spans="1:1">
      <c r="A3781" s="151" t="s">
        <v>5757</v>
      </c>
    </row>
    <row r="3782" spans="1:1">
      <c r="A3782" s="151" t="s">
        <v>5758</v>
      </c>
    </row>
    <row r="3783" spans="1:1">
      <c r="A3783" s="151" t="s">
        <v>5759</v>
      </c>
    </row>
    <row r="3784" spans="1:1">
      <c r="A3784" s="151" t="s">
        <v>5760</v>
      </c>
    </row>
    <row r="3785" spans="1:1">
      <c r="A3785" s="151" t="s">
        <v>5761</v>
      </c>
    </row>
    <row r="3786" spans="1:1">
      <c r="A3786" s="151" t="s">
        <v>5762</v>
      </c>
    </row>
    <row r="3787" spans="1:1">
      <c r="A3787" s="151" t="s">
        <v>5763</v>
      </c>
    </row>
    <row r="3788" spans="1:1">
      <c r="A3788" s="151" t="s">
        <v>5764</v>
      </c>
    </row>
    <row r="3789" spans="1:1">
      <c r="A3789" s="151" t="s">
        <v>5765</v>
      </c>
    </row>
    <row r="3790" spans="1:1">
      <c r="A3790" s="151" t="s">
        <v>5766</v>
      </c>
    </row>
    <row r="3791" spans="1:1">
      <c r="A3791" s="151" t="s">
        <v>5767</v>
      </c>
    </row>
    <row r="3792" spans="1:1">
      <c r="A3792" s="151" t="s">
        <v>5768</v>
      </c>
    </row>
    <row r="3793" spans="1:1">
      <c r="A3793" s="151" t="s">
        <v>5769</v>
      </c>
    </row>
    <row r="3794" spans="1:1">
      <c r="A3794" s="151" t="s">
        <v>5770</v>
      </c>
    </row>
    <row r="3795" spans="1:1">
      <c r="A3795" s="151" t="s">
        <v>5771</v>
      </c>
    </row>
    <row r="3796" spans="1:1">
      <c r="A3796" s="151" t="s">
        <v>5772</v>
      </c>
    </row>
    <row r="3797" spans="1:1">
      <c r="A3797" s="151" t="s">
        <v>5773</v>
      </c>
    </row>
    <row r="3798" spans="1:1">
      <c r="A3798" s="151" t="s">
        <v>5774</v>
      </c>
    </row>
    <row r="3799" spans="1:1">
      <c r="A3799" s="151" t="s">
        <v>5775</v>
      </c>
    </row>
    <row r="3800" spans="1:1">
      <c r="A3800" s="151" t="s">
        <v>5776</v>
      </c>
    </row>
    <row r="3801" spans="1:1">
      <c r="A3801" s="151" t="s">
        <v>5777</v>
      </c>
    </row>
    <row r="3802" spans="1:1">
      <c r="A3802" s="151" t="s">
        <v>5778</v>
      </c>
    </row>
    <row r="3803" spans="1:1">
      <c r="A3803" s="151" t="s">
        <v>5779</v>
      </c>
    </row>
    <row r="3804" spans="1:1">
      <c r="A3804" s="151" t="s">
        <v>5780</v>
      </c>
    </row>
    <row r="3805" spans="1:1">
      <c r="A3805" s="151" t="s">
        <v>5781</v>
      </c>
    </row>
    <row r="3806" spans="1:1">
      <c r="A3806" s="151" t="s">
        <v>5782</v>
      </c>
    </row>
    <row r="3807" spans="1:1">
      <c r="A3807" s="151" t="s">
        <v>5783</v>
      </c>
    </row>
    <row r="3808" spans="1:1">
      <c r="A3808" s="151" t="s">
        <v>5784</v>
      </c>
    </row>
    <row r="3809" spans="1:1">
      <c r="A3809" s="151" t="s">
        <v>5785</v>
      </c>
    </row>
    <row r="3810" spans="1:1">
      <c r="A3810" s="151" t="s">
        <v>5786</v>
      </c>
    </row>
    <row r="3811" spans="1:1">
      <c r="A3811" s="151" t="s">
        <v>5787</v>
      </c>
    </row>
    <row r="3812" spans="1:1">
      <c r="A3812" s="151" t="s">
        <v>5788</v>
      </c>
    </row>
    <row r="3813" spans="1:1">
      <c r="A3813" s="151" t="s">
        <v>5789</v>
      </c>
    </row>
    <row r="3814" spans="1:1">
      <c r="A3814" s="151" t="s">
        <v>5790</v>
      </c>
    </row>
    <row r="3815" spans="1:1">
      <c r="A3815" s="151" t="s">
        <v>5791</v>
      </c>
    </row>
    <row r="3816" spans="1:1">
      <c r="A3816" s="151" t="s">
        <v>5792</v>
      </c>
    </row>
    <row r="3817" spans="1:1">
      <c r="A3817" s="151" t="s">
        <v>5793</v>
      </c>
    </row>
    <row r="3818" spans="1:1">
      <c r="A3818" s="151" t="s">
        <v>5794</v>
      </c>
    </row>
    <row r="3819" spans="1:1">
      <c r="A3819" s="151" t="s">
        <v>5795</v>
      </c>
    </row>
    <row r="3820" spans="1:1">
      <c r="A3820" s="151" t="s">
        <v>5796</v>
      </c>
    </row>
    <row r="3821" spans="1:1">
      <c r="A3821" s="151" t="s">
        <v>5797</v>
      </c>
    </row>
    <row r="3822" spans="1:1">
      <c r="A3822" s="151" t="s">
        <v>5798</v>
      </c>
    </row>
    <row r="3823" spans="1:1">
      <c r="A3823" s="151" t="s">
        <v>5799</v>
      </c>
    </row>
    <row r="3824" spans="1:1">
      <c r="A3824" s="151" t="s">
        <v>5800</v>
      </c>
    </row>
    <row r="3825" spans="1:1">
      <c r="A3825" s="151" t="s">
        <v>5801</v>
      </c>
    </row>
    <row r="3826" spans="1:1">
      <c r="A3826" s="151" t="s">
        <v>5802</v>
      </c>
    </row>
    <row r="3827" spans="1:1">
      <c r="A3827" s="151" t="s">
        <v>5803</v>
      </c>
    </row>
    <row r="3828" spans="1:1">
      <c r="A3828" s="151" t="s">
        <v>5804</v>
      </c>
    </row>
    <row r="3829" spans="1:1">
      <c r="A3829" s="151" t="s">
        <v>5805</v>
      </c>
    </row>
    <row r="3830" spans="1:1">
      <c r="A3830" s="151" t="s">
        <v>5806</v>
      </c>
    </row>
    <row r="3831" spans="1:1">
      <c r="A3831" s="151" t="s">
        <v>5807</v>
      </c>
    </row>
    <row r="3832" spans="1:1">
      <c r="A3832" s="151" t="s">
        <v>5808</v>
      </c>
    </row>
    <row r="3833" spans="1:1">
      <c r="A3833" s="151" t="s">
        <v>5809</v>
      </c>
    </row>
    <row r="3834" spans="1:1">
      <c r="A3834" s="151" t="s">
        <v>5810</v>
      </c>
    </row>
    <row r="3835" spans="1:1">
      <c r="A3835" s="151" t="s">
        <v>5811</v>
      </c>
    </row>
    <row r="3836" spans="1:1">
      <c r="A3836" s="151" t="s">
        <v>5812</v>
      </c>
    </row>
    <row r="3837" spans="1:1">
      <c r="A3837" s="151" t="s">
        <v>5813</v>
      </c>
    </row>
    <row r="3838" spans="1:1">
      <c r="A3838" s="151" t="s">
        <v>5814</v>
      </c>
    </row>
    <row r="3839" spans="1:1">
      <c r="A3839" s="151" t="s">
        <v>5815</v>
      </c>
    </row>
    <row r="3840" spans="1:1">
      <c r="A3840" s="151" t="s">
        <v>5816</v>
      </c>
    </row>
    <row r="3841" spans="1:1">
      <c r="A3841" s="151" t="s">
        <v>5817</v>
      </c>
    </row>
    <row r="3842" spans="1:1">
      <c r="A3842" s="151" t="s">
        <v>5818</v>
      </c>
    </row>
    <row r="3843" spans="1:1">
      <c r="A3843" s="151" t="s">
        <v>5819</v>
      </c>
    </row>
    <row r="3844" spans="1:1">
      <c r="A3844" s="151" t="s">
        <v>5820</v>
      </c>
    </row>
    <row r="3845" spans="1:1">
      <c r="A3845" s="151" t="s">
        <v>5821</v>
      </c>
    </row>
    <row r="3846" spans="1:1">
      <c r="A3846" s="151" t="s">
        <v>5822</v>
      </c>
    </row>
    <row r="3847" spans="1:1">
      <c r="A3847" s="151" t="s">
        <v>5823</v>
      </c>
    </row>
    <row r="3848" spans="1:1">
      <c r="A3848" s="151" t="s">
        <v>5824</v>
      </c>
    </row>
    <row r="3849" spans="1:1">
      <c r="A3849" s="151" t="s">
        <v>5825</v>
      </c>
    </row>
    <row r="3850" spans="1:1">
      <c r="A3850" s="151" t="s">
        <v>5826</v>
      </c>
    </row>
    <row r="3851" spans="1:1">
      <c r="A3851" s="151" t="s">
        <v>5827</v>
      </c>
    </row>
    <row r="3852" spans="1:1">
      <c r="A3852" s="151" t="s">
        <v>5828</v>
      </c>
    </row>
    <row r="3853" spans="1:1">
      <c r="A3853" s="151" t="s">
        <v>5829</v>
      </c>
    </row>
    <row r="3854" spans="1:1">
      <c r="A3854" s="151" t="s">
        <v>5830</v>
      </c>
    </row>
    <row r="3855" spans="1:1">
      <c r="A3855" s="151" t="s">
        <v>5831</v>
      </c>
    </row>
    <row r="3856" spans="1:1">
      <c r="A3856" s="151" t="s">
        <v>5832</v>
      </c>
    </row>
    <row r="3857" spans="1:1">
      <c r="A3857" s="151" t="s">
        <v>5833</v>
      </c>
    </row>
    <row r="3858" spans="1:1">
      <c r="A3858" s="151" t="s">
        <v>5834</v>
      </c>
    </row>
    <row r="3859" spans="1:1">
      <c r="A3859" s="151" t="s">
        <v>5835</v>
      </c>
    </row>
    <row r="3860" spans="1:1">
      <c r="A3860" s="151" t="s">
        <v>5836</v>
      </c>
    </row>
    <row r="3861" spans="1:1">
      <c r="A3861" s="151" t="s">
        <v>5837</v>
      </c>
    </row>
    <row r="3862" spans="1:1">
      <c r="A3862" s="151" t="s">
        <v>5838</v>
      </c>
    </row>
    <row r="3863" spans="1:1">
      <c r="A3863" s="151" t="s">
        <v>5839</v>
      </c>
    </row>
    <row r="3864" spans="1:1">
      <c r="A3864" s="151" t="s">
        <v>5840</v>
      </c>
    </row>
    <row r="3865" spans="1:1">
      <c r="A3865" s="151" t="s">
        <v>5841</v>
      </c>
    </row>
    <row r="3866" spans="1:1">
      <c r="A3866" s="151" t="s">
        <v>5842</v>
      </c>
    </row>
    <row r="3867" spans="1:1">
      <c r="A3867" s="151" t="s">
        <v>5843</v>
      </c>
    </row>
    <row r="3868" spans="1:1">
      <c r="A3868" s="151" t="s">
        <v>5844</v>
      </c>
    </row>
    <row r="3869" spans="1:1">
      <c r="A3869" s="151" t="s">
        <v>5845</v>
      </c>
    </row>
    <row r="3870" spans="1:1">
      <c r="A3870" s="151" t="s">
        <v>5846</v>
      </c>
    </row>
    <row r="3871" spans="1:1">
      <c r="A3871" s="151" t="s">
        <v>5847</v>
      </c>
    </row>
    <row r="3872" spans="1:1">
      <c r="A3872" s="151" t="s">
        <v>5848</v>
      </c>
    </row>
    <row r="3873" spans="1:1">
      <c r="A3873" s="151" t="s">
        <v>5849</v>
      </c>
    </row>
    <row r="3874" spans="1:1">
      <c r="A3874" s="151" t="s">
        <v>5850</v>
      </c>
    </row>
    <row r="3875" spans="1:1">
      <c r="A3875" s="151" t="s">
        <v>5851</v>
      </c>
    </row>
    <row r="3876" spans="1:1">
      <c r="A3876" s="151" t="s">
        <v>5852</v>
      </c>
    </row>
    <row r="3877" spans="1:1">
      <c r="A3877" s="151" t="s">
        <v>5853</v>
      </c>
    </row>
    <row r="3878" spans="1:1">
      <c r="A3878" s="151" t="s">
        <v>5854</v>
      </c>
    </row>
    <row r="3879" spans="1:1">
      <c r="A3879" s="151" t="s">
        <v>5855</v>
      </c>
    </row>
    <row r="3880" spans="1:1">
      <c r="A3880" s="151" t="s">
        <v>5856</v>
      </c>
    </row>
    <row r="3881" spans="1:1">
      <c r="A3881" s="151" t="s">
        <v>5857</v>
      </c>
    </row>
    <row r="3882" spans="1:1">
      <c r="A3882" s="151" t="s">
        <v>5858</v>
      </c>
    </row>
    <row r="3883" spans="1:1">
      <c r="A3883" s="151" t="s">
        <v>5859</v>
      </c>
    </row>
    <row r="3884" spans="1:1">
      <c r="A3884" s="151" t="s">
        <v>5860</v>
      </c>
    </row>
    <row r="3885" spans="1:1">
      <c r="A3885" s="151" t="s">
        <v>5861</v>
      </c>
    </row>
    <row r="3886" spans="1:1">
      <c r="A3886" s="151" t="s">
        <v>5862</v>
      </c>
    </row>
    <row r="3887" spans="1:1">
      <c r="A3887" s="151" t="s">
        <v>5863</v>
      </c>
    </row>
    <row r="3888" spans="1:1">
      <c r="A3888" s="151" t="s">
        <v>5864</v>
      </c>
    </row>
    <row r="3889" spans="1:1">
      <c r="A3889" s="151" t="s">
        <v>5865</v>
      </c>
    </row>
    <row r="3890" spans="1:1">
      <c r="A3890" s="151" t="s">
        <v>5866</v>
      </c>
    </row>
    <row r="3891" spans="1:1">
      <c r="A3891" s="151" t="s">
        <v>5867</v>
      </c>
    </row>
    <row r="3892" spans="1:1">
      <c r="A3892" s="151" t="s">
        <v>5868</v>
      </c>
    </row>
    <row r="3893" spans="1:1">
      <c r="A3893" s="151" t="s">
        <v>5869</v>
      </c>
    </row>
    <row r="3894" spans="1:1">
      <c r="A3894" s="151" t="s">
        <v>5870</v>
      </c>
    </row>
    <row r="3895" spans="1:1">
      <c r="A3895" s="151" t="s">
        <v>5871</v>
      </c>
    </row>
    <row r="3896" spans="1:1">
      <c r="A3896" s="151" t="s">
        <v>5872</v>
      </c>
    </row>
    <row r="3897" spans="1:1">
      <c r="A3897" s="151" t="s">
        <v>5873</v>
      </c>
    </row>
    <row r="3898" spans="1:1">
      <c r="A3898" s="151" t="s">
        <v>5874</v>
      </c>
    </row>
    <row r="3899" spans="1:1">
      <c r="A3899" s="151" t="s">
        <v>5875</v>
      </c>
    </row>
    <row r="3900" spans="1:1">
      <c r="A3900" s="151" t="s">
        <v>5876</v>
      </c>
    </row>
    <row r="3901" spans="1:1">
      <c r="A3901" s="151" t="s">
        <v>5877</v>
      </c>
    </row>
    <row r="3902" spans="1:1">
      <c r="A3902" s="151" t="s">
        <v>5878</v>
      </c>
    </row>
    <row r="3903" spans="1:1">
      <c r="A3903" s="151" t="s">
        <v>5879</v>
      </c>
    </row>
    <row r="3904" spans="1:1">
      <c r="A3904" s="151" t="s">
        <v>5880</v>
      </c>
    </row>
    <row r="3905" spans="1:1">
      <c r="A3905" s="151" t="s">
        <v>5881</v>
      </c>
    </row>
    <row r="3906" spans="1:1">
      <c r="A3906" s="151" t="s">
        <v>5882</v>
      </c>
    </row>
    <row r="3907" spans="1:1">
      <c r="A3907" s="151" t="s">
        <v>5883</v>
      </c>
    </row>
    <row r="3908" spans="1:1">
      <c r="A3908" s="151" t="s">
        <v>5884</v>
      </c>
    </row>
    <row r="3909" spans="1:1">
      <c r="A3909" s="151" t="s">
        <v>5885</v>
      </c>
    </row>
    <row r="3910" spans="1:1">
      <c r="A3910" s="151" t="s">
        <v>5886</v>
      </c>
    </row>
    <row r="3911" spans="1:1">
      <c r="A3911" s="151" t="s">
        <v>5887</v>
      </c>
    </row>
    <row r="3912" spans="1:1">
      <c r="A3912" s="151" t="s">
        <v>5888</v>
      </c>
    </row>
    <row r="3913" spans="1:1">
      <c r="A3913" s="151" t="s">
        <v>5889</v>
      </c>
    </row>
    <row r="3914" spans="1:1">
      <c r="A3914" s="151" t="s">
        <v>5890</v>
      </c>
    </row>
    <row r="3915" spans="1:1">
      <c r="A3915" s="151" t="s">
        <v>5891</v>
      </c>
    </row>
    <row r="3916" spans="1:1">
      <c r="A3916" s="151" t="s">
        <v>5892</v>
      </c>
    </row>
    <row r="3917" spans="1:1">
      <c r="A3917" s="151" t="s">
        <v>5893</v>
      </c>
    </row>
    <row r="3918" spans="1:1">
      <c r="A3918" s="151" t="s">
        <v>5894</v>
      </c>
    </row>
    <row r="3919" spans="1:1">
      <c r="A3919" s="151" t="s">
        <v>5895</v>
      </c>
    </row>
    <row r="3920" spans="1:1">
      <c r="A3920" s="151" t="s">
        <v>5896</v>
      </c>
    </row>
    <row r="3921" spans="1:1">
      <c r="A3921" s="151" t="s">
        <v>5897</v>
      </c>
    </row>
    <row r="3922" spans="1:1">
      <c r="A3922" s="151" t="s">
        <v>5898</v>
      </c>
    </row>
    <row r="3923" spans="1:1">
      <c r="A3923" s="151" t="s">
        <v>5899</v>
      </c>
    </row>
    <row r="3924" spans="1:1">
      <c r="A3924" s="151" t="s">
        <v>5900</v>
      </c>
    </row>
    <row r="3925" spans="1:1">
      <c r="A3925" s="151" t="s">
        <v>5901</v>
      </c>
    </row>
    <row r="3926" spans="1:1">
      <c r="A3926" s="151" t="s">
        <v>5902</v>
      </c>
    </row>
    <row r="3927" spans="1:1">
      <c r="A3927" s="151" t="s">
        <v>5903</v>
      </c>
    </row>
    <row r="3928" spans="1:1">
      <c r="A3928" s="151" t="s">
        <v>5904</v>
      </c>
    </row>
    <row r="3929" spans="1:1">
      <c r="A3929" s="151" t="s">
        <v>5905</v>
      </c>
    </row>
    <row r="3930" spans="1:1">
      <c r="A3930" s="151" t="s">
        <v>5906</v>
      </c>
    </row>
    <row r="3931" spans="1:1">
      <c r="A3931" s="151" t="s">
        <v>5907</v>
      </c>
    </row>
    <row r="3932" spans="1:1">
      <c r="A3932" s="151" t="s">
        <v>5908</v>
      </c>
    </row>
    <row r="3933" spans="1:1">
      <c r="A3933" s="151" t="s">
        <v>5909</v>
      </c>
    </row>
    <row r="3934" spans="1:1">
      <c r="A3934" s="151" t="s">
        <v>5910</v>
      </c>
    </row>
    <row r="3935" spans="1:1">
      <c r="A3935" s="151" t="s">
        <v>5911</v>
      </c>
    </row>
    <row r="3936" spans="1:1">
      <c r="A3936" s="151" t="s">
        <v>5912</v>
      </c>
    </row>
    <row r="3937" spans="1:1">
      <c r="A3937" s="151" t="s">
        <v>5913</v>
      </c>
    </row>
    <row r="3938" spans="1:1">
      <c r="A3938" s="151" t="s">
        <v>5914</v>
      </c>
    </row>
    <row r="3939" spans="1:1">
      <c r="A3939" s="151" t="s">
        <v>5915</v>
      </c>
    </row>
    <row r="3940" spans="1:1">
      <c r="A3940" s="151" t="s">
        <v>5916</v>
      </c>
    </row>
    <row r="3941" spans="1:1">
      <c r="A3941" s="151" t="s">
        <v>5917</v>
      </c>
    </row>
    <row r="3942" spans="1:1">
      <c r="A3942" s="151" t="s">
        <v>5918</v>
      </c>
    </row>
    <row r="3943" spans="1:1">
      <c r="A3943" s="151" t="s">
        <v>5919</v>
      </c>
    </row>
    <row r="3944" spans="1:1">
      <c r="A3944" s="151" t="s">
        <v>5920</v>
      </c>
    </row>
    <row r="3945" spans="1:1">
      <c r="A3945" s="151" t="s">
        <v>5921</v>
      </c>
    </row>
    <row r="3946" spans="1:1">
      <c r="A3946" s="151" t="s">
        <v>5922</v>
      </c>
    </row>
    <row r="3947" spans="1:1">
      <c r="A3947" s="151" t="s">
        <v>5923</v>
      </c>
    </row>
    <row r="3948" spans="1:1">
      <c r="A3948" s="151" t="s">
        <v>5924</v>
      </c>
    </row>
    <row r="3949" spans="1:1">
      <c r="A3949" s="151" t="s">
        <v>5925</v>
      </c>
    </row>
    <row r="3950" spans="1:1">
      <c r="A3950" s="151" t="s">
        <v>5926</v>
      </c>
    </row>
    <row r="3951" spans="1:1">
      <c r="A3951" s="151" t="s">
        <v>5927</v>
      </c>
    </row>
    <row r="3952" spans="1:1">
      <c r="A3952" s="151" t="s">
        <v>5928</v>
      </c>
    </row>
    <row r="3953" spans="1:1">
      <c r="A3953" s="151" t="s">
        <v>5929</v>
      </c>
    </row>
    <row r="3954" spans="1:1">
      <c r="A3954" s="151" t="s">
        <v>5930</v>
      </c>
    </row>
    <row r="3955" spans="1:1">
      <c r="A3955" s="151" t="s">
        <v>5931</v>
      </c>
    </row>
    <row r="3956" spans="1:1">
      <c r="A3956" s="151" t="s">
        <v>5932</v>
      </c>
    </row>
    <row r="3957" spans="1:1">
      <c r="A3957" s="151" t="s">
        <v>5933</v>
      </c>
    </row>
    <row r="3958" spans="1:1">
      <c r="A3958" s="151" t="s">
        <v>5934</v>
      </c>
    </row>
    <row r="3959" spans="1:1">
      <c r="A3959" s="151" t="s">
        <v>5935</v>
      </c>
    </row>
    <row r="3960" spans="1:1">
      <c r="A3960" s="151" t="s">
        <v>5936</v>
      </c>
    </row>
    <row r="3961" spans="1:1">
      <c r="A3961" s="151" t="s">
        <v>5937</v>
      </c>
    </row>
    <row r="3962" spans="1:1">
      <c r="A3962" s="151" t="s">
        <v>5938</v>
      </c>
    </row>
    <row r="3963" spans="1:1">
      <c r="A3963" s="151" t="s">
        <v>5939</v>
      </c>
    </row>
    <row r="3964" spans="1:1">
      <c r="A3964" s="151" t="s">
        <v>5940</v>
      </c>
    </row>
    <row r="3965" spans="1:1">
      <c r="A3965" s="151" t="s">
        <v>5941</v>
      </c>
    </row>
    <row r="3966" spans="1:1">
      <c r="A3966" s="151" t="s">
        <v>5942</v>
      </c>
    </row>
    <row r="3967" spans="1:1">
      <c r="A3967" s="151" t="s">
        <v>5943</v>
      </c>
    </row>
    <row r="3968" spans="1:1">
      <c r="A3968" s="151" t="s">
        <v>5944</v>
      </c>
    </row>
    <row r="3969" spans="1:1">
      <c r="A3969" s="151" t="s">
        <v>5945</v>
      </c>
    </row>
    <row r="3970" spans="1:1">
      <c r="A3970" s="151" t="s">
        <v>5946</v>
      </c>
    </row>
    <row r="3971" spans="1:1">
      <c r="A3971" s="151" t="s">
        <v>5947</v>
      </c>
    </row>
    <row r="3972" spans="1:1">
      <c r="A3972" s="151" t="s">
        <v>5948</v>
      </c>
    </row>
    <row r="3973" spans="1:1">
      <c r="A3973" s="151" t="s">
        <v>5949</v>
      </c>
    </row>
    <row r="3974" spans="1:1">
      <c r="A3974" s="151" t="s">
        <v>5950</v>
      </c>
    </row>
    <row r="3975" spans="1:1">
      <c r="A3975" s="151" t="s">
        <v>5951</v>
      </c>
    </row>
    <row r="3976" spans="1:1">
      <c r="A3976" s="151" t="s">
        <v>5952</v>
      </c>
    </row>
    <row r="3977" spans="1:1">
      <c r="A3977" s="151" t="s">
        <v>5953</v>
      </c>
    </row>
    <row r="3978" spans="1:1">
      <c r="A3978" s="151" t="s">
        <v>5954</v>
      </c>
    </row>
    <row r="3979" spans="1:1">
      <c r="A3979" s="151" t="s">
        <v>5955</v>
      </c>
    </row>
    <row r="3980" spans="1:1">
      <c r="A3980" s="151" t="s">
        <v>5956</v>
      </c>
    </row>
    <row r="3981" spans="1:1">
      <c r="A3981" s="151" t="s">
        <v>5957</v>
      </c>
    </row>
    <row r="3982" spans="1:1">
      <c r="A3982" s="151" t="s">
        <v>5958</v>
      </c>
    </row>
    <row r="3983" spans="1:1">
      <c r="A3983" s="151" t="s">
        <v>5959</v>
      </c>
    </row>
    <row r="3984" spans="1:1">
      <c r="A3984" s="151" t="s">
        <v>5960</v>
      </c>
    </row>
    <row r="3985" spans="1:1">
      <c r="A3985" s="151" t="s">
        <v>5961</v>
      </c>
    </row>
    <row r="3986" spans="1:1">
      <c r="A3986" s="151" t="s">
        <v>5962</v>
      </c>
    </row>
    <row r="3987" spans="1:1">
      <c r="A3987" s="151" t="s">
        <v>5963</v>
      </c>
    </row>
    <row r="3988" spans="1:1">
      <c r="A3988" s="151" t="s">
        <v>5964</v>
      </c>
    </row>
    <row r="3989" spans="1:1">
      <c r="A3989" s="151" t="s">
        <v>5965</v>
      </c>
    </row>
    <row r="3990" spans="1:1">
      <c r="A3990" s="151" t="s">
        <v>5966</v>
      </c>
    </row>
    <row r="3991" spans="1:1">
      <c r="A3991" s="151" t="s">
        <v>5967</v>
      </c>
    </row>
    <row r="3992" spans="1:1">
      <c r="A3992" s="151" t="s">
        <v>5968</v>
      </c>
    </row>
    <row r="3993" spans="1:1">
      <c r="A3993" s="151" t="s">
        <v>5969</v>
      </c>
    </row>
    <row r="3994" spans="1:1">
      <c r="A3994" s="151" t="s">
        <v>5970</v>
      </c>
    </row>
    <row r="3995" spans="1:1">
      <c r="A3995" s="151" t="s">
        <v>5971</v>
      </c>
    </row>
    <row r="3996" spans="1:1">
      <c r="A3996" s="151" t="s">
        <v>5972</v>
      </c>
    </row>
    <row r="3997" spans="1:1">
      <c r="A3997" s="151" t="s">
        <v>5973</v>
      </c>
    </row>
    <row r="3998" spans="1:1">
      <c r="A3998" s="151" t="s">
        <v>5974</v>
      </c>
    </row>
    <row r="3999" spans="1:1">
      <c r="A3999" s="151" t="s">
        <v>5975</v>
      </c>
    </row>
    <row r="4000" spans="1:1">
      <c r="A4000" s="151" t="s">
        <v>5976</v>
      </c>
    </row>
    <row r="4001" spans="1:1">
      <c r="A4001" s="151" t="s">
        <v>5977</v>
      </c>
    </row>
    <row r="4002" spans="1:1">
      <c r="A4002" s="151" t="s">
        <v>5978</v>
      </c>
    </row>
    <row r="4003" spans="1:1">
      <c r="A4003" s="151" t="s">
        <v>5979</v>
      </c>
    </row>
    <row r="4004" spans="1:1">
      <c r="A4004" s="151" t="s">
        <v>5980</v>
      </c>
    </row>
    <row r="4005" spans="1:1">
      <c r="A4005" s="151" t="s">
        <v>5981</v>
      </c>
    </row>
    <row r="4006" spans="1:1">
      <c r="A4006" s="151" t="s">
        <v>5982</v>
      </c>
    </row>
    <row r="4007" spans="1:1">
      <c r="A4007" s="151" t="s">
        <v>5983</v>
      </c>
    </row>
    <row r="4008" spans="1:1">
      <c r="A4008" s="151" t="s">
        <v>5984</v>
      </c>
    </row>
    <row r="4009" spans="1:1">
      <c r="A4009" s="151" t="s">
        <v>5985</v>
      </c>
    </row>
    <row r="4010" spans="1:1">
      <c r="A4010" s="151" t="s">
        <v>5986</v>
      </c>
    </row>
    <row r="4011" spans="1:1">
      <c r="A4011" s="151" t="s">
        <v>5987</v>
      </c>
    </row>
    <row r="4012" spans="1:1">
      <c r="A4012" s="151" t="s">
        <v>5988</v>
      </c>
    </row>
    <row r="4013" spans="1:1">
      <c r="A4013" s="151" t="s">
        <v>5989</v>
      </c>
    </row>
    <row r="4014" spans="1:1">
      <c r="A4014" s="151" t="s">
        <v>5990</v>
      </c>
    </row>
    <row r="4015" spans="1:1">
      <c r="A4015" s="151" t="s">
        <v>5991</v>
      </c>
    </row>
    <row r="4016" spans="1:1">
      <c r="A4016" s="151" t="s">
        <v>5992</v>
      </c>
    </row>
    <row r="4017" spans="1:1">
      <c r="A4017" s="151" t="s">
        <v>5993</v>
      </c>
    </row>
    <row r="4018" spans="1:1">
      <c r="A4018" s="151" t="s">
        <v>5994</v>
      </c>
    </row>
    <row r="4019" spans="1:1">
      <c r="A4019" s="151" t="s">
        <v>5995</v>
      </c>
    </row>
    <row r="4020" spans="1:1">
      <c r="A4020" s="151" t="s">
        <v>5996</v>
      </c>
    </row>
    <row r="4021" spans="1:1">
      <c r="A4021" s="151" t="s">
        <v>5997</v>
      </c>
    </row>
    <row r="4022" spans="1:1">
      <c r="A4022" s="151" t="s">
        <v>5998</v>
      </c>
    </row>
    <row r="4023" spans="1:1">
      <c r="A4023" s="151" t="s">
        <v>5999</v>
      </c>
    </row>
    <row r="4024" spans="1:1">
      <c r="A4024" s="151" t="s">
        <v>6000</v>
      </c>
    </row>
    <row r="4025" spans="1:1">
      <c r="A4025" s="151" t="s">
        <v>6001</v>
      </c>
    </row>
    <row r="4026" spans="1:1">
      <c r="A4026" s="151" t="s">
        <v>6002</v>
      </c>
    </row>
    <row r="4027" spans="1:1">
      <c r="A4027" s="151" t="s">
        <v>6003</v>
      </c>
    </row>
    <row r="4028" spans="1:1">
      <c r="A4028" s="151" t="s">
        <v>6004</v>
      </c>
    </row>
    <row r="4029" spans="1:1">
      <c r="A4029" s="151" t="s">
        <v>6005</v>
      </c>
    </row>
    <row r="4030" spans="1:1">
      <c r="A4030" s="151" t="s">
        <v>6006</v>
      </c>
    </row>
    <row r="4031" spans="1:1">
      <c r="A4031" s="151" t="s">
        <v>6007</v>
      </c>
    </row>
    <row r="4032" spans="1:1">
      <c r="A4032" s="151" t="s">
        <v>6008</v>
      </c>
    </row>
    <row r="4033" spans="1:1">
      <c r="A4033" s="151" t="s">
        <v>6009</v>
      </c>
    </row>
    <row r="4034" spans="1:1">
      <c r="A4034" s="151" t="s">
        <v>6010</v>
      </c>
    </row>
    <row r="4035" spans="1:1">
      <c r="A4035" s="151" t="s">
        <v>6011</v>
      </c>
    </row>
    <row r="4036" spans="1:1">
      <c r="A4036" s="151" t="s">
        <v>6012</v>
      </c>
    </row>
    <row r="4037" spans="1:1">
      <c r="A4037" s="151" t="s">
        <v>6013</v>
      </c>
    </row>
    <row r="4038" spans="1:1">
      <c r="A4038" s="151" t="s">
        <v>6014</v>
      </c>
    </row>
    <row r="4039" spans="1:1">
      <c r="A4039" s="151" t="s">
        <v>6015</v>
      </c>
    </row>
    <row r="4040" spans="1:1">
      <c r="A4040" s="151" t="s">
        <v>6016</v>
      </c>
    </row>
    <row r="4041" spans="1:1">
      <c r="A4041" s="151" t="s">
        <v>6017</v>
      </c>
    </row>
    <row r="4042" spans="1:1">
      <c r="A4042" s="151" t="s">
        <v>6018</v>
      </c>
    </row>
    <row r="4043" spans="1:1">
      <c r="A4043" s="151" t="s">
        <v>6019</v>
      </c>
    </row>
    <row r="4044" spans="1:1">
      <c r="A4044" s="151" t="s">
        <v>6020</v>
      </c>
    </row>
    <row r="4045" spans="1:1">
      <c r="A4045" s="151" t="s">
        <v>6021</v>
      </c>
    </row>
    <row r="4046" spans="1:1">
      <c r="A4046" s="151" t="s">
        <v>6022</v>
      </c>
    </row>
    <row r="4047" spans="1:1">
      <c r="A4047" s="151" t="s">
        <v>6023</v>
      </c>
    </row>
    <row r="4048" spans="1:1">
      <c r="A4048" s="151" t="s">
        <v>6024</v>
      </c>
    </row>
    <row r="4049" spans="1:1">
      <c r="A4049" s="151" t="s">
        <v>6025</v>
      </c>
    </row>
    <row r="4050" spans="1:1">
      <c r="A4050" s="151" t="s">
        <v>6026</v>
      </c>
    </row>
    <row r="4051" spans="1:1">
      <c r="A4051" s="151" t="s">
        <v>6027</v>
      </c>
    </row>
    <row r="4052" spans="1:1">
      <c r="A4052" s="151" t="s">
        <v>6028</v>
      </c>
    </row>
    <row r="4053" spans="1:1">
      <c r="A4053" s="151" t="s">
        <v>6029</v>
      </c>
    </row>
    <row r="4054" spans="1:1">
      <c r="A4054" s="151" t="s">
        <v>6030</v>
      </c>
    </row>
    <row r="4055" spans="1:1">
      <c r="A4055" s="151" t="s">
        <v>6031</v>
      </c>
    </row>
    <row r="4056" spans="1:1">
      <c r="A4056" s="151" t="s">
        <v>6032</v>
      </c>
    </row>
    <row r="4057" spans="1:1">
      <c r="A4057" s="151" t="s">
        <v>6033</v>
      </c>
    </row>
    <row r="4058" spans="1:1">
      <c r="A4058" s="151" t="s">
        <v>6034</v>
      </c>
    </row>
    <row r="4059" spans="1:1">
      <c r="A4059" s="151" t="s">
        <v>6035</v>
      </c>
    </row>
    <row r="4060" spans="1:1">
      <c r="A4060" s="151" t="s">
        <v>6036</v>
      </c>
    </row>
    <row r="4061" spans="1:1">
      <c r="A4061" s="151" t="s">
        <v>6037</v>
      </c>
    </row>
    <row r="4062" spans="1:1">
      <c r="A4062" s="151" t="s">
        <v>6038</v>
      </c>
    </row>
    <row r="4063" spans="1:1">
      <c r="A4063" s="151" t="s">
        <v>6039</v>
      </c>
    </row>
    <row r="4064" spans="1:1">
      <c r="A4064" s="151" t="s">
        <v>6040</v>
      </c>
    </row>
    <row r="4065" spans="1:1">
      <c r="A4065" s="151" t="s">
        <v>6041</v>
      </c>
    </row>
    <row r="4066" spans="1:1">
      <c r="A4066" s="151" t="s">
        <v>6042</v>
      </c>
    </row>
    <row r="4067" spans="1:1">
      <c r="A4067" s="151" t="s">
        <v>6043</v>
      </c>
    </row>
    <row r="4068" spans="1:1">
      <c r="A4068" s="151" t="s">
        <v>6044</v>
      </c>
    </row>
    <row r="4069" spans="1:1">
      <c r="A4069" s="151" t="s">
        <v>6045</v>
      </c>
    </row>
    <row r="4070" spans="1:1">
      <c r="A4070" s="151" t="s">
        <v>6046</v>
      </c>
    </row>
    <row r="4071" spans="1:1">
      <c r="A4071" s="151" t="s">
        <v>6047</v>
      </c>
    </row>
    <row r="4072" spans="1:1">
      <c r="A4072" s="151" t="s">
        <v>6048</v>
      </c>
    </row>
    <row r="4073" spans="1:1">
      <c r="A4073" s="151" t="s">
        <v>6049</v>
      </c>
    </row>
    <row r="4074" spans="1:1">
      <c r="A4074" s="151" t="s">
        <v>6050</v>
      </c>
    </row>
    <row r="4075" spans="1:1">
      <c r="A4075" s="151" t="s">
        <v>6051</v>
      </c>
    </row>
    <row r="4076" spans="1:1">
      <c r="A4076" s="151" t="s">
        <v>6052</v>
      </c>
    </row>
    <row r="4077" spans="1:1">
      <c r="A4077" s="151" t="s">
        <v>6053</v>
      </c>
    </row>
    <row r="4078" spans="1:1">
      <c r="A4078" s="151" t="s">
        <v>6054</v>
      </c>
    </row>
    <row r="4079" spans="1:1">
      <c r="A4079" s="151" t="s">
        <v>6055</v>
      </c>
    </row>
    <row r="4080" spans="1:1">
      <c r="A4080" s="151" t="s">
        <v>6056</v>
      </c>
    </row>
    <row r="4081" spans="1:1">
      <c r="A4081" s="151" t="s">
        <v>6057</v>
      </c>
    </row>
    <row r="4082" spans="1:1">
      <c r="A4082" s="151" t="s">
        <v>6058</v>
      </c>
    </row>
    <row r="4083" spans="1:1">
      <c r="A4083" s="151" t="s">
        <v>6059</v>
      </c>
    </row>
    <row r="4084" spans="1:1">
      <c r="A4084" s="151" t="s">
        <v>6060</v>
      </c>
    </row>
    <row r="4085" spans="1:1">
      <c r="A4085" s="151" t="s">
        <v>6061</v>
      </c>
    </row>
    <row r="4086" spans="1:1">
      <c r="A4086" s="151" t="s">
        <v>6062</v>
      </c>
    </row>
    <row r="4087" spans="1:1">
      <c r="A4087" s="151" t="s">
        <v>6063</v>
      </c>
    </row>
    <row r="4088" spans="1:1">
      <c r="A4088" s="151" t="s">
        <v>6064</v>
      </c>
    </row>
    <row r="4089" spans="1:1">
      <c r="A4089" s="151" t="s">
        <v>6065</v>
      </c>
    </row>
    <row r="4090" spans="1:1">
      <c r="A4090" s="151" t="s">
        <v>6066</v>
      </c>
    </row>
    <row r="4091" spans="1:1">
      <c r="A4091" s="151" t="s">
        <v>6067</v>
      </c>
    </row>
    <row r="4092" spans="1:1">
      <c r="A4092" s="151" t="s">
        <v>6068</v>
      </c>
    </row>
    <row r="4093" spans="1:1">
      <c r="A4093" s="151" t="s">
        <v>6069</v>
      </c>
    </row>
    <row r="4094" spans="1:1">
      <c r="A4094" s="151" t="s">
        <v>6070</v>
      </c>
    </row>
    <row r="4095" spans="1:1">
      <c r="A4095" s="151" t="s">
        <v>6071</v>
      </c>
    </row>
    <row r="4096" spans="1:1">
      <c r="A4096" s="151" t="s">
        <v>6072</v>
      </c>
    </row>
    <row r="4097" spans="1:1">
      <c r="A4097" s="151" t="s">
        <v>6073</v>
      </c>
    </row>
    <row r="4098" spans="1:1">
      <c r="A4098" s="151" t="s">
        <v>6074</v>
      </c>
    </row>
    <row r="4099" spans="1:1">
      <c r="A4099" s="151" t="s">
        <v>6075</v>
      </c>
    </row>
    <row r="4100" spans="1:1">
      <c r="A4100" s="151" t="s">
        <v>6076</v>
      </c>
    </row>
    <row r="4101" spans="1:1">
      <c r="A4101" s="151" t="s">
        <v>6077</v>
      </c>
    </row>
    <row r="4102" spans="1:1">
      <c r="A4102" s="151" t="s">
        <v>6078</v>
      </c>
    </row>
    <row r="4103" spans="1:1">
      <c r="A4103" s="151" t="s">
        <v>6079</v>
      </c>
    </row>
    <row r="4104" spans="1:1">
      <c r="A4104" s="151" t="s">
        <v>6080</v>
      </c>
    </row>
    <row r="4105" spans="1:1">
      <c r="A4105" s="151" t="s">
        <v>6081</v>
      </c>
    </row>
    <row r="4106" spans="1:1">
      <c r="A4106" s="151" t="s">
        <v>6082</v>
      </c>
    </row>
    <row r="4107" spans="1:1">
      <c r="A4107" s="151" t="s">
        <v>6083</v>
      </c>
    </row>
    <row r="4108" spans="1:1">
      <c r="A4108" s="151" t="s">
        <v>6084</v>
      </c>
    </row>
    <row r="4109" spans="1:1">
      <c r="A4109" s="151" t="s">
        <v>6085</v>
      </c>
    </row>
    <row r="4110" spans="1:1">
      <c r="A4110" s="151" t="s">
        <v>6086</v>
      </c>
    </row>
    <row r="4111" spans="1:1">
      <c r="A4111" s="151" t="s">
        <v>6087</v>
      </c>
    </row>
    <row r="4112" spans="1:1">
      <c r="A4112" s="151" t="s">
        <v>6088</v>
      </c>
    </row>
    <row r="4113" spans="1:1">
      <c r="A4113" s="151" t="s">
        <v>6089</v>
      </c>
    </row>
    <row r="4114" spans="1:1">
      <c r="A4114" s="151" t="s">
        <v>6090</v>
      </c>
    </row>
    <row r="4115" spans="1:1">
      <c r="A4115" s="151" t="s">
        <v>6091</v>
      </c>
    </row>
    <row r="4116" spans="1:1">
      <c r="A4116" s="151" t="s">
        <v>6092</v>
      </c>
    </row>
    <row r="4117" spans="1:1">
      <c r="A4117" s="151" t="s">
        <v>6093</v>
      </c>
    </row>
    <row r="4118" spans="1:1">
      <c r="A4118" s="151" t="s">
        <v>6094</v>
      </c>
    </row>
    <row r="4119" spans="1:1">
      <c r="A4119" s="151" t="s">
        <v>6095</v>
      </c>
    </row>
    <row r="4120" spans="1:1">
      <c r="A4120" s="151" t="s">
        <v>6096</v>
      </c>
    </row>
    <row r="4121" spans="1:1">
      <c r="A4121" s="151" t="s">
        <v>6097</v>
      </c>
    </row>
    <row r="4122" spans="1:1">
      <c r="A4122" s="151" t="s">
        <v>6098</v>
      </c>
    </row>
    <row r="4123" spans="1:1">
      <c r="A4123" s="151" t="s">
        <v>6099</v>
      </c>
    </row>
    <row r="4124" spans="1:1">
      <c r="A4124" s="151" t="s">
        <v>6100</v>
      </c>
    </row>
    <row r="4125" spans="1:1">
      <c r="A4125" s="151" t="s">
        <v>6101</v>
      </c>
    </row>
    <row r="4126" spans="1:1">
      <c r="A4126" s="151" t="s">
        <v>6102</v>
      </c>
    </row>
    <row r="4127" spans="1:1">
      <c r="A4127" s="151" t="s">
        <v>6103</v>
      </c>
    </row>
    <row r="4128" spans="1:1">
      <c r="A4128" s="151" t="s">
        <v>6104</v>
      </c>
    </row>
    <row r="4129" spans="1:1">
      <c r="A4129" s="151" t="s">
        <v>6105</v>
      </c>
    </row>
    <row r="4130" spans="1:1">
      <c r="A4130" s="151" t="s">
        <v>6106</v>
      </c>
    </row>
    <row r="4131" spans="1:1">
      <c r="A4131" s="151" t="s">
        <v>6107</v>
      </c>
    </row>
    <row r="4132" spans="1:1">
      <c r="A4132" s="151" t="s">
        <v>6108</v>
      </c>
    </row>
    <row r="4133" spans="1:1">
      <c r="A4133" s="151" t="s">
        <v>6109</v>
      </c>
    </row>
    <row r="4134" spans="1:1">
      <c r="A4134" s="151" t="s">
        <v>6110</v>
      </c>
    </row>
    <row r="4135" spans="1:1">
      <c r="A4135" s="151" t="s">
        <v>6111</v>
      </c>
    </row>
    <row r="4136" spans="1:1">
      <c r="A4136" s="151" t="s">
        <v>6112</v>
      </c>
    </row>
    <row r="4137" spans="1:1">
      <c r="A4137" s="151" t="s">
        <v>6113</v>
      </c>
    </row>
    <row r="4138" spans="1:1">
      <c r="A4138" s="151" t="s">
        <v>6114</v>
      </c>
    </row>
    <row r="4139" spans="1:1">
      <c r="A4139" s="151" t="s">
        <v>6115</v>
      </c>
    </row>
    <row r="4140" spans="1:1">
      <c r="A4140" s="151" t="s">
        <v>6116</v>
      </c>
    </row>
    <row r="4141" spans="1:1">
      <c r="A4141" s="151" t="s">
        <v>6117</v>
      </c>
    </row>
    <row r="4142" spans="1:1">
      <c r="A4142" s="151" t="s">
        <v>6118</v>
      </c>
    </row>
    <row r="4143" spans="1:1">
      <c r="A4143" s="151" t="s">
        <v>6119</v>
      </c>
    </row>
    <row r="4144" spans="1:1">
      <c r="A4144" s="151" t="s">
        <v>6120</v>
      </c>
    </row>
    <row r="4145" spans="1:1">
      <c r="A4145" s="151" t="s">
        <v>6121</v>
      </c>
    </row>
    <row r="4146" spans="1:1">
      <c r="A4146" s="151" t="s">
        <v>6122</v>
      </c>
    </row>
    <row r="4147" spans="1:1">
      <c r="A4147" s="151" t="s">
        <v>6123</v>
      </c>
    </row>
    <row r="4148" spans="1:1">
      <c r="A4148" s="151" t="s">
        <v>6124</v>
      </c>
    </row>
    <row r="4149" spans="1:1">
      <c r="A4149" s="151" t="s">
        <v>6125</v>
      </c>
    </row>
    <row r="4150" spans="1:1">
      <c r="A4150" s="151" t="s">
        <v>6126</v>
      </c>
    </row>
    <row r="4151" spans="1:1">
      <c r="A4151" s="151" t="s">
        <v>6127</v>
      </c>
    </row>
    <row r="4152" spans="1:1">
      <c r="A4152" s="151" t="s">
        <v>6128</v>
      </c>
    </row>
    <row r="4153" spans="1:1">
      <c r="A4153" s="151" t="s">
        <v>6129</v>
      </c>
    </row>
    <row r="4154" spans="1:1">
      <c r="A4154" s="151" t="s">
        <v>6130</v>
      </c>
    </row>
    <row r="4155" spans="1:1">
      <c r="A4155" s="151" t="s">
        <v>6131</v>
      </c>
    </row>
    <row r="4156" spans="1:1">
      <c r="A4156" s="151" t="s">
        <v>6132</v>
      </c>
    </row>
    <row r="4157" spans="1:1">
      <c r="A4157" s="151" t="s">
        <v>6133</v>
      </c>
    </row>
    <row r="4158" spans="1:1">
      <c r="A4158" s="151" t="s">
        <v>6134</v>
      </c>
    </row>
    <row r="4159" spans="1:1">
      <c r="A4159" s="151" t="s">
        <v>6135</v>
      </c>
    </row>
    <row r="4160" spans="1:1">
      <c r="A4160" s="151" t="s">
        <v>6136</v>
      </c>
    </row>
    <row r="4161" spans="1:1">
      <c r="A4161" s="151" t="s">
        <v>6137</v>
      </c>
    </row>
    <row r="4162" spans="1:1">
      <c r="A4162" s="151" t="s">
        <v>6138</v>
      </c>
    </row>
    <row r="4163" spans="1:1">
      <c r="A4163" s="151" t="s">
        <v>6139</v>
      </c>
    </row>
    <row r="4164" spans="1:1">
      <c r="A4164" s="151" t="s">
        <v>6140</v>
      </c>
    </row>
    <row r="4165" spans="1:1">
      <c r="A4165" s="151" t="s">
        <v>6141</v>
      </c>
    </row>
    <row r="4166" spans="1:1">
      <c r="A4166" s="151" t="s">
        <v>6142</v>
      </c>
    </row>
    <row r="4167" spans="1:1">
      <c r="A4167" s="151" t="s">
        <v>6143</v>
      </c>
    </row>
    <row r="4168" spans="1:1">
      <c r="A4168" s="151" t="s">
        <v>6144</v>
      </c>
    </row>
    <row r="4169" spans="1:1">
      <c r="A4169" s="151" t="s">
        <v>6145</v>
      </c>
    </row>
    <row r="4170" spans="1:1">
      <c r="A4170" s="151" t="s">
        <v>6146</v>
      </c>
    </row>
    <row r="4171" spans="1:1">
      <c r="A4171" s="151" t="s">
        <v>6147</v>
      </c>
    </row>
    <row r="4172" spans="1:1">
      <c r="A4172" s="151" t="s">
        <v>6148</v>
      </c>
    </row>
    <row r="4173" spans="1:1">
      <c r="A4173" s="151" t="s">
        <v>6149</v>
      </c>
    </row>
    <row r="4174" spans="1:1">
      <c r="A4174" s="151" t="s">
        <v>6150</v>
      </c>
    </row>
    <row r="4175" spans="1:1">
      <c r="A4175" s="151" t="s">
        <v>6151</v>
      </c>
    </row>
    <row r="4176" spans="1:1">
      <c r="A4176" s="151" t="s">
        <v>6152</v>
      </c>
    </row>
    <row r="4177" spans="1:1">
      <c r="A4177" s="151" t="s">
        <v>6153</v>
      </c>
    </row>
    <row r="4178" spans="1:1">
      <c r="A4178" s="151" t="s">
        <v>6154</v>
      </c>
    </row>
    <row r="4179" spans="1:1">
      <c r="A4179" s="151" t="s">
        <v>6155</v>
      </c>
    </row>
    <row r="4180" spans="1:1">
      <c r="A4180" s="151" t="s">
        <v>6156</v>
      </c>
    </row>
    <row r="4181" spans="1:1">
      <c r="A4181" s="151" t="s">
        <v>6157</v>
      </c>
    </row>
    <row r="4182" spans="1:1">
      <c r="A4182" s="151" t="s">
        <v>6158</v>
      </c>
    </row>
    <row r="4183" spans="1:1">
      <c r="A4183" s="151" t="s">
        <v>6159</v>
      </c>
    </row>
    <row r="4184" spans="1:1">
      <c r="A4184" s="151" t="s">
        <v>6160</v>
      </c>
    </row>
    <row r="4185" spans="1:1">
      <c r="A4185" s="151" t="s">
        <v>6161</v>
      </c>
    </row>
    <row r="4186" spans="1:1">
      <c r="A4186" s="151" t="s">
        <v>6162</v>
      </c>
    </row>
    <row r="4187" spans="1:1">
      <c r="A4187" s="151" t="s">
        <v>6163</v>
      </c>
    </row>
    <row r="4188" spans="1:1">
      <c r="A4188" s="151" t="s">
        <v>6164</v>
      </c>
    </row>
    <row r="4189" spans="1:1">
      <c r="A4189" s="151" t="s">
        <v>6165</v>
      </c>
    </row>
    <row r="4190" spans="1:1">
      <c r="A4190" s="151" t="s">
        <v>6166</v>
      </c>
    </row>
    <row r="4191" spans="1:1">
      <c r="A4191" s="151" t="s">
        <v>6167</v>
      </c>
    </row>
    <row r="4192" spans="1:1">
      <c r="A4192" s="151" t="s">
        <v>6168</v>
      </c>
    </row>
    <row r="4193" spans="1:1">
      <c r="A4193" s="151" t="s">
        <v>6169</v>
      </c>
    </row>
    <row r="4194" spans="1:1">
      <c r="A4194" s="151" t="s">
        <v>6170</v>
      </c>
    </row>
    <row r="4195" spans="1:1">
      <c r="A4195" s="151" t="s">
        <v>6171</v>
      </c>
    </row>
    <row r="4196" spans="1:1">
      <c r="A4196" s="151" t="s">
        <v>6172</v>
      </c>
    </row>
    <row r="4197" spans="1:1">
      <c r="A4197" s="151" t="s">
        <v>6173</v>
      </c>
    </row>
    <row r="4198" spans="1:1">
      <c r="A4198" s="151" t="s">
        <v>6174</v>
      </c>
    </row>
    <row r="4199" spans="1:1">
      <c r="A4199" s="151" t="s">
        <v>6175</v>
      </c>
    </row>
    <row r="4200" spans="1:1">
      <c r="A4200" s="151" t="s">
        <v>6176</v>
      </c>
    </row>
    <row r="4201" spans="1:1">
      <c r="A4201" s="151" t="s">
        <v>6177</v>
      </c>
    </row>
    <row r="4202" spans="1:1">
      <c r="A4202" s="151" t="s">
        <v>6178</v>
      </c>
    </row>
    <row r="4203" spans="1:1">
      <c r="A4203" s="151" t="s">
        <v>6179</v>
      </c>
    </row>
    <row r="4204" spans="1:1">
      <c r="A4204" s="151" t="s">
        <v>6180</v>
      </c>
    </row>
    <row r="4205" spans="1:1">
      <c r="A4205" s="151" t="s">
        <v>6181</v>
      </c>
    </row>
    <row r="4206" spans="1:1">
      <c r="A4206" s="151" t="s">
        <v>6182</v>
      </c>
    </row>
    <row r="4207" spans="1:1">
      <c r="A4207" s="151" t="s">
        <v>6183</v>
      </c>
    </row>
    <row r="4208" spans="1:1">
      <c r="A4208" s="151" t="s">
        <v>6184</v>
      </c>
    </row>
    <row r="4209" spans="1:1">
      <c r="A4209" s="151" t="s">
        <v>6185</v>
      </c>
    </row>
    <row r="4210" spans="1:1">
      <c r="A4210" s="151" t="s">
        <v>6186</v>
      </c>
    </row>
    <row r="4211" spans="1:1">
      <c r="A4211" s="151" t="s">
        <v>6187</v>
      </c>
    </row>
    <row r="4212" spans="1:1">
      <c r="A4212" s="151" t="s">
        <v>6188</v>
      </c>
    </row>
    <row r="4213" spans="1:1">
      <c r="A4213" s="151" t="s">
        <v>6189</v>
      </c>
    </row>
    <row r="4214" spans="1:1">
      <c r="A4214" s="151" t="s">
        <v>6190</v>
      </c>
    </row>
    <row r="4215" spans="1:1">
      <c r="A4215" s="151" t="s">
        <v>6191</v>
      </c>
    </row>
    <row r="4216" spans="1:1">
      <c r="A4216" s="151" t="s">
        <v>6192</v>
      </c>
    </row>
    <row r="4217" spans="1:1">
      <c r="A4217" s="151" t="s">
        <v>6193</v>
      </c>
    </row>
    <row r="4218" spans="1:1">
      <c r="A4218" s="151" t="s">
        <v>6194</v>
      </c>
    </row>
    <row r="4219" spans="1:1">
      <c r="A4219" s="151" t="s">
        <v>6195</v>
      </c>
    </row>
    <row r="4220" spans="1:1">
      <c r="A4220" s="151" t="s">
        <v>6196</v>
      </c>
    </row>
    <row r="4221" spans="1:1">
      <c r="A4221" s="151" t="s">
        <v>6197</v>
      </c>
    </row>
    <row r="4222" spans="1:1">
      <c r="A4222" s="151" t="s">
        <v>6198</v>
      </c>
    </row>
    <row r="4223" spans="1:1">
      <c r="A4223" s="151" t="s">
        <v>6199</v>
      </c>
    </row>
    <row r="4224" spans="1:1">
      <c r="A4224" s="151" t="s">
        <v>6200</v>
      </c>
    </row>
    <row r="4225" spans="1:1">
      <c r="A4225" s="151" t="s">
        <v>6201</v>
      </c>
    </row>
    <row r="4226" spans="1:1">
      <c r="A4226" s="151" t="s">
        <v>6202</v>
      </c>
    </row>
    <row r="4227" spans="1:1">
      <c r="A4227" s="151" t="s">
        <v>6203</v>
      </c>
    </row>
    <row r="4228" spans="1:1">
      <c r="A4228" s="151" t="s">
        <v>6204</v>
      </c>
    </row>
    <row r="4229" spans="1:1">
      <c r="A4229" s="151" t="s">
        <v>6205</v>
      </c>
    </row>
    <row r="4230" spans="1:1">
      <c r="A4230" s="151" t="s">
        <v>6206</v>
      </c>
    </row>
    <row r="4231" spans="1:1">
      <c r="A4231" s="151" t="s">
        <v>6207</v>
      </c>
    </row>
    <row r="4232" spans="1:1">
      <c r="A4232" s="151" t="s">
        <v>6208</v>
      </c>
    </row>
    <row r="4233" spans="1:1">
      <c r="A4233" s="151" t="s">
        <v>6209</v>
      </c>
    </row>
    <row r="4234" spans="1:1">
      <c r="A4234" s="151" t="s">
        <v>6210</v>
      </c>
    </row>
    <row r="4235" spans="1:1">
      <c r="A4235" s="151" t="s">
        <v>6211</v>
      </c>
    </row>
    <row r="4236" spans="1:1">
      <c r="A4236" s="151" t="s">
        <v>6212</v>
      </c>
    </row>
    <row r="4237" spans="1:1">
      <c r="A4237" s="151" t="s">
        <v>6213</v>
      </c>
    </row>
    <row r="4238" spans="1:1">
      <c r="A4238" s="151" t="s">
        <v>6214</v>
      </c>
    </row>
    <row r="4239" spans="1:1">
      <c r="A4239" s="151" t="s">
        <v>6215</v>
      </c>
    </row>
    <row r="4240" spans="1:1">
      <c r="A4240" s="151" t="s">
        <v>6216</v>
      </c>
    </row>
    <row r="4241" spans="1:1">
      <c r="A4241" s="151" t="s">
        <v>6217</v>
      </c>
    </row>
    <row r="4242" spans="1:1">
      <c r="A4242" s="151" t="s">
        <v>6218</v>
      </c>
    </row>
    <row r="4243" spans="1:1">
      <c r="A4243" s="151" t="s">
        <v>6219</v>
      </c>
    </row>
    <row r="4244" spans="1:1">
      <c r="A4244" s="151" t="s">
        <v>6220</v>
      </c>
    </row>
    <row r="4245" spans="1:1">
      <c r="A4245" s="151" t="s">
        <v>6221</v>
      </c>
    </row>
    <row r="4246" spans="1:1">
      <c r="A4246" s="151" t="s">
        <v>6222</v>
      </c>
    </row>
    <row r="4247" spans="1:1">
      <c r="A4247" s="151" t="s">
        <v>6223</v>
      </c>
    </row>
    <row r="4248" spans="1:1">
      <c r="A4248" s="151" t="s">
        <v>6224</v>
      </c>
    </row>
    <row r="4249" spans="1:1">
      <c r="A4249" s="151" t="s">
        <v>6225</v>
      </c>
    </row>
    <row r="4250" spans="1:1">
      <c r="A4250" s="151" t="s">
        <v>6226</v>
      </c>
    </row>
    <row r="4251" spans="1:1">
      <c r="A4251" s="151" t="s">
        <v>6227</v>
      </c>
    </row>
    <row r="4252" spans="1:1">
      <c r="A4252" s="151" t="s">
        <v>6228</v>
      </c>
    </row>
    <row r="4253" spans="1:1">
      <c r="A4253" s="151" t="s">
        <v>6229</v>
      </c>
    </row>
    <row r="4254" spans="1:1">
      <c r="A4254" s="151" t="s">
        <v>6230</v>
      </c>
    </row>
    <row r="4255" spans="1:1">
      <c r="A4255" s="151" t="s">
        <v>6231</v>
      </c>
    </row>
    <row r="4256" spans="1:1">
      <c r="A4256" s="151" t="s">
        <v>6232</v>
      </c>
    </row>
    <row r="4257" spans="1:1">
      <c r="A4257" s="151" t="s">
        <v>6233</v>
      </c>
    </row>
    <row r="4258" spans="1:1">
      <c r="A4258" s="151" t="s">
        <v>6234</v>
      </c>
    </row>
    <row r="4259" spans="1:1">
      <c r="A4259" s="151" t="s">
        <v>6235</v>
      </c>
    </row>
    <row r="4260" spans="1:1">
      <c r="A4260" s="151" t="s">
        <v>6236</v>
      </c>
    </row>
    <row r="4261" spans="1:1">
      <c r="A4261" s="151" t="s">
        <v>6237</v>
      </c>
    </row>
    <row r="4262" spans="1:1">
      <c r="A4262" s="151" t="s">
        <v>6238</v>
      </c>
    </row>
    <row r="4263" spans="1:1">
      <c r="A4263" s="151" t="s">
        <v>6239</v>
      </c>
    </row>
    <row r="4264" spans="1:1">
      <c r="A4264" s="151" t="s">
        <v>6240</v>
      </c>
    </row>
    <row r="4265" spans="1:1">
      <c r="A4265" s="151" t="s">
        <v>6241</v>
      </c>
    </row>
    <row r="4266" spans="1:1">
      <c r="A4266" s="151" t="s">
        <v>6242</v>
      </c>
    </row>
    <row r="4267" spans="1:1">
      <c r="A4267" s="151" t="s">
        <v>6243</v>
      </c>
    </row>
    <row r="4268" spans="1:1">
      <c r="A4268" s="151" t="s">
        <v>6244</v>
      </c>
    </row>
    <row r="4269" spans="1:1">
      <c r="A4269" s="151" t="s">
        <v>6245</v>
      </c>
    </row>
    <row r="4270" spans="1:1">
      <c r="A4270" s="151" t="s">
        <v>6246</v>
      </c>
    </row>
    <row r="4271" spans="1:1">
      <c r="A4271" s="151" t="s">
        <v>6247</v>
      </c>
    </row>
    <row r="4272" spans="1:1">
      <c r="A4272" s="151" t="s">
        <v>6248</v>
      </c>
    </row>
    <row r="4273" spans="1:1">
      <c r="A4273" s="151" t="s">
        <v>6249</v>
      </c>
    </row>
    <row r="4274" spans="1:1">
      <c r="A4274" s="151" t="s">
        <v>6250</v>
      </c>
    </row>
    <row r="4275" spans="1:1">
      <c r="A4275" s="151" t="s">
        <v>6251</v>
      </c>
    </row>
    <row r="4276" spans="1:1">
      <c r="A4276" s="151" t="s">
        <v>6252</v>
      </c>
    </row>
    <row r="4277" spans="1:1">
      <c r="A4277" s="151" t="s">
        <v>6253</v>
      </c>
    </row>
    <row r="4278" spans="1:1">
      <c r="A4278" s="151" t="s">
        <v>6254</v>
      </c>
    </row>
    <row r="4279" spans="1:1">
      <c r="A4279" s="151" t="s">
        <v>6255</v>
      </c>
    </row>
    <row r="4280" spans="1:1">
      <c r="A4280" s="151" t="s">
        <v>6256</v>
      </c>
    </row>
    <row r="4281" spans="1:1">
      <c r="A4281" s="151" t="s">
        <v>6257</v>
      </c>
    </row>
    <row r="4282" spans="1:1">
      <c r="A4282" s="151" t="s">
        <v>6258</v>
      </c>
    </row>
    <row r="4283" spans="1:1">
      <c r="A4283" s="151" t="s">
        <v>6259</v>
      </c>
    </row>
    <row r="4284" spans="1:1">
      <c r="A4284" s="151" t="s">
        <v>6260</v>
      </c>
    </row>
    <row r="4285" spans="1:1">
      <c r="A4285" s="151" t="s">
        <v>6261</v>
      </c>
    </row>
    <row r="4286" spans="1:1">
      <c r="A4286" s="151" t="s">
        <v>6262</v>
      </c>
    </row>
    <row r="4287" spans="1:1">
      <c r="A4287" s="151" t="s">
        <v>6263</v>
      </c>
    </row>
    <row r="4288" spans="1:1">
      <c r="A4288" s="151" t="s">
        <v>6264</v>
      </c>
    </row>
    <row r="4289" spans="1:1">
      <c r="A4289" s="151" t="s">
        <v>6265</v>
      </c>
    </row>
    <row r="4290" spans="1:1">
      <c r="A4290" s="151" t="s">
        <v>6266</v>
      </c>
    </row>
    <row r="4291" spans="1:1">
      <c r="A4291" s="151" t="s">
        <v>6267</v>
      </c>
    </row>
    <row r="4292" spans="1:1">
      <c r="A4292" s="151" t="s">
        <v>6268</v>
      </c>
    </row>
    <row r="4293" spans="1:1">
      <c r="A4293" s="151" t="s">
        <v>6269</v>
      </c>
    </row>
    <row r="4294" spans="1:1">
      <c r="A4294" s="151" t="s">
        <v>6270</v>
      </c>
    </row>
    <row r="4295" spans="1:1">
      <c r="A4295" s="151" t="s">
        <v>6271</v>
      </c>
    </row>
    <row r="4296" spans="1:1">
      <c r="A4296" s="151" t="s">
        <v>6272</v>
      </c>
    </row>
    <row r="4297" spans="1:1">
      <c r="A4297" s="151" t="s">
        <v>6273</v>
      </c>
    </row>
    <row r="4298" spans="1:1">
      <c r="A4298" s="151" t="s">
        <v>6274</v>
      </c>
    </row>
    <row r="4299" spans="1:1">
      <c r="A4299" s="151" t="s">
        <v>6275</v>
      </c>
    </row>
    <row r="4300" spans="1:1">
      <c r="A4300" s="151" t="s">
        <v>6276</v>
      </c>
    </row>
    <row r="4301" spans="1:1">
      <c r="A4301" s="151" t="s">
        <v>6277</v>
      </c>
    </row>
    <row r="4302" spans="1:1">
      <c r="A4302" s="151" t="s">
        <v>6278</v>
      </c>
    </row>
    <row r="4303" spans="1:1">
      <c r="A4303" s="151" t="s">
        <v>6279</v>
      </c>
    </row>
    <row r="4304" spans="1:1">
      <c r="A4304" s="151" t="s">
        <v>6280</v>
      </c>
    </row>
    <row r="4305" spans="1:1">
      <c r="A4305" s="151" t="s">
        <v>6281</v>
      </c>
    </row>
    <row r="4306" spans="1:1">
      <c r="A4306" s="151" t="s">
        <v>6282</v>
      </c>
    </row>
    <row r="4307" spans="1:1">
      <c r="A4307" s="151" t="s">
        <v>6283</v>
      </c>
    </row>
    <row r="4308" spans="1:1">
      <c r="A4308" s="151" t="s">
        <v>6284</v>
      </c>
    </row>
    <row r="4309" spans="1:1">
      <c r="A4309" s="151" t="s">
        <v>6285</v>
      </c>
    </row>
    <row r="4310" spans="1:1">
      <c r="A4310" s="151" t="s">
        <v>6286</v>
      </c>
    </row>
    <row r="4311" spans="1:1">
      <c r="A4311" s="151" t="s">
        <v>6287</v>
      </c>
    </row>
    <row r="4312" spans="1:1">
      <c r="A4312" s="151" t="s">
        <v>6288</v>
      </c>
    </row>
    <row r="4313" spans="1:1">
      <c r="A4313" s="151" t="s">
        <v>6289</v>
      </c>
    </row>
    <row r="4314" spans="1:1">
      <c r="A4314" s="151" t="s">
        <v>6290</v>
      </c>
    </row>
    <row r="4315" spans="1:1">
      <c r="A4315" s="151" t="s">
        <v>6291</v>
      </c>
    </row>
    <row r="4316" spans="1:1">
      <c r="A4316" s="151" t="s">
        <v>6292</v>
      </c>
    </row>
    <row r="4317" spans="1:1">
      <c r="A4317" s="151" t="s">
        <v>6293</v>
      </c>
    </row>
    <row r="4318" spans="1:1">
      <c r="A4318" s="151" t="s">
        <v>6294</v>
      </c>
    </row>
    <row r="4319" spans="1:1">
      <c r="A4319" s="151" t="s">
        <v>6295</v>
      </c>
    </row>
    <row r="4320" spans="1:1">
      <c r="A4320" s="151" t="s">
        <v>6296</v>
      </c>
    </row>
    <row r="4321" spans="1:1">
      <c r="A4321" s="151" t="s">
        <v>6297</v>
      </c>
    </row>
    <row r="4322" spans="1:1">
      <c r="A4322" s="151" t="s">
        <v>6298</v>
      </c>
    </row>
    <row r="4323" spans="1:1">
      <c r="A4323" s="151" t="s">
        <v>6299</v>
      </c>
    </row>
    <row r="4324" spans="1:1">
      <c r="A4324" s="151" t="s">
        <v>6300</v>
      </c>
    </row>
    <row r="4325" spans="1:1">
      <c r="A4325" s="151" t="s">
        <v>6301</v>
      </c>
    </row>
    <row r="4326" spans="1:1">
      <c r="A4326" s="151" t="s">
        <v>6302</v>
      </c>
    </row>
    <row r="4327" spans="1:1">
      <c r="A4327" s="151" t="s">
        <v>6303</v>
      </c>
    </row>
    <row r="4328" spans="1:1">
      <c r="A4328" s="151" t="s">
        <v>6304</v>
      </c>
    </row>
    <row r="4329" spans="1:1">
      <c r="A4329" s="151" t="s">
        <v>6305</v>
      </c>
    </row>
    <row r="4330" spans="1:1">
      <c r="A4330" s="151" t="s">
        <v>6306</v>
      </c>
    </row>
    <row r="4331" spans="1:1">
      <c r="A4331" s="151" t="s">
        <v>6307</v>
      </c>
    </row>
    <row r="4332" spans="1:1">
      <c r="A4332" s="151" t="s">
        <v>6308</v>
      </c>
    </row>
    <row r="4333" spans="1:1">
      <c r="A4333" s="151" t="s">
        <v>6309</v>
      </c>
    </row>
    <row r="4334" spans="1:1">
      <c r="A4334" s="151" t="s">
        <v>6310</v>
      </c>
    </row>
    <row r="4335" spans="1:1">
      <c r="A4335" s="151" t="s">
        <v>6311</v>
      </c>
    </row>
    <row r="4336" spans="1:1">
      <c r="A4336" s="151" t="s">
        <v>6312</v>
      </c>
    </row>
    <row r="4337" spans="1:1">
      <c r="A4337" s="151" t="s">
        <v>6313</v>
      </c>
    </row>
    <row r="4338" spans="1:1">
      <c r="A4338" s="151" t="s">
        <v>6314</v>
      </c>
    </row>
    <row r="4339" spans="1:1">
      <c r="A4339" s="151" t="s">
        <v>6315</v>
      </c>
    </row>
    <row r="4340" spans="1:1">
      <c r="A4340" s="151" t="s">
        <v>6316</v>
      </c>
    </row>
    <row r="4341" spans="1:1">
      <c r="A4341" s="151" t="s">
        <v>6317</v>
      </c>
    </row>
    <row r="4342" spans="1:1">
      <c r="A4342" s="151" t="s">
        <v>6318</v>
      </c>
    </row>
    <row r="4343" spans="1:1">
      <c r="A4343" s="151" t="s">
        <v>6319</v>
      </c>
    </row>
    <row r="4344" spans="1:1">
      <c r="A4344" s="151" t="s">
        <v>6320</v>
      </c>
    </row>
    <row r="4345" spans="1:1">
      <c r="A4345" s="151" t="s">
        <v>6321</v>
      </c>
    </row>
    <row r="4346" spans="1:1">
      <c r="A4346" s="151" t="s">
        <v>6322</v>
      </c>
    </row>
    <row r="4347" spans="1:1">
      <c r="A4347" s="151" t="s">
        <v>6323</v>
      </c>
    </row>
    <row r="4348" spans="1:1">
      <c r="A4348" s="151" t="s">
        <v>6324</v>
      </c>
    </row>
    <row r="4349" spans="1:1">
      <c r="A4349" s="151" t="s">
        <v>6325</v>
      </c>
    </row>
    <row r="4350" spans="1:1">
      <c r="A4350" s="151" t="s">
        <v>6326</v>
      </c>
    </row>
    <row r="4351" spans="1:1">
      <c r="A4351" s="151" t="s">
        <v>6327</v>
      </c>
    </row>
    <row r="4352" spans="1:1">
      <c r="A4352" s="151" t="s">
        <v>6328</v>
      </c>
    </row>
    <row r="4353" spans="1:1">
      <c r="A4353" s="151" t="s">
        <v>6329</v>
      </c>
    </row>
    <row r="4354" spans="1:1">
      <c r="A4354" s="151" t="s">
        <v>6330</v>
      </c>
    </row>
    <row r="4355" spans="1:1">
      <c r="A4355" s="151" t="s">
        <v>6331</v>
      </c>
    </row>
    <row r="4356" spans="1:1">
      <c r="A4356" s="151" t="s">
        <v>6332</v>
      </c>
    </row>
    <row r="4357" spans="1:1">
      <c r="A4357" s="151" t="s">
        <v>6333</v>
      </c>
    </row>
    <row r="4358" spans="1:1">
      <c r="A4358" s="151" t="s">
        <v>6334</v>
      </c>
    </row>
    <row r="4359" spans="1:1">
      <c r="A4359" s="151" t="s">
        <v>6335</v>
      </c>
    </row>
    <row r="4360" spans="1:1">
      <c r="A4360" s="151" t="s">
        <v>6336</v>
      </c>
    </row>
    <row r="4361" spans="1:1">
      <c r="A4361" s="151" t="s">
        <v>6337</v>
      </c>
    </row>
    <row r="4362" spans="1:1">
      <c r="A4362" s="151" t="s">
        <v>6338</v>
      </c>
    </row>
    <row r="4363" spans="1:1">
      <c r="A4363" s="151" t="s">
        <v>6339</v>
      </c>
    </row>
    <row r="4364" spans="1:1">
      <c r="A4364" s="151" t="s">
        <v>6340</v>
      </c>
    </row>
    <row r="4365" spans="1:1">
      <c r="A4365" s="151" t="s">
        <v>6341</v>
      </c>
    </row>
    <row r="4366" spans="1:1">
      <c r="A4366" s="151" t="s">
        <v>6342</v>
      </c>
    </row>
    <row r="4367" spans="1:1">
      <c r="A4367" s="151" t="s">
        <v>6343</v>
      </c>
    </row>
    <row r="4368" spans="1:1">
      <c r="A4368" s="151" t="s">
        <v>6344</v>
      </c>
    </row>
    <row r="4369" spans="1:1">
      <c r="A4369" s="151" t="s">
        <v>6345</v>
      </c>
    </row>
    <row r="4370" spans="1:1">
      <c r="A4370" s="151" t="s">
        <v>6346</v>
      </c>
    </row>
    <row r="4371" spans="1:1">
      <c r="A4371" s="151" t="s">
        <v>6347</v>
      </c>
    </row>
    <row r="4372" spans="1:1">
      <c r="A4372" s="151" t="s">
        <v>6348</v>
      </c>
    </row>
    <row r="4373" spans="1:1">
      <c r="A4373" s="151" t="s">
        <v>6349</v>
      </c>
    </row>
    <row r="4374" spans="1:1">
      <c r="A4374" s="151" t="s">
        <v>6350</v>
      </c>
    </row>
    <row r="4375" spans="1:1">
      <c r="A4375" s="151" t="s">
        <v>6351</v>
      </c>
    </row>
    <row r="4376" spans="1:1">
      <c r="A4376" s="151" t="s">
        <v>6352</v>
      </c>
    </row>
    <row r="4377" spans="1:1">
      <c r="A4377" s="151" t="s">
        <v>6353</v>
      </c>
    </row>
    <row r="4378" spans="1:1">
      <c r="A4378" s="151" t="s">
        <v>6354</v>
      </c>
    </row>
    <row r="4379" spans="1:1">
      <c r="A4379" s="151" t="s">
        <v>6355</v>
      </c>
    </row>
    <row r="4380" spans="1:1">
      <c r="A4380" s="151" t="s">
        <v>6356</v>
      </c>
    </row>
    <row r="4381" spans="1:1">
      <c r="A4381" s="151" t="s">
        <v>6357</v>
      </c>
    </row>
    <row r="4382" spans="1:1">
      <c r="A4382" s="151" t="s">
        <v>6358</v>
      </c>
    </row>
    <row r="4383" spans="1:1">
      <c r="A4383" s="151" t="s">
        <v>6359</v>
      </c>
    </row>
    <row r="4384" spans="1:1">
      <c r="A4384" s="151" t="s">
        <v>6360</v>
      </c>
    </row>
    <row r="4385" spans="1:1">
      <c r="A4385" s="151" t="s">
        <v>6361</v>
      </c>
    </row>
    <row r="4386" spans="1:1">
      <c r="A4386" s="151" t="s">
        <v>6362</v>
      </c>
    </row>
    <row r="4387" spans="1:1">
      <c r="A4387" s="151" t="s">
        <v>6363</v>
      </c>
    </row>
    <row r="4388" spans="1:1">
      <c r="A4388" s="151" t="s">
        <v>6364</v>
      </c>
    </row>
    <row r="4389" spans="1:1">
      <c r="A4389" s="151" t="s">
        <v>6365</v>
      </c>
    </row>
    <row r="4390" spans="1:1">
      <c r="A4390" s="151" t="s">
        <v>6366</v>
      </c>
    </row>
    <row r="4391" spans="1:1">
      <c r="A4391" s="151" t="s">
        <v>6367</v>
      </c>
    </row>
    <row r="4392" spans="1:1">
      <c r="A4392" s="151" t="s">
        <v>6368</v>
      </c>
    </row>
    <row r="4393" spans="1:1">
      <c r="A4393" s="151" t="s">
        <v>6369</v>
      </c>
    </row>
    <row r="4394" spans="1:1">
      <c r="A4394" s="151" t="s">
        <v>6370</v>
      </c>
    </row>
    <row r="4395" spans="1:1">
      <c r="A4395" s="151" t="s">
        <v>6371</v>
      </c>
    </row>
    <row r="4396" spans="1:1">
      <c r="A4396" s="151" t="s">
        <v>6372</v>
      </c>
    </row>
    <row r="4397" spans="1:1">
      <c r="A4397" s="151" t="s">
        <v>6373</v>
      </c>
    </row>
    <row r="4398" spans="1:1">
      <c r="A4398" s="151" t="s">
        <v>6374</v>
      </c>
    </row>
    <row r="4399" spans="1:1">
      <c r="A4399" s="151" t="s">
        <v>6375</v>
      </c>
    </row>
    <row r="4400" spans="1:1">
      <c r="A4400" s="151" t="s">
        <v>6376</v>
      </c>
    </row>
    <row r="4401" spans="1:1">
      <c r="A4401" s="151" t="s">
        <v>6377</v>
      </c>
    </row>
    <row r="4402" spans="1:1">
      <c r="A4402" s="151" t="s">
        <v>6378</v>
      </c>
    </row>
    <row r="4403" spans="1:1">
      <c r="A4403" s="151" t="s">
        <v>6379</v>
      </c>
    </row>
    <row r="4404" spans="1:1">
      <c r="A4404" s="151" t="s">
        <v>6380</v>
      </c>
    </row>
    <row r="4405" spans="1:1">
      <c r="A4405" s="151" t="s">
        <v>6381</v>
      </c>
    </row>
    <row r="4406" spans="1:1">
      <c r="A4406" s="151" t="s">
        <v>6382</v>
      </c>
    </row>
    <row r="4407" spans="1:1">
      <c r="A4407" s="151" t="s">
        <v>6383</v>
      </c>
    </row>
    <row r="4408" spans="1:1">
      <c r="A4408" s="151" t="s">
        <v>6384</v>
      </c>
    </row>
    <row r="4409" spans="1:1">
      <c r="A4409" s="151" t="s">
        <v>6385</v>
      </c>
    </row>
    <row r="4410" spans="1:1">
      <c r="A4410" s="151" t="s">
        <v>6386</v>
      </c>
    </row>
    <row r="4411" spans="1:1">
      <c r="A4411" s="151" t="s">
        <v>6387</v>
      </c>
    </row>
    <row r="4412" spans="1:1">
      <c r="A4412" s="151" t="s">
        <v>6388</v>
      </c>
    </row>
    <row r="4413" spans="1:1">
      <c r="A4413" s="151" t="s">
        <v>6389</v>
      </c>
    </row>
    <row r="4414" spans="1:1">
      <c r="A4414" s="151" t="s">
        <v>6390</v>
      </c>
    </row>
    <row r="4415" spans="1:1">
      <c r="A4415" s="151" t="s">
        <v>6391</v>
      </c>
    </row>
    <row r="4416" spans="1:1">
      <c r="A4416" s="151" t="s">
        <v>6392</v>
      </c>
    </row>
    <row r="4417" spans="1:1">
      <c r="A4417" s="151" t="s">
        <v>6393</v>
      </c>
    </row>
    <row r="4418" spans="1:1">
      <c r="A4418" s="151" t="s">
        <v>6394</v>
      </c>
    </row>
    <row r="4419" spans="1:1">
      <c r="A4419" s="151" t="s">
        <v>6395</v>
      </c>
    </row>
    <row r="4420" spans="1:1">
      <c r="A4420" s="151" t="s">
        <v>6396</v>
      </c>
    </row>
    <row r="4421" spans="1:1">
      <c r="A4421" s="151" t="s">
        <v>6397</v>
      </c>
    </row>
    <row r="4422" spans="1:1">
      <c r="A4422" s="151" t="s">
        <v>6398</v>
      </c>
    </row>
    <row r="4423" spans="1:1">
      <c r="A4423" s="151" t="s">
        <v>6399</v>
      </c>
    </row>
    <row r="4424" spans="1:1">
      <c r="A4424" s="151" t="s">
        <v>6400</v>
      </c>
    </row>
    <row r="4425" spans="1:1">
      <c r="A4425" s="151" t="s">
        <v>6401</v>
      </c>
    </row>
    <row r="4426" spans="1:1">
      <c r="A4426" s="151" t="s">
        <v>6402</v>
      </c>
    </row>
    <row r="4427" spans="1:1">
      <c r="A4427" s="151" t="s">
        <v>6403</v>
      </c>
    </row>
    <row r="4428" spans="1:1">
      <c r="A4428" s="151" t="s">
        <v>6404</v>
      </c>
    </row>
    <row r="4429" spans="1:1">
      <c r="A4429" s="151" t="s">
        <v>6405</v>
      </c>
    </row>
    <row r="4430" spans="1:1">
      <c r="A4430" s="151" t="s">
        <v>6406</v>
      </c>
    </row>
    <row r="4431" spans="1:1">
      <c r="A4431" s="151" t="s">
        <v>6407</v>
      </c>
    </row>
    <row r="4432" spans="1:1">
      <c r="A4432" s="151" t="s">
        <v>6408</v>
      </c>
    </row>
    <row r="4433" spans="1:1">
      <c r="A4433" s="151" t="s">
        <v>6409</v>
      </c>
    </row>
    <row r="4434" spans="1:1">
      <c r="A4434" s="151" t="s">
        <v>6410</v>
      </c>
    </row>
    <row r="4435" spans="1:1">
      <c r="A4435" s="151" t="s">
        <v>6411</v>
      </c>
    </row>
    <row r="4436" spans="1:1">
      <c r="A4436" s="151" t="s">
        <v>6412</v>
      </c>
    </row>
    <row r="4437" spans="1:1">
      <c r="A4437" s="151" t="s">
        <v>6413</v>
      </c>
    </row>
    <row r="4438" spans="1:1">
      <c r="A4438" s="151" t="s">
        <v>6414</v>
      </c>
    </row>
    <row r="4439" spans="1:1">
      <c r="A4439" s="151" t="s">
        <v>6415</v>
      </c>
    </row>
    <row r="4440" spans="1:1">
      <c r="A4440" s="151" t="s">
        <v>6416</v>
      </c>
    </row>
    <row r="4441" spans="1:1">
      <c r="A4441" s="151" t="s">
        <v>6417</v>
      </c>
    </row>
    <row r="4442" spans="1:1">
      <c r="A4442" s="151" t="s">
        <v>6418</v>
      </c>
    </row>
    <row r="4443" spans="1:1">
      <c r="A4443" s="151" t="s">
        <v>6419</v>
      </c>
    </row>
    <row r="4444" spans="1:1">
      <c r="A4444" s="151" t="s">
        <v>6420</v>
      </c>
    </row>
    <row r="4445" spans="1:1">
      <c r="A4445" s="151" t="s">
        <v>6421</v>
      </c>
    </row>
    <row r="4446" spans="1:1">
      <c r="A4446" s="151" t="s">
        <v>6422</v>
      </c>
    </row>
    <row r="4447" spans="1:1">
      <c r="A4447" s="151" t="s">
        <v>6423</v>
      </c>
    </row>
    <row r="4448" spans="1:1">
      <c r="A4448" s="151" t="s">
        <v>6424</v>
      </c>
    </row>
    <row r="4449" spans="1:1">
      <c r="A4449" s="151" t="s">
        <v>6425</v>
      </c>
    </row>
    <row r="4450" spans="1:1">
      <c r="A4450" s="151" t="s">
        <v>6426</v>
      </c>
    </row>
    <row r="4451" spans="1:1">
      <c r="A4451" s="151" t="s">
        <v>6427</v>
      </c>
    </row>
    <row r="4452" spans="1:1">
      <c r="A4452" s="151" t="s">
        <v>6428</v>
      </c>
    </row>
    <row r="4453" spans="1:1">
      <c r="A4453" s="151" t="s">
        <v>6429</v>
      </c>
    </row>
    <row r="4454" spans="1:1">
      <c r="A4454" s="151" t="s">
        <v>6430</v>
      </c>
    </row>
    <row r="4455" spans="1:1">
      <c r="A4455" s="151" t="s">
        <v>6431</v>
      </c>
    </row>
    <row r="4456" spans="1:1">
      <c r="A4456" s="151" t="s">
        <v>6432</v>
      </c>
    </row>
    <row r="4457" spans="1:1">
      <c r="A4457" s="151" t="s">
        <v>6433</v>
      </c>
    </row>
    <row r="4458" spans="1:1">
      <c r="A4458" s="151" t="s">
        <v>6434</v>
      </c>
    </row>
    <row r="4459" spans="1:1">
      <c r="A4459" s="151" t="s">
        <v>6435</v>
      </c>
    </row>
    <row r="4460" spans="1:1">
      <c r="A4460" s="151" t="s">
        <v>6436</v>
      </c>
    </row>
    <row r="4461" spans="1:1">
      <c r="A4461" s="151" t="s">
        <v>6437</v>
      </c>
    </row>
    <row r="4462" spans="1:1">
      <c r="A4462" s="151" t="s">
        <v>6438</v>
      </c>
    </row>
    <row r="4463" spans="1:1">
      <c r="A4463" s="151" t="s">
        <v>6439</v>
      </c>
    </row>
    <row r="4464" spans="1:1">
      <c r="A4464" s="151" t="s">
        <v>6440</v>
      </c>
    </row>
    <row r="4465" spans="1:1">
      <c r="A4465" s="151" t="s">
        <v>6441</v>
      </c>
    </row>
    <row r="4466" spans="1:1">
      <c r="A4466" s="151" t="s">
        <v>6442</v>
      </c>
    </row>
    <row r="4467" spans="1:1">
      <c r="A4467" s="151" t="s">
        <v>6443</v>
      </c>
    </row>
    <row r="4468" spans="1:1">
      <c r="A4468" s="151" t="s">
        <v>6444</v>
      </c>
    </row>
    <row r="4469" spans="1:1">
      <c r="A4469" s="151" t="s">
        <v>6445</v>
      </c>
    </row>
    <row r="4470" spans="1:1">
      <c r="A4470" s="151" t="s">
        <v>6446</v>
      </c>
    </row>
    <row r="4471" spans="1:1">
      <c r="A4471" s="151" t="s">
        <v>6447</v>
      </c>
    </row>
    <row r="4472" spans="1:1">
      <c r="A4472" s="151" t="s">
        <v>6448</v>
      </c>
    </row>
    <row r="4473" spans="1:1">
      <c r="A4473" s="151" t="s">
        <v>6449</v>
      </c>
    </row>
    <row r="4474" spans="1:1">
      <c r="A4474" s="151" t="s">
        <v>6450</v>
      </c>
    </row>
    <row r="4475" spans="1:1">
      <c r="A4475" s="151" t="s">
        <v>6451</v>
      </c>
    </row>
    <row r="4476" spans="1:1">
      <c r="A4476" s="151" t="s">
        <v>6452</v>
      </c>
    </row>
    <row r="4477" spans="1:1">
      <c r="A4477" s="151" t="s">
        <v>6453</v>
      </c>
    </row>
    <row r="4478" spans="1:1">
      <c r="A4478" s="151" t="s">
        <v>6454</v>
      </c>
    </row>
    <row r="4479" spans="1:1">
      <c r="A4479" s="151" t="s">
        <v>6455</v>
      </c>
    </row>
    <row r="4480" spans="1:1">
      <c r="A4480" s="151" t="s">
        <v>6456</v>
      </c>
    </row>
    <row r="4481" spans="1:1">
      <c r="A4481" s="151" t="s">
        <v>6457</v>
      </c>
    </row>
    <row r="4482" spans="1:1">
      <c r="A4482" s="151" t="s">
        <v>6458</v>
      </c>
    </row>
    <row r="4483" spans="1:1">
      <c r="A4483" s="151" t="s">
        <v>6459</v>
      </c>
    </row>
    <row r="4484" spans="1:1">
      <c r="A4484" s="151" t="s">
        <v>6460</v>
      </c>
    </row>
    <row r="4485" spans="1:1">
      <c r="A4485" s="151" t="s">
        <v>6461</v>
      </c>
    </row>
    <row r="4486" spans="1:1">
      <c r="A4486" s="151" t="s">
        <v>6462</v>
      </c>
    </row>
    <row r="4487" spans="1:1">
      <c r="A4487" s="151" t="s">
        <v>6463</v>
      </c>
    </row>
    <row r="4488" spans="1:1">
      <c r="A4488" s="151" t="s">
        <v>6464</v>
      </c>
    </row>
    <row r="4489" spans="1:1">
      <c r="A4489" s="151" t="s">
        <v>6465</v>
      </c>
    </row>
    <row r="4490" spans="1:1">
      <c r="A4490" s="151" t="s">
        <v>6466</v>
      </c>
    </row>
    <row r="4491" spans="1:1">
      <c r="A4491" s="151" t="s">
        <v>6467</v>
      </c>
    </row>
    <row r="4492" spans="1:1">
      <c r="A4492" s="151" t="s">
        <v>6468</v>
      </c>
    </row>
    <row r="4493" spans="1:1">
      <c r="A4493" s="151" t="s">
        <v>6469</v>
      </c>
    </row>
    <row r="4494" spans="1:1">
      <c r="A4494" s="151" t="s">
        <v>6470</v>
      </c>
    </row>
    <row r="4495" spans="1:1">
      <c r="A4495" s="151" t="s">
        <v>6471</v>
      </c>
    </row>
    <row r="4496" spans="1:1">
      <c r="A4496" s="151" t="s">
        <v>6472</v>
      </c>
    </row>
    <row r="4497" spans="1:1">
      <c r="A4497" s="151" t="s">
        <v>6473</v>
      </c>
    </row>
    <row r="4498" spans="1:1">
      <c r="A4498" s="151" t="s">
        <v>6474</v>
      </c>
    </row>
    <row r="4499" spans="1:1">
      <c r="A4499" s="151" t="s">
        <v>6475</v>
      </c>
    </row>
    <row r="4500" spans="1:1">
      <c r="A4500" s="151" t="s">
        <v>6476</v>
      </c>
    </row>
    <row r="4501" spans="1:1">
      <c r="A4501" s="151" t="s">
        <v>6477</v>
      </c>
    </row>
    <row r="4502" spans="1:1">
      <c r="A4502" s="151" t="s">
        <v>6478</v>
      </c>
    </row>
    <row r="4503" spans="1:1">
      <c r="A4503" s="151" t="s">
        <v>6479</v>
      </c>
    </row>
    <row r="4504" spans="1:1">
      <c r="A4504" s="151" t="s">
        <v>6480</v>
      </c>
    </row>
    <row r="4505" spans="1:1">
      <c r="A4505" s="151" t="s">
        <v>6481</v>
      </c>
    </row>
    <row r="4506" spans="1:1">
      <c r="A4506" s="151" t="s">
        <v>6482</v>
      </c>
    </row>
    <row r="4507" spans="1:1">
      <c r="A4507" s="151" t="s">
        <v>6483</v>
      </c>
    </row>
    <row r="4508" spans="1:1">
      <c r="A4508" s="151" t="s">
        <v>6484</v>
      </c>
    </row>
    <row r="4509" spans="1:1">
      <c r="A4509" s="151" t="s">
        <v>6485</v>
      </c>
    </row>
    <row r="4510" spans="1:1">
      <c r="A4510" s="151" t="s">
        <v>6486</v>
      </c>
    </row>
    <row r="4511" spans="1:1">
      <c r="A4511" s="151" t="s">
        <v>6487</v>
      </c>
    </row>
    <row r="4512" spans="1:1">
      <c r="A4512" s="151" t="s">
        <v>6488</v>
      </c>
    </row>
    <row r="4513" spans="1:1">
      <c r="A4513" s="151" t="s">
        <v>6489</v>
      </c>
    </row>
    <row r="4514" spans="1:1">
      <c r="A4514" s="151" t="s">
        <v>6490</v>
      </c>
    </row>
    <row r="4515" spans="1:1">
      <c r="A4515" s="151" t="s">
        <v>6491</v>
      </c>
    </row>
    <row r="4516" spans="1:1">
      <c r="A4516" s="151" t="s">
        <v>6492</v>
      </c>
    </row>
    <row r="4517" spans="1:1">
      <c r="A4517" s="151" t="s">
        <v>6493</v>
      </c>
    </row>
    <row r="4518" spans="1:1">
      <c r="A4518" s="151" t="s">
        <v>6494</v>
      </c>
    </row>
    <row r="4519" spans="1:1">
      <c r="A4519" s="151" t="s">
        <v>6495</v>
      </c>
    </row>
    <row r="4520" spans="1:1">
      <c r="A4520" s="151" t="s">
        <v>6496</v>
      </c>
    </row>
    <row r="4521" spans="1:1">
      <c r="A4521" s="151" t="s">
        <v>6497</v>
      </c>
    </row>
    <row r="4522" spans="1:1">
      <c r="A4522" s="151" t="s">
        <v>6498</v>
      </c>
    </row>
    <row r="4523" spans="1:1">
      <c r="A4523" s="151" t="s">
        <v>6499</v>
      </c>
    </row>
    <row r="4524" spans="1:1">
      <c r="A4524" s="151" t="s">
        <v>6500</v>
      </c>
    </row>
    <row r="4525" spans="1:1">
      <c r="A4525" s="151" t="s">
        <v>6501</v>
      </c>
    </row>
    <row r="4526" spans="1:1">
      <c r="A4526" s="151" t="s">
        <v>6502</v>
      </c>
    </row>
    <row r="4527" spans="1:1">
      <c r="A4527" s="151" t="s">
        <v>6503</v>
      </c>
    </row>
    <row r="4528" spans="1:1">
      <c r="A4528" s="151" t="s">
        <v>6504</v>
      </c>
    </row>
    <row r="4529" spans="1:1">
      <c r="A4529" s="151" t="s">
        <v>6505</v>
      </c>
    </row>
    <row r="4530" spans="1:1">
      <c r="A4530" s="151" t="s">
        <v>6506</v>
      </c>
    </row>
    <row r="4531" spans="1:1">
      <c r="A4531" s="151" t="s">
        <v>6507</v>
      </c>
    </row>
    <row r="4532" spans="1:1">
      <c r="A4532" s="151" t="s">
        <v>6508</v>
      </c>
    </row>
    <row r="4533" spans="1:1">
      <c r="A4533" s="151" t="s">
        <v>6509</v>
      </c>
    </row>
    <row r="4534" spans="1:1">
      <c r="A4534" s="151" t="s">
        <v>6510</v>
      </c>
    </row>
    <row r="4535" spans="1:1">
      <c r="A4535" s="151" t="s">
        <v>6511</v>
      </c>
    </row>
    <row r="4536" spans="1:1">
      <c r="A4536" s="151" t="s">
        <v>6512</v>
      </c>
    </row>
    <row r="4537" spans="1:1">
      <c r="A4537" s="151" t="s">
        <v>6513</v>
      </c>
    </row>
    <row r="4538" spans="1:1">
      <c r="A4538" s="151" t="s">
        <v>6514</v>
      </c>
    </row>
    <row r="4539" spans="1:1">
      <c r="A4539" s="151" t="s">
        <v>6515</v>
      </c>
    </row>
    <row r="4540" spans="1:1">
      <c r="A4540" s="151" t="s">
        <v>6516</v>
      </c>
    </row>
    <row r="4541" spans="1:1">
      <c r="A4541" s="151" t="s">
        <v>6517</v>
      </c>
    </row>
    <row r="4542" spans="1:1">
      <c r="A4542" s="151" t="s">
        <v>6518</v>
      </c>
    </row>
    <row r="4543" spans="1:1">
      <c r="A4543" s="151" t="s">
        <v>6519</v>
      </c>
    </row>
    <row r="4544" spans="1:1">
      <c r="A4544" s="151" t="s">
        <v>6520</v>
      </c>
    </row>
    <row r="4545" spans="1:1">
      <c r="A4545" s="151" t="s">
        <v>6521</v>
      </c>
    </row>
    <row r="4546" spans="1:1">
      <c r="A4546" s="151" t="s">
        <v>6522</v>
      </c>
    </row>
    <row r="4547" spans="1:1">
      <c r="A4547" s="151" t="s">
        <v>6523</v>
      </c>
    </row>
    <row r="4548" spans="1:1">
      <c r="A4548" s="151" t="s">
        <v>6524</v>
      </c>
    </row>
    <row r="4549" spans="1:1">
      <c r="A4549" s="151" t="s">
        <v>6525</v>
      </c>
    </row>
    <row r="4550" spans="1:1">
      <c r="A4550" s="151" t="s">
        <v>6526</v>
      </c>
    </row>
    <row r="4551" spans="1:1">
      <c r="A4551" s="151" t="s">
        <v>6527</v>
      </c>
    </row>
    <row r="4552" spans="1:1">
      <c r="A4552" s="151" t="s">
        <v>6528</v>
      </c>
    </row>
    <row r="4553" spans="1:1">
      <c r="A4553" s="151" t="s">
        <v>6529</v>
      </c>
    </row>
    <row r="4554" spans="1:1">
      <c r="A4554" s="151" t="s">
        <v>6530</v>
      </c>
    </row>
    <row r="4555" spans="1:1">
      <c r="A4555" s="151" t="s">
        <v>6531</v>
      </c>
    </row>
    <row r="4556" spans="1:1">
      <c r="A4556" s="151" t="s">
        <v>6532</v>
      </c>
    </row>
    <row r="4557" spans="1:1">
      <c r="A4557" s="151" t="s">
        <v>6533</v>
      </c>
    </row>
    <row r="4558" spans="1:1">
      <c r="A4558" s="151" t="s">
        <v>6534</v>
      </c>
    </row>
    <row r="4559" spans="1:1">
      <c r="A4559" s="151" t="s">
        <v>6535</v>
      </c>
    </row>
    <row r="4560" spans="1:1">
      <c r="A4560" s="151" t="s">
        <v>6536</v>
      </c>
    </row>
    <row r="4561" spans="1:1">
      <c r="A4561" s="151" t="s">
        <v>6537</v>
      </c>
    </row>
    <row r="4562" spans="1:1">
      <c r="A4562" s="151" t="s">
        <v>6538</v>
      </c>
    </row>
    <row r="4563" spans="1:1">
      <c r="A4563" s="151" t="s">
        <v>6539</v>
      </c>
    </row>
    <row r="4564" spans="1:1">
      <c r="A4564" s="151" t="s">
        <v>6540</v>
      </c>
    </row>
    <row r="4565" spans="1:1">
      <c r="A4565" s="151" t="s">
        <v>6541</v>
      </c>
    </row>
    <row r="4566" spans="1:1">
      <c r="A4566" s="151" t="s">
        <v>6542</v>
      </c>
    </row>
    <row r="4567" spans="1:1">
      <c r="A4567" s="151" t="s">
        <v>6543</v>
      </c>
    </row>
    <row r="4568" spans="1:1">
      <c r="A4568" s="151" t="s">
        <v>6544</v>
      </c>
    </row>
    <row r="4569" spans="1:1">
      <c r="A4569" s="151" t="s">
        <v>6545</v>
      </c>
    </row>
    <row r="4570" spans="1:1">
      <c r="A4570" s="151" t="s">
        <v>6546</v>
      </c>
    </row>
    <row r="4571" spans="1:1">
      <c r="A4571" s="151" t="s">
        <v>6547</v>
      </c>
    </row>
    <row r="4572" spans="1:1">
      <c r="A4572" s="151" t="s">
        <v>6548</v>
      </c>
    </row>
    <row r="4573" spans="1:1">
      <c r="A4573" s="151" t="s">
        <v>6549</v>
      </c>
    </row>
    <row r="4574" spans="1:1">
      <c r="A4574" s="151" t="s">
        <v>6550</v>
      </c>
    </row>
    <row r="4575" spans="1:1">
      <c r="A4575" s="151" t="s">
        <v>6551</v>
      </c>
    </row>
    <row r="4576" spans="1:1">
      <c r="A4576" s="151" t="s">
        <v>6552</v>
      </c>
    </row>
    <row r="4577" spans="1:1">
      <c r="A4577" s="151" t="s">
        <v>6553</v>
      </c>
    </row>
    <row r="4578" spans="1:1">
      <c r="A4578" s="151" t="s">
        <v>6554</v>
      </c>
    </row>
    <row r="4579" spans="1:1">
      <c r="A4579" s="151" t="s">
        <v>6555</v>
      </c>
    </row>
    <row r="4580" spans="1:1">
      <c r="A4580" s="151" t="s">
        <v>6556</v>
      </c>
    </row>
    <row r="4581" spans="1:1">
      <c r="A4581" s="151" t="s">
        <v>6557</v>
      </c>
    </row>
    <row r="4582" spans="1:1">
      <c r="A4582" s="151" t="s">
        <v>6558</v>
      </c>
    </row>
    <row r="4583" spans="1:1">
      <c r="A4583" s="151" t="s">
        <v>6559</v>
      </c>
    </row>
    <row r="4584" spans="1:1">
      <c r="A4584" s="151" t="s">
        <v>6560</v>
      </c>
    </row>
    <row r="4585" spans="1:1">
      <c r="A4585" s="151" t="s">
        <v>6561</v>
      </c>
    </row>
    <row r="4586" spans="1:1">
      <c r="A4586" s="151" t="s">
        <v>6562</v>
      </c>
    </row>
    <row r="4587" spans="1:1">
      <c r="A4587" s="151" t="s">
        <v>6563</v>
      </c>
    </row>
    <row r="4588" spans="1:1">
      <c r="A4588" s="151" t="s">
        <v>6564</v>
      </c>
    </row>
    <row r="4589" spans="1:1">
      <c r="A4589" s="151" t="s">
        <v>6565</v>
      </c>
    </row>
    <row r="4590" spans="1:1">
      <c r="A4590" s="151" t="s">
        <v>6566</v>
      </c>
    </row>
    <row r="4591" spans="1:1">
      <c r="A4591" s="151" t="s">
        <v>6567</v>
      </c>
    </row>
    <row r="4592" spans="1:1">
      <c r="A4592" s="151" t="s">
        <v>6568</v>
      </c>
    </row>
    <row r="4593" spans="1:1">
      <c r="A4593" s="151" t="s">
        <v>6569</v>
      </c>
    </row>
    <row r="4594" spans="1:1">
      <c r="A4594" s="151" t="s">
        <v>6570</v>
      </c>
    </row>
    <row r="4595" spans="1:1">
      <c r="A4595" s="151" t="s">
        <v>6571</v>
      </c>
    </row>
    <row r="4596" spans="1:1">
      <c r="A4596" s="151" t="s">
        <v>6572</v>
      </c>
    </row>
    <row r="4597" spans="1:1">
      <c r="A4597" s="151" t="s">
        <v>6573</v>
      </c>
    </row>
    <row r="4598" spans="1:1">
      <c r="A4598" s="151" t="s">
        <v>6574</v>
      </c>
    </row>
    <row r="4599" spans="1:1">
      <c r="A4599" s="151" t="s">
        <v>6575</v>
      </c>
    </row>
    <row r="4600" spans="1:1">
      <c r="A4600" s="151" t="s">
        <v>6576</v>
      </c>
    </row>
    <row r="4601" spans="1:1">
      <c r="A4601" s="151" t="s">
        <v>6577</v>
      </c>
    </row>
    <row r="4602" spans="1:1">
      <c r="A4602" s="151" t="s">
        <v>6578</v>
      </c>
    </row>
    <row r="4603" spans="1:1">
      <c r="A4603" s="151" t="s">
        <v>6579</v>
      </c>
    </row>
    <row r="4604" spans="1:1">
      <c r="A4604" s="151" t="s">
        <v>6580</v>
      </c>
    </row>
    <row r="4605" spans="1:1">
      <c r="A4605" s="151" t="s">
        <v>6581</v>
      </c>
    </row>
    <row r="4606" spans="1:1">
      <c r="A4606" s="151" t="s">
        <v>6582</v>
      </c>
    </row>
    <row r="4607" spans="1:1">
      <c r="A4607" s="151" t="s">
        <v>6583</v>
      </c>
    </row>
    <row r="4608" spans="1:1">
      <c r="A4608" s="151" t="s">
        <v>6584</v>
      </c>
    </row>
    <row r="4609" spans="1:1">
      <c r="A4609" s="151" t="s">
        <v>6585</v>
      </c>
    </row>
    <row r="4610" spans="1:1">
      <c r="A4610" s="151" t="s">
        <v>6586</v>
      </c>
    </row>
    <row r="4611" spans="1:1">
      <c r="A4611" s="151" t="s">
        <v>6587</v>
      </c>
    </row>
    <row r="4612" spans="1:1">
      <c r="A4612" s="151" t="s">
        <v>6588</v>
      </c>
    </row>
    <row r="4613" spans="1:1">
      <c r="A4613" s="151" t="s">
        <v>6589</v>
      </c>
    </row>
    <row r="4614" spans="1:1">
      <c r="A4614" s="151" t="s">
        <v>6590</v>
      </c>
    </row>
    <row r="4615" spans="1:1">
      <c r="A4615" s="151" t="s">
        <v>6591</v>
      </c>
    </row>
    <row r="4616" spans="1:1">
      <c r="A4616" s="151" t="s">
        <v>6592</v>
      </c>
    </row>
    <row r="4617" spans="1:1">
      <c r="A4617" s="151" t="s">
        <v>6593</v>
      </c>
    </row>
    <row r="4618" spans="1:1">
      <c r="A4618" s="151" t="s">
        <v>6594</v>
      </c>
    </row>
    <row r="4619" spans="1:1">
      <c r="A4619" s="151" t="s">
        <v>6595</v>
      </c>
    </row>
    <row r="4620" spans="1:1">
      <c r="A4620" s="151" t="s">
        <v>6596</v>
      </c>
    </row>
    <row r="4621" spans="1:1">
      <c r="A4621" s="151" t="s">
        <v>6597</v>
      </c>
    </row>
    <row r="4622" spans="1:1">
      <c r="A4622" s="151" t="s">
        <v>6598</v>
      </c>
    </row>
    <row r="4623" spans="1:1">
      <c r="A4623" s="151" t="s">
        <v>6599</v>
      </c>
    </row>
    <row r="4624" spans="1:1">
      <c r="A4624" s="151" t="s">
        <v>6600</v>
      </c>
    </row>
    <row r="4625" spans="1:1">
      <c r="A4625" s="151" t="s">
        <v>6601</v>
      </c>
    </row>
    <row r="4626" spans="1:1">
      <c r="A4626" s="151" t="s">
        <v>6602</v>
      </c>
    </row>
    <row r="4627" spans="1:1">
      <c r="A4627" s="151" t="s">
        <v>6603</v>
      </c>
    </row>
    <row r="4628" spans="1:1">
      <c r="A4628" s="151" t="s">
        <v>6604</v>
      </c>
    </row>
    <row r="4629" spans="1:1">
      <c r="A4629" s="151" t="s">
        <v>6605</v>
      </c>
    </row>
    <row r="4630" spans="1:1">
      <c r="A4630" s="151" t="s">
        <v>6606</v>
      </c>
    </row>
    <row r="4631" spans="1:1">
      <c r="A4631" s="151" t="s">
        <v>6607</v>
      </c>
    </row>
    <row r="4632" spans="1:1">
      <c r="A4632" s="151" t="s">
        <v>6608</v>
      </c>
    </row>
    <row r="4633" spans="1:1">
      <c r="A4633" s="151" t="s">
        <v>6609</v>
      </c>
    </row>
    <row r="4634" spans="1:1">
      <c r="A4634" s="151" t="s">
        <v>6610</v>
      </c>
    </row>
    <row r="4635" spans="1:1">
      <c r="A4635" s="151" t="s">
        <v>6611</v>
      </c>
    </row>
    <row r="4636" spans="1:1">
      <c r="A4636" s="151" t="s">
        <v>6612</v>
      </c>
    </row>
    <row r="4637" spans="1:1">
      <c r="A4637" s="151" t="s">
        <v>6613</v>
      </c>
    </row>
    <row r="4638" spans="1:1">
      <c r="A4638" s="151" t="s">
        <v>6614</v>
      </c>
    </row>
    <row r="4639" spans="1:1">
      <c r="A4639" s="151" t="s">
        <v>6615</v>
      </c>
    </row>
    <row r="4640" spans="1:1">
      <c r="A4640" s="151" t="s">
        <v>6616</v>
      </c>
    </row>
    <row r="4641" spans="1:1">
      <c r="A4641" s="151" t="s">
        <v>6617</v>
      </c>
    </row>
    <row r="4642" spans="1:1">
      <c r="A4642" s="151" t="s">
        <v>6618</v>
      </c>
    </row>
    <row r="4643" spans="1:1">
      <c r="A4643" s="151" t="s">
        <v>6619</v>
      </c>
    </row>
    <row r="4644" spans="1:1">
      <c r="A4644" s="151" t="s">
        <v>6620</v>
      </c>
    </row>
    <row r="4645" spans="1:1">
      <c r="A4645" s="151" t="s">
        <v>6621</v>
      </c>
    </row>
    <row r="4646" spans="1:1">
      <c r="A4646" s="151" t="s">
        <v>6622</v>
      </c>
    </row>
    <row r="4647" spans="1:1">
      <c r="A4647" s="151" t="s">
        <v>6623</v>
      </c>
    </row>
    <row r="4648" spans="1:1">
      <c r="A4648" s="151" t="s">
        <v>6624</v>
      </c>
    </row>
    <row r="4649" spans="1:1">
      <c r="A4649" s="151" t="s">
        <v>6625</v>
      </c>
    </row>
    <row r="4650" spans="1:1">
      <c r="A4650" s="151" t="s">
        <v>6626</v>
      </c>
    </row>
    <row r="4651" spans="1:1">
      <c r="A4651" s="151" t="s">
        <v>6627</v>
      </c>
    </row>
    <row r="4652" spans="1:1">
      <c r="A4652" s="151" t="s">
        <v>6628</v>
      </c>
    </row>
    <row r="4653" spans="1:1">
      <c r="A4653" s="151" t="s">
        <v>6629</v>
      </c>
    </row>
    <row r="4654" spans="1:1">
      <c r="A4654" s="151" t="s">
        <v>6630</v>
      </c>
    </row>
    <row r="4655" spans="1:1">
      <c r="A4655" s="151" t="s">
        <v>6631</v>
      </c>
    </row>
    <row r="4656" spans="1:1">
      <c r="A4656" s="151" t="s">
        <v>6632</v>
      </c>
    </row>
    <row r="4657" spans="1:1">
      <c r="A4657" s="151" t="s">
        <v>6633</v>
      </c>
    </row>
    <row r="4658" spans="1:1">
      <c r="A4658" s="151" t="s">
        <v>6634</v>
      </c>
    </row>
    <row r="4659" spans="1:1">
      <c r="A4659" s="151" t="s">
        <v>6635</v>
      </c>
    </row>
    <row r="4660" spans="1:1">
      <c r="A4660" s="151" t="s">
        <v>6636</v>
      </c>
    </row>
    <row r="4661" spans="1:1">
      <c r="A4661" s="151" t="s">
        <v>6637</v>
      </c>
    </row>
    <row r="4662" spans="1:1">
      <c r="A4662" s="151" t="s">
        <v>6638</v>
      </c>
    </row>
    <row r="4663" spans="1:1">
      <c r="A4663" s="151" t="s">
        <v>6639</v>
      </c>
    </row>
    <row r="4664" spans="1:1">
      <c r="A4664" s="151" t="s">
        <v>6640</v>
      </c>
    </row>
    <row r="4665" spans="1:1">
      <c r="A4665" s="151" t="s">
        <v>6641</v>
      </c>
    </row>
    <row r="4666" spans="1:1">
      <c r="A4666" s="151" t="s">
        <v>6642</v>
      </c>
    </row>
    <row r="4667" spans="1:1">
      <c r="A4667" s="151" t="s">
        <v>6643</v>
      </c>
    </row>
    <row r="4668" spans="1:1">
      <c r="A4668" s="151" t="s">
        <v>6644</v>
      </c>
    </row>
    <row r="4669" spans="1:1">
      <c r="A4669" s="151" t="s">
        <v>6645</v>
      </c>
    </row>
    <row r="4670" spans="1:1">
      <c r="A4670" s="151" t="s">
        <v>6646</v>
      </c>
    </row>
    <row r="4671" spans="1:1">
      <c r="A4671" s="151" t="s">
        <v>6647</v>
      </c>
    </row>
    <row r="4672" spans="1:1">
      <c r="A4672" s="151" t="s">
        <v>6648</v>
      </c>
    </row>
    <row r="4673" spans="1:1">
      <c r="A4673" s="151" t="s">
        <v>6649</v>
      </c>
    </row>
    <row r="4674" spans="1:1">
      <c r="A4674" s="151" t="s">
        <v>6650</v>
      </c>
    </row>
    <row r="4675" spans="1:1">
      <c r="A4675" s="151" t="s">
        <v>6651</v>
      </c>
    </row>
    <row r="4676" spans="1:1">
      <c r="A4676" s="151" t="s">
        <v>6652</v>
      </c>
    </row>
    <row r="4677" spans="1:1">
      <c r="A4677" s="151" t="s">
        <v>6653</v>
      </c>
    </row>
    <row r="4678" spans="1:1">
      <c r="A4678" s="151" t="s">
        <v>6654</v>
      </c>
    </row>
    <row r="4679" spans="1:1">
      <c r="A4679" s="151" t="s">
        <v>6655</v>
      </c>
    </row>
    <row r="4680" spans="1:1">
      <c r="A4680" s="151" t="s">
        <v>6656</v>
      </c>
    </row>
    <row r="4681" spans="1:1">
      <c r="A4681" s="151" t="s">
        <v>6657</v>
      </c>
    </row>
    <row r="4682" spans="1:1">
      <c r="A4682" s="151" t="s">
        <v>6658</v>
      </c>
    </row>
    <row r="4683" spans="1:1">
      <c r="A4683" s="151" t="s">
        <v>6659</v>
      </c>
    </row>
    <row r="4684" spans="1:1">
      <c r="A4684" s="151" t="s">
        <v>6660</v>
      </c>
    </row>
    <row r="4685" spans="1:1">
      <c r="A4685" s="151" t="s">
        <v>6661</v>
      </c>
    </row>
    <row r="4686" spans="1:1">
      <c r="A4686" s="151" t="s">
        <v>6662</v>
      </c>
    </row>
    <row r="4687" spans="1:1">
      <c r="A4687" s="151" t="s">
        <v>6663</v>
      </c>
    </row>
    <row r="4688" spans="1:1">
      <c r="A4688" s="151" t="s">
        <v>6664</v>
      </c>
    </row>
    <row r="4689" spans="1:1">
      <c r="A4689" s="151" t="s">
        <v>6665</v>
      </c>
    </row>
    <row r="4690" spans="1:1">
      <c r="A4690" s="151" t="s">
        <v>6666</v>
      </c>
    </row>
    <row r="4691" spans="1:1">
      <c r="A4691" s="151" t="s">
        <v>6667</v>
      </c>
    </row>
    <row r="4692" spans="1:1">
      <c r="A4692" s="151" t="s">
        <v>6668</v>
      </c>
    </row>
    <row r="4693" spans="1:1">
      <c r="A4693" s="151" t="s">
        <v>6669</v>
      </c>
    </row>
    <row r="4694" spans="1:1">
      <c r="A4694" s="151" t="s">
        <v>6670</v>
      </c>
    </row>
    <row r="4695" spans="1:1">
      <c r="A4695" s="151" t="s">
        <v>6671</v>
      </c>
    </row>
    <row r="4696" spans="1:1">
      <c r="A4696" s="151" t="s">
        <v>6672</v>
      </c>
    </row>
    <row r="4697" spans="1:1">
      <c r="A4697" s="151" t="s">
        <v>6673</v>
      </c>
    </row>
    <row r="4698" spans="1:1">
      <c r="A4698" s="151" t="s">
        <v>6674</v>
      </c>
    </row>
    <row r="4699" spans="1:1">
      <c r="A4699" s="151" t="s">
        <v>6675</v>
      </c>
    </row>
    <row r="4700" spans="1:1">
      <c r="A4700" s="151" t="s">
        <v>6676</v>
      </c>
    </row>
    <row r="4701" spans="1:1">
      <c r="A4701" s="151" t="s">
        <v>6677</v>
      </c>
    </row>
    <row r="4702" spans="1:1">
      <c r="A4702" s="151" t="s">
        <v>6678</v>
      </c>
    </row>
    <row r="4703" spans="1:1">
      <c r="A4703" s="151" t="s">
        <v>6679</v>
      </c>
    </row>
    <row r="4704" spans="1:1">
      <c r="A4704" s="151" t="s">
        <v>6680</v>
      </c>
    </row>
    <row r="4705" spans="1:1">
      <c r="A4705" s="151" t="s">
        <v>6681</v>
      </c>
    </row>
    <row r="4706" spans="1:1">
      <c r="A4706" s="151" t="s">
        <v>6682</v>
      </c>
    </row>
    <row r="4707" spans="1:1">
      <c r="A4707" s="151" t="s">
        <v>6683</v>
      </c>
    </row>
    <row r="4708" spans="1:1">
      <c r="A4708" s="151" t="s">
        <v>6684</v>
      </c>
    </row>
    <row r="4709" spans="1:1">
      <c r="A4709" s="151" t="s">
        <v>6685</v>
      </c>
    </row>
    <row r="4710" spans="1:1">
      <c r="A4710" s="151" t="s">
        <v>6686</v>
      </c>
    </row>
    <row r="4711" spans="1:1">
      <c r="A4711" s="151" t="s">
        <v>6687</v>
      </c>
    </row>
    <row r="4712" spans="1:1">
      <c r="A4712" s="151" t="s">
        <v>6688</v>
      </c>
    </row>
    <row r="4713" spans="1:1">
      <c r="A4713" s="151" t="s">
        <v>6689</v>
      </c>
    </row>
    <row r="4714" spans="1:1">
      <c r="A4714" s="151" t="s">
        <v>6690</v>
      </c>
    </row>
    <row r="4715" spans="1:1">
      <c r="A4715" s="151" t="s">
        <v>6691</v>
      </c>
    </row>
    <row r="4716" spans="1:1">
      <c r="A4716" s="151" t="s">
        <v>6692</v>
      </c>
    </row>
    <row r="4717" spans="1:1">
      <c r="A4717" s="151" t="s">
        <v>6693</v>
      </c>
    </row>
    <row r="4718" spans="1:1">
      <c r="A4718" s="151" t="s">
        <v>6694</v>
      </c>
    </row>
    <row r="4719" spans="1:1">
      <c r="A4719" s="151" t="s">
        <v>6695</v>
      </c>
    </row>
    <row r="4720" spans="1:1">
      <c r="A4720" s="151" t="s">
        <v>6696</v>
      </c>
    </row>
    <row r="4721" spans="1:1">
      <c r="A4721" s="151" t="s">
        <v>6697</v>
      </c>
    </row>
    <row r="4722" spans="1:1">
      <c r="A4722" s="151" t="s">
        <v>6698</v>
      </c>
    </row>
    <row r="4723" spans="1:1">
      <c r="A4723" s="151" t="s">
        <v>6699</v>
      </c>
    </row>
    <row r="4724" spans="1:1">
      <c r="A4724" s="151" t="s">
        <v>6700</v>
      </c>
    </row>
    <row r="4725" spans="1:1">
      <c r="A4725" s="151" t="s">
        <v>6701</v>
      </c>
    </row>
    <row r="4726" spans="1:1">
      <c r="A4726" s="151" t="s">
        <v>6702</v>
      </c>
    </row>
    <row r="4727" spans="1:1">
      <c r="A4727" s="151" t="s">
        <v>6703</v>
      </c>
    </row>
    <row r="4728" spans="1:1">
      <c r="A4728" s="151" t="s">
        <v>6704</v>
      </c>
    </row>
    <row r="4729" spans="1:1">
      <c r="A4729" s="151" t="s">
        <v>6705</v>
      </c>
    </row>
    <row r="4730" spans="1:1">
      <c r="A4730" s="151" t="s">
        <v>6706</v>
      </c>
    </row>
    <row r="4731" spans="1:1">
      <c r="A4731" s="151" t="s">
        <v>6707</v>
      </c>
    </row>
    <row r="4732" spans="1:1">
      <c r="A4732" s="151" t="s">
        <v>6708</v>
      </c>
    </row>
    <row r="4733" spans="1:1">
      <c r="A4733" s="151" t="s">
        <v>6709</v>
      </c>
    </row>
    <row r="4734" spans="1:1">
      <c r="A4734" s="151" t="s">
        <v>6710</v>
      </c>
    </row>
    <row r="4735" spans="1:1">
      <c r="A4735" s="151" t="s">
        <v>6711</v>
      </c>
    </row>
    <row r="4736" spans="1:1">
      <c r="A4736" s="151" t="s">
        <v>6712</v>
      </c>
    </row>
    <row r="4737" spans="1:1">
      <c r="A4737" s="151" t="s">
        <v>6713</v>
      </c>
    </row>
    <row r="4738" spans="1:1">
      <c r="A4738" s="151" t="s">
        <v>6714</v>
      </c>
    </row>
    <row r="4739" spans="1:1">
      <c r="A4739" s="151" t="s">
        <v>6715</v>
      </c>
    </row>
    <row r="4740" spans="1:1">
      <c r="A4740" s="151" t="s">
        <v>6716</v>
      </c>
    </row>
    <row r="4741" spans="1:1">
      <c r="A4741" s="151" t="s">
        <v>6717</v>
      </c>
    </row>
    <row r="4742" spans="1:1">
      <c r="A4742" s="151" t="s">
        <v>6718</v>
      </c>
    </row>
    <row r="4743" spans="1:1">
      <c r="A4743" s="151" t="s">
        <v>6719</v>
      </c>
    </row>
    <row r="4744" spans="1:1">
      <c r="A4744" s="151" t="s">
        <v>6720</v>
      </c>
    </row>
    <row r="4745" spans="1:1">
      <c r="A4745" s="151" t="s">
        <v>6721</v>
      </c>
    </row>
    <row r="4746" spans="1:1">
      <c r="A4746" s="151" t="s">
        <v>6722</v>
      </c>
    </row>
    <row r="4747" spans="1:1">
      <c r="A4747" s="151" t="s">
        <v>6723</v>
      </c>
    </row>
    <row r="4748" spans="1:1">
      <c r="A4748" s="151" t="s">
        <v>6724</v>
      </c>
    </row>
    <row r="4749" spans="1:1">
      <c r="A4749" s="151" t="s">
        <v>6725</v>
      </c>
    </row>
    <row r="4750" spans="1:1">
      <c r="A4750" s="151" t="s">
        <v>6726</v>
      </c>
    </row>
    <row r="4751" spans="1:1">
      <c r="A4751" s="151" t="s">
        <v>6727</v>
      </c>
    </row>
    <row r="4752" spans="1:1">
      <c r="A4752" s="151" t="s">
        <v>6728</v>
      </c>
    </row>
    <row r="4753" spans="1:1">
      <c r="A4753" s="151" t="s">
        <v>6729</v>
      </c>
    </row>
    <row r="4754" spans="1:1">
      <c r="A4754" s="151" t="s">
        <v>6730</v>
      </c>
    </row>
    <row r="4755" spans="1:1">
      <c r="A4755" s="151" t="s">
        <v>6731</v>
      </c>
    </row>
    <row r="4756" spans="1:1">
      <c r="A4756" s="151" t="s">
        <v>6732</v>
      </c>
    </row>
    <row r="4757" spans="1:1">
      <c r="A4757" s="151" t="s">
        <v>6733</v>
      </c>
    </row>
    <row r="4758" spans="1:1">
      <c r="A4758" s="151" t="s">
        <v>6734</v>
      </c>
    </row>
    <row r="4759" spans="1:1">
      <c r="A4759" s="151" t="s">
        <v>6735</v>
      </c>
    </row>
    <row r="4760" spans="1:1">
      <c r="A4760" s="151" t="s">
        <v>6736</v>
      </c>
    </row>
    <row r="4761" spans="1:1">
      <c r="A4761" s="151" t="s">
        <v>6737</v>
      </c>
    </row>
    <row r="4762" spans="1:1">
      <c r="A4762" s="151" t="s">
        <v>6738</v>
      </c>
    </row>
    <row r="4763" spans="1:1">
      <c r="A4763" s="151" t="s">
        <v>6739</v>
      </c>
    </row>
    <row r="4764" spans="1:1">
      <c r="A4764" s="151" t="s">
        <v>6740</v>
      </c>
    </row>
    <row r="4765" spans="1:1">
      <c r="A4765" s="151" t="s">
        <v>6741</v>
      </c>
    </row>
    <row r="4766" spans="1:1">
      <c r="A4766" s="151" t="s">
        <v>6742</v>
      </c>
    </row>
    <row r="4767" spans="1:1">
      <c r="A4767" s="151" t="s">
        <v>6743</v>
      </c>
    </row>
    <row r="4768" spans="1:1">
      <c r="A4768" s="151" t="s">
        <v>6744</v>
      </c>
    </row>
    <row r="4769" spans="1:1">
      <c r="A4769" s="151" t="s">
        <v>6745</v>
      </c>
    </row>
    <row r="4770" spans="1:1">
      <c r="A4770" s="151" t="s">
        <v>6746</v>
      </c>
    </row>
    <row r="4771" spans="1:1">
      <c r="A4771" s="151" t="s">
        <v>6747</v>
      </c>
    </row>
    <row r="4772" spans="1:1">
      <c r="A4772" s="151" t="s">
        <v>6748</v>
      </c>
    </row>
    <row r="4773" spans="1:1">
      <c r="A4773" s="151" t="s">
        <v>6749</v>
      </c>
    </row>
    <row r="4774" spans="1:1">
      <c r="A4774" s="151" t="s">
        <v>6750</v>
      </c>
    </row>
    <row r="4775" spans="1:1">
      <c r="A4775" s="151" t="s">
        <v>6751</v>
      </c>
    </row>
    <row r="4776" spans="1:1">
      <c r="A4776" s="151" t="s">
        <v>6752</v>
      </c>
    </row>
    <row r="4777" spans="1:1">
      <c r="A4777" s="151" t="s">
        <v>6753</v>
      </c>
    </row>
    <row r="4778" spans="1:1">
      <c r="A4778" s="151" t="s">
        <v>6754</v>
      </c>
    </row>
    <row r="4779" spans="1:1">
      <c r="A4779" s="151" t="s">
        <v>6755</v>
      </c>
    </row>
    <row r="4780" spans="1:1">
      <c r="A4780" s="151" t="s">
        <v>6756</v>
      </c>
    </row>
    <row r="4781" spans="1:1">
      <c r="A4781" s="151" t="s">
        <v>6757</v>
      </c>
    </row>
    <row r="4782" spans="1:1">
      <c r="A4782" s="151" t="s">
        <v>6758</v>
      </c>
    </row>
    <row r="4783" spans="1:1">
      <c r="A4783" s="151" t="s">
        <v>6759</v>
      </c>
    </row>
    <row r="4784" spans="1:1">
      <c r="A4784" s="151" t="s">
        <v>6760</v>
      </c>
    </row>
    <row r="4785" spans="1:1">
      <c r="A4785" s="151" t="s">
        <v>6761</v>
      </c>
    </row>
    <row r="4786" spans="1:1">
      <c r="A4786" s="151" t="s">
        <v>6762</v>
      </c>
    </row>
    <row r="4787" spans="1:1">
      <c r="A4787" s="151" t="s">
        <v>6763</v>
      </c>
    </row>
    <row r="4788" spans="1:1">
      <c r="A4788" s="151" t="s">
        <v>6764</v>
      </c>
    </row>
    <row r="4789" spans="1:1">
      <c r="A4789" s="151" t="s">
        <v>6765</v>
      </c>
    </row>
    <row r="4790" spans="1:1">
      <c r="A4790" s="151" t="s">
        <v>6766</v>
      </c>
    </row>
    <row r="4791" spans="1:1">
      <c r="A4791" s="151" t="s">
        <v>6767</v>
      </c>
    </row>
    <row r="4792" spans="1:1">
      <c r="A4792" s="151" t="s">
        <v>6768</v>
      </c>
    </row>
    <row r="4793" spans="1:1">
      <c r="A4793" s="151" t="s">
        <v>6769</v>
      </c>
    </row>
    <row r="4794" spans="1:1">
      <c r="A4794" s="151" t="s">
        <v>6770</v>
      </c>
    </row>
    <row r="4795" spans="1:1">
      <c r="A4795" s="151" t="s">
        <v>6771</v>
      </c>
    </row>
    <row r="4796" spans="1:1">
      <c r="A4796" s="151" t="s">
        <v>6772</v>
      </c>
    </row>
    <row r="4797" spans="1:1">
      <c r="A4797" s="151" t="s">
        <v>6773</v>
      </c>
    </row>
    <row r="4798" spans="1:1">
      <c r="A4798" s="151" t="s">
        <v>6774</v>
      </c>
    </row>
    <row r="4799" spans="1:1">
      <c r="A4799" s="151" t="s">
        <v>6775</v>
      </c>
    </row>
    <row r="4800" spans="1:1">
      <c r="A4800" s="151" t="s">
        <v>6776</v>
      </c>
    </row>
    <row r="4801" spans="1:1">
      <c r="A4801" s="151" t="s">
        <v>6777</v>
      </c>
    </row>
    <row r="4802" spans="1:1">
      <c r="A4802" s="151" t="s">
        <v>6778</v>
      </c>
    </row>
    <row r="4803" spans="1:1">
      <c r="A4803" s="151" t="s">
        <v>6779</v>
      </c>
    </row>
    <row r="4804" spans="1:1">
      <c r="A4804" s="151" t="s">
        <v>6780</v>
      </c>
    </row>
    <row r="4805" spans="1:1">
      <c r="A4805" s="151" t="s">
        <v>6781</v>
      </c>
    </row>
    <row r="4806" spans="1:1">
      <c r="A4806" s="151" t="s">
        <v>6782</v>
      </c>
    </row>
    <row r="4807" spans="1:1">
      <c r="A4807" s="151" t="s">
        <v>6783</v>
      </c>
    </row>
    <row r="4808" spans="1:1">
      <c r="A4808" s="151" t="s">
        <v>6784</v>
      </c>
    </row>
    <row r="4809" spans="1:1">
      <c r="A4809" s="151" t="s">
        <v>6785</v>
      </c>
    </row>
    <row r="4810" spans="1:1">
      <c r="A4810" s="151" t="s">
        <v>6786</v>
      </c>
    </row>
    <row r="4811" spans="1:1">
      <c r="A4811" s="151" t="s">
        <v>6787</v>
      </c>
    </row>
    <row r="4812" spans="1:1">
      <c r="A4812" s="151" t="s">
        <v>6788</v>
      </c>
    </row>
    <row r="4813" spans="1:1">
      <c r="A4813" s="151" t="s">
        <v>6789</v>
      </c>
    </row>
    <row r="4814" spans="1:1">
      <c r="A4814" s="151" t="s">
        <v>6790</v>
      </c>
    </row>
    <row r="4815" spans="1:1">
      <c r="A4815" s="151" t="s">
        <v>6791</v>
      </c>
    </row>
    <row r="4816" spans="1:1">
      <c r="A4816" s="151" t="s">
        <v>6792</v>
      </c>
    </row>
    <row r="4817" spans="1:1">
      <c r="A4817" s="151" t="s">
        <v>6793</v>
      </c>
    </row>
    <row r="4818" spans="1:1">
      <c r="A4818" s="151" t="s">
        <v>6794</v>
      </c>
    </row>
    <row r="4819" spans="1:1">
      <c r="A4819" s="151" t="s">
        <v>6795</v>
      </c>
    </row>
    <row r="4820" spans="1:1">
      <c r="A4820" s="151" t="s">
        <v>6796</v>
      </c>
    </row>
    <row r="4821" spans="1:1">
      <c r="A4821" s="151" t="s">
        <v>6797</v>
      </c>
    </row>
    <row r="4822" spans="1:1">
      <c r="A4822" s="151" t="s">
        <v>6798</v>
      </c>
    </row>
    <row r="4823" spans="1:1">
      <c r="A4823" s="151" t="s">
        <v>6799</v>
      </c>
    </row>
    <row r="4824" spans="1:1">
      <c r="A4824" s="151" t="s">
        <v>6800</v>
      </c>
    </row>
    <row r="4825" spans="1:1">
      <c r="A4825" s="151" t="s">
        <v>6801</v>
      </c>
    </row>
    <row r="4826" spans="1:1">
      <c r="A4826" s="151" t="s">
        <v>6802</v>
      </c>
    </row>
    <row r="4827" spans="1:1">
      <c r="A4827" s="151" t="s">
        <v>6803</v>
      </c>
    </row>
    <row r="4828" spans="1:1">
      <c r="A4828" s="151" t="s">
        <v>6804</v>
      </c>
    </row>
    <row r="4829" spans="1:1">
      <c r="A4829" s="151" t="s">
        <v>6805</v>
      </c>
    </row>
    <row r="4830" spans="1:1">
      <c r="A4830" s="151" t="s">
        <v>6806</v>
      </c>
    </row>
    <row r="4831" spans="1:1">
      <c r="A4831" s="151" t="s">
        <v>6807</v>
      </c>
    </row>
    <row r="4832" spans="1:1">
      <c r="A4832" s="151" t="s">
        <v>6808</v>
      </c>
    </row>
    <row r="4833" spans="1:1">
      <c r="A4833" s="151" t="s">
        <v>6809</v>
      </c>
    </row>
    <row r="4834" spans="1:1">
      <c r="A4834" s="151" t="s">
        <v>6810</v>
      </c>
    </row>
    <row r="4835" spans="1:1">
      <c r="A4835" s="151" t="s">
        <v>6811</v>
      </c>
    </row>
    <row r="4836" spans="1:1">
      <c r="A4836" s="151" t="s">
        <v>6812</v>
      </c>
    </row>
    <row r="4837" spans="1:1">
      <c r="A4837" s="151" t="s">
        <v>6813</v>
      </c>
    </row>
    <row r="4838" spans="1:1">
      <c r="A4838" s="151" t="s">
        <v>6814</v>
      </c>
    </row>
    <row r="4839" spans="1:1">
      <c r="A4839" s="151" t="s">
        <v>6815</v>
      </c>
    </row>
    <row r="4840" spans="1:1">
      <c r="A4840" s="151" t="s">
        <v>6816</v>
      </c>
    </row>
    <row r="4841" spans="1:1">
      <c r="A4841" s="151" t="s">
        <v>6817</v>
      </c>
    </row>
    <row r="4842" spans="1:1">
      <c r="A4842" s="151" t="s">
        <v>6818</v>
      </c>
    </row>
    <row r="4843" spans="1:1">
      <c r="A4843" s="151" t="s">
        <v>6819</v>
      </c>
    </row>
    <row r="4844" spans="1:1">
      <c r="A4844" s="151" t="s">
        <v>6820</v>
      </c>
    </row>
    <row r="4845" spans="1:1">
      <c r="A4845" s="151" t="s">
        <v>6821</v>
      </c>
    </row>
    <row r="4846" spans="1:1">
      <c r="A4846" s="151" t="s">
        <v>6822</v>
      </c>
    </row>
    <row r="4847" spans="1:1">
      <c r="A4847" s="151" t="s">
        <v>6823</v>
      </c>
    </row>
    <row r="4848" spans="1:1">
      <c r="A4848" s="151" t="s">
        <v>6824</v>
      </c>
    </row>
    <row r="4849" spans="1:1">
      <c r="A4849" s="151" t="s">
        <v>6825</v>
      </c>
    </row>
    <row r="4850" spans="1:1">
      <c r="A4850" s="151" t="s">
        <v>6826</v>
      </c>
    </row>
    <row r="4851" spans="1:1">
      <c r="A4851" s="151" t="s">
        <v>6827</v>
      </c>
    </row>
    <row r="4852" spans="1:1">
      <c r="A4852" s="151" t="s">
        <v>6828</v>
      </c>
    </row>
    <row r="4853" spans="1:1">
      <c r="A4853" s="151" t="s">
        <v>6829</v>
      </c>
    </row>
    <row r="4854" spans="1:1">
      <c r="A4854" s="151" t="s">
        <v>6830</v>
      </c>
    </row>
    <row r="4855" spans="1:1">
      <c r="A4855" s="151" t="s">
        <v>6831</v>
      </c>
    </row>
    <row r="4856" spans="1:1">
      <c r="A4856" s="151" t="s">
        <v>6832</v>
      </c>
    </row>
    <row r="4857" spans="1:1">
      <c r="A4857" s="151" t="s">
        <v>6833</v>
      </c>
    </row>
    <row r="4858" spans="1:1">
      <c r="A4858" s="151" t="s">
        <v>6834</v>
      </c>
    </row>
    <row r="4859" spans="1:1">
      <c r="A4859" s="151" t="s">
        <v>6835</v>
      </c>
    </row>
    <row r="4860" spans="1:1">
      <c r="A4860" s="151" t="s">
        <v>6836</v>
      </c>
    </row>
    <row r="4861" spans="1:1">
      <c r="A4861" s="151" t="s">
        <v>6837</v>
      </c>
    </row>
    <row r="4862" spans="1:1">
      <c r="A4862" s="151" t="s">
        <v>6838</v>
      </c>
    </row>
    <row r="4863" spans="1:1">
      <c r="A4863" s="151" t="s">
        <v>6839</v>
      </c>
    </row>
    <row r="4864" spans="1:1">
      <c r="A4864" s="151" t="s">
        <v>6840</v>
      </c>
    </row>
    <row r="4865" spans="1:1">
      <c r="A4865" s="151" t="s">
        <v>6841</v>
      </c>
    </row>
    <row r="4866" spans="1:1">
      <c r="A4866" s="151" t="s">
        <v>6842</v>
      </c>
    </row>
    <row r="4867" spans="1:1">
      <c r="A4867" s="151" t="s">
        <v>6843</v>
      </c>
    </row>
    <row r="4868" spans="1:1">
      <c r="A4868" s="151" t="s">
        <v>6844</v>
      </c>
    </row>
    <row r="4869" spans="1:1">
      <c r="A4869" s="151" t="s">
        <v>6845</v>
      </c>
    </row>
    <row r="4870" spans="1:1">
      <c r="A4870" s="151" t="s">
        <v>6846</v>
      </c>
    </row>
    <row r="4871" spans="1:1">
      <c r="A4871" s="151" t="s">
        <v>6847</v>
      </c>
    </row>
    <row r="4872" spans="1:1">
      <c r="A4872" s="151" t="s">
        <v>6848</v>
      </c>
    </row>
    <row r="4873" spans="1:1">
      <c r="A4873" s="151" t="s">
        <v>6849</v>
      </c>
    </row>
    <row r="4874" spans="1:1">
      <c r="A4874" s="151" t="s">
        <v>6850</v>
      </c>
    </row>
    <row r="4875" spans="1:1">
      <c r="A4875" s="151" t="s">
        <v>6851</v>
      </c>
    </row>
    <row r="4876" spans="1:1">
      <c r="A4876" s="151" t="s">
        <v>6852</v>
      </c>
    </row>
    <row r="4877" spans="1:1">
      <c r="A4877" s="151" t="s">
        <v>6853</v>
      </c>
    </row>
    <row r="4878" spans="1:1">
      <c r="A4878" s="151" t="s">
        <v>6854</v>
      </c>
    </row>
    <row r="4879" spans="1:1">
      <c r="A4879" s="151" t="s">
        <v>6855</v>
      </c>
    </row>
    <row r="4880" spans="1:1">
      <c r="A4880" s="151" t="s">
        <v>6856</v>
      </c>
    </row>
    <row r="4881" spans="1:1">
      <c r="A4881" s="151" t="s">
        <v>6857</v>
      </c>
    </row>
    <row r="4882" spans="1:1">
      <c r="A4882" s="151" t="s">
        <v>6858</v>
      </c>
    </row>
    <row r="4883" spans="1:1">
      <c r="A4883" s="151" t="s">
        <v>6859</v>
      </c>
    </row>
    <row r="4884" spans="1:1">
      <c r="A4884" s="151" t="s">
        <v>6860</v>
      </c>
    </row>
    <row r="4885" spans="1:1">
      <c r="A4885" s="151" t="s">
        <v>6861</v>
      </c>
    </row>
    <row r="4886" spans="1:1">
      <c r="A4886" s="151" t="s">
        <v>6862</v>
      </c>
    </row>
    <row r="4887" spans="1:1">
      <c r="A4887" s="151" t="s">
        <v>6863</v>
      </c>
    </row>
    <row r="4888" spans="1:1">
      <c r="A4888" s="151" t="s">
        <v>6864</v>
      </c>
    </row>
    <row r="4889" spans="1:1">
      <c r="A4889" s="151" t="s">
        <v>6865</v>
      </c>
    </row>
    <row r="4890" spans="1:1">
      <c r="A4890" s="151" t="s">
        <v>6866</v>
      </c>
    </row>
    <row r="4891" spans="1:1">
      <c r="A4891" s="151" t="s">
        <v>6867</v>
      </c>
    </row>
    <row r="4892" spans="1:1">
      <c r="A4892" s="151" t="s">
        <v>6868</v>
      </c>
    </row>
    <row r="4893" spans="1:1">
      <c r="A4893" s="151" t="s">
        <v>6869</v>
      </c>
    </row>
    <row r="4894" spans="1:1">
      <c r="A4894" s="151" t="s">
        <v>6870</v>
      </c>
    </row>
    <row r="4895" spans="1:1">
      <c r="A4895" s="151" t="s">
        <v>6871</v>
      </c>
    </row>
    <row r="4896" spans="1:1">
      <c r="A4896" s="151" t="s">
        <v>6872</v>
      </c>
    </row>
    <row r="4897" spans="1:1">
      <c r="A4897" s="151" t="s">
        <v>6873</v>
      </c>
    </row>
    <row r="4898" spans="1:1">
      <c r="A4898" s="151" t="s">
        <v>6874</v>
      </c>
    </row>
    <row r="4899" spans="1:1">
      <c r="A4899" s="151" t="s">
        <v>6875</v>
      </c>
    </row>
    <row r="4900" spans="1:1">
      <c r="A4900" s="151" t="s">
        <v>6876</v>
      </c>
    </row>
    <row r="4901" spans="1:1">
      <c r="A4901" s="151" t="s">
        <v>6877</v>
      </c>
    </row>
    <row r="4902" spans="1:1">
      <c r="A4902" s="151" t="s">
        <v>6878</v>
      </c>
    </row>
    <row r="4903" spans="1:1">
      <c r="A4903" s="151" t="s">
        <v>6879</v>
      </c>
    </row>
    <row r="4904" spans="1:1">
      <c r="A4904" s="151" t="s">
        <v>6880</v>
      </c>
    </row>
    <row r="4905" spans="1:1">
      <c r="A4905" s="151" t="s">
        <v>6881</v>
      </c>
    </row>
    <row r="4906" spans="1:1">
      <c r="A4906" s="151" t="s">
        <v>6882</v>
      </c>
    </row>
    <row r="4907" spans="1:1">
      <c r="A4907" s="151" t="s">
        <v>6883</v>
      </c>
    </row>
    <row r="4908" spans="1:1">
      <c r="A4908" s="151" t="s">
        <v>6884</v>
      </c>
    </row>
    <row r="4909" spans="1:1">
      <c r="A4909" s="151" t="s">
        <v>6885</v>
      </c>
    </row>
    <row r="4910" spans="1:1">
      <c r="A4910" s="151" t="s">
        <v>6886</v>
      </c>
    </row>
    <row r="4911" spans="1:1">
      <c r="A4911" s="151" t="s">
        <v>6887</v>
      </c>
    </row>
    <row r="4912" spans="1:1">
      <c r="A4912" s="151" t="s">
        <v>6888</v>
      </c>
    </row>
    <row r="4913" spans="1:1">
      <c r="A4913" s="151" t="s">
        <v>6889</v>
      </c>
    </row>
    <row r="4914" spans="1:1">
      <c r="A4914" s="151" t="s">
        <v>6890</v>
      </c>
    </row>
    <row r="4915" spans="1:1">
      <c r="A4915" s="151" t="s">
        <v>6891</v>
      </c>
    </row>
    <row r="4916" spans="1:1">
      <c r="A4916" s="151" t="s">
        <v>6892</v>
      </c>
    </row>
    <row r="4917" spans="1:1">
      <c r="A4917" s="151" t="s">
        <v>6893</v>
      </c>
    </row>
    <row r="4918" spans="1:1">
      <c r="A4918" s="151" t="s">
        <v>6894</v>
      </c>
    </row>
    <row r="4919" spans="1:1">
      <c r="A4919" s="151" t="s">
        <v>6895</v>
      </c>
    </row>
    <row r="4920" spans="1:1">
      <c r="A4920" s="151" t="s">
        <v>6896</v>
      </c>
    </row>
    <row r="4921" spans="1:1">
      <c r="A4921" s="151" t="s">
        <v>6897</v>
      </c>
    </row>
    <row r="4922" spans="1:1">
      <c r="A4922" s="151" t="s">
        <v>6898</v>
      </c>
    </row>
    <row r="4923" spans="1:1">
      <c r="A4923" s="151" t="s">
        <v>6899</v>
      </c>
    </row>
    <row r="4924" spans="1:1">
      <c r="A4924" s="151" t="s">
        <v>6900</v>
      </c>
    </row>
    <row r="4925" spans="1:1">
      <c r="A4925" s="151" t="s">
        <v>6901</v>
      </c>
    </row>
    <row r="4926" spans="1:1">
      <c r="A4926" s="151" t="s">
        <v>6902</v>
      </c>
    </row>
    <row r="4927" spans="1:1">
      <c r="A4927" s="151" t="s">
        <v>6903</v>
      </c>
    </row>
    <row r="4928" spans="1:1">
      <c r="A4928" s="151" t="s">
        <v>6904</v>
      </c>
    </row>
    <row r="4929" spans="1:1">
      <c r="A4929" s="151" t="s">
        <v>6905</v>
      </c>
    </row>
    <row r="4930" spans="1:1">
      <c r="A4930" s="151" t="s">
        <v>6906</v>
      </c>
    </row>
    <row r="4931" spans="1:1">
      <c r="A4931" s="151" t="s">
        <v>6907</v>
      </c>
    </row>
    <row r="4932" spans="1:1">
      <c r="A4932" s="151" t="s">
        <v>6908</v>
      </c>
    </row>
    <row r="4933" spans="1:1">
      <c r="A4933" s="151" t="s">
        <v>6909</v>
      </c>
    </row>
    <row r="4934" spans="1:1">
      <c r="A4934" s="151" t="s">
        <v>6910</v>
      </c>
    </row>
    <row r="4935" spans="1:1">
      <c r="A4935" s="151" t="s">
        <v>6911</v>
      </c>
    </row>
    <row r="4936" spans="1:1">
      <c r="A4936" s="151" t="s">
        <v>6912</v>
      </c>
    </row>
    <row r="4937" spans="1:1">
      <c r="A4937" s="151" t="s">
        <v>6913</v>
      </c>
    </row>
    <row r="4938" spans="1:1">
      <c r="A4938" s="151" t="s">
        <v>6914</v>
      </c>
    </row>
    <row r="4939" spans="1:1">
      <c r="A4939" s="151" t="s">
        <v>6915</v>
      </c>
    </row>
    <row r="4940" spans="1:1">
      <c r="A4940" s="151" t="s">
        <v>6916</v>
      </c>
    </row>
    <row r="4941" spans="1:1">
      <c r="A4941" s="151" t="s">
        <v>6917</v>
      </c>
    </row>
    <row r="4942" spans="1:1">
      <c r="A4942" s="151" t="s">
        <v>6918</v>
      </c>
    </row>
    <row r="4943" spans="1:1">
      <c r="A4943" s="151" t="s">
        <v>6919</v>
      </c>
    </row>
    <row r="4944" spans="1:1">
      <c r="A4944" s="151" t="s">
        <v>6920</v>
      </c>
    </row>
    <row r="4945" spans="1:1">
      <c r="A4945" s="151" t="s">
        <v>6921</v>
      </c>
    </row>
    <row r="4946" spans="1:1">
      <c r="A4946" s="151" t="s">
        <v>6922</v>
      </c>
    </row>
    <row r="4947" spans="1:1">
      <c r="A4947" s="151" t="s">
        <v>6923</v>
      </c>
    </row>
    <row r="4948" spans="1:1">
      <c r="A4948" s="151" t="s">
        <v>6924</v>
      </c>
    </row>
    <row r="4949" spans="1:1">
      <c r="A4949" s="151" t="s">
        <v>6925</v>
      </c>
    </row>
    <row r="4950" spans="1:1">
      <c r="A4950" s="151" t="s">
        <v>6926</v>
      </c>
    </row>
    <row r="4951" spans="1:1">
      <c r="A4951" s="151" t="s">
        <v>6927</v>
      </c>
    </row>
    <row r="4952" spans="1:1">
      <c r="A4952" s="151" t="s">
        <v>6928</v>
      </c>
    </row>
    <row r="4953" spans="1:1">
      <c r="A4953" s="151" t="s">
        <v>6929</v>
      </c>
    </row>
    <row r="4954" spans="1:1">
      <c r="A4954" s="151" t="s">
        <v>6930</v>
      </c>
    </row>
    <row r="4955" spans="1:1">
      <c r="A4955" s="151" t="s">
        <v>6931</v>
      </c>
    </row>
    <row r="4956" spans="1:1">
      <c r="A4956" s="151" t="s">
        <v>6932</v>
      </c>
    </row>
    <row r="4957" spans="1:1">
      <c r="A4957" s="151" t="s">
        <v>6933</v>
      </c>
    </row>
    <row r="4958" spans="1:1">
      <c r="A4958" s="151" t="s">
        <v>6934</v>
      </c>
    </row>
    <row r="4959" spans="1:1">
      <c r="A4959" s="151" t="s">
        <v>6935</v>
      </c>
    </row>
    <row r="4960" spans="1:1">
      <c r="A4960" s="151" t="s">
        <v>6936</v>
      </c>
    </row>
    <row r="4961" spans="1:1">
      <c r="A4961" s="151" t="s">
        <v>6937</v>
      </c>
    </row>
    <row r="4962" spans="1:1">
      <c r="A4962" s="151" t="s">
        <v>6938</v>
      </c>
    </row>
    <row r="4963" spans="1:1">
      <c r="A4963" s="151" t="s">
        <v>6939</v>
      </c>
    </row>
    <row r="4964" spans="1:1">
      <c r="A4964" s="151" t="s">
        <v>6940</v>
      </c>
    </row>
    <row r="4965" spans="1:1">
      <c r="A4965" s="151" t="s">
        <v>6941</v>
      </c>
    </row>
    <row r="4966" spans="1:1">
      <c r="A4966" s="151" t="s">
        <v>6942</v>
      </c>
    </row>
    <row r="4967" spans="1:1">
      <c r="A4967" s="151" t="s">
        <v>6943</v>
      </c>
    </row>
    <row r="4968" spans="1:1">
      <c r="A4968" s="151" t="s">
        <v>6944</v>
      </c>
    </row>
    <row r="4969" spans="1:1">
      <c r="A4969" s="151" t="s">
        <v>6945</v>
      </c>
    </row>
    <row r="4970" spans="1:1">
      <c r="A4970" s="151" t="s">
        <v>6946</v>
      </c>
    </row>
    <row r="4971" spans="1:1">
      <c r="A4971" s="151" t="s">
        <v>6947</v>
      </c>
    </row>
    <row r="4972" spans="1:1">
      <c r="A4972" s="151" t="s">
        <v>6948</v>
      </c>
    </row>
    <row r="4973" spans="1:1">
      <c r="A4973" s="151" t="s">
        <v>6949</v>
      </c>
    </row>
    <row r="4974" spans="1:1">
      <c r="A4974" s="151" t="s">
        <v>6950</v>
      </c>
    </row>
    <row r="4975" spans="1:1">
      <c r="A4975" s="151" t="s">
        <v>6951</v>
      </c>
    </row>
    <row r="4976" spans="1:1">
      <c r="A4976" s="151" t="s">
        <v>6952</v>
      </c>
    </row>
    <row r="4977" spans="1:1">
      <c r="A4977" s="151" t="s">
        <v>6953</v>
      </c>
    </row>
    <row r="4978" spans="1:1">
      <c r="A4978" s="151" t="s">
        <v>6954</v>
      </c>
    </row>
    <row r="4979" spans="1:1">
      <c r="A4979" s="151" t="s">
        <v>6955</v>
      </c>
    </row>
    <row r="4980" spans="1:1">
      <c r="A4980" s="151" t="s">
        <v>6956</v>
      </c>
    </row>
    <row r="4981" spans="1:1">
      <c r="A4981" s="151" t="s">
        <v>6957</v>
      </c>
    </row>
    <row r="4982" spans="1:1">
      <c r="A4982" s="151" t="s">
        <v>6958</v>
      </c>
    </row>
    <row r="4983" spans="1:1">
      <c r="A4983" s="151" t="s">
        <v>6959</v>
      </c>
    </row>
    <row r="4984" spans="1:1">
      <c r="A4984" s="151" t="s">
        <v>6960</v>
      </c>
    </row>
    <row r="4985" spans="1:1">
      <c r="A4985" s="151" t="s">
        <v>6961</v>
      </c>
    </row>
    <row r="4986" spans="1:1">
      <c r="A4986" s="151" t="s">
        <v>6962</v>
      </c>
    </row>
    <row r="4987" spans="1:1">
      <c r="A4987" s="151" t="s">
        <v>6963</v>
      </c>
    </row>
    <row r="4988" spans="1:1">
      <c r="A4988" s="151" t="s">
        <v>6964</v>
      </c>
    </row>
    <row r="4989" spans="1:1">
      <c r="A4989" s="151" t="s">
        <v>6965</v>
      </c>
    </row>
    <row r="4990" spans="1:1">
      <c r="A4990" s="151" t="s">
        <v>6966</v>
      </c>
    </row>
    <row r="4991" spans="1:1">
      <c r="A4991" s="151" t="s">
        <v>6967</v>
      </c>
    </row>
    <row r="4992" spans="1:1">
      <c r="A4992" s="151" t="s">
        <v>6968</v>
      </c>
    </row>
    <row r="4993" spans="1:1">
      <c r="A4993" s="151" t="s">
        <v>6969</v>
      </c>
    </row>
    <row r="4994" spans="1:1">
      <c r="A4994" s="151" t="s">
        <v>6970</v>
      </c>
    </row>
    <row r="4995" spans="1:1">
      <c r="A4995" s="151" t="s">
        <v>6971</v>
      </c>
    </row>
    <row r="4996" spans="1:1">
      <c r="A4996" s="151" t="s">
        <v>6972</v>
      </c>
    </row>
    <row r="4997" spans="1:1">
      <c r="A4997" s="151" t="s">
        <v>6973</v>
      </c>
    </row>
    <row r="4998" spans="1:1">
      <c r="A4998" s="151" t="s">
        <v>6974</v>
      </c>
    </row>
    <row r="4999" spans="1:1">
      <c r="A4999" s="151" t="s">
        <v>6975</v>
      </c>
    </row>
    <row r="5000" spans="1:1">
      <c r="A5000" s="151" t="s">
        <v>6976</v>
      </c>
    </row>
    <row r="5001" spans="1:1">
      <c r="A5001" s="151" t="s">
        <v>6977</v>
      </c>
    </row>
    <row r="5002" spans="1:1">
      <c r="A5002" s="151" t="s">
        <v>6978</v>
      </c>
    </row>
    <row r="5003" spans="1:1">
      <c r="A5003" s="151" t="s">
        <v>6979</v>
      </c>
    </row>
    <row r="5004" spans="1:1">
      <c r="A5004" s="151" t="s">
        <v>6980</v>
      </c>
    </row>
    <row r="5005" spans="1:1">
      <c r="A5005" s="151" t="s">
        <v>6981</v>
      </c>
    </row>
    <row r="5006" spans="1:1">
      <c r="A5006" s="151" t="s">
        <v>6982</v>
      </c>
    </row>
    <row r="5007" spans="1:1">
      <c r="A5007" s="151" t="s">
        <v>6983</v>
      </c>
    </row>
    <row r="5008" spans="1:1">
      <c r="A5008" s="151" t="s">
        <v>6984</v>
      </c>
    </row>
    <row r="5009" spans="1:1">
      <c r="A5009" s="151" t="s">
        <v>6985</v>
      </c>
    </row>
    <row r="5010" spans="1:1">
      <c r="A5010" s="151" t="s">
        <v>6986</v>
      </c>
    </row>
    <row r="5011" spans="1:1">
      <c r="A5011" s="151" t="s">
        <v>6987</v>
      </c>
    </row>
    <row r="5012" spans="1:1">
      <c r="A5012" s="151" t="s">
        <v>6988</v>
      </c>
    </row>
    <row r="5013" spans="1:1">
      <c r="A5013" s="151" t="s">
        <v>6989</v>
      </c>
    </row>
    <row r="5014" spans="1:1">
      <c r="A5014" s="151" t="s">
        <v>6990</v>
      </c>
    </row>
    <row r="5015" spans="1:1">
      <c r="A5015" s="151" t="s">
        <v>6991</v>
      </c>
    </row>
    <row r="5016" spans="1:1">
      <c r="A5016" s="151" t="s">
        <v>6992</v>
      </c>
    </row>
    <row r="5017" spans="1:1">
      <c r="A5017" s="151" t="s">
        <v>6993</v>
      </c>
    </row>
    <row r="5018" spans="1:1">
      <c r="A5018" s="151" t="s">
        <v>6994</v>
      </c>
    </row>
    <row r="5019" spans="1:1">
      <c r="A5019" s="151" t="s">
        <v>6995</v>
      </c>
    </row>
    <row r="5020" spans="1:1">
      <c r="A5020" s="151" t="s">
        <v>6996</v>
      </c>
    </row>
    <row r="5021" spans="1:1">
      <c r="A5021" s="151" t="s">
        <v>6997</v>
      </c>
    </row>
    <row r="5022" spans="1:1">
      <c r="A5022" s="151" t="s">
        <v>6998</v>
      </c>
    </row>
    <row r="5023" spans="1:1">
      <c r="A5023" s="151" t="s">
        <v>6999</v>
      </c>
    </row>
    <row r="5024" spans="1:1">
      <c r="A5024" s="151" t="s">
        <v>7000</v>
      </c>
    </row>
    <row r="5025" spans="1:1">
      <c r="A5025" s="151" t="s">
        <v>7001</v>
      </c>
    </row>
    <row r="5026" spans="1:1">
      <c r="A5026" s="151" t="s">
        <v>7002</v>
      </c>
    </row>
    <row r="5027" spans="1:1">
      <c r="A5027" s="151" t="s">
        <v>7003</v>
      </c>
    </row>
    <row r="5028" spans="1:1">
      <c r="A5028" s="151" t="s">
        <v>7004</v>
      </c>
    </row>
    <row r="5029" spans="1:1">
      <c r="A5029" s="151" t="s">
        <v>7005</v>
      </c>
    </row>
    <row r="5030" spans="1:1">
      <c r="A5030" s="151" t="s">
        <v>7006</v>
      </c>
    </row>
    <row r="5031" spans="1:1">
      <c r="A5031" s="151" t="s">
        <v>7007</v>
      </c>
    </row>
    <row r="5032" spans="1:1">
      <c r="A5032" s="151" t="s">
        <v>7008</v>
      </c>
    </row>
    <row r="5033" spans="1:1">
      <c r="A5033" s="151" t="s">
        <v>7009</v>
      </c>
    </row>
    <row r="5034" spans="1:1">
      <c r="A5034" s="151" t="s">
        <v>7010</v>
      </c>
    </row>
    <row r="5035" spans="1:1">
      <c r="A5035" s="151" t="s">
        <v>7011</v>
      </c>
    </row>
    <row r="5036" spans="1:1">
      <c r="A5036" s="151" t="s">
        <v>7012</v>
      </c>
    </row>
    <row r="5037" spans="1:1">
      <c r="A5037" s="151" t="s">
        <v>7013</v>
      </c>
    </row>
    <row r="5038" spans="1:1">
      <c r="A5038" s="151" t="s">
        <v>7014</v>
      </c>
    </row>
    <row r="5039" spans="1:1">
      <c r="A5039" s="151" t="s">
        <v>7015</v>
      </c>
    </row>
    <row r="5040" spans="1:1">
      <c r="A5040" s="151" t="s">
        <v>7016</v>
      </c>
    </row>
    <row r="5041" spans="1:1">
      <c r="A5041" s="151" t="s">
        <v>7017</v>
      </c>
    </row>
    <row r="5042" spans="1:1">
      <c r="A5042" s="151" t="s">
        <v>7018</v>
      </c>
    </row>
    <row r="5043" spans="1:1">
      <c r="A5043" s="151" t="s">
        <v>7019</v>
      </c>
    </row>
    <row r="5044" spans="1:1">
      <c r="A5044" s="151" t="s">
        <v>7020</v>
      </c>
    </row>
    <row r="5045" spans="1:1">
      <c r="A5045" s="151" t="s">
        <v>7021</v>
      </c>
    </row>
    <row r="5046" spans="1:1">
      <c r="A5046" s="151" t="s">
        <v>7022</v>
      </c>
    </row>
    <row r="5047" spans="1:1">
      <c r="A5047" s="151" t="s">
        <v>7023</v>
      </c>
    </row>
    <row r="5048" spans="1:1">
      <c r="A5048" s="151" t="s">
        <v>7024</v>
      </c>
    </row>
    <row r="5049" spans="1:1">
      <c r="A5049" s="151" t="s">
        <v>7025</v>
      </c>
    </row>
    <row r="5050" spans="1:1">
      <c r="A5050" s="151" t="s">
        <v>7026</v>
      </c>
    </row>
    <row r="5051" spans="1:1">
      <c r="A5051" s="151" t="s">
        <v>7027</v>
      </c>
    </row>
    <row r="5052" spans="1:1">
      <c r="A5052" s="151" t="s">
        <v>7028</v>
      </c>
    </row>
    <row r="5053" spans="1:1">
      <c r="A5053" s="151" t="s">
        <v>7029</v>
      </c>
    </row>
    <row r="5054" spans="1:1">
      <c r="A5054" s="151" t="s">
        <v>7030</v>
      </c>
    </row>
    <row r="5055" spans="1:1">
      <c r="A5055" s="151" t="s">
        <v>7031</v>
      </c>
    </row>
    <row r="5056" spans="1:1">
      <c r="A5056" s="151" t="s">
        <v>7032</v>
      </c>
    </row>
    <row r="5057" spans="1:1">
      <c r="A5057" s="151" t="s">
        <v>7033</v>
      </c>
    </row>
    <row r="5058" spans="1:1">
      <c r="A5058" s="151" t="s">
        <v>7034</v>
      </c>
    </row>
    <row r="5059" spans="1:1">
      <c r="A5059" s="151" t="s">
        <v>7035</v>
      </c>
    </row>
    <row r="5060" spans="1:1">
      <c r="A5060" s="151" t="s">
        <v>7036</v>
      </c>
    </row>
    <row r="5061" spans="1:1">
      <c r="A5061" s="151" t="s">
        <v>7037</v>
      </c>
    </row>
    <row r="5062" spans="1:1">
      <c r="A5062" s="151" t="s">
        <v>7038</v>
      </c>
    </row>
    <row r="5063" spans="1:1">
      <c r="A5063" s="151" t="s">
        <v>7039</v>
      </c>
    </row>
    <row r="5064" spans="1:1">
      <c r="A5064" s="151" t="s">
        <v>7040</v>
      </c>
    </row>
    <row r="5065" spans="1:1">
      <c r="A5065" s="151" t="s">
        <v>7041</v>
      </c>
    </row>
    <row r="5066" spans="1:1">
      <c r="A5066" s="151" t="s">
        <v>7042</v>
      </c>
    </row>
    <row r="5067" spans="1:1">
      <c r="A5067" s="151" t="s">
        <v>7043</v>
      </c>
    </row>
    <row r="5068" spans="1:1">
      <c r="A5068" s="151" t="s">
        <v>7044</v>
      </c>
    </row>
    <row r="5069" spans="1:1">
      <c r="A5069" s="151" t="s">
        <v>7045</v>
      </c>
    </row>
    <row r="5070" spans="1:1">
      <c r="A5070" s="151" t="s">
        <v>7046</v>
      </c>
    </row>
    <row r="5071" spans="1:1">
      <c r="A5071" s="151" t="s">
        <v>7047</v>
      </c>
    </row>
    <row r="5072" spans="1:1">
      <c r="A5072" s="151" t="s">
        <v>7048</v>
      </c>
    </row>
    <row r="5073" spans="1:1">
      <c r="A5073" s="151" t="s">
        <v>7049</v>
      </c>
    </row>
    <row r="5074" spans="1:1">
      <c r="A5074" s="151" t="s">
        <v>7050</v>
      </c>
    </row>
    <row r="5075" spans="1:1">
      <c r="A5075" s="151" t="s">
        <v>7051</v>
      </c>
    </row>
    <row r="5076" spans="1:1">
      <c r="A5076" s="151" t="s">
        <v>7052</v>
      </c>
    </row>
    <row r="5077" spans="1:1">
      <c r="A5077" s="151" t="s">
        <v>7053</v>
      </c>
    </row>
    <row r="5078" spans="1:1">
      <c r="A5078" s="151" t="s">
        <v>7054</v>
      </c>
    </row>
    <row r="5079" spans="1:1">
      <c r="A5079" s="151" t="s">
        <v>7055</v>
      </c>
    </row>
    <row r="5080" spans="1:1">
      <c r="A5080" s="151" t="s">
        <v>7056</v>
      </c>
    </row>
    <row r="5081" spans="1:1">
      <c r="A5081" s="151" t="s">
        <v>7057</v>
      </c>
    </row>
    <row r="5082" spans="1:1">
      <c r="A5082" s="151" t="s">
        <v>7058</v>
      </c>
    </row>
    <row r="5083" spans="1:1">
      <c r="A5083" s="151" t="s">
        <v>7059</v>
      </c>
    </row>
    <row r="5084" spans="1:1">
      <c r="A5084" s="151" t="s">
        <v>7060</v>
      </c>
    </row>
    <row r="5085" spans="1:1">
      <c r="A5085" s="151" t="s">
        <v>7061</v>
      </c>
    </row>
    <row r="5086" spans="1:1">
      <c r="A5086" s="151" t="s">
        <v>7062</v>
      </c>
    </row>
    <row r="5087" spans="1:1">
      <c r="A5087" s="151" t="s">
        <v>7063</v>
      </c>
    </row>
    <row r="5088" spans="1:1">
      <c r="A5088" s="151" t="s">
        <v>7064</v>
      </c>
    </row>
    <row r="5089" spans="1:1">
      <c r="A5089" s="151" t="s">
        <v>7065</v>
      </c>
    </row>
    <row r="5090" spans="1:1">
      <c r="A5090" s="151" t="s">
        <v>7066</v>
      </c>
    </row>
    <row r="5091" spans="1:1">
      <c r="A5091" s="151" t="s">
        <v>7067</v>
      </c>
    </row>
    <row r="5092" spans="1:1">
      <c r="A5092" s="151" t="s">
        <v>7068</v>
      </c>
    </row>
    <row r="5093" spans="1:1">
      <c r="A5093" s="151" t="s">
        <v>7069</v>
      </c>
    </row>
    <row r="5094" spans="1:1">
      <c r="A5094" s="151" t="s">
        <v>7070</v>
      </c>
    </row>
    <row r="5095" spans="1:1">
      <c r="A5095" s="151" t="s">
        <v>7071</v>
      </c>
    </row>
    <row r="5096" spans="1:1">
      <c r="A5096" s="151" t="s">
        <v>7072</v>
      </c>
    </row>
    <row r="5097" spans="1:1">
      <c r="A5097" s="151" t="s">
        <v>7073</v>
      </c>
    </row>
    <row r="5098" spans="1:1">
      <c r="A5098" s="151" t="s">
        <v>7074</v>
      </c>
    </row>
    <row r="5099" spans="1:1">
      <c r="A5099" s="151" t="s">
        <v>7075</v>
      </c>
    </row>
    <row r="5100" spans="1:1">
      <c r="A5100" s="151" t="s">
        <v>7076</v>
      </c>
    </row>
    <row r="5101" spans="1:1">
      <c r="A5101" s="151" t="s">
        <v>7077</v>
      </c>
    </row>
    <row r="5102" spans="1:1">
      <c r="A5102" s="151" t="s">
        <v>7078</v>
      </c>
    </row>
    <row r="5103" spans="1:1">
      <c r="A5103" s="151" t="s">
        <v>7079</v>
      </c>
    </row>
    <row r="5104" spans="1:1">
      <c r="A5104" s="151" t="s">
        <v>7080</v>
      </c>
    </row>
    <row r="5105" spans="1:1">
      <c r="A5105" s="151" t="s">
        <v>7081</v>
      </c>
    </row>
    <row r="5106" spans="1:1">
      <c r="A5106" s="151" t="s">
        <v>7082</v>
      </c>
    </row>
    <row r="5107" spans="1:1">
      <c r="A5107" s="151" t="s">
        <v>7083</v>
      </c>
    </row>
    <row r="5108" spans="1:1">
      <c r="A5108" s="151" t="s">
        <v>7084</v>
      </c>
    </row>
    <row r="5109" spans="1:1">
      <c r="A5109" s="151" t="s">
        <v>7085</v>
      </c>
    </row>
    <row r="5110" spans="1:1">
      <c r="A5110" s="151" t="s">
        <v>7086</v>
      </c>
    </row>
    <row r="5111" spans="1:1">
      <c r="A5111" s="151" t="s">
        <v>7087</v>
      </c>
    </row>
    <row r="5112" spans="1:1">
      <c r="A5112" s="151" t="s">
        <v>7088</v>
      </c>
    </row>
    <row r="5113" spans="1:1">
      <c r="A5113" s="151" t="s">
        <v>7089</v>
      </c>
    </row>
    <row r="5114" spans="1:1">
      <c r="A5114" s="151" t="s">
        <v>7090</v>
      </c>
    </row>
    <row r="5115" spans="1:1">
      <c r="A5115" s="151" t="s">
        <v>7091</v>
      </c>
    </row>
    <row r="5116" spans="1:1">
      <c r="A5116" s="151" t="s">
        <v>7092</v>
      </c>
    </row>
    <row r="5117" spans="1:1">
      <c r="A5117" s="151" t="s">
        <v>7093</v>
      </c>
    </row>
    <row r="5118" spans="1:1">
      <c r="A5118" s="151" t="s">
        <v>7094</v>
      </c>
    </row>
    <row r="5119" spans="1:1">
      <c r="A5119" s="151" t="s">
        <v>7095</v>
      </c>
    </row>
    <row r="5120" spans="1:1">
      <c r="A5120" s="151" t="s">
        <v>7096</v>
      </c>
    </row>
    <row r="5121" spans="1:1">
      <c r="A5121" s="151" t="s">
        <v>7097</v>
      </c>
    </row>
    <row r="5122" spans="1:1">
      <c r="A5122" s="151" t="s">
        <v>7098</v>
      </c>
    </row>
    <row r="5123" spans="1:1">
      <c r="A5123" s="151" t="s">
        <v>7099</v>
      </c>
    </row>
    <row r="5124" spans="1:1">
      <c r="A5124" s="151" t="s">
        <v>7100</v>
      </c>
    </row>
    <row r="5125" spans="1:1">
      <c r="A5125" s="151" t="s">
        <v>7101</v>
      </c>
    </row>
    <row r="5126" spans="1:1">
      <c r="A5126" s="151" t="s">
        <v>7102</v>
      </c>
    </row>
    <row r="5127" spans="1:1">
      <c r="A5127" s="151" t="s">
        <v>7103</v>
      </c>
    </row>
    <row r="5128" spans="1:1">
      <c r="A5128" s="151" t="s">
        <v>7104</v>
      </c>
    </row>
    <row r="5129" spans="1:1">
      <c r="A5129" s="151" t="s">
        <v>7105</v>
      </c>
    </row>
    <row r="5130" spans="1:1">
      <c r="A5130" s="151" t="s">
        <v>7106</v>
      </c>
    </row>
    <row r="5131" spans="1:1">
      <c r="A5131" s="151" t="s">
        <v>7107</v>
      </c>
    </row>
    <row r="5132" spans="1:1">
      <c r="A5132" s="151" t="s">
        <v>7108</v>
      </c>
    </row>
    <row r="5133" spans="1:1">
      <c r="A5133" s="151" t="s">
        <v>7109</v>
      </c>
    </row>
    <row r="5134" spans="1:1">
      <c r="A5134" s="151" t="s">
        <v>7110</v>
      </c>
    </row>
    <row r="5135" spans="1:1">
      <c r="A5135" s="151" t="s">
        <v>7111</v>
      </c>
    </row>
    <row r="5136" spans="1:1">
      <c r="A5136" s="151" t="s">
        <v>7112</v>
      </c>
    </row>
    <row r="5137" spans="1:1">
      <c r="A5137" s="151" t="s">
        <v>7113</v>
      </c>
    </row>
    <row r="5138" spans="1:1">
      <c r="A5138" s="151" t="s">
        <v>7114</v>
      </c>
    </row>
    <row r="5139" spans="1:1">
      <c r="A5139" s="151" t="s">
        <v>7115</v>
      </c>
    </row>
    <row r="5140" spans="1:1">
      <c r="A5140" s="151" t="s">
        <v>7116</v>
      </c>
    </row>
    <row r="5141" spans="1:1">
      <c r="A5141" s="151" t="s">
        <v>7117</v>
      </c>
    </row>
    <row r="5142" spans="1:1">
      <c r="A5142" s="151" t="s">
        <v>7118</v>
      </c>
    </row>
    <row r="5143" spans="1:1">
      <c r="A5143" s="151" t="s">
        <v>7119</v>
      </c>
    </row>
    <row r="5144" spans="1:1">
      <c r="A5144" s="151" t="s">
        <v>7120</v>
      </c>
    </row>
    <row r="5145" spans="1:1">
      <c r="A5145" s="151" t="s">
        <v>7121</v>
      </c>
    </row>
    <row r="5146" spans="1:1">
      <c r="A5146" s="151" t="s">
        <v>7122</v>
      </c>
    </row>
    <row r="5147" spans="1:1">
      <c r="A5147" s="151" t="s">
        <v>7123</v>
      </c>
    </row>
    <row r="5148" spans="1:1">
      <c r="A5148" s="151" t="s">
        <v>7124</v>
      </c>
    </row>
    <row r="5149" spans="1:1">
      <c r="A5149" s="151" t="s">
        <v>7125</v>
      </c>
    </row>
    <row r="5150" spans="1:1">
      <c r="A5150" s="151" t="s">
        <v>7126</v>
      </c>
    </row>
    <row r="5151" spans="1:1">
      <c r="A5151" s="151" t="s">
        <v>7127</v>
      </c>
    </row>
    <row r="5152" spans="1:1">
      <c r="A5152" s="151" t="s">
        <v>7128</v>
      </c>
    </row>
    <row r="5153" spans="1:1">
      <c r="A5153" s="151" t="s">
        <v>7129</v>
      </c>
    </row>
    <row r="5154" spans="1:1">
      <c r="A5154" s="151" t="s">
        <v>7130</v>
      </c>
    </row>
    <row r="5155" spans="1:1">
      <c r="A5155" s="151" t="s">
        <v>7131</v>
      </c>
    </row>
    <row r="5156" spans="1:1">
      <c r="A5156" s="151" t="s">
        <v>7132</v>
      </c>
    </row>
    <row r="5157" spans="1:1">
      <c r="A5157" s="151" t="s">
        <v>7133</v>
      </c>
    </row>
    <row r="5158" spans="1:1">
      <c r="A5158" s="151" t="s">
        <v>7134</v>
      </c>
    </row>
    <row r="5159" spans="1:1">
      <c r="A5159" s="151" t="s">
        <v>7135</v>
      </c>
    </row>
    <row r="5160" spans="1:1">
      <c r="A5160" s="151" t="s">
        <v>7136</v>
      </c>
    </row>
    <row r="5161" spans="1:1">
      <c r="A5161" s="151" t="s">
        <v>7137</v>
      </c>
    </row>
    <row r="5162" spans="1:1">
      <c r="A5162" s="151" t="s">
        <v>7138</v>
      </c>
    </row>
    <row r="5163" spans="1:1">
      <c r="A5163" s="151" t="s">
        <v>7139</v>
      </c>
    </row>
    <row r="5164" spans="1:1">
      <c r="A5164" s="151" t="s">
        <v>7140</v>
      </c>
    </row>
    <row r="5165" spans="1:1">
      <c r="A5165" s="151" t="s">
        <v>7141</v>
      </c>
    </row>
    <row r="5166" spans="1:1">
      <c r="A5166" s="151" t="s">
        <v>7142</v>
      </c>
    </row>
    <row r="5167" spans="1:1">
      <c r="A5167" s="151" t="s">
        <v>7143</v>
      </c>
    </row>
    <row r="5168" spans="1:1">
      <c r="A5168" s="151" t="s">
        <v>7144</v>
      </c>
    </row>
    <row r="5169" spans="1:1">
      <c r="A5169" s="151" t="s">
        <v>7145</v>
      </c>
    </row>
    <row r="5170" spans="1:1">
      <c r="A5170" s="151" t="s">
        <v>7146</v>
      </c>
    </row>
    <row r="5171" spans="1:1">
      <c r="A5171" s="151" t="s">
        <v>7147</v>
      </c>
    </row>
    <row r="5172" spans="1:1">
      <c r="A5172" s="151" t="s">
        <v>7148</v>
      </c>
    </row>
    <row r="5173" spans="1:1">
      <c r="A5173" s="151" t="s">
        <v>7149</v>
      </c>
    </row>
    <row r="5174" spans="1:1">
      <c r="A5174" s="151" t="s">
        <v>7150</v>
      </c>
    </row>
    <row r="5175" spans="1:1">
      <c r="A5175" s="151" t="s">
        <v>7151</v>
      </c>
    </row>
    <row r="5176" spans="1:1">
      <c r="A5176" s="151" t="s">
        <v>7152</v>
      </c>
    </row>
    <row r="5177" spans="1:1">
      <c r="A5177" s="151" t="s">
        <v>7153</v>
      </c>
    </row>
    <row r="5178" spans="1:1">
      <c r="A5178" s="151" t="s">
        <v>7154</v>
      </c>
    </row>
    <row r="5179" spans="1:1">
      <c r="A5179" s="151" t="s">
        <v>7155</v>
      </c>
    </row>
    <row r="5180" spans="1:1">
      <c r="A5180" s="151" t="s">
        <v>7156</v>
      </c>
    </row>
    <row r="5181" spans="1:1">
      <c r="A5181" s="151" t="s">
        <v>7157</v>
      </c>
    </row>
    <row r="5182" spans="1:1">
      <c r="A5182" s="151" t="s">
        <v>7158</v>
      </c>
    </row>
    <row r="5183" spans="1:1">
      <c r="A5183" s="151" t="s">
        <v>7159</v>
      </c>
    </row>
    <row r="5184" spans="1:1">
      <c r="A5184" s="151" t="s">
        <v>7160</v>
      </c>
    </row>
    <row r="5185" spans="1:1">
      <c r="A5185" s="151" t="s">
        <v>7161</v>
      </c>
    </row>
    <row r="5186" spans="1:1">
      <c r="A5186" s="151" t="s">
        <v>7162</v>
      </c>
    </row>
    <row r="5187" spans="1:1">
      <c r="A5187" s="151" t="s">
        <v>7163</v>
      </c>
    </row>
    <row r="5188" spans="1:1">
      <c r="A5188" s="151" t="s">
        <v>7164</v>
      </c>
    </row>
    <row r="5189" spans="1:1">
      <c r="A5189" s="151" t="s">
        <v>7165</v>
      </c>
    </row>
    <row r="5190" spans="1:1">
      <c r="A5190" s="151" t="s">
        <v>7166</v>
      </c>
    </row>
    <row r="5191" spans="1:1">
      <c r="A5191" s="151" t="s">
        <v>7167</v>
      </c>
    </row>
    <row r="5192" spans="1:1">
      <c r="A5192" s="151" t="s">
        <v>7168</v>
      </c>
    </row>
    <row r="5193" spans="1:1">
      <c r="A5193" s="151" t="s">
        <v>7169</v>
      </c>
    </row>
    <row r="5194" spans="1:1">
      <c r="A5194" s="151" t="s">
        <v>7170</v>
      </c>
    </row>
    <row r="5195" spans="1:1">
      <c r="A5195" s="151" t="s">
        <v>7171</v>
      </c>
    </row>
    <row r="5196" spans="1:1">
      <c r="A5196" s="151" t="s">
        <v>7172</v>
      </c>
    </row>
    <row r="5197" spans="1:1">
      <c r="A5197" s="151" t="s">
        <v>7173</v>
      </c>
    </row>
    <row r="5198" spans="1:1">
      <c r="A5198" s="151" t="s">
        <v>7174</v>
      </c>
    </row>
    <row r="5199" spans="1:1">
      <c r="A5199" s="151" t="s">
        <v>7175</v>
      </c>
    </row>
    <row r="5200" spans="1:1">
      <c r="A5200" s="151" t="s">
        <v>7176</v>
      </c>
    </row>
    <row r="5201" spans="1:1">
      <c r="A5201" s="151" t="s">
        <v>7177</v>
      </c>
    </row>
    <row r="5202" spans="1:1">
      <c r="A5202" s="151" t="s">
        <v>7178</v>
      </c>
    </row>
    <row r="5203" spans="1:1">
      <c r="A5203" s="151" t="s">
        <v>7179</v>
      </c>
    </row>
    <row r="5204" spans="1:1">
      <c r="A5204" s="151" t="s">
        <v>7180</v>
      </c>
    </row>
    <row r="5205" spans="1:1">
      <c r="A5205" s="151" t="s">
        <v>7181</v>
      </c>
    </row>
    <row r="5206" spans="1:1">
      <c r="A5206" s="151" t="s">
        <v>7182</v>
      </c>
    </row>
    <row r="5207" spans="1:1">
      <c r="A5207" s="151" t="s">
        <v>7183</v>
      </c>
    </row>
    <row r="5208" spans="1:1">
      <c r="A5208" s="151" t="s">
        <v>7184</v>
      </c>
    </row>
    <row r="5209" spans="1:1">
      <c r="A5209" s="151" t="s">
        <v>7185</v>
      </c>
    </row>
    <row r="5210" spans="1:1">
      <c r="A5210" s="151" t="s">
        <v>7186</v>
      </c>
    </row>
    <row r="5211" spans="1:1">
      <c r="A5211" s="151" t="s">
        <v>7187</v>
      </c>
    </row>
    <row r="5212" spans="1:1">
      <c r="A5212" s="151" t="s">
        <v>7188</v>
      </c>
    </row>
    <row r="5213" spans="1:1">
      <c r="A5213" s="151" t="s">
        <v>7189</v>
      </c>
    </row>
    <row r="5214" spans="1:1">
      <c r="A5214" s="151" t="s">
        <v>7190</v>
      </c>
    </row>
    <row r="5215" spans="1:1">
      <c r="A5215" s="151" t="s">
        <v>7191</v>
      </c>
    </row>
    <row r="5216" spans="1:1">
      <c r="A5216" s="151" t="s">
        <v>7192</v>
      </c>
    </row>
    <row r="5217" spans="1:1">
      <c r="A5217" s="151" t="s">
        <v>7193</v>
      </c>
    </row>
    <row r="5218" spans="1:1">
      <c r="A5218" s="151" t="s">
        <v>7194</v>
      </c>
    </row>
    <row r="5219" spans="1:1">
      <c r="A5219" s="151" t="s">
        <v>7195</v>
      </c>
    </row>
    <row r="5220" spans="1:1">
      <c r="A5220" s="151" t="s">
        <v>7196</v>
      </c>
    </row>
    <row r="5221" spans="1:1">
      <c r="A5221" s="151" t="s">
        <v>7197</v>
      </c>
    </row>
    <row r="5222" spans="1:1">
      <c r="A5222" s="151" t="s">
        <v>7198</v>
      </c>
    </row>
    <row r="5223" spans="1:1">
      <c r="A5223" s="151" t="s">
        <v>7199</v>
      </c>
    </row>
    <row r="5224" spans="1:1">
      <c r="A5224" s="151" t="s">
        <v>7200</v>
      </c>
    </row>
    <row r="5225" spans="1:1">
      <c r="A5225" s="151" t="s">
        <v>7201</v>
      </c>
    </row>
    <row r="5226" spans="1:1">
      <c r="A5226" s="151" t="s">
        <v>7202</v>
      </c>
    </row>
    <row r="5227" spans="1:1">
      <c r="A5227" s="151" t="s">
        <v>7203</v>
      </c>
    </row>
    <row r="5228" spans="1:1">
      <c r="A5228" s="151" t="s">
        <v>7204</v>
      </c>
    </row>
    <row r="5229" spans="1:1">
      <c r="A5229" s="151" t="s">
        <v>7205</v>
      </c>
    </row>
    <row r="5230" spans="1:1">
      <c r="A5230" s="151" t="s">
        <v>7206</v>
      </c>
    </row>
    <row r="5231" spans="1:1">
      <c r="A5231" s="151" t="s">
        <v>7207</v>
      </c>
    </row>
    <row r="5232" spans="1:1">
      <c r="A5232" s="151" t="s">
        <v>7208</v>
      </c>
    </row>
    <row r="5233" spans="1:1">
      <c r="A5233" s="151" t="s">
        <v>7209</v>
      </c>
    </row>
    <row r="5234" spans="1:1">
      <c r="A5234" s="151" t="s">
        <v>7210</v>
      </c>
    </row>
    <row r="5235" spans="1:1">
      <c r="A5235" s="151" t="s">
        <v>7211</v>
      </c>
    </row>
    <row r="5236" spans="1:1">
      <c r="A5236" s="151" t="s">
        <v>7212</v>
      </c>
    </row>
    <row r="5237" spans="1:1">
      <c r="A5237" s="151" t="s">
        <v>7213</v>
      </c>
    </row>
    <row r="5238" spans="1:1">
      <c r="A5238" s="151" t="s">
        <v>7214</v>
      </c>
    </row>
    <row r="5239" spans="1:1">
      <c r="A5239" s="151" t="s">
        <v>7215</v>
      </c>
    </row>
    <row r="5240" spans="1:1">
      <c r="A5240" s="151" t="s">
        <v>7216</v>
      </c>
    </row>
    <row r="5241" spans="1:1">
      <c r="A5241" s="151" t="s">
        <v>7217</v>
      </c>
    </row>
    <row r="5242" spans="1:1">
      <c r="A5242" s="151" t="s">
        <v>7218</v>
      </c>
    </row>
    <row r="5243" spans="1:1">
      <c r="A5243" s="151" t="s">
        <v>7219</v>
      </c>
    </row>
    <row r="5244" spans="1:1">
      <c r="A5244" s="151" t="s">
        <v>7220</v>
      </c>
    </row>
    <row r="5245" spans="1:1">
      <c r="A5245" s="151" t="s">
        <v>7221</v>
      </c>
    </row>
    <row r="5246" spans="1:1">
      <c r="A5246" s="151" t="s">
        <v>7222</v>
      </c>
    </row>
    <row r="5247" spans="1:1">
      <c r="A5247" s="151" t="s">
        <v>7223</v>
      </c>
    </row>
    <row r="5248" spans="1:1">
      <c r="A5248" s="151" t="s">
        <v>7224</v>
      </c>
    </row>
    <row r="5249" spans="1:1">
      <c r="A5249" s="151" t="s">
        <v>7225</v>
      </c>
    </row>
    <row r="5250" spans="1:1">
      <c r="A5250" s="151" t="s">
        <v>7226</v>
      </c>
    </row>
    <row r="5251" spans="1:1">
      <c r="A5251" s="151" t="s">
        <v>7227</v>
      </c>
    </row>
    <row r="5252" spans="1:1">
      <c r="A5252" s="151" t="s">
        <v>7228</v>
      </c>
    </row>
    <row r="5253" spans="1:1">
      <c r="A5253" s="151" t="s">
        <v>7229</v>
      </c>
    </row>
    <row r="5254" spans="1:1">
      <c r="A5254" s="151" t="s">
        <v>7230</v>
      </c>
    </row>
    <row r="5255" spans="1:1">
      <c r="A5255" s="151" t="s">
        <v>7231</v>
      </c>
    </row>
    <row r="5256" spans="1:1">
      <c r="A5256" s="151" t="s">
        <v>7232</v>
      </c>
    </row>
    <row r="5257" spans="1:1">
      <c r="A5257" s="151" t="s">
        <v>7233</v>
      </c>
    </row>
    <row r="5258" spans="1:1">
      <c r="A5258" s="151" t="s">
        <v>7234</v>
      </c>
    </row>
    <row r="5259" spans="1:1">
      <c r="A5259" s="151" t="s">
        <v>7235</v>
      </c>
    </row>
    <row r="5260" spans="1:1">
      <c r="A5260" s="151" t="s">
        <v>7236</v>
      </c>
    </row>
    <row r="5261" spans="1:1">
      <c r="A5261" s="151" t="s">
        <v>7237</v>
      </c>
    </row>
    <row r="5262" spans="1:1">
      <c r="A5262" s="151" t="s">
        <v>7238</v>
      </c>
    </row>
    <row r="5263" spans="1:1">
      <c r="A5263" s="151" t="s">
        <v>7239</v>
      </c>
    </row>
    <row r="5264" spans="1:1">
      <c r="A5264" s="151" t="s">
        <v>7240</v>
      </c>
    </row>
    <row r="5265" spans="1:1">
      <c r="A5265" s="151" t="s">
        <v>7241</v>
      </c>
    </row>
    <row r="5266" spans="1:1">
      <c r="A5266" s="151" t="s">
        <v>7242</v>
      </c>
    </row>
    <row r="5267" spans="1:1">
      <c r="A5267" s="151" t="s">
        <v>7243</v>
      </c>
    </row>
    <row r="5268" spans="1:1">
      <c r="A5268" s="151" t="s">
        <v>7244</v>
      </c>
    </row>
    <row r="5269" spans="1:1">
      <c r="A5269" s="151" t="s">
        <v>7245</v>
      </c>
    </row>
    <row r="5270" spans="1:1">
      <c r="A5270" s="151" t="s">
        <v>7246</v>
      </c>
    </row>
    <row r="5271" spans="1:1">
      <c r="A5271" s="151" t="s">
        <v>7247</v>
      </c>
    </row>
    <row r="5272" spans="1:1">
      <c r="A5272" s="151" t="s">
        <v>7248</v>
      </c>
    </row>
    <row r="5273" spans="1:1">
      <c r="A5273" s="151" t="s">
        <v>7249</v>
      </c>
    </row>
    <row r="5274" spans="1:1">
      <c r="A5274" s="151" t="s">
        <v>7250</v>
      </c>
    </row>
    <row r="5275" spans="1:1">
      <c r="A5275" s="151" t="s">
        <v>7251</v>
      </c>
    </row>
    <row r="5276" spans="1:1">
      <c r="A5276" s="151" t="s">
        <v>7252</v>
      </c>
    </row>
    <row r="5277" spans="1:1">
      <c r="A5277" s="151" t="s">
        <v>7253</v>
      </c>
    </row>
    <row r="5278" spans="1:1">
      <c r="A5278" s="151" t="s">
        <v>7254</v>
      </c>
    </row>
    <row r="5279" spans="1:1">
      <c r="A5279" s="151" t="s">
        <v>7255</v>
      </c>
    </row>
    <row r="5280" spans="1:1">
      <c r="A5280" s="151" t="s">
        <v>7256</v>
      </c>
    </row>
    <row r="5281" spans="1:1">
      <c r="A5281" s="151" t="s">
        <v>7257</v>
      </c>
    </row>
    <row r="5282" spans="1:1">
      <c r="A5282" s="151" t="s">
        <v>7258</v>
      </c>
    </row>
    <row r="5283" spans="1:1">
      <c r="A5283" s="151" t="s">
        <v>7259</v>
      </c>
    </row>
    <row r="5284" spans="1:1">
      <c r="A5284" s="151" t="s">
        <v>7260</v>
      </c>
    </row>
    <row r="5285" spans="1:1">
      <c r="A5285" s="151" t="s">
        <v>7261</v>
      </c>
    </row>
    <row r="5286" spans="1:1">
      <c r="A5286" s="151" t="s">
        <v>7262</v>
      </c>
    </row>
    <row r="5287" spans="1:1">
      <c r="A5287" s="151" t="s">
        <v>7263</v>
      </c>
    </row>
    <row r="5288" spans="1:1">
      <c r="A5288" s="151" t="s">
        <v>7264</v>
      </c>
    </row>
    <row r="5289" spans="1:1">
      <c r="A5289" s="151" t="s">
        <v>7265</v>
      </c>
    </row>
    <row r="5290" spans="1:1">
      <c r="A5290" s="151" t="s">
        <v>7266</v>
      </c>
    </row>
    <row r="5291" spans="1:1">
      <c r="A5291" s="151" t="s">
        <v>7267</v>
      </c>
    </row>
    <row r="5292" spans="1:1">
      <c r="A5292" s="151" t="s">
        <v>7268</v>
      </c>
    </row>
    <row r="5293" spans="1:1">
      <c r="A5293" s="151" t="s">
        <v>7269</v>
      </c>
    </row>
    <row r="5294" spans="1:1">
      <c r="A5294" s="151" t="s">
        <v>7270</v>
      </c>
    </row>
    <row r="5295" spans="1:1">
      <c r="A5295" s="151" t="s">
        <v>7271</v>
      </c>
    </row>
    <row r="5296" spans="1:1">
      <c r="A5296" s="151" t="s">
        <v>7272</v>
      </c>
    </row>
    <row r="5297" spans="1:1">
      <c r="A5297" s="151" t="s">
        <v>7273</v>
      </c>
    </row>
    <row r="5298" spans="1:1">
      <c r="A5298" s="151" t="s">
        <v>7274</v>
      </c>
    </row>
    <row r="5299" spans="1:1">
      <c r="A5299" s="151" t="s">
        <v>7275</v>
      </c>
    </row>
    <row r="5300" spans="1:1">
      <c r="A5300" s="151" t="s">
        <v>7276</v>
      </c>
    </row>
    <row r="5301" spans="1:1">
      <c r="A5301" s="151" t="s">
        <v>7277</v>
      </c>
    </row>
    <row r="5302" spans="1:1">
      <c r="A5302" s="151" t="s">
        <v>7278</v>
      </c>
    </row>
    <row r="5303" spans="1:1">
      <c r="A5303" s="151" t="s">
        <v>7279</v>
      </c>
    </row>
    <row r="5304" spans="1:1">
      <c r="A5304" s="151" t="s">
        <v>7280</v>
      </c>
    </row>
    <row r="5305" spans="1:1">
      <c r="A5305" s="151" t="s">
        <v>7281</v>
      </c>
    </row>
    <row r="5306" spans="1:1">
      <c r="A5306" s="151" t="s">
        <v>7282</v>
      </c>
    </row>
    <row r="5307" spans="1:1">
      <c r="A5307" s="151" t="s">
        <v>7283</v>
      </c>
    </row>
    <row r="5308" spans="1:1">
      <c r="A5308" s="151" t="s">
        <v>7284</v>
      </c>
    </row>
    <row r="5309" spans="1:1">
      <c r="A5309" s="151" t="s">
        <v>7285</v>
      </c>
    </row>
    <row r="5310" spans="1:1">
      <c r="A5310" s="151" t="s">
        <v>7286</v>
      </c>
    </row>
    <row r="5311" spans="1:1">
      <c r="A5311" s="151" t="s">
        <v>7287</v>
      </c>
    </row>
    <row r="5312" spans="1:1">
      <c r="A5312" s="151" t="s">
        <v>7288</v>
      </c>
    </row>
    <row r="5313" spans="1:1">
      <c r="A5313" s="151" t="s">
        <v>7289</v>
      </c>
    </row>
    <row r="5314" spans="1:1">
      <c r="A5314" s="151" t="s">
        <v>7290</v>
      </c>
    </row>
    <row r="5315" spans="1:1">
      <c r="A5315" s="151" t="s">
        <v>7291</v>
      </c>
    </row>
    <row r="5316" spans="1:1">
      <c r="A5316" s="151" t="s">
        <v>7292</v>
      </c>
    </row>
    <row r="5317" spans="1:1">
      <c r="A5317" s="151" t="s">
        <v>7293</v>
      </c>
    </row>
    <row r="5318" spans="1:1">
      <c r="A5318" s="151" t="s">
        <v>7294</v>
      </c>
    </row>
    <row r="5319" spans="1:1">
      <c r="A5319" s="151" t="s">
        <v>7295</v>
      </c>
    </row>
    <row r="5320" spans="1:1">
      <c r="A5320" s="151" t="s">
        <v>7296</v>
      </c>
    </row>
    <row r="5321" spans="1:1">
      <c r="A5321" s="151" t="s">
        <v>7297</v>
      </c>
    </row>
    <row r="5322" spans="1:1">
      <c r="A5322" s="151" t="s">
        <v>7298</v>
      </c>
    </row>
    <row r="5323" spans="1:1">
      <c r="A5323" s="151" t="s">
        <v>7299</v>
      </c>
    </row>
    <row r="5324" spans="1:1">
      <c r="A5324" s="151" t="s">
        <v>7300</v>
      </c>
    </row>
    <row r="5325" spans="1:1">
      <c r="A5325" s="151" t="s">
        <v>7301</v>
      </c>
    </row>
    <row r="5326" spans="1:1">
      <c r="A5326" s="151" t="s">
        <v>7302</v>
      </c>
    </row>
    <row r="5327" spans="1:1">
      <c r="A5327" s="151" t="s">
        <v>7303</v>
      </c>
    </row>
    <row r="5328" spans="1:1">
      <c r="A5328" s="151" t="s">
        <v>7304</v>
      </c>
    </row>
    <row r="5329" spans="1:1">
      <c r="A5329" s="151" t="s">
        <v>7305</v>
      </c>
    </row>
    <row r="5330" spans="1:1">
      <c r="A5330" s="151" t="s">
        <v>7306</v>
      </c>
    </row>
    <row r="5331" spans="1:1">
      <c r="A5331" s="151" t="s">
        <v>7307</v>
      </c>
    </row>
    <row r="5332" spans="1:1">
      <c r="A5332" s="151" t="s">
        <v>7308</v>
      </c>
    </row>
    <row r="5333" spans="1:1">
      <c r="A5333" s="151" t="s">
        <v>7309</v>
      </c>
    </row>
    <row r="5334" spans="1:1">
      <c r="A5334" s="151" t="s">
        <v>7310</v>
      </c>
    </row>
    <row r="5335" spans="1:1">
      <c r="A5335" s="151" t="s">
        <v>7311</v>
      </c>
    </row>
    <row r="5336" spans="1:1">
      <c r="A5336" s="151" t="s">
        <v>7312</v>
      </c>
    </row>
    <row r="5337" spans="1:1">
      <c r="A5337" s="151" t="s">
        <v>7313</v>
      </c>
    </row>
    <row r="5338" spans="1:1">
      <c r="A5338" s="151" t="s">
        <v>7314</v>
      </c>
    </row>
    <row r="5339" spans="1:1">
      <c r="A5339" s="151" t="s">
        <v>7315</v>
      </c>
    </row>
    <row r="5340" spans="1:1">
      <c r="A5340" s="151" t="s">
        <v>7316</v>
      </c>
    </row>
    <row r="5341" spans="1:1">
      <c r="A5341" s="151" t="s">
        <v>7317</v>
      </c>
    </row>
    <row r="5342" spans="1:1">
      <c r="A5342" s="151" t="s">
        <v>7318</v>
      </c>
    </row>
    <row r="5343" spans="1:1">
      <c r="A5343" s="151" t="s">
        <v>7319</v>
      </c>
    </row>
    <row r="5344" spans="1:1">
      <c r="A5344" s="151" t="s">
        <v>7320</v>
      </c>
    </row>
    <row r="5345" spans="1:1">
      <c r="A5345" s="151" t="s">
        <v>7321</v>
      </c>
    </row>
    <row r="5346" spans="1:1">
      <c r="A5346" s="151" t="s">
        <v>7322</v>
      </c>
    </row>
    <row r="5347" spans="1:1">
      <c r="A5347" s="151" t="s">
        <v>7323</v>
      </c>
    </row>
    <row r="5348" spans="1:1">
      <c r="A5348" s="151" t="s">
        <v>7324</v>
      </c>
    </row>
    <row r="5349" spans="1:1">
      <c r="A5349" s="151" t="s">
        <v>7325</v>
      </c>
    </row>
    <row r="5350" spans="1:1">
      <c r="A5350" s="151" t="s">
        <v>7326</v>
      </c>
    </row>
    <row r="5351" spans="1:1">
      <c r="A5351" s="151" t="s">
        <v>7327</v>
      </c>
    </row>
    <row r="5352" spans="1:1">
      <c r="A5352" s="151" t="s">
        <v>7328</v>
      </c>
    </row>
    <row r="5353" spans="1:1">
      <c r="A5353" s="151" t="s">
        <v>7329</v>
      </c>
    </row>
    <row r="5354" spans="1:1">
      <c r="A5354" s="151" t="s">
        <v>7330</v>
      </c>
    </row>
    <row r="5355" spans="1:1">
      <c r="A5355" s="151" t="s">
        <v>7331</v>
      </c>
    </row>
    <row r="5356" spans="1:1">
      <c r="A5356" s="151" t="s">
        <v>7332</v>
      </c>
    </row>
    <row r="5357" spans="1:1">
      <c r="A5357" s="151" t="s">
        <v>7333</v>
      </c>
    </row>
    <row r="5358" spans="1:1">
      <c r="A5358" s="151" t="s">
        <v>7334</v>
      </c>
    </row>
    <row r="5359" spans="1:1">
      <c r="A5359" s="151" t="s">
        <v>7335</v>
      </c>
    </row>
    <row r="5360" spans="1:1">
      <c r="A5360" s="151" t="s">
        <v>7336</v>
      </c>
    </row>
    <row r="5361" spans="1:1">
      <c r="A5361" s="151" t="s">
        <v>7337</v>
      </c>
    </row>
    <row r="5362" spans="1:1">
      <c r="A5362" s="151" t="s">
        <v>7338</v>
      </c>
    </row>
    <row r="5363" spans="1:1">
      <c r="A5363" s="151" t="s">
        <v>7339</v>
      </c>
    </row>
    <row r="5364" spans="1:1">
      <c r="A5364" s="151" t="s">
        <v>7340</v>
      </c>
    </row>
    <row r="5365" spans="1:1">
      <c r="A5365" s="151" t="s">
        <v>7341</v>
      </c>
    </row>
    <row r="5366" spans="1:1">
      <c r="A5366" s="151" t="s">
        <v>7342</v>
      </c>
    </row>
    <row r="5367" spans="1:1">
      <c r="A5367" s="151" t="s">
        <v>7343</v>
      </c>
    </row>
    <row r="5368" spans="1:1">
      <c r="A5368" s="151" t="s">
        <v>7344</v>
      </c>
    </row>
    <row r="5369" spans="1:1">
      <c r="A5369" s="151" t="s">
        <v>7345</v>
      </c>
    </row>
    <row r="5370" spans="1:1">
      <c r="A5370" s="151" t="s">
        <v>7346</v>
      </c>
    </row>
    <row r="5371" spans="1:1">
      <c r="A5371" s="151" t="s">
        <v>7347</v>
      </c>
    </row>
    <row r="5372" spans="1:1">
      <c r="A5372" s="151" t="s">
        <v>7348</v>
      </c>
    </row>
    <row r="5373" spans="1:1">
      <c r="A5373" s="151" t="s">
        <v>7349</v>
      </c>
    </row>
    <row r="5374" spans="1:1">
      <c r="A5374" s="151" t="s">
        <v>7350</v>
      </c>
    </row>
    <row r="5375" spans="1:1">
      <c r="A5375" s="151" t="s">
        <v>7351</v>
      </c>
    </row>
    <row r="5376" spans="1:1">
      <c r="A5376" s="151" t="s">
        <v>7352</v>
      </c>
    </row>
    <row r="5377" spans="1:1">
      <c r="A5377" s="151" t="s">
        <v>7353</v>
      </c>
    </row>
    <row r="5378" spans="1:1">
      <c r="A5378" s="151" t="s">
        <v>7354</v>
      </c>
    </row>
    <row r="5379" spans="1:1">
      <c r="A5379" s="151" t="s">
        <v>7355</v>
      </c>
    </row>
    <row r="5380" spans="1:1">
      <c r="A5380" s="151" t="s">
        <v>7356</v>
      </c>
    </row>
    <row r="5381" spans="1:1">
      <c r="A5381" s="151" t="s">
        <v>7357</v>
      </c>
    </row>
    <row r="5382" spans="1:1">
      <c r="A5382" s="151" t="s">
        <v>7358</v>
      </c>
    </row>
    <row r="5383" spans="1:1">
      <c r="A5383" s="151" t="s">
        <v>7359</v>
      </c>
    </row>
    <row r="5384" spans="1:1">
      <c r="A5384" s="151" t="s">
        <v>7360</v>
      </c>
    </row>
    <row r="5385" spans="1:1">
      <c r="A5385" s="151" t="s">
        <v>7361</v>
      </c>
    </row>
    <row r="5386" spans="1:1">
      <c r="A5386" s="151" t="s">
        <v>7362</v>
      </c>
    </row>
    <row r="5387" spans="1:1">
      <c r="A5387" s="151" t="s">
        <v>7363</v>
      </c>
    </row>
    <row r="5388" spans="1:1">
      <c r="A5388" s="151" t="s">
        <v>7364</v>
      </c>
    </row>
    <row r="5389" spans="1:1">
      <c r="A5389" s="151" t="s">
        <v>7365</v>
      </c>
    </row>
    <row r="5390" spans="1:1">
      <c r="A5390" s="151" t="s">
        <v>7366</v>
      </c>
    </row>
    <row r="5391" spans="1:1">
      <c r="A5391" s="151" t="s">
        <v>7367</v>
      </c>
    </row>
    <row r="5392" spans="1:1">
      <c r="A5392" s="151" t="s">
        <v>7368</v>
      </c>
    </row>
    <row r="5393" spans="1:1">
      <c r="A5393" s="151" t="s">
        <v>7369</v>
      </c>
    </row>
    <row r="5394" spans="1:1">
      <c r="A5394" s="151" t="s">
        <v>7370</v>
      </c>
    </row>
    <row r="5395" spans="1:1">
      <c r="A5395" s="151" t="s">
        <v>7371</v>
      </c>
    </row>
    <row r="5396" spans="1:1">
      <c r="A5396" s="151" t="s">
        <v>7372</v>
      </c>
    </row>
    <row r="5397" spans="1:1">
      <c r="A5397" s="151" t="s">
        <v>7373</v>
      </c>
    </row>
    <row r="5398" spans="1:1">
      <c r="A5398" s="151" t="s">
        <v>7374</v>
      </c>
    </row>
    <row r="5399" spans="1:1">
      <c r="A5399" s="151" t="s">
        <v>7375</v>
      </c>
    </row>
    <row r="5400" spans="1:1">
      <c r="A5400" s="151" t="s">
        <v>7376</v>
      </c>
    </row>
    <row r="5401" spans="1:1">
      <c r="A5401" s="151" t="s">
        <v>7377</v>
      </c>
    </row>
    <row r="5402" spans="1:1">
      <c r="A5402" s="151" t="s">
        <v>7378</v>
      </c>
    </row>
    <row r="5403" spans="1:1">
      <c r="A5403" s="151" t="s">
        <v>7379</v>
      </c>
    </row>
    <row r="5404" spans="1:1">
      <c r="A5404" s="151" t="s">
        <v>7380</v>
      </c>
    </row>
    <row r="5405" spans="1:1">
      <c r="A5405" s="151" t="s">
        <v>7381</v>
      </c>
    </row>
    <row r="5406" spans="1:1">
      <c r="A5406" s="151" t="s">
        <v>7382</v>
      </c>
    </row>
    <row r="5407" spans="1:1">
      <c r="A5407" s="151" t="s">
        <v>7383</v>
      </c>
    </row>
    <row r="5408" spans="1:1">
      <c r="A5408" s="151" t="s">
        <v>7384</v>
      </c>
    </row>
    <row r="5409" spans="1:1">
      <c r="A5409" s="151" t="s">
        <v>7385</v>
      </c>
    </row>
    <row r="5410" spans="1:1">
      <c r="A5410" s="151" t="s">
        <v>7386</v>
      </c>
    </row>
    <row r="5411" spans="1:1">
      <c r="A5411" s="151" t="s">
        <v>7387</v>
      </c>
    </row>
    <row r="5412" spans="1:1">
      <c r="A5412" s="151" t="s">
        <v>7388</v>
      </c>
    </row>
    <row r="5413" spans="1:1">
      <c r="A5413" s="151" t="s">
        <v>7389</v>
      </c>
    </row>
    <row r="5414" spans="1:1">
      <c r="A5414" s="151" t="s">
        <v>7390</v>
      </c>
    </row>
    <row r="5415" spans="1:1">
      <c r="A5415" s="151" t="s">
        <v>7391</v>
      </c>
    </row>
    <row r="5416" spans="1:1">
      <c r="A5416" s="151" t="s">
        <v>7392</v>
      </c>
    </row>
    <row r="5417" spans="1:1">
      <c r="A5417" s="151" t="s">
        <v>7393</v>
      </c>
    </row>
    <row r="5418" spans="1:1">
      <c r="A5418" s="151" t="s">
        <v>7394</v>
      </c>
    </row>
    <row r="5419" spans="1:1">
      <c r="A5419" s="151" t="s">
        <v>7395</v>
      </c>
    </row>
    <row r="5420" spans="1:1">
      <c r="A5420" s="151" t="s">
        <v>7396</v>
      </c>
    </row>
    <row r="5421" spans="1:1">
      <c r="A5421" s="151" t="s">
        <v>7397</v>
      </c>
    </row>
    <row r="5422" spans="1:1">
      <c r="A5422" s="151" t="s">
        <v>7398</v>
      </c>
    </row>
    <row r="5423" spans="1:1">
      <c r="A5423" s="151" t="s">
        <v>7399</v>
      </c>
    </row>
    <row r="5424" spans="1:1">
      <c r="A5424" s="151" t="s">
        <v>7400</v>
      </c>
    </row>
    <row r="5425" spans="1:1">
      <c r="A5425" s="151" t="s">
        <v>7401</v>
      </c>
    </row>
    <row r="5426" spans="1:1">
      <c r="A5426" s="151" t="s">
        <v>7402</v>
      </c>
    </row>
    <row r="5427" spans="1:1">
      <c r="A5427" s="151" t="s">
        <v>7403</v>
      </c>
    </row>
    <row r="5428" spans="1:1">
      <c r="A5428" s="151" t="s">
        <v>7404</v>
      </c>
    </row>
    <row r="5429" spans="1:1">
      <c r="A5429" s="151" t="s">
        <v>7405</v>
      </c>
    </row>
    <row r="5430" spans="1:1">
      <c r="A5430" s="151" t="s">
        <v>7406</v>
      </c>
    </row>
    <row r="5431" spans="1:1">
      <c r="A5431" s="151" t="s">
        <v>7407</v>
      </c>
    </row>
    <row r="5432" spans="1:1">
      <c r="A5432" s="151" t="s">
        <v>7408</v>
      </c>
    </row>
    <row r="5433" spans="1:1">
      <c r="A5433" s="151" t="s">
        <v>7409</v>
      </c>
    </row>
    <row r="5434" spans="1:1">
      <c r="A5434" s="151" t="s">
        <v>7410</v>
      </c>
    </row>
    <row r="5435" spans="1:1">
      <c r="A5435" s="151" t="s">
        <v>7411</v>
      </c>
    </row>
    <row r="5436" spans="1:1">
      <c r="A5436" s="151" t="s">
        <v>7412</v>
      </c>
    </row>
    <row r="5437" spans="1:1">
      <c r="A5437" s="151" t="s">
        <v>7413</v>
      </c>
    </row>
    <row r="5438" spans="1:1">
      <c r="A5438" s="151" t="s">
        <v>7414</v>
      </c>
    </row>
    <row r="5439" spans="1:1">
      <c r="A5439" s="151" t="s">
        <v>7415</v>
      </c>
    </row>
    <row r="5440" spans="1:1">
      <c r="A5440" s="151" t="s">
        <v>7416</v>
      </c>
    </row>
    <row r="5441" spans="1:1">
      <c r="A5441" s="151" t="s">
        <v>7417</v>
      </c>
    </row>
    <row r="5442" spans="1:1">
      <c r="A5442" s="151" t="s">
        <v>7418</v>
      </c>
    </row>
    <row r="5443" spans="1:1">
      <c r="A5443" s="151" t="s">
        <v>7419</v>
      </c>
    </row>
    <row r="5444" spans="1:1">
      <c r="A5444" s="151" t="s">
        <v>7420</v>
      </c>
    </row>
    <row r="5445" spans="1:1">
      <c r="A5445" s="151" t="s">
        <v>7421</v>
      </c>
    </row>
    <row r="5446" spans="1:1">
      <c r="A5446" s="151" t="s">
        <v>7422</v>
      </c>
    </row>
    <row r="5447" spans="1:1">
      <c r="A5447" s="151" t="s">
        <v>7423</v>
      </c>
    </row>
    <row r="5448" spans="1:1">
      <c r="A5448" s="151" t="s">
        <v>7424</v>
      </c>
    </row>
    <row r="5449" spans="1:1">
      <c r="A5449" s="151" t="s">
        <v>7425</v>
      </c>
    </row>
    <row r="5450" spans="1:1">
      <c r="A5450" s="151" t="s">
        <v>7426</v>
      </c>
    </row>
    <row r="5451" spans="1:1">
      <c r="A5451" s="151" t="s">
        <v>7427</v>
      </c>
    </row>
    <row r="5452" spans="1:1">
      <c r="A5452" s="151" t="s">
        <v>7428</v>
      </c>
    </row>
    <row r="5453" spans="1:1">
      <c r="A5453" s="151" t="s">
        <v>7429</v>
      </c>
    </row>
    <row r="5454" spans="1:1">
      <c r="A5454" s="151" t="s">
        <v>7430</v>
      </c>
    </row>
    <row r="5455" spans="1:1">
      <c r="A5455" s="151" t="s">
        <v>7431</v>
      </c>
    </row>
    <row r="5456" spans="1:1">
      <c r="A5456" s="151" t="s">
        <v>7432</v>
      </c>
    </row>
    <row r="5457" spans="1:1">
      <c r="A5457" s="151" t="s">
        <v>7433</v>
      </c>
    </row>
    <row r="5458" spans="1:1">
      <c r="A5458" s="151" t="s">
        <v>7434</v>
      </c>
    </row>
    <row r="5459" spans="1:1">
      <c r="A5459" s="151" t="s">
        <v>7435</v>
      </c>
    </row>
    <row r="5460" spans="1:1">
      <c r="A5460" s="151" t="s">
        <v>7436</v>
      </c>
    </row>
    <row r="5461" spans="1:1">
      <c r="A5461" s="151" t="s">
        <v>7437</v>
      </c>
    </row>
    <row r="5462" spans="1:1">
      <c r="A5462" s="151" t="s">
        <v>7438</v>
      </c>
    </row>
    <row r="5463" spans="1:1">
      <c r="A5463" s="151" t="s">
        <v>7439</v>
      </c>
    </row>
    <row r="5464" spans="1:1">
      <c r="A5464" s="151" t="s">
        <v>7440</v>
      </c>
    </row>
    <row r="5465" spans="1:1">
      <c r="A5465" s="151" t="s">
        <v>7441</v>
      </c>
    </row>
    <row r="5466" spans="1:1">
      <c r="A5466" s="151" t="s">
        <v>7442</v>
      </c>
    </row>
    <row r="5467" spans="1:1">
      <c r="A5467" s="151" t="s">
        <v>7443</v>
      </c>
    </row>
    <row r="5468" spans="1:1">
      <c r="A5468" s="151" t="s">
        <v>7444</v>
      </c>
    </row>
    <row r="5469" spans="1:1">
      <c r="A5469" s="151" t="s">
        <v>7445</v>
      </c>
    </row>
    <row r="5470" spans="1:1">
      <c r="A5470" s="151" t="s">
        <v>7446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8"/>
  <sheetViews>
    <sheetView zoomScale="121" zoomScaleNormal="121" workbookViewId="0">
      <selection activeCell="C29" sqref="C29"/>
    </sheetView>
  </sheetViews>
  <sheetFormatPr baseColWidth="10" defaultRowHeight="12"/>
  <cols>
    <col min="1" max="1" width="17.85546875" style="198" bestFit="1" customWidth="1"/>
    <col min="2" max="2" width="15.85546875" style="198" bestFit="1" customWidth="1"/>
    <col min="3" max="13" width="11.42578125" style="198"/>
    <col min="14" max="16384" width="11.42578125" style="199"/>
  </cols>
  <sheetData>
    <row r="1" spans="1:13" ht="12.75">
      <c r="A1" s="197" t="s">
        <v>8146</v>
      </c>
      <c r="B1" s="197" t="s">
        <v>8147</v>
      </c>
    </row>
    <row r="2" spans="1:13" ht="12.75">
      <c r="A2" s="197" t="s">
        <v>8148</v>
      </c>
      <c r="B2" s="197" t="s">
        <v>8149</v>
      </c>
    </row>
    <row r="3" spans="1:13" ht="12.75">
      <c r="A3" s="197" t="s">
        <v>8150</v>
      </c>
      <c r="B3" s="197" t="s">
        <v>8151</v>
      </c>
    </row>
    <row r="4" spans="1:13" ht="12.75">
      <c r="A4" s="197" t="s">
        <v>8152</v>
      </c>
      <c r="B4" s="200">
        <v>41808</v>
      </c>
    </row>
    <row r="6" spans="1:13" ht="12.75">
      <c r="A6" s="366" t="s">
        <v>8153</v>
      </c>
      <c r="B6" s="201" t="s">
        <v>8154</v>
      </c>
      <c r="C6" s="365" t="s">
        <v>8155</v>
      </c>
      <c r="D6" s="365"/>
      <c r="E6" s="365"/>
      <c r="F6" s="365"/>
      <c r="G6" s="365"/>
      <c r="H6" s="202" t="s">
        <v>8156</v>
      </c>
    </row>
    <row r="7" spans="1:13" ht="12.75">
      <c r="A7" s="366"/>
      <c r="B7" s="201" t="s">
        <v>8157</v>
      </c>
      <c r="C7" s="365" t="s">
        <v>8158</v>
      </c>
      <c r="D7" s="365"/>
      <c r="E7" s="365"/>
      <c r="F7" s="365"/>
      <c r="G7" s="365"/>
      <c r="H7" s="202" t="s">
        <v>8156</v>
      </c>
    </row>
    <row r="8" spans="1:13" ht="12.75">
      <c r="A8" s="366"/>
      <c r="B8" s="201" t="s">
        <v>8159</v>
      </c>
      <c r="C8" s="365" t="s">
        <v>8160</v>
      </c>
      <c r="D8" s="365"/>
      <c r="E8" s="365"/>
      <c r="F8" s="365"/>
      <c r="G8" s="365"/>
      <c r="H8" s="202" t="s">
        <v>8156</v>
      </c>
    </row>
    <row r="9" spans="1:13" ht="12.75">
      <c r="A9" s="201" t="s">
        <v>8161</v>
      </c>
      <c r="B9" s="201" t="s">
        <v>8154</v>
      </c>
      <c r="C9" s="365" t="s">
        <v>8162</v>
      </c>
      <c r="D9" s="365"/>
      <c r="E9" s="365"/>
      <c r="F9" s="365"/>
      <c r="G9" s="365"/>
      <c r="H9" s="203" t="s">
        <v>247</v>
      </c>
    </row>
    <row r="10" spans="1:13" ht="12.75">
      <c r="A10" s="201" t="s">
        <v>8163</v>
      </c>
      <c r="B10" s="201" t="s">
        <v>8164</v>
      </c>
      <c r="C10" s="365" t="s">
        <v>8165</v>
      </c>
      <c r="D10" s="365"/>
      <c r="E10" s="365"/>
      <c r="F10" s="365"/>
      <c r="G10" s="365"/>
      <c r="H10" s="203" t="s">
        <v>8166</v>
      </c>
    </row>
    <row r="11" spans="1:13" ht="12.75">
      <c r="A11" s="201" t="s">
        <v>8167</v>
      </c>
      <c r="B11" s="201" t="s">
        <v>8168</v>
      </c>
      <c r="C11" s="365" t="s">
        <v>8169</v>
      </c>
      <c r="D11" s="365"/>
      <c r="E11" s="365"/>
      <c r="F11" s="365"/>
      <c r="G11" s="365"/>
      <c r="H11" s="203" t="s">
        <v>8170</v>
      </c>
    </row>
    <row r="12" spans="1:13" ht="12.75">
      <c r="A12" s="201" t="s">
        <v>8171</v>
      </c>
      <c r="B12" s="201" t="s">
        <v>8172</v>
      </c>
      <c r="C12" s="365" t="s">
        <v>8173</v>
      </c>
      <c r="D12" s="365"/>
      <c r="E12" s="365"/>
      <c r="F12" s="365"/>
      <c r="G12" s="365"/>
      <c r="H12" s="203" t="s">
        <v>8174</v>
      </c>
    </row>
    <row r="13" spans="1:13" ht="12.75">
      <c r="A13" s="201" t="s">
        <v>8175</v>
      </c>
      <c r="B13" s="201" t="s">
        <v>8176</v>
      </c>
      <c r="C13" s="365" t="s">
        <v>8177</v>
      </c>
      <c r="D13" s="365"/>
      <c r="E13" s="365"/>
      <c r="F13" s="365"/>
      <c r="G13" s="365"/>
      <c r="H13" s="203" t="s">
        <v>8174</v>
      </c>
    </row>
    <row r="14" spans="1:13" ht="12.75">
      <c r="A14" s="201" t="s">
        <v>8175</v>
      </c>
      <c r="B14" s="201" t="s">
        <v>7858</v>
      </c>
      <c r="C14" s="365" t="s">
        <v>8178</v>
      </c>
      <c r="D14" s="365"/>
      <c r="E14" s="365"/>
      <c r="F14" s="365"/>
      <c r="G14" s="365"/>
      <c r="H14" s="203" t="s">
        <v>8174</v>
      </c>
    </row>
    <row r="15" spans="1:13" ht="12.75">
      <c r="A15" s="201" t="s">
        <v>8179</v>
      </c>
      <c r="B15" s="201" t="s">
        <v>8180</v>
      </c>
      <c r="C15" s="365" t="s">
        <v>8181</v>
      </c>
      <c r="D15" s="365"/>
      <c r="E15" s="365"/>
      <c r="F15" s="365"/>
      <c r="G15" s="365"/>
      <c r="H15" s="203" t="s">
        <v>8174</v>
      </c>
    </row>
    <row r="16" spans="1:13" ht="12.75">
      <c r="A16" s="201" t="s">
        <v>8182</v>
      </c>
      <c r="B16" s="201" t="s">
        <v>8183</v>
      </c>
      <c r="C16" s="365" t="s">
        <v>8184</v>
      </c>
      <c r="D16" s="365"/>
      <c r="E16" s="365"/>
      <c r="F16" s="365"/>
      <c r="G16" s="365"/>
      <c r="H16" s="203" t="s">
        <v>8174</v>
      </c>
      <c r="I16" s="197"/>
      <c r="J16" s="197"/>
      <c r="K16" s="197"/>
      <c r="L16" s="197"/>
      <c r="M16" s="197"/>
    </row>
    <row r="17" spans="1:13" ht="12.75">
      <c r="A17" s="198" t="s">
        <v>8185</v>
      </c>
      <c r="B17" s="198" t="s">
        <v>8182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</row>
    <row r="19" spans="1:13">
      <c r="B19" s="367" t="s">
        <v>8153</v>
      </c>
      <c r="C19" s="367"/>
      <c r="D19" s="367"/>
      <c r="E19" s="198" t="s">
        <v>8161</v>
      </c>
      <c r="F19" s="198" t="s">
        <v>8163</v>
      </c>
      <c r="G19" s="198" t="s">
        <v>8167</v>
      </c>
      <c r="H19" s="198" t="s">
        <v>8171</v>
      </c>
      <c r="I19" s="198" t="s">
        <v>8175</v>
      </c>
      <c r="J19" s="198" t="s">
        <v>8175</v>
      </c>
      <c r="K19" s="198" t="s">
        <v>8179</v>
      </c>
      <c r="L19" s="198" t="s">
        <v>8182</v>
      </c>
      <c r="M19" s="198" t="s">
        <v>8185</v>
      </c>
    </row>
    <row r="20" spans="1:13">
      <c r="A20" s="198" t="s">
        <v>213</v>
      </c>
      <c r="B20" s="198" t="s">
        <v>8154</v>
      </c>
      <c r="C20" s="198" t="s">
        <v>8157</v>
      </c>
      <c r="D20" s="198" t="s">
        <v>8159</v>
      </c>
      <c r="E20" s="198" t="s">
        <v>8154</v>
      </c>
      <c r="F20" s="198" t="s">
        <v>8164</v>
      </c>
      <c r="G20" s="198" t="s">
        <v>8168</v>
      </c>
      <c r="H20" s="198" t="s">
        <v>8172</v>
      </c>
      <c r="I20" s="198" t="s">
        <v>8176</v>
      </c>
      <c r="J20" s="198" t="s">
        <v>7858</v>
      </c>
      <c r="K20" s="198" t="s">
        <v>8180</v>
      </c>
      <c r="L20" s="198" t="s">
        <v>8183</v>
      </c>
      <c r="M20" s="198" t="s">
        <v>8182</v>
      </c>
    </row>
    <row r="21" spans="1:13">
      <c r="A21" s="204">
        <v>41571</v>
      </c>
      <c r="B21" s="198">
        <v>23.3</v>
      </c>
      <c r="C21" s="198">
        <v>25.9</v>
      </c>
      <c r="D21" s="198">
        <v>20.6</v>
      </c>
      <c r="E21" s="198">
        <v>49</v>
      </c>
      <c r="F21" s="198">
        <v>20</v>
      </c>
      <c r="G21" s="198">
        <v>0</v>
      </c>
      <c r="H21" s="198">
        <v>10.3</v>
      </c>
      <c r="I21" s="198">
        <v>1.3</v>
      </c>
      <c r="J21" s="198">
        <v>1.3</v>
      </c>
      <c r="K21" s="198">
        <v>0</v>
      </c>
      <c r="L21" s="198">
        <v>9</v>
      </c>
      <c r="M21" s="198">
        <v>9</v>
      </c>
    </row>
    <row r="22" spans="1:13">
      <c r="A22" s="204">
        <v>41572</v>
      </c>
      <c r="B22" s="198">
        <v>22.1</v>
      </c>
      <c r="C22" s="198">
        <v>23.9</v>
      </c>
      <c r="D22" s="198">
        <v>20.3</v>
      </c>
      <c r="E22" s="198">
        <v>66</v>
      </c>
      <c r="F22" s="198">
        <v>34</v>
      </c>
      <c r="G22" s="198">
        <v>3.9</v>
      </c>
      <c r="H22" s="198">
        <v>3.2</v>
      </c>
      <c r="I22" s="198">
        <v>1.5</v>
      </c>
      <c r="J22" s="198">
        <v>1.5</v>
      </c>
      <c r="K22" s="198">
        <v>0</v>
      </c>
      <c r="L22" s="198">
        <v>1.7</v>
      </c>
      <c r="M22" s="198">
        <f t="shared" ref="M22:M85" si="0">M21+L22</f>
        <v>10.7</v>
      </c>
    </row>
    <row r="23" spans="1:13">
      <c r="A23" s="204">
        <v>41573</v>
      </c>
      <c r="B23" s="198">
        <v>20</v>
      </c>
      <c r="C23" s="198">
        <v>24.7</v>
      </c>
      <c r="D23" s="198">
        <v>15.3</v>
      </c>
      <c r="E23" s="198">
        <v>81</v>
      </c>
      <c r="F23" s="198">
        <v>129</v>
      </c>
      <c r="G23" s="198">
        <v>3.9</v>
      </c>
      <c r="H23" s="198">
        <v>0</v>
      </c>
      <c r="I23" s="198">
        <v>1.7</v>
      </c>
      <c r="J23" s="198">
        <v>1.7</v>
      </c>
      <c r="K23" s="198">
        <v>0</v>
      </c>
      <c r="L23" s="198">
        <v>-1.7</v>
      </c>
      <c r="M23" s="198">
        <f t="shared" si="0"/>
        <v>9</v>
      </c>
    </row>
    <row r="24" spans="1:13">
      <c r="A24" s="204">
        <v>41574</v>
      </c>
      <c r="B24" s="198">
        <v>17.7</v>
      </c>
      <c r="C24" s="198">
        <v>24.1</v>
      </c>
      <c r="D24" s="198">
        <v>11.3</v>
      </c>
      <c r="E24" s="198">
        <v>79</v>
      </c>
      <c r="F24" s="198">
        <v>140</v>
      </c>
      <c r="G24" s="198">
        <v>0.8</v>
      </c>
      <c r="H24" s="198">
        <v>0</v>
      </c>
      <c r="I24" s="198">
        <v>1.4</v>
      </c>
      <c r="J24" s="198">
        <v>1.4</v>
      </c>
      <c r="K24" s="198">
        <v>0</v>
      </c>
      <c r="L24" s="198">
        <v>-1.4</v>
      </c>
      <c r="M24" s="198">
        <f t="shared" si="0"/>
        <v>7.6</v>
      </c>
    </row>
    <row r="25" spans="1:13">
      <c r="A25" s="204">
        <v>41575</v>
      </c>
      <c r="B25" s="198">
        <v>15.6</v>
      </c>
      <c r="C25" s="198">
        <v>24.3</v>
      </c>
      <c r="D25" s="198">
        <v>6.9</v>
      </c>
      <c r="E25" s="198">
        <v>83</v>
      </c>
      <c r="F25" s="198">
        <v>137</v>
      </c>
      <c r="G25" s="198">
        <v>2.7</v>
      </c>
      <c r="H25" s="198">
        <v>4.5</v>
      </c>
      <c r="I25" s="198">
        <v>1.6</v>
      </c>
      <c r="J25" s="198">
        <v>1.6</v>
      </c>
      <c r="K25" s="198">
        <v>0</v>
      </c>
      <c r="L25" s="198">
        <v>2.9</v>
      </c>
      <c r="M25" s="198">
        <f t="shared" si="0"/>
        <v>10.5</v>
      </c>
    </row>
    <row r="26" spans="1:13">
      <c r="A26" s="204">
        <v>41576</v>
      </c>
      <c r="B26" s="198">
        <v>12.1</v>
      </c>
      <c r="C26" s="198">
        <v>15.8</v>
      </c>
      <c r="D26" s="198">
        <v>8.4</v>
      </c>
      <c r="E26" s="198">
        <v>87</v>
      </c>
      <c r="F26" s="198">
        <v>119</v>
      </c>
      <c r="G26" s="198">
        <v>1.5</v>
      </c>
      <c r="H26" s="198">
        <v>2.6</v>
      </c>
      <c r="I26" s="198">
        <v>1</v>
      </c>
      <c r="J26" s="198">
        <v>1</v>
      </c>
      <c r="K26" s="198">
        <v>0</v>
      </c>
      <c r="L26" s="198">
        <v>1.6</v>
      </c>
      <c r="M26" s="198">
        <f t="shared" si="0"/>
        <v>12.1</v>
      </c>
    </row>
    <row r="27" spans="1:13">
      <c r="A27" s="204">
        <v>41577</v>
      </c>
      <c r="B27" s="198">
        <v>8.9</v>
      </c>
      <c r="C27" s="198">
        <v>14.4</v>
      </c>
      <c r="D27" s="198">
        <v>3.3</v>
      </c>
      <c r="E27" s="198">
        <v>89</v>
      </c>
      <c r="F27" s="198">
        <v>142</v>
      </c>
      <c r="G27" s="198">
        <v>1.1000000000000001</v>
      </c>
      <c r="H27" s="198">
        <v>0</v>
      </c>
      <c r="I27" s="198">
        <v>0.9</v>
      </c>
      <c r="J27" s="198">
        <v>0.9</v>
      </c>
      <c r="K27" s="198">
        <v>0</v>
      </c>
      <c r="L27" s="198">
        <v>-0.9</v>
      </c>
      <c r="M27" s="198">
        <f t="shared" si="0"/>
        <v>11.2</v>
      </c>
    </row>
    <row r="28" spans="1:13">
      <c r="A28" s="204">
        <v>41578</v>
      </c>
      <c r="B28" s="198">
        <v>7.8</v>
      </c>
      <c r="C28" s="198">
        <v>15.2</v>
      </c>
      <c r="D28" s="198">
        <v>0.4</v>
      </c>
      <c r="E28" s="198">
        <v>87</v>
      </c>
      <c r="F28" s="198">
        <v>151</v>
      </c>
      <c r="G28" s="198">
        <v>0.2</v>
      </c>
      <c r="H28" s="198">
        <v>0</v>
      </c>
      <c r="I28" s="198">
        <v>1</v>
      </c>
      <c r="J28" s="198">
        <v>1</v>
      </c>
      <c r="K28" s="198">
        <v>0</v>
      </c>
      <c r="L28" s="198">
        <v>-1</v>
      </c>
      <c r="M28" s="198">
        <f t="shared" si="0"/>
        <v>10.199999999999999</v>
      </c>
    </row>
    <row r="29" spans="1:13">
      <c r="A29" s="204">
        <v>41579</v>
      </c>
      <c r="B29" s="198">
        <v>8.1999999999999993</v>
      </c>
      <c r="C29" s="198">
        <v>15.6</v>
      </c>
      <c r="D29" s="198">
        <v>0.9</v>
      </c>
      <c r="E29" s="198">
        <v>84</v>
      </c>
      <c r="F29" s="198">
        <v>82</v>
      </c>
      <c r="G29" s="198">
        <v>0.2</v>
      </c>
      <c r="H29" s="198">
        <v>0.4</v>
      </c>
      <c r="I29" s="198">
        <v>0.9</v>
      </c>
      <c r="J29" s="198">
        <v>0.9</v>
      </c>
      <c r="K29" s="198">
        <v>0</v>
      </c>
      <c r="L29" s="198">
        <v>-0.5</v>
      </c>
      <c r="M29" s="198">
        <f t="shared" si="0"/>
        <v>9.6999999999999993</v>
      </c>
    </row>
    <row r="30" spans="1:13">
      <c r="A30" s="204">
        <v>41580</v>
      </c>
      <c r="B30" s="198">
        <v>16.399999999999999</v>
      </c>
      <c r="C30" s="198">
        <v>21.4</v>
      </c>
      <c r="D30" s="198">
        <v>11.3</v>
      </c>
      <c r="E30" s="198">
        <v>83</v>
      </c>
      <c r="F30" s="198">
        <v>100</v>
      </c>
      <c r="G30" s="198">
        <v>1.2</v>
      </c>
      <c r="H30" s="198">
        <v>4.5999999999999996</v>
      </c>
      <c r="I30" s="198">
        <v>1.1000000000000001</v>
      </c>
      <c r="J30" s="198">
        <v>1.1000000000000001</v>
      </c>
      <c r="K30" s="198">
        <v>0</v>
      </c>
      <c r="L30" s="205">
        <v>3.5</v>
      </c>
      <c r="M30" s="205">
        <f t="shared" si="0"/>
        <v>13.2</v>
      </c>
    </row>
    <row r="31" spans="1:13">
      <c r="A31" s="204">
        <v>41581</v>
      </c>
      <c r="B31" s="198">
        <v>12</v>
      </c>
      <c r="C31" s="198">
        <v>16</v>
      </c>
      <c r="D31" s="198">
        <v>7.9</v>
      </c>
      <c r="E31" s="198">
        <v>87</v>
      </c>
      <c r="F31" s="198">
        <v>91</v>
      </c>
      <c r="G31" s="198">
        <v>3.2</v>
      </c>
      <c r="H31" s="198">
        <v>7.3</v>
      </c>
      <c r="I31" s="198">
        <v>1</v>
      </c>
      <c r="J31" s="198">
        <v>1</v>
      </c>
      <c r="K31" s="198">
        <v>0</v>
      </c>
      <c r="L31" s="205">
        <v>6.3</v>
      </c>
      <c r="M31" s="205">
        <f t="shared" si="0"/>
        <v>19.5</v>
      </c>
    </row>
    <row r="32" spans="1:13">
      <c r="A32" s="204">
        <v>41582</v>
      </c>
      <c r="B32" s="198">
        <v>12.1</v>
      </c>
      <c r="C32" s="198">
        <v>14.4</v>
      </c>
      <c r="D32" s="198">
        <v>9.6999999999999993</v>
      </c>
      <c r="E32" s="198">
        <v>92</v>
      </c>
      <c r="F32" s="198">
        <v>48</v>
      </c>
      <c r="G32" s="198">
        <v>7.3</v>
      </c>
      <c r="H32" s="198">
        <v>6.3</v>
      </c>
      <c r="I32" s="198">
        <v>0.8</v>
      </c>
      <c r="J32" s="198">
        <v>0.8</v>
      </c>
      <c r="K32" s="198">
        <v>0</v>
      </c>
      <c r="L32" s="198">
        <v>5.5</v>
      </c>
      <c r="M32" s="198">
        <f t="shared" si="0"/>
        <v>25</v>
      </c>
    </row>
    <row r="33" spans="1:13">
      <c r="A33" s="204">
        <v>41583</v>
      </c>
      <c r="B33" s="198">
        <v>14.6</v>
      </c>
      <c r="C33" s="198">
        <v>17.3</v>
      </c>
      <c r="D33" s="198">
        <v>11.9</v>
      </c>
      <c r="E33" s="198">
        <v>93</v>
      </c>
      <c r="F33" s="198">
        <v>38</v>
      </c>
      <c r="G33" s="198">
        <v>9</v>
      </c>
      <c r="H33" s="198">
        <v>9.9</v>
      </c>
      <c r="I33" s="198">
        <v>0.8</v>
      </c>
      <c r="J33" s="198">
        <v>0.8</v>
      </c>
      <c r="K33" s="198">
        <v>0</v>
      </c>
      <c r="L33" s="198">
        <v>9.1</v>
      </c>
      <c r="M33" s="198">
        <f t="shared" si="0"/>
        <v>34.1</v>
      </c>
    </row>
    <row r="34" spans="1:13">
      <c r="A34" s="204">
        <v>41584</v>
      </c>
      <c r="B34" s="198">
        <v>15.6</v>
      </c>
      <c r="C34" s="198">
        <v>19.399999999999999</v>
      </c>
      <c r="D34" s="198">
        <v>11.7</v>
      </c>
      <c r="E34" s="198">
        <v>92</v>
      </c>
      <c r="F34" s="198">
        <v>72</v>
      </c>
      <c r="G34" s="198">
        <v>6.2</v>
      </c>
      <c r="H34" s="198">
        <v>1.2</v>
      </c>
      <c r="I34" s="198">
        <v>1</v>
      </c>
      <c r="J34" s="198">
        <v>1</v>
      </c>
      <c r="K34" s="198">
        <v>0</v>
      </c>
      <c r="L34" s="198">
        <v>0.2</v>
      </c>
      <c r="M34" s="198">
        <f t="shared" si="0"/>
        <v>34.300000000000004</v>
      </c>
    </row>
    <row r="35" spans="1:13">
      <c r="A35" s="204">
        <v>41585</v>
      </c>
      <c r="B35" s="198">
        <v>16.3</v>
      </c>
      <c r="C35" s="198">
        <v>21.4</v>
      </c>
      <c r="D35" s="198">
        <v>11.1</v>
      </c>
      <c r="E35" s="198">
        <v>94</v>
      </c>
      <c r="F35" s="198">
        <v>94</v>
      </c>
      <c r="G35" s="198">
        <v>0</v>
      </c>
      <c r="H35" s="198">
        <v>0</v>
      </c>
      <c r="I35" s="198">
        <v>1</v>
      </c>
      <c r="J35" s="198">
        <v>1</v>
      </c>
      <c r="K35" s="198">
        <v>0</v>
      </c>
      <c r="L35" s="198">
        <v>-1</v>
      </c>
      <c r="M35" s="198">
        <f t="shared" si="0"/>
        <v>33.300000000000004</v>
      </c>
    </row>
    <row r="36" spans="1:13">
      <c r="A36" s="204">
        <v>41586</v>
      </c>
      <c r="B36" s="198">
        <v>13.2</v>
      </c>
      <c r="C36" s="198">
        <v>17.3</v>
      </c>
      <c r="D36" s="198">
        <v>9.1</v>
      </c>
      <c r="E36" s="198">
        <v>94</v>
      </c>
      <c r="F36" s="198">
        <v>56</v>
      </c>
      <c r="G36" s="198">
        <v>1.9</v>
      </c>
      <c r="H36" s="198">
        <v>0.9</v>
      </c>
      <c r="I36" s="198">
        <v>0.7</v>
      </c>
      <c r="J36" s="198">
        <v>0.7</v>
      </c>
      <c r="K36" s="198">
        <v>0</v>
      </c>
      <c r="L36" s="198">
        <v>0.2</v>
      </c>
      <c r="M36" s="198">
        <f t="shared" si="0"/>
        <v>33.500000000000007</v>
      </c>
    </row>
    <row r="37" spans="1:13">
      <c r="A37" s="204">
        <v>41587</v>
      </c>
      <c r="B37" s="198">
        <v>11.8</v>
      </c>
      <c r="C37" s="198">
        <v>14.7</v>
      </c>
      <c r="D37" s="198">
        <v>8.8000000000000007</v>
      </c>
      <c r="E37" s="198">
        <v>86</v>
      </c>
      <c r="F37" s="198">
        <v>85</v>
      </c>
      <c r="G37" s="198">
        <v>4.4000000000000004</v>
      </c>
      <c r="H37" s="198">
        <v>3.8</v>
      </c>
      <c r="I37" s="198">
        <v>0.9</v>
      </c>
      <c r="J37" s="198">
        <v>0.9</v>
      </c>
      <c r="K37" s="198">
        <v>0</v>
      </c>
      <c r="L37" s="198">
        <v>2.9</v>
      </c>
      <c r="M37" s="198">
        <f t="shared" si="0"/>
        <v>36.400000000000006</v>
      </c>
    </row>
    <row r="38" spans="1:13">
      <c r="A38" s="204">
        <v>41588</v>
      </c>
      <c r="B38" s="198">
        <v>12.8</v>
      </c>
      <c r="C38" s="198">
        <v>14.6</v>
      </c>
      <c r="D38" s="198">
        <v>11</v>
      </c>
      <c r="E38" s="198">
        <v>92</v>
      </c>
      <c r="F38" s="198">
        <v>32</v>
      </c>
      <c r="G38" s="198">
        <v>11.4</v>
      </c>
      <c r="H38" s="198">
        <v>12.9</v>
      </c>
      <c r="I38" s="198">
        <v>0.8</v>
      </c>
      <c r="J38" s="198">
        <v>0.8</v>
      </c>
      <c r="K38" s="198">
        <v>0</v>
      </c>
      <c r="L38" s="198">
        <v>12.1</v>
      </c>
      <c r="M38" s="198">
        <f t="shared" si="0"/>
        <v>48.500000000000007</v>
      </c>
    </row>
    <row r="39" spans="1:13">
      <c r="A39" s="204">
        <v>41589</v>
      </c>
      <c r="B39" s="198">
        <v>10.9</v>
      </c>
      <c r="C39" s="198">
        <v>14.3</v>
      </c>
      <c r="D39" s="198">
        <v>7.5</v>
      </c>
      <c r="E39" s="198">
        <v>75</v>
      </c>
      <c r="F39" s="198">
        <v>114</v>
      </c>
      <c r="G39" s="198">
        <v>1.8</v>
      </c>
      <c r="H39" s="198">
        <v>0</v>
      </c>
      <c r="I39" s="198">
        <v>0.8</v>
      </c>
      <c r="J39" s="198">
        <v>0.8</v>
      </c>
      <c r="K39" s="198">
        <v>0</v>
      </c>
      <c r="L39" s="198">
        <v>-0.8</v>
      </c>
      <c r="M39" s="198">
        <f t="shared" si="0"/>
        <v>47.70000000000001</v>
      </c>
    </row>
    <row r="40" spans="1:13">
      <c r="A40" s="204">
        <v>41590</v>
      </c>
      <c r="B40" s="198">
        <v>11.3</v>
      </c>
      <c r="C40" s="198">
        <v>13.1</v>
      </c>
      <c r="D40" s="198">
        <v>9.4</v>
      </c>
      <c r="E40" s="198">
        <v>95</v>
      </c>
      <c r="F40" s="198">
        <v>39</v>
      </c>
      <c r="G40" s="198">
        <v>0.3</v>
      </c>
      <c r="H40" s="198">
        <v>2.2999999999999998</v>
      </c>
      <c r="I40" s="198">
        <v>0.6</v>
      </c>
      <c r="J40" s="198">
        <v>0.6</v>
      </c>
      <c r="K40" s="198">
        <v>0</v>
      </c>
      <c r="L40" s="198">
        <v>1.7</v>
      </c>
      <c r="M40" s="198">
        <f t="shared" si="0"/>
        <v>49.400000000000013</v>
      </c>
    </row>
    <row r="41" spans="1:13">
      <c r="A41" s="204">
        <v>41591</v>
      </c>
      <c r="B41" s="198">
        <v>12.3</v>
      </c>
      <c r="C41" s="198">
        <v>13.9</v>
      </c>
      <c r="D41" s="198">
        <v>10.6</v>
      </c>
      <c r="E41" s="198">
        <v>89</v>
      </c>
      <c r="F41" s="198">
        <v>36</v>
      </c>
      <c r="G41" s="198">
        <v>3.7</v>
      </c>
      <c r="H41" s="198">
        <v>0</v>
      </c>
      <c r="I41" s="198">
        <v>0.7</v>
      </c>
      <c r="J41" s="198">
        <v>0.7</v>
      </c>
      <c r="K41" s="198">
        <v>0</v>
      </c>
      <c r="L41" s="198">
        <v>-0.7</v>
      </c>
      <c r="M41" s="198">
        <f t="shared" si="0"/>
        <v>48.70000000000001</v>
      </c>
    </row>
    <row r="42" spans="1:13">
      <c r="A42" s="204">
        <v>41592</v>
      </c>
      <c r="B42" s="198">
        <v>9.3000000000000007</v>
      </c>
      <c r="C42" s="198">
        <v>11.3</v>
      </c>
      <c r="D42" s="198">
        <v>7.3</v>
      </c>
      <c r="E42" s="198">
        <v>84</v>
      </c>
      <c r="F42" s="198">
        <v>78</v>
      </c>
      <c r="G42" s="198">
        <v>6.6</v>
      </c>
      <c r="H42" s="198">
        <v>9.1</v>
      </c>
      <c r="I42" s="198">
        <v>0.9</v>
      </c>
      <c r="J42" s="198">
        <v>0.9</v>
      </c>
      <c r="K42" s="198">
        <v>0</v>
      </c>
      <c r="L42" s="198">
        <v>8.1999999999999993</v>
      </c>
      <c r="M42" s="198">
        <f t="shared" si="0"/>
        <v>56.900000000000006</v>
      </c>
    </row>
    <row r="43" spans="1:13">
      <c r="A43" s="204">
        <v>41593</v>
      </c>
      <c r="B43" s="198">
        <v>5.3</v>
      </c>
      <c r="C43" s="198">
        <v>6.2</v>
      </c>
      <c r="D43" s="198">
        <v>4.4000000000000004</v>
      </c>
      <c r="E43" s="198">
        <v>91</v>
      </c>
      <c r="F43" s="198">
        <v>21</v>
      </c>
      <c r="G43" s="198">
        <v>6.3</v>
      </c>
      <c r="H43" s="198">
        <v>1.1000000000000001</v>
      </c>
      <c r="I43" s="198">
        <v>0.5</v>
      </c>
      <c r="J43" s="198">
        <v>0.5</v>
      </c>
      <c r="K43" s="198">
        <v>0</v>
      </c>
      <c r="L43" s="198">
        <v>0.6</v>
      </c>
      <c r="M43" s="198">
        <f t="shared" si="0"/>
        <v>57.500000000000007</v>
      </c>
    </row>
    <row r="44" spans="1:13">
      <c r="A44" s="204">
        <v>41594</v>
      </c>
      <c r="B44" s="198">
        <v>4.5999999999999996</v>
      </c>
      <c r="C44" s="198">
        <v>6.9</v>
      </c>
      <c r="D44" s="198">
        <v>2.2999999999999998</v>
      </c>
      <c r="E44" s="198">
        <v>98</v>
      </c>
      <c r="F44" s="198">
        <v>31</v>
      </c>
      <c r="G44" s="198">
        <v>0.4</v>
      </c>
      <c r="H44" s="198">
        <v>0.5</v>
      </c>
      <c r="I44" s="198">
        <v>0.4</v>
      </c>
      <c r="J44" s="198">
        <v>0.4</v>
      </c>
      <c r="K44" s="198">
        <v>0</v>
      </c>
      <c r="L44" s="198">
        <v>0.1</v>
      </c>
      <c r="M44" s="198">
        <f t="shared" si="0"/>
        <v>57.600000000000009</v>
      </c>
    </row>
    <row r="45" spans="1:13">
      <c r="A45" s="204">
        <v>41595</v>
      </c>
      <c r="B45" s="198">
        <v>7.3</v>
      </c>
      <c r="C45" s="198">
        <v>8.6999999999999993</v>
      </c>
      <c r="D45" s="198">
        <v>5.9</v>
      </c>
      <c r="E45" s="198">
        <v>98</v>
      </c>
      <c r="F45" s="198">
        <v>30</v>
      </c>
      <c r="G45" s="198">
        <v>0.1</v>
      </c>
      <c r="H45" s="198">
        <v>4.5</v>
      </c>
      <c r="I45" s="198">
        <v>0.4</v>
      </c>
      <c r="J45" s="198">
        <v>0.4</v>
      </c>
      <c r="K45" s="198">
        <v>0</v>
      </c>
      <c r="L45" s="198">
        <v>4.0999999999999996</v>
      </c>
      <c r="M45" s="198">
        <f t="shared" si="0"/>
        <v>61.70000000000001</v>
      </c>
    </row>
    <row r="46" spans="1:13">
      <c r="A46" s="204">
        <v>41596</v>
      </c>
      <c r="B46" s="198">
        <v>8.5</v>
      </c>
      <c r="C46" s="198">
        <v>9.3000000000000007</v>
      </c>
      <c r="D46" s="198">
        <v>7.6</v>
      </c>
      <c r="E46" s="198">
        <v>98</v>
      </c>
      <c r="F46" s="198">
        <v>19</v>
      </c>
      <c r="G46" s="198">
        <v>1.3</v>
      </c>
      <c r="H46" s="198">
        <v>2.7</v>
      </c>
      <c r="I46" s="198">
        <v>0.4</v>
      </c>
      <c r="J46" s="198">
        <v>0.4</v>
      </c>
      <c r="K46" s="198">
        <v>0</v>
      </c>
      <c r="L46" s="198">
        <v>2.2999999999999998</v>
      </c>
      <c r="M46" s="198">
        <f t="shared" si="0"/>
        <v>64.000000000000014</v>
      </c>
    </row>
    <row r="47" spans="1:13">
      <c r="A47" s="204">
        <v>41597</v>
      </c>
      <c r="B47" s="198">
        <v>6.7</v>
      </c>
      <c r="C47" s="198">
        <v>8.4</v>
      </c>
      <c r="D47" s="198">
        <v>5</v>
      </c>
      <c r="E47" s="198">
        <v>94</v>
      </c>
      <c r="F47" s="198">
        <v>33</v>
      </c>
      <c r="G47" s="198">
        <v>6</v>
      </c>
      <c r="H47" s="198">
        <v>11.3</v>
      </c>
      <c r="I47" s="198">
        <v>0.5</v>
      </c>
      <c r="J47" s="198">
        <v>0.5</v>
      </c>
      <c r="K47" s="198">
        <v>0</v>
      </c>
      <c r="L47" s="198">
        <v>10.8</v>
      </c>
      <c r="M47" s="198">
        <f t="shared" si="0"/>
        <v>74.800000000000011</v>
      </c>
    </row>
    <row r="48" spans="1:13">
      <c r="A48" s="204">
        <v>41598</v>
      </c>
      <c r="B48" s="198">
        <v>4.5</v>
      </c>
      <c r="C48" s="198">
        <v>7</v>
      </c>
      <c r="D48" s="198">
        <v>2.1</v>
      </c>
      <c r="E48" s="198">
        <v>80</v>
      </c>
      <c r="F48" s="198">
        <v>88</v>
      </c>
      <c r="G48" s="198">
        <v>5.9</v>
      </c>
      <c r="H48" s="198">
        <v>0</v>
      </c>
      <c r="I48" s="198">
        <v>0.7</v>
      </c>
      <c r="J48" s="198">
        <v>0.7</v>
      </c>
      <c r="K48" s="198">
        <v>0</v>
      </c>
      <c r="L48" s="198">
        <v>-0.7</v>
      </c>
      <c r="M48" s="198">
        <f t="shared" si="0"/>
        <v>74.100000000000009</v>
      </c>
    </row>
    <row r="49" spans="1:13">
      <c r="A49" s="204">
        <v>41599</v>
      </c>
      <c r="B49" s="198">
        <v>6.7</v>
      </c>
      <c r="C49" s="198">
        <v>8.4</v>
      </c>
      <c r="D49" s="198">
        <v>4.9000000000000004</v>
      </c>
      <c r="E49" s="198">
        <v>86</v>
      </c>
      <c r="F49" s="198">
        <v>61</v>
      </c>
      <c r="G49" s="198">
        <v>9.4</v>
      </c>
      <c r="H49" s="198">
        <v>8.4</v>
      </c>
      <c r="I49" s="198">
        <v>0.8</v>
      </c>
      <c r="J49" s="198">
        <v>0.8</v>
      </c>
      <c r="K49" s="198">
        <v>0</v>
      </c>
      <c r="L49" s="198">
        <v>7.6</v>
      </c>
      <c r="M49" s="198">
        <f t="shared" si="0"/>
        <v>81.7</v>
      </c>
    </row>
    <row r="50" spans="1:13">
      <c r="A50" s="204">
        <v>41600</v>
      </c>
      <c r="B50" s="198">
        <v>4.2</v>
      </c>
      <c r="C50" s="198">
        <v>5.8</v>
      </c>
      <c r="D50" s="198">
        <v>2.5</v>
      </c>
      <c r="E50" s="198">
        <v>87</v>
      </c>
      <c r="F50" s="198">
        <v>18</v>
      </c>
      <c r="G50" s="198">
        <v>8</v>
      </c>
      <c r="H50" s="198">
        <v>1.1000000000000001</v>
      </c>
      <c r="I50" s="198">
        <v>0.6</v>
      </c>
      <c r="J50" s="198">
        <v>0.6</v>
      </c>
      <c r="K50" s="198">
        <v>0</v>
      </c>
      <c r="L50" s="198">
        <v>0.5</v>
      </c>
      <c r="M50" s="198">
        <f t="shared" si="0"/>
        <v>82.2</v>
      </c>
    </row>
    <row r="51" spans="1:13">
      <c r="A51" s="204">
        <v>41601</v>
      </c>
      <c r="B51" s="198">
        <v>3.8</v>
      </c>
      <c r="C51" s="198">
        <v>5.3</v>
      </c>
      <c r="D51" s="198">
        <v>2.2000000000000002</v>
      </c>
      <c r="E51" s="198">
        <v>91</v>
      </c>
      <c r="F51" s="198">
        <v>20</v>
      </c>
      <c r="G51" s="198">
        <v>6.9</v>
      </c>
      <c r="H51" s="198">
        <v>1.6</v>
      </c>
      <c r="I51" s="198">
        <v>0.5</v>
      </c>
      <c r="J51" s="198">
        <v>0.5</v>
      </c>
      <c r="K51" s="198">
        <v>0</v>
      </c>
      <c r="L51" s="198">
        <v>1.1000000000000001</v>
      </c>
      <c r="M51" s="198">
        <f t="shared" si="0"/>
        <v>83.3</v>
      </c>
    </row>
    <row r="52" spans="1:13">
      <c r="A52" s="204">
        <v>41602</v>
      </c>
      <c r="B52" s="198">
        <v>5.4</v>
      </c>
      <c r="C52" s="198">
        <v>5.9</v>
      </c>
      <c r="D52" s="198">
        <v>4.9000000000000004</v>
      </c>
      <c r="E52" s="198">
        <v>85</v>
      </c>
      <c r="F52" s="198">
        <v>14</v>
      </c>
      <c r="G52" s="198">
        <v>7.5</v>
      </c>
      <c r="H52" s="198">
        <v>0</v>
      </c>
      <c r="I52" s="198">
        <v>0.7</v>
      </c>
      <c r="J52" s="198">
        <v>0.7</v>
      </c>
      <c r="K52" s="198">
        <v>0</v>
      </c>
      <c r="L52" s="198">
        <v>-0.7</v>
      </c>
      <c r="M52" s="198">
        <f t="shared" si="0"/>
        <v>82.6</v>
      </c>
    </row>
    <row r="53" spans="1:13">
      <c r="A53" s="204">
        <v>41603</v>
      </c>
      <c r="B53" s="198">
        <v>4.9000000000000004</v>
      </c>
      <c r="C53" s="198">
        <v>7.9</v>
      </c>
      <c r="D53" s="198">
        <v>1.9</v>
      </c>
      <c r="E53" s="198">
        <v>76</v>
      </c>
      <c r="F53" s="198">
        <v>52</v>
      </c>
      <c r="G53" s="198">
        <v>5.9</v>
      </c>
      <c r="H53" s="198">
        <v>0</v>
      </c>
      <c r="I53" s="198">
        <v>0.8</v>
      </c>
      <c r="J53" s="198">
        <v>0.8</v>
      </c>
      <c r="K53" s="198">
        <v>0</v>
      </c>
      <c r="L53" s="198">
        <v>-0.8</v>
      </c>
      <c r="M53" s="198">
        <f t="shared" si="0"/>
        <v>81.8</v>
      </c>
    </row>
    <row r="54" spans="1:13">
      <c r="A54" s="204">
        <v>41604</v>
      </c>
      <c r="B54" s="198">
        <v>3.3</v>
      </c>
      <c r="C54" s="198">
        <v>6.9</v>
      </c>
      <c r="D54" s="198">
        <v>-0.3</v>
      </c>
      <c r="E54" s="198">
        <v>75</v>
      </c>
      <c r="F54" s="198">
        <v>73</v>
      </c>
      <c r="G54" s="198">
        <v>3</v>
      </c>
      <c r="H54" s="198">
        <v>0</v>
      </c>
      <c r="I54" s="198">
        <v>0.5</v>
      </c>
      <c r="J54" s="198">
        <v>0.5</v>
      </c>
      <c r="K54" s="198">
        <v>0</v>
      </c>
      <c r="L54" s="198">
        <v>-0.5</v>
      </c>
      <c r="M54" s="198">
        <f t="shared" si="0"/>
        <v>81.3</v>
      </c>
    </row>
    <row r="55" spans="1:13">
      <c r="A55" s="204">
        <v>41605</v>
      </c>
      <c r="B55" s="198">
        <v>0.6</v>
      </c>
      <c r="C55" s="198">
        <v>5.4</v>
      </c>
      <c r="D55" s="198">
        <v>-4.2</v>
      </c>
      <c r="E55" s="198">
        <v>76</v>
      </c>
      <c r="F55" s="198">
        <v>107</v>
      </c>
      <c r="G55" s="198">
        <v>0.3</v>
      </c>
      <c r="H55" s="198">
        <v>0</v>
      </c>
      <c r="I55" s="198">
        <v>0.3</v>
      </c>
      <c r="J55" s="198">
        <v>0.3</v>
      </c>
      <c r="K55" s="198">
        <v>0</v>
      </c>
      <c r="L55" s="198">
        <v>-0.3</v>
      </c>
      <c r="M55" s="198">
        <f t="shared" si="0"/>
        <v>81</v>
      </c>
    </row>
    <row r="56" spans="1:13">
      <c r="A56" s="204">
        <v>41606</v>
      </c>
      <c r="B56" s="198">
        <v>0.1</v>
      </c>
      <c r="C56" s="198">
        <v>6.5</v>
      </c>
      <c r="D56" s="198">
        <v>-6.4</v>
      </c>
      <c r="E56" s="198">
        <v>84</v>
      </c>
      <c r="F56" s="198">
        <v>96</v>
      </c>
      <c r="G56" s="198">
        <v>0</v>
      </c>
      <c r="H56" s="198">
        <v>0</v>
      </c>
      <c r="I56" s="198">
        <v>0.4</v>
      </c>
      <c r="J56" s="198">
        <v>0.4</v>
      </c>
      <c r="K56" s="198">
        <v>0</v>
      </c>
      <c r="L56" s="198">
        <v>-0.4</v>
      </c>
      <c r="M56" s="198">
        <f t="shared" si="0"/>
        <v>80.599999999999994</v>
      </c>
    </row>
    <row r="57" spans="1:13">
      <c r="A57" s="204">
        <v>41607</v>
      </c>
      <c r="B57" s="198">
        <v>1.2</v>
      </c>
      <c r="C57" s="198">
        <v>7.3</v>
      </c>
      <c r="D57" s="198">
        <v>-4.9000000000000004</v>
      </c>
      <c r="E57" s="198">
        <v>81</v>
      </c>
      <c r="F57" s="198">
        <v>90</v>
      </c>
      <c r="G57" s="198">
        <v>2.7</v>
      </c>
      <c r="H57" s="198">
        <v>0.2</v>
      </c>
      <c r="I57" s="198">
        <v>0.5</v>
      </c>
      <c r="J57" s="198">
        <v>0.5</v>
      </c>
      <c r="K57" s="198">
        <v>0</v>
      </c>
      <c r="L57" s="198">
        <v>-0.3</v>
      </c>
      <c r="M57" s="198">
        <f t="shared" si="0"/>
        <v>80.3</v>
      </c>
    </row>
    <row r="58" spans="1:13">
      <c r="A58" s="204">
        <v>41608</v>
      </c>
      <c r="B58" s="198">
        <v>6</v>
      </c>
      <c r="C58" s="198">
        <v>8.6</v>
      </c>
      <c r="D58" s="198">
        <v>3.4</v>
      </c>
      <c r="E58" s="198">
        <v>80</v>
      </c>
      <c r="F58" s="198">
        <v>54</v>
      </c>
      <c r="G58" s="198">
        <v>9.6999999999999993</v>
      </c>
      <c r="H58" s="198">
        <v>1.5</v>
      </c>
      <c r="I58" s="198">
        <v>1</v>
      </c>
      <c r="J58" s="198">
        <v>1</v>
      </c>
      <c r="K58" s="198">
        <v>0</v>
      </c>
      <c r="L58" s="198">
        <v>0.5</v>
      </c>
      <c r="M58" s="198">
        <f t="shared" si="0"/>
        <v>80.8</v>
      </c>
    </row>
    <row r="59" spans="1:13">
      <c r="A59" s="204">
        <v>41609</v>
      </c>
      <c r="B59" s="198">
        <v>2</v>
      </c>
      <c r="C59" s="198">
        <v>5.2</v>
      </c>
      <c r="D59" s="198">
        <v>-1.3</v>
      </c>
      <c r="E59" s="198">
        <v>87</v>
      </c>
      <c r="F59" s="198">
        <v>101</v>
      </c>
      <c r="G59" s="198">
        <v>4.5</v>
      </c>
      <c r="H59" s="198">
        <v>0</v>
      </c>
      <c r="I59" s="198">
        <v>0.3</v>
      </c>
      <c r="J59" s="198">
        <v>0.3</v>
      </c>
      <c r="K59" s="198">
        <v>0</v>
      </c>
      <c r="L59" s="198">
        <v>-0.3</v>
      </c>
      <c r="M59" s="198">
        <f t="shared" si="0"/>
        <v>80.5</v>
      </c>
    </row>
    <row r="60" spans="1:13">
      <c r="A60" s="204">
        <v>41610</v>
      </c>
      <c r="B60" s="198">
        <v>1</v>
      </c>
      <c r="C60" s="198">
        <v>2.9</v>
      </c>
      <c r="D60" s="198">
        <v>-0.9</v>
      </c>
      <c r="E60" s="198">
        <v>94</v>
      </c>
      <c r="F60" s="198">
        <v>32</v>
      </c>
      <c r="G60" s="198">
        <v>1.2</v>
      </c>
      <c r="H60" s="198">
        <v>0</v>
      </c>
      <c r="I60" s="198">
        <v>0.3</v>
      </c>
      <c r="J60" s="198">
        <v>0.3</v>
      </c>
      <c r="K60" s="198">
        <v>0</v>
      </c>
      <c r="L60" s="198">
        <v>-0.3</v>
      </c>
      <c r="M60" s="198">
        <f t="shared" si="0"/>
        <v>80.2</v>
      </c>
    </row>
    <row r="61" spans="1:13">
      <c r="A61" s="204">
        <v>41611</v>
      </c>
      <c r="B61" s="198">
        <v>0.5</v>
      </c>
      <c r="C61" s="198">
        <v>1.8</v>
      </c>
      <c r="D61" s="198">
        <v>-0.8</v>
      </c>
      <c r="E61" s="198">
        <v>98</v>
      </c>
      <c r="F61" s="198">
        <v>34</v>
      </c>
      <c r="G61" s="198">
        <v>0</v>
      </c>
      <c r="H61" s="198">
        <v>0</v>
      </c>
      <c r="I61" s="198">
        <v>0.3</v>
      </c>
      <c r="J61" s="198">
        <v>0.3</v>
      </c>
      <c r="K61" s="198">
        <v>0</v>
      </c>
      <c r="L61" s="198">
        <v>-0.3</v>
      </c>
      <c r="M61" s="198">
        <f t="shared" si="0"/>
        <v>79.900000000000006</v>
      </c>
    </row>
    <row r="62" spans="1:13">
      <c r="A62" s="204">
        <v>41612</v>
      </c>
      <c r="B62" s="198">
        <v>0.9</v>
      </c>
      <c r="C62" s="198">
        <v>4.3</v>
      </c>
      <c r="D62" s="198">
        <v>-2.4</v>
      </c>
      <c r="E62" s="198">
        <v>100</v>
      </c>
      <c r="F62" s="198">
        <v>39</v>
      </c>
      <c r="G62" s="198">
        <v>0</v>
      </c>
      <c r="H62" s="198">
        <v>0.2</v>
      </c>
      <c r="I62" s="198">
        <v>0.3</v>
      </c>
      <c r="J62" s="198">
        <v>0.3</v>
      </c>
      <c r="K62" s="198">
        <v>0</v>
      </c>
      <c r="L62" s="198">
        <v>-0.1</v>
      </c>
      <c r="M62" s="198">
        <f t="shared" si="0"/>
        <v>79.800000000000011</v>
      </c>
    </row>
    <row r="63" spans="1:13">
      <c r="A63" s="204">
        <v>41613</v>
      </c>
      <c r="B63" s="198">
        <v>3.3</v>
      </c>
      <c r="C63" s="198">
        <v>5.4</v>
      </c>
      <c r="D63" s="198">
        <v>1.3</v>
      </c>
      <c r="E63" s="198">
        <v>99</v>
      </c>
      <c r="F63" s="198">
        <v>28</v>
      </c>
      <c r="G63" s="198">
        <v>1.4</v>
      </c>
      <c r="H63" s="198">
        <v>0.2</v>
      </c>
      <c r="I63" s="198">
        <v>0.3</v>
      </c>
      <c r="J63" s="198">
        <v>0.3</v>
      </c>
      <c r="K63" s="198">
        <v>0</v>
      </c>
      <c r="L63" s="198">
        <v>-0.1</v>
      </c>
      <c r="M63" s="198">
        <f t="shared" si="0"/>
        <v>79.700000000000017</v>
      </c>
    </row>
    <row r="64" spans="1:13">
      <c r="A64" s="204">
        <v>41614</v>
      </c>
      <c r="B64" s="198">
        <v>5.8</v>
      </c>
      <c r="C64" s="198">
        <v>10.199999999999999</v>
      </c>
      <c r="D64" s="198">
        <v>1.5</v>
      </c>
      <c r="E64" s="198">
        <v>89</v>
      </c>
      <c r="F64" s="198">
        <v>59</v>
      </c>
      <c r="G64" s="198">
        <v>2.2000000000000002</v>
      </c>
      <c r="H64" s="198">
        <v>0</v>
      </c>
      <c r="I64" s="198">
        <v>0.4</v>
      </c>
      <c r="J64" s="198">
        <v>0.4</v>
      </c>
      <c r="K64" s="198">
        <v>0</v>
      </c>
      <c r="L64" s="198">
        <v>-0.4</v>
      </c>
      <c r="M64" s="198">
        <f t="shared" si="0"/>
        <v>79.300000000000011</v>
      </c>
    </row>
    <row r="65" spans="1:13">
      <c r="A65" s="204">
        <v>41615</v>
      </c>
      <c r="B65" s="198">
        <v>3.3</v>
      </c>
      <c r="C65" s="198">
        <v>8.8000000000000007</v>
      </c>
      <c r="D65" s="198">
        <v>-2.2000000000000002</v>
      </c>
      <c r="E65" s="198">
        <v>93</v>
      </c>
      <c r="F65" s="198">
        <v>85</v>
      </c>
      <c r="G65" s="198">
        <v>0.2</v>
      </c>
      <c r="H65" s="198">
        <v>0</v>
      </c>
      <c r="I65" s="198">
        <v>0.3</v>
      </c>
      <c r="J65" s="198">
        <v>0.3</v>
      </c>
      <c r="K65" s="198">
        <v>0</v>
      </c>
      <c r="L65" s="198">
        <v>-0.3</v>
      </c>
      <c r="M65" s="198">
        <f t="shared" si="0"/>
        <v>79.000000000000014</v>
      </c>
    </row>
    <row r="66" spans="1:13">
      <c r="A66" s="204">
        <v>41616</v>
      </c>
      <c r="B66" s="198">
        <v>0.5</v>
      </c>
      <c r="C66" s="198">
        <v>3.6</v>
      </c>
      <c r="D66" s="198">
        <v>-2.6</v>
      </c>
      <c r="E66" s="198">
        <v>99</v>
      </c>
      <c r="F66" s="198">
        <v>47</v>
      </c>
      <c r="G66" s="198">
        <v>0</v>
      </c>
      <c r="H66" s="198">
        <v>0</v>
      </c>
      <c r="I66" s="198">
        <v>0.2</v>
      </c>
      <c r="J66" s="198">
        <v>0.2</v>
      </c>
      <c r="K66" s="198">
        <v>0</v>
      </c>
      <c r="L66" s="198">
        <v>-0.2</v>
      </c>
      <c r="M66" s="198">
        <f t="shared" si="0"/>
        <v>78.800000000000011</v>
      </c>
    </row>
    <row r="67" spans="1:13">
      <c r="A67" s="204">
        <v>41617</v>
      </c>
      <c r="B67" s="198">
        <v>3.2</v>
      </c>
      <c r="C67" s="198">
        <v>11.1</v>
      </c>
      <c r="D67" s="198">
        <v>-4.5999999999999996</v>
      </c>
      <c r="E67" s="198">
        <v>90</v>
      </c>
      <c r="F67" s="198">
        <v>95</v>
      </c>
      <c r="G67" s="198">
        <v>0.1</v>
      </c>
      <c r="H67" s="198">
        <v>0.2</v>
      </c>
      <c r="I67" s="198">
        <v>0.3</v>
      </c>
      <c r="J67" s="198">
        <v>0.3</v>
      </c>
      <c r="K67" s="198">
        <v>0</v>
      </c>
      <c r="L67" s="198">
        <v>-0.1</v>
      </c>
      <c r="M67" s="198">
        <f t="shared" si="0"/>
        <v>78.700000000000017</v>
      </c>
    </row>
    <row r="68" spans="1:13">
      <c r="A68" s="204">
        <v>41618</v>
      </c>
      <c r="B68" s="198">
        <v>4.8</v>
      </c>
      <c r="C68" s="198">
        <v>12.8</v>
      </c>
      <c r="D68" s="198">
        <v>-3.2</v>
      </c>
      <c r="E68" s="198">
        <v>87</v>
      </c>
      <c r="F68" s="198">
        <v>90</v>
      </c>
      <c r="G68" s="198">
        <v>0</v>
      </c>
      <c r="H68" s="198">
        <v>0.2</v>
      </c>
      <c r="I68" s="198">
        <v>0.4</v>
      </c>
      <c r="J68" s="198">
        <v>0.4</v>
      </c>
      <c r="K68" s="198">
        <v>0</v>
      </c>
      <c r="L68" s="198">
        <v>-0.2</v>
      </c>
      <c r="M68" s="198">
        <f t="shared" si="0"/>
        <v>78.500000000000014</v>
      </c>
    </row>
    <row r="69" spans="1:13">
      <c r="A69" s="204">
        <v>41619</v>
      </c>
      <c r="B69" s="198">
        <v>5.5</v>
      </c>
      <c r="C69" s="198">
        <v>14</v>
      </c>
      <c r="D69" s="198">
        <v>-3.1</v>
      </c>
      <c r="E69" s="198">
        <v>84</v>
      </c>
      <c r="F69" s="198">
        <v>90</v>
      </c>
      <c r="G69" s="198">
        <v>2.2999999999999998</v>
      </c>
      <c r="H69" s="198">
        <v>0</v>
      </c>
      <c r="I69" s="198">
        <v>0.4</v>
      </c>
      <c r="J69" s="198">
        <v>0.4</v>
      </c>
      <c r="K69" s="198">
        <v>0</v>
      </c>
      <c r="L69" s="198">
        <v>-0.4</v>
      </c>
      <c r="M69" s="198">
        <f t="shared" si="0"/>
        <v>78.100000000000009</v>
      </c>
    </row>
    <row r="70" spans="1:13">
      <c r="A70" s="204">
        <v>41620</v>
      </c>
      <c r="B70" s="198">
        <v>5.9</v>
      </c>
      <c r="C70" s="198">
        <v>14.2</v>
      </c>
      <c r="D70" s="198">
        <v>-2.4</v>
      </c>
      <c r="E70" s="198">
        <v>89</v>
      </c>
      <c r="F70" s="198">
        <v>90</v>
      </c>
      <c r="G70" s="198">
        <v>1.2</v>
      </c>
      <c r="H70" s="198">
        <v>0</v>
      </c>
      <c r="I70" s="198">
        <v>0.3</v>
      </c>
      <c r="J70" s="198">
        <v>0.3</v>
      </c>
      <c r="K70" s="198">
        <v>0</v>
      </c>
      <c r="L70" s="198">
        <v>-0.3</v>
      </c>
      <c r="M70" s="198">
        <f t="shared" si="0"/>
        <v>77.800000000000011</v>
      </c>
    </row>
    <row r="71" spans="1:13">
      <c r="A71" s="204">
        <v>41621</v>
      </c>
      <c r="B71" s="198">
        <v>4.7</v>
      </c>
      <c r="C71" s="198">
        <v>10.1</v>
      </c>
      <c r="D71" s="198">
        <v>-0.8</v>
      </c>
      <c r="E71" s="198">
        <v>98</v>
      </c>
      <c r="F71" s="198">
        <v>51</v>
      </c>
      <c r="G71" s="198">
        <v>0.2</v>
      </c>
      <c r="H71" s="198">
        <v>1.4</v>
      </c>
      <c r="I71" s="198">
        <v>0.3</v>
      </c>
      <c r="J71" s="198">
        <v>0.3</v>
      </c>
      <c r="K71" s="198">
        <v>0</v>
      </c>
      <c r="L71" s="198">
        <v>1.1000000000000001</v>
      </c>
      <c r="M71" s="198">
        <f t="shared" si="0"/>
        <v>78.900000000000006</v>
      </c>
    </row>
    <row r="72" spans="1:13">
      <c r="A72" s="204">
        <v>41622</v>
      </c>
      <c r="B72" s="198">
        <v>5.6</v>
      </c>
      <c r="C72" s="198">
        <v>11.2</v>
      </c>
      <c r="D72" s="198">
        <v>0.1</v>
      </c>
      <c r="E72" s="198">
        <v>91</v>
      </c>
      <c r="F72" s="198">
        <v>55</v>
      </c>
      <c r="G72" s="198">
        <v>1.3</v>
      </c>
      <c r="H72" s="198">
        <v>2.2999999999999998</v>
      </c>
      <c r="I72" s="198">
        <v>0.4</v>
      </c>
      <c r="J72" s="198">
        <v>0.4</v>
      </c>
      <c r="K72" s="198">
        <v>0</v>
      </c>
      <c r="L72" s="198">
        <v>1.9</v>
      </c>
      <c r="M72" s="198">
        <f t="shared" si="0"/>
        <v>80.800000000000011</v>
      </c>
    </row>
    <row r="73" spans="1:13">
      <c r="A73" s="204">
        <v>41623</v>
      </c>
      <c r="B73" s="198">
        <v>5.5</v>
      </c>
      <c r="C73" s="198">
        <v>12.3</v>
      </c>
      <c r="D73" s="198">
        <v>-1.3</v>
      </c>
      <c r="E73" s="198">
        <v>93</v>
      </c>
      <c r="F73" s="198">
        <v>77</v>
      </c>
      <c r="G73" s="198">
        <v>0.1</v>
      </c>
      <c r="H73" s="198">
        <v>0</v>
      </c>
      <c r="I73" s="198">
        <v>0.4</v>
      </c>
      <c r="J73" s="198">
        <v>0.4</v>
      </c>
      <c r="K73" s="198">
        <v>0</v>
      </c>
      <c r="L73" s="198">
        <v>-0.4</v>
      </c>
      <c r="M73" s="198">
        <f t="shared" si="0"/>
        <v>80.400000000000006</v>
      </c>
    </row>
    <row r="74" spans="1:13">
      <c r="A74" s="204">
        <v>41624</v>
      </c>
      <c r="B74" s="198">
        <v>6.9</v>
      </c>
      <c r="C74" s="198">
        <v>14.4</v>
      </c>
      <c r="D74" s="198">
        <v>-0.6</v>
      </c>
      <c r="E74" s="198">
        <v>81</v>
      </c>
      <c r="F74" s="198">
        <v>88</v>
      </c>
      <c r="G74" s="198">
        <v>7.1</v>
      </c>
      <c r="H74" s="198">
        <v>0</v>
      </c>
      <c r="I74" s="198">
        <v>0.9</v>
      </c>
      <c r="J74" s="198">
        <v>0.9</v>
      </c>
      <c r="K74" s="198">
        <v>0</v>
      </c>
      <c r="L74" s="198">
        <v>-0.9</v>
      </c>
      <c r="M74" s="198">
        <f t="shared" si="0"/>
        <v>79.5</v>
      </c>
    </row>
    <row r="75" spans="1:13">
      <c r="A75" s="204">
        <v>41625</v>
      </c>
      <c r="B75" s="198">
        <v>9.1999999999999993</v>
      </c>
      <c r="C75" s="198">
        <v>14.8</v>
      </c>
      <c r="D75" s="198">
        <v>3.6</v>
      </c>
      <c r="E75" s="198">
        <v>81</v>
      </c>
      <c r="F75" s="198">
        <v>60</v>
      </c>
      <c r="G75" s="198">
        <v>2.5</v>
      </c>
      <c r="H75" s="198">
        <v>0</v>
      </c>
      <c r="I75" s="198">
        <v>0.5</v>
      </c>
      <c r="J75" s="198">
        <v>0.5</v>
      </c>
      <c r="K75" s="198">
        <v>0</v>
      </c>
      <c r="L75" s="198">
        <v>-0.5</v>
      </c>
      <c r="M75" s="198">
        <f t="shared" si="0"/>
        <v>79</v>
      </c>
    </row>
    <row r="76" spans="1:13">
      <c r="A76" s="204">
        <v>41626</v>
      </c>
      <c r="B76" s="198">
        <v>9</v>
      </c>
      <c r="C76" s="198">
        <v>15.4</v>
      </c>
      <c r="D76" s="198">
        <v>2.6</v>
      </c>
      <c r="E76" s="198">
        <v>91</v>
      </c>
      <c r="F76" s="198">
        <v>56</v>
      </c>
      <c r="G76" s="198">
        <v>0.8</v>
      </c>
      <c r="H76" s="198">
        <v>0</v>
      </c>
      <c r="I76" s="198">
        <v>0.5</v>
      </c>
      <c r="J76" s="198">
        <v>0.5</v>
      </c>
      <c r="K76" s="198">
        <v>0</v>
      </c>
      <c r="L76" s="198">
        <v>-0.5</v>
      </c>
      <c r="M76" s="198">
        <f t="shared" si="0"/>
        <v>78.5</v>
      </c>
    </row>
    <row r="77" spans="1:13">
      <c r="A77" s="204">
        <v>41627</v>
      </c>
      <c r="B77" s="198">
        <v>9.4</v>
      </c>
      <c r="C77" s="198">
        <v>10.7</v>
      </c>
      <c r="D77" s="198">
        <v>8.1</v>
      </c>
      <c r="E77" s="198">
        <v>91</v>
      </c>
      <c r="F77" s="198">
        <v>19</v>
      </c>
      <c r="G77" s="198">
        <v>1.3</v>
      </c>
      <c r="H77" s="198">
        <v>13.8</v>
      </c>
      <c r="I77" s="198">
        <v>0.5</v>
      </c>
      <c r="J77" s="198">
        <v>0.5</v>
      </c>
      <c r="K77" s="198">
        <v>0</v>
      </c>
      <c r="L77" s="198">
        <v>13.3</v>
      </c>
      <c r="M77" s="198">
        <f t="shared" si="0"/>
        <v>91.8</v>
      </c>
    </row>
    <row r="78" spans="1:13">
      <c r="A78" s="204">
        <v>41628</v>
      </c>
      <c r="B78" s="198">
        <v>5.4</v>
      </c>
      <c r="C78" s="198">
        <v>10.6</v>
      </c>
      <c r="D78" s="198">
        <v>0.1</v>
      </c>
      <c r="E78" s="198">
        <v>81</v>
      </c>
      <c r="F78" s="198">
        <v>86</v>
      </c>
      <c r="G78" s="198">
        <v>4.5999999999999996</v>
      </c>
      <c r="H78" s="198">
        <v>0</v>
      </c>
      <c r="I78" s="198">
        <v>0.6</v>
      </c>
      <c r="J78" s="198">
        <v>0.6</v>
      </c>
      <c r="K78" s="198">
        <v>0</v>
      </c>
      <c r="L78" s="198">
        <v>-0.6</v>
      </c>
      <c r="M78" s="198">
        <f t="shared" si="0"/>
        <v>91.2</v>
      </c>
    </row>
    <row r="79" spans="1:13">
      <c r="A79" s="204">
        <v>41629</v>
      </c>
      <c r="B79" s="198">
        <v>3.5</v>
      </c>
      <c r="C79" s="198">
        <v>10</v>
      </c>
      <c r="D79" s="198">
        <v>-3</v>
      </c>
      <c r="E79" s="198">
        <v>89</v>
      </c>
      <c r="F79" s="198">
        <v>93</v>
      </c>
      <c r="G79" s="198">
        <v>0.8</v>
      </c>
      <c r="H79" s="198">
        <v>0</v>
      </c>
      <c r="I79" s="198">
        <v>0.3</v>
      </c>
      <c r="J79" s="198">
        <v>0.3</v>
      </c>
      <c r="K79" s="198">
        <v>0</v>
      </c>
      <c r="L79" s="198">
        <v>-0.3</v>
      </c>
      <c r="M79" s="198">
        <f t="shared" si="0"/>
        <v>90.9</v>
      </c>
    </row>
    <row r="80" spans="1:13">
      <c r="A80" s="204">
        <v>41630</v>
      </c>
      <c r="B80" s="198">
        <v>6.1</v>
      </c>
      <c r="C80" s="198">
        <v>12.3</v>
      </c>
      <c r="D80" s="198">
        <v>-0.2</v>
      </c>
      <c r="E80" s="198">
        <v>94</v>
      </c>
      <c r="F80" s="198">
        <v>60</v>
      </c>
      <c r="G80" s="198">
        <v>0.2</v>
      </c>
      <c r="H80" s="198">
        <v>0</v>
      </c>
      <c r="I80" s="198">
        <v>0.3</v>
      </c>
      <c r="J80" s="198">
        <v>0.3</v>
      </c>
      <c r="K80" s="198">
        <v>0</v>
      </c>
      <c r="L80" s="198">
        <v>-0.3</v>
      </c>
      <c r="M80" s="198">
        <f t="shared" si="0"/>
        <v>90.600000000000009</v>
      </c>
    </row>
    <row r="81" spans="1:13">
      <c r="A81" s="204">
        <v>41631</v>
      </c>
      <c r="B81" s="198">
        <v>7.3</v>
      </c>
      <c r="C81" s="198">
        <v>13.2</v>
      </c>
      <c r="D81" s="198">
        <v>1.4</v>
      </c>
      <c r="E81" s="198">
        <v>84</v>
      </c>
      <c r="F81" s="198">
        <v>83</v>
      </c>
      <c r="G81" s="198">
        <v>4.7</v>
      </c>
      <c r="H81" s="198">
        <v>0</v>
      </c>
      <c r="I81" s="198">
        <v>0.6</v>
      </c>
      <c r="J81" s="198">
        <v>0.6</v>
      </c>
      <c r="K81" s="198">
        <v>0</v>
      </c>
      <c r="L81" s="198">
        <v>-0.6</v>
      </c>
      <c r="M81" s="198">
        <f t="shared" si="0"/>
        <v>90.000000000000014</v>
      </c>
    </row>
    <row r="82" spans="1:13">
      <c r="A82" s="204">
        <v>41632</v>
      </c>
      <c r="B82" s="198">
        <v>9.1</v>
      </c>
      <c r="C82" s="198">
        <v>11.2</v>
      </c>
      <c r="D82" s="198">
        <v>6.9</v>
      </c>
      <c r="E82" s="198">
        <v>80</v>
      </c>
      <c r="F82" s="198">
        <v>12</v>
      </c>
      <c r="G82" s="198">
        <v>5.0999999999999996</v>
      </c>
      <c r="H82" s="198">
        <v>1.4</v>
      </c>
      <c r="I82" s="198">
        <v>0.8</v>
      </c>
      <c r="J82" s="198">
        <v>0.8</v>
      </c>
      <c r="K82" s="198">
        <v>0</v>
      </c>
      <c r="L82" s="198">
        <v>0.6</v>
      </c>
      <c r="M82" s="198">
        <f t="shared" si="0"/>
        <v>90.600000000000009</v>
      </c>
    </row>
    <row r="83" spans="1:13">
      <c r="A83" s="204">
        <v>41633</v>
      </c>
      <c r="B83" s="198">
        <v>10.8</v>
      </c>
      <c r="C83" s="198">
        <v>14.2</v>
      </c>
      <c r="D83" s="198">
        <v>7.3</v>
      </c>
      <c r="E83" s="198">
        <v>83</v>
      </c>
      <c r="F83" s="198">
        <v>71</v>
      </c>
      <c r="G83" s="198">
        <v>2.1</v>
      </c>
      <c r="H83" s="198">
        <v>2.9</v>
      </c>
      <c r="I83" s="198">
        <v>0.5</v>
      </c>
      <c r="J83" s="198">
        <v>0.5</v>
      </c>
      <c r="K83" s="198">
        <v>0</v>
      </c>
      <c r="L83" s="198">
        <v>2.4</v>
      </c>
      <c r="M83" s="198">
        <f t="shared" si="0"/>
        <v>93.000000000000014</v>
      </c>
    </row>
    <row r="84" spans="1:13">
      <c r="A84" s="204">
        <v>41634</v>
      </c>
      <c r="B84" s="198">
        <v>7.1</v>
      </c>
      <c r="C84" s="198">
        <v>9.1999999999999993</v>
      </c>
      <c r="D84" s="198">
        <v>4.9000000000000004</v>
      </c>
      <c r="E84" s="198">
        <v>83</v>
      </c>
      <c r="F84" s="198">
        <v>50</v>
      </c>
      <c r="G84" s="198">
        <v>11</v>
      </c>
      <c r="H84" s="198">
        <v>5.5</v>
      </c>
      <c r="I84" s="198">
        <v>0.9</v>
      </c>
      <c r="J84" s="198">
        <v>0.9</v>
      </c>
      <c r="K84" s="198">
        <v>0</v>
      </c>
      <c r="L84" s="198">
        <v>4.5999999999999996</v>
      </c>
      <c r="M84" s="198">
        <f t="shared" si="0"/>
        <v>97.600000000000009</v>
      </c>
    </row>
    <row r="85" spans="1:13">
      <c r="A85" s="204">
        <v>41635</v>
      </c>
      <c r="B85" s="198">
        <v>9.1</v>
      </c>
      <c r="C85" s="198">
        <v>15.1</v>
      </c>
      <c r="D85" s="198">
        <v>3</v>
      </c>
      <c r="E85" s="198">
        <v>81</v>
      </c>
      <c r="F85" s="198">
        <v>75</v>
      </c>
      <c r="G85" s="198">
        <v>3.2</v>
      </c>
      <c r="H85" s="198">
        <v>0</v>
      </c>
      <c r="I85" s="198">
        <v>0.6</v>
      </c>
      <c r="J85" s="198">
        <v>0.6</v>
      </c>
      <c r="K85" s="198">
        <v>0</v>
      </c>
      <c r="L85" s="198">
        <v>-0.6</v>
      </c>
      <c r="M85" s="198">
        <f t="shared" si="0"/>
        <v>97.000000000000014</v>
      </c>
    </row>
    <row r="86" spans="1:13">
      <c r="A86" s="204">
        <v>41636</v>
      </c>
      <c r="B86" s="198">
        <v>7.8</v>
      </c>
      <c r="C86" s="198">
        <v>10.9</v>
      </c>
      <c r="D86" s="198">
        <v>4.8</v>
      </c>
      <c r="E86" s="198">
        <v>80</v>
      </c>
      <c r="F86" s="198">
        <v>31</v>
      </c>
      <c r="G86" s="198">
        <v>8.1</v>
      </c>
      <c r="H86" s="198">
        <v>7.3</v>
      </c>
      <c r="I86" s="198">
        <v>1</v>
      </c>
      <c r="J86" s="198">
        <v>1</v>
      </c>
      <c r="K86" s="198">
        <v>0</v>
      </c>
      <c r="L86" s="198">
        <v>6.3</v>
      </c>
      <c r="M86" s="198">
        <f t="shared" ref="M86:M149" si="1">M85+L86</f>
        <v>103.30000000000001</v>
      </c>
    </row>
    <row r="87" spans="1:13">
      <c r="A87" s="204">
        <v>41637</v>
      </c>
      <c r="B87" s="198">
        <v>6.7</v>
      </c>
      <c r="C87" s="198">
        <v>9.6</v>
      </c>
      <c r="D87" s="198">
        <v>3.8</v>
      </c>
      <c r="E87" s="198">
        <v>83</v>
      </c>
      <c r="F87" s="198">
        <v>69</v>
      </c>
      <c r="G87" s="198">
        <v>7.8</v>
      </c>
      <c r="H87" s="198">
        <v>0</v>
      </c>
      <c r="I87" s="198">
        <v>0.7</v>
      </c>
      <c r="J87" s="198">
        <v>0.7</v>
      </c>
      <c r="K87" s="198">
        <v>0</v>
      </c>
      <c r="L87" s="198">
        <v>-0.7</v>
      </c>
      <c r="M87" s="198">
        <f t="shared" si="1"/>
        <v>102.60000000000001</v>
      </c>
    </row>
    <row r="88" spans="1:13">
      <c r="A88" s="204">
        <v>41638</v>
      </c>
      <c r="B88" s="198">
        <v>3.7</v>
      </c>
      <c r="C88" s="198">
        <v>8</v>
      </c>
      <c r="D88" s="198">
        <v>-0.7</v>
      </c>
      <c r="E88" s="198">
        <v>94</v>
      </c>
      <c r="F88" s="198">
        <v>53</v>
      </c>
      <c r="G88" s="198">
        <v>1</v>
      </c>
      <c r="H88" s="198">
        <v>0</v>
      </c>
      <c r="I88" s="198">
        <v>0.3</v>
      </c>
      <c r="J88" s="198">
        <v>0.3</v>
      </c>
      <c r="K88" s="198">
        <v>0</v>
      </c>
      <c r="L88" s="198">
        <v>-0.3</v>
      </c>
      <c r="M88" s="198">
        <f t="shared" si="1"/>
        <v>102.30000000000001</v>
      </c>
    </row>
    <row r="89" spans="1:13">
      <c r="A89" s="204">
        <v>41639</v>
      </c>
      <c r="B89" s="198">
        <v>4.5</v>
      </c>
      <c r="C89" s="198">
        <v>10.4</v>
      </c>
      <c r="D89" s="198">
        <v>-1.4</v>
      </c>
      <c r="E89" s="198">
        <v>85</v>
      </c>
      <c r="F89" s="198">
        <v>66</v>
      </c>
      <c r="G89" s="198">
        <v>3.2</v>
      </c>
      <c r="H89" s="198">
        <v>0</v>
      </c>
      <c r="I89" s="198">
        <v>0.5</v>
      </c>
      <c r="J89" s="198">
        <v>0.5</v>
      </c>
      <c r="K89" s="198">
        <v>0</v>
      </c>
      <c r="L89" s="198">
        <v>-0.5</v>
      </c>
      <c r="M89" s="198">
        <f t="shared" si="1"/>
        <v>101.80000000000001</v>
      </c>
    </row>
    <row r="90" spans="1:13">
      <c r="A90" s="204">
        <v>41640</v>
      </c>
      <c r="B90" s="198">
        <v>6.8</v>
      </c>
      <c r="C90" s="198">
        <v>11.7</v>
      </c>
      <c r="D90" s="198">
        <v>1.8</v>
      </c>
      <c r="E90" s="198">
        <v>82</v>
      </c>
      <c r="F90" s="198">
        <v>63</v>
      </c>
      <c r="G90" s="198">
        <v>5.9</v>
      </c>
      <c r="H90" s="198">
        <v>0.2</v>
      </c>
      <c r="I90" s="198">
        <v>0.7</v>
      </c>
      <c r="J90" s="198">
        <v>0.7</v>
      </c>
      <c r="K90" s="198">
        <v>0</v>
      </c>
      <c r="L90" s="198">
        <v>-0.5</v>
      </c>
      <c r="M90" s="198">
        <f t="shared" si="1"/>
        <v>101.30000000000001</v>
      </c>
    </row>
    <row r="91" spans="1:13">
      <c r="A91" s="204">
        <v>41641</v>
      </c>
      <c r="B91" s="198">
        <v>11.2</v>
      </c>
      <c r="C91" s="198">
        <v>14.2</v>
      </c>
      <c r="D91" s="198">
        <v>8.1</v>
      </c>
      <c r="E91" s="198">
        <v>84</v>
      </c>
      <c r="F91" s="198">
        <v>62</v>
      </c>
      <c r="G91" s="198">
        <v>2.9</v>
      </c>
      <c r="H91" s="198">
        <v>2.4</v>
      </c>
      <c r="I91" s="198">
        <v>0.5</v>
      </c>
      <c r="J91" s="198">
        <v>0.5</v>
      </c>
      <c r="K91" s="198">
        <v>0</v>
      </c>
      <c r="L91" s="198">
        <v>1.9</v>
      </c>
      <c r="M91" s="198">
        <f t="shared" si="1"/>
        <v>103.20000000000002</v>
      </c>
    </row>
    <row r="92" spans="1:13">
      <c r="A92" s="204">
        <v>41642</v>
      </c>
      <c r="B92" s="198">
        <v>10.199999999999999</v>
      </c>
      <c r="C92" s="198">
        <v>12.1</v>
      </c>
      <c r="D92" s="198">
        <v>8.3000000000000007</v>
      </c>
      <c r="E92" s="198">
        <v>88</v>
      </c>
      <c r="F92" s="198">
        <v>21</v>
      </c>
      <c r="G92" s="198">
        <v>1.9</v>
      </c>
      <c r="H92" s="198">
        <v>9.3000000000000007</v>
      </c>
      <c r="I92" s="198">
        <v>0.5</v>
      </c>
      <c r="J92" s="198">
        <v>0.5</v>
      </c>
      <c r="K92" s="198">
        <v>0</v>
      </c>
      <c r="L92" s="198">
        <v>8.8000000000000007</v>
      </c>
      <c r="M92" s="198">
        <f t="shared" si="1"/>
        <v>112.00000000000001</v>
      </c>
    </row>
    <row r="93" spans="1:13">
      <c r="A93" s="204">
        <v>41643</v>
      </c>
      <c r="B93" s="198">
        <v>10.6</v>
      </c>
      <c r="C93" s="198">
        <v>14.2</v>
      </c>
      <c r="D93" s="198">
        <v>7</v>
      </c>
      <c r="E93" s="198">
        <v>88</v>
      </c>
      <c r="F93" s="198">
        <v>49</v>
      </c>
      <c r="G93" s="198">
        <v>8</v>
      </c>
      <c r="H93" s="198">
        <v>11.1</v>
      </c>
      <c r="I93" s="198">
        <v>0.7</v>
      </c>
      <c r="J93" s="198">
        <v>0.7</v>
      </c>
      <c r="K93" s="198">
        <v>0</v>
      </c>
      <c r="L93" s="198">
        <v>10.4</v>
      </c>
      <c r="M93" s="198">
        <f t="shared" si="1"/>
        <v>122.40000000000002</v>
      </c>
    </row>
    <row r="94" spans="1:13">
      <c r="A94" s="204">
        <v>41644</v>
      </c>
      <c r="B94" s="198">
        <v>9.4</v>
      </c>
      <c r="C94" s="198">
        <v>13.1</v>
      </c>
      <c r="D94" s="198">
        <v>5.7</v>
      </c>
      <c r="E94" s="198">
        <v>77</v>
      </c>
      <c r="F94" s="198">
        <v>61</v>
      </c>
      <c r="G94" s="198">
        <v>5.2</v>
      </c>
      <c r="H94" s="198">
        <v>0.4</v>
      </c>
      <c r="I94" s="198">
        <v>1</v>
      </c>
      <c r="J94" s="198">
        <v>1</v>
      </c>
      <c r="K94" s="198">
        <v>0</v>
      </c>
      <c r="L94" s="198">
        <v>-0.6</v>
      </c>
      <c r="M94" s="198">
        <f t="shared" si="1"/>
        <v>121.80000000000003</v>
      </c>
    </row>
    <row r="95" spans="1:13">
      <c r="A95" s="204">
        <v>41645</v>
      </c>
      <c r="B95" s="198">
        <v>10.5</v>
      </c>
      <c r="C95" s="198">
        <v>14.8</v>
      </c>
      <c r="D95" s="198">
        <v>6.1</v>
      </c>
      <c r="E95" s="198">
        <v>80</v>
      </c>
      <c r="F95" s="198">
        <v>75</v>
      </c>
      <c r="G95" s="198">
        <v>5.5</v>
      </c>
      <c r="H95" s="198">
        <v>0</v>
      </c>
      <c r="I95" s="198">
        <v>0.8</v>
      </c>
      <c r="J95" s="198">
        <v>0.8</v>
      </c>
      <c r="K95" s="198">
        <v>0</v>
      </c>
      <c r="L95" s="198">
        <v>-0.8</v>
      </c>
      <c r="M95" s="198">
        <f t="shared" si="1"/>
        <v>121.00000000000003</v>
      </c>
    </row>
    <row r="96" spans="1:13">
      <c r="A96" s="204">
        <v>41646</v>
      </c>
      <c r="B96" s="198">
        <v>10.9</v>
      </c>
      <c r="C96" s="198">
        <v>15.2</v>
      </c>
      <c r="D96" s="198">
        <v>6.5</v>
      </c>
      <c r="E96" s="198">
        <v>84</v>
      </c>
      <c r="F96" s="198">
        <v>81</v>
      </c>
      <c r="G96" s="198">
        <v>7.6</v>
      </c>
      <c r="H96" s="198">
        <v>0</v>
      </c>
      <c r="I96" s="198">
        <v>0.8</v>
      </c>
      <c r="J96" s="198">
        <v>0.8</v>
      </c>
      <c r="K96" s="198">
        <v>0</v>
      </c>
      <c r="L96" s="198">
        <v>-0.8</v>
      </c>
      <c r="M96" s="198">
        <f t="shared" si="1"/>
        <v>120.20000000000003</v>
      </c>
    </row>
    <row r="97" spans="1:13">
      <c r="A97" s="204">
        <v>41647</v>
      </c>
      <c r="B97" s="198">
        <v>11.2</v>
      </c>
      <c r="C97" s="198">
        <v>15.2</v>
      </c>
      <c r="D97" s="198">
        <v>7.2</v>
      </c>
      <c r="E97" s="198">
        <v>81</v>
      </c>
      <c r="F97" s="198">
        <v>74</v>
      </c>
      <c r="G97" s="198">
        <v>7.3</v>
      </c>
      <c r="H97" s="198">
        <v>0</v>
      </c>
      <c r="I97" s="198">
        <v>0.9</v>
      </c>
      <c r="J97" s="198">
        <v>0.9</v>
      </c>
      <c r="K97" s="198">
        <v>0</v>
      </c>
      <c r="L97" s="198">
        <v>-0.9</v>
      </c>
      <c r="M97" s="198">
        <f t="shared" si="1"/>
        <v>119.30000000000003</v>
      </c>
    </row>
    <row r="98" spans="1:13">
      <c r="A98" s="204">
        <v>41648</v>
      </c>
      <c r="B98" s="198">
        <v>11</v>
      </c>
      <c r="C98" s="198">
        <v>14.6</v>
      </c>
      <c r="D98" s="198">
        <v>7.3</v>
      </c>
      <c r="E98" s="198">
        <v>80</v>
      </c>
      <c r="F98" s="198">
        <v>69</v>
      </c>
      <c r="G98" s="198">
        <v>7</v>
      </c>
      <c r="H98" s="198">
        <v>0</v>
      </c>
      <c r="I98" s="198">
        <v>0.9</v>
      </c>
      <c r="J98" s="198">
        <v>0.9</v>
      </c>
      <c r="K98" s="198">
        <v>0</v>
      </c>
      <c r="L98" s="198">
        <v>-0.9</v>
      </c>
      <c r="M98" s="198">
        <f t="shared" si="1"/>
        <v>118.40000000000002</v>
      </c>
    </row>
    <row r="99" spans="1:13">
      <c r="A99" s="204">
        <v>41649</v>
      </c>
      <c r="B99" s="198">
        <v>8.6</v>
      </c>
      <c r="C99" s="198">
        <v>13.7</v>
      </c>
      <c r="D99" s="198">
        <v>3.5</v>
      </c>
      <c r="E99" s="198">
        <v>86</v>
      </c>
      <c r="F99" s="198">
        <v>81</v>
      </c>
      <c r="G99" s="198">
        <v>2.9</v>
      </c>
      <c r="H99" s="198">
        <v>0</v>
      </c>
      <c r="I99" s="198">
        <v>0.6</v>
      </c>
      <c r="J99" s="198">
        <v>0.6</v>
      </c>
      <c r="K99" s="198">
        <v>0</v>
      </c>
      <c r="L99" s="198">
        <v>-0.6</v>
      </c>
      <c r="M99" s="198">
        <f t="shared" si="1"/>
        <v>117.80000000000003</v>
      </c>
    </row>
    <row r="100" spans="1:13">
      <c r="A100" s="204">
        <v>41650</v>
      </c>
      <c r="B100" s="198">
        <v>8.1999999999999993</v>
      </c>
      <c r="C100" s="198">
        <v>11.4</v>
      </c>
      <c r="D100" s="198">
        <v>5.0999999999999996</v>
      </c>
      <c r="E100" s="198">
        <v>88</v>
      </c>
      <c r="F100" s="198">
        <v>22</v>
      </c>
      <c r="G100" s="198">
        <v>1.3</v>
      </c>
      <c r="H100" s="198">
        <v>0</v>
      </c>
      <c r="I100" s="198">
        <v>0.5</v>
      </c>
      <c r="J100" s="198">
        <v>0.5</v>
      </c>
      <c r="K100" s="198">
        <v>0</v>
      </c>
      <c r="L100" s="198">
        <v>-0.5</v>
      </c>
      <c r="M100" s="198">
        <f t="shared" si="1"/>
        <v>117.30000000000003</v>
      </c>
    </row>
    <row r="101" spans="1:13">
      <c r="A101" s="204">
        <v>41651</v>
      </c>
      <c r="B101" s="198">
        <v>9.1999999999999993</v>
      </c>
      <c r="C101" s="198">
        <v>15.2</v>
      </c>
      <c r="D101" s="198">
        <v>3.2</v>
      </c>
      <c r="E101" s="198">
        <v>89</v>
      </c>
      <c r="F101" s="198">
        <v>95</v>
      </c>
      <c r="G101" s="198">
        <v>2.5</v>
      </c>
      <c r="H101" s="198">
        <v>0</v>
      </c>
      <c r="I101" s="198">
        <v>0.5</v>
      </c>
      <c r="J101" s="198">
        <v>0.5</v>
      </c>
      <c r="K101" s="198">
        <v>0</v>
      </c>
      <c r="L101" s="198">
        <v>-0.5</v>
      </c>
      <c r="M101" s="198">
        <f t="shared" si="1"/>
        <v>116.80000000000003</v>
      </c>
    </row>
    <row r="102" spans="1:13">
      <c r="A102" s="204">
        <v>41652</v>
      </c>
      <c r="B102" s="198">
        <v>6.5</v>
      </c>
      <c r="C102" s="198">
        <v>10.199999999999999</v>
      </c>
      <c r="D102" s="198">
        <v>2.7</v>
      </c>
      <c r="E102" s="198">
        <v>92</v>
      </c>
      <c r="F102" s="198">
        <v>23</v>
      </c>
      <c r="G102" s="198">
        <v>1.3</v>
      </c>
      <c r="H102" s="198">
        <v>6.2</v>
      </c>
      <c r="I102" s="198">
        <v>0.5</v>
      </c>
      <c r="J102" s="198">
        <v>0.5</v>
      </c>
      <c r="K102" s="198">
        <v>0</v>
      </c>
      <c r="L102" s="198">
        <v>5.7</v>
      </c>
      <c r="M102" s="198">
        <f t="shared" si="1"/>
        <v>122.50000000000003</v>
      </c>
    </row>
    <row r="103" spans="1:13">
      <c r="A103" s="204">
        <v>41653</v>
      </c>
      <c r="B103" s="198">
        <v>5.6</v>
      </c>
      <c r="C103" s="198">
        <v>9.4</v>
      </c>
      <c r="D103" s="198">
        <v>1.9</v>
      </c>
      <c r="E103" s="198">
        <v>93</v>
      </c>
      <c r="F103" s="198">
        <v>38</v>
      </c>
      <c r="G103" s="198">
        <v>1.4</v>
      </c>
      <c r="H103" s="198">
        <v>3.5</v>
      </c>
      <c r="I103" s="198">
        <v>0.4</v>
      </c>
      <c r="J103" s="198">
        <v>0.4</v>
      </c>
      <c r="K103" s="198">
        <v>0</v>
      </c>
      <c r="L103" s="198">
        <v>3.1</v>
      </c>
      <c r="M103" s="198">
        <f t="shared" si="1"/>
        <v>125.60000000000002</v>
      </c>
    </row>
    <row r="104" spans="1:13">
      <c r="A104" s="204">
        <v>41654</v>
      </c>
      <c r="B104" s="198">
        <v>4.9000000000000004</v>
      </c>
      <c r="C104" s="198">
        <v>8.9</v>
      </c>
      <c r="D104" s="198">
        <v>0.9</v>
      </c>
      <c r="E104" s="198">
        <v>94</v>
      </c>
      <c r="F104" s="198">
        <v>33</v>
      </c>
      <c r="G104" s="198">
        <v>1.3</v>
      </c>
      <c r="H104" s="198">
        <v>0</v>
      </c>
      <c r="I104" s="198">
        <v>0.4</v>
      </c>
      <c r="J104" s="198">
        <v>0.4</v>
      </c>
      <c r="K104" s="198">
        <v>0</v>
      </c>
      <c r="L104" s="198">
        <v>-0.4</v>
      </c>
      <c r="M104" s="198">
        <f t="shared" si="1"/>
        <v>125.20000000000002</v>
      </c>
    </row>
    <row r="105" spans="1:13">
      <c r="A105" s="204">
        <v>41655</v>
      </c>
      <c r="B105" s="198">
        <v>7.8</v>
      </c>
      <c r="C105" s="198">
        <v>11.1</v>
      </c>
      <c r="D105" s="198">
        <v>4.4000000000000004</v>
      </c>
      <c r="E105" s="198">
        <v>92</v>
      </c>
      <c r="F105" s="198">
        <v>52</v>
      </c>
      <c r="G105" s="198">
        <v>1.2</v>
      </c>
      <c r="H105" s="198">
        <v>0</v>
      </c>
      <c r="I105" s="198">
        <v>0.5</v>
      </c>
      <c r="J105" s="198">
        <v>0.5</v>
      </c>
      <c r="K105" s="198">
        <v>0</v>
      </c>
      <c r="L105" s="198">
        <v>-0.5</v>
      </c>
      <c r="M105" s="198">
        <f t="shared" si="1"/>
        <v>124.70000000000002</v>
      </c>
    </row>
    <row r="106" spans="1:13">
      <c r="A106" s="204">
        <v>41656</v>
      </c>
      <c r="B106" s="198">
        <v>7.5</v>
      </c>
      <c r="C106" s="198">
        <v>14.2</v>
      </c>
      <c r="D106" s="198">
        <v>0.8</v>
      </c>
      <c r="E106" s="198">
        <v>90</v>
      </c>
      <c r="F106" s="198">
        <v>97</v>
      </c>
      <c r="G106" s="198">
        <v>0.3</v>
      </c>
      <c r="H106" s="198">
        <v>0.2</v>
      </c>
      <c r="I106" s="198">
        <v>0.5</v>
      </c>
      <c r="J106" s="198">
        <v>0.5</v>
      </c>
      <c r="K106" s="198">
        <v>0</v>
      </c>
      <c r="L106" s="198">
        <v>-0.3</v>
      </c>
      <c r="M106" s="198">
        <f t="shared" si="1"/>
        <v>124.40000000000002</v>
      </c>
    </row>
    <row r="107" spans="1:13">
      <c r="A107" s="204">
        <v>41657</v>
      </c>
      <c r="B107" s="198">
        <v>5</v>
      </c>
      <c r="C107" s="198">
        <v>9.5</v>
      </c>
      <c r="D107" s="198">
        <v>0.4</v>
      </c>
      <c r="E107" s="198">
        <v>92</v>
      </c>
      <c r="F107" s="198">
        <v>40</v>
      </c>
      <c r="G107" s="198">
        <v>0.2</v>
      </c>
      <c r="H107" s="198">
        <v>2.1</v>
      </c>
      <c r="I107" s="198">
        <v>0.5</v>
      </c>
      <c r="J107" s="198">
        <v>0.5</v>
      </c>
      <c r="K107" s="198">
        <v>0</v>
      </c>
      <c r="L107" s="198">
        <v>1.6</v>
      </c>
      <c r="M107" s="198">
        <f t="shared" si="1"/>
        <v>126.00000000000001</v>
      </c>
    </row>
    <row r="108" spans="1:13">
      <c r="A108" s="204">
        <v>41658</v>
      </c>
      <c r="B108" s="198">
        <v>5.5</v>
      </c>
      <c r="C108" s="198">
        <v>9</v>
      </c>
      <c r="D108" s="198">
        <v>2.1</v>
      </c>
      <c r="E108" s="198">
        <v>93</v>
      </c>
      <c r="F108" s="198">
        <v>45</v>
      </c>
      <c r="G108" s="198">
        <v>0.8</v>
      </c>
      <c r="H108" s="198">
        <v>0.2</v>
      </c>
      <c r="I108" s="198">
        <v>0.4</v>
      </c>
      <c r="J108" s="198">
        <v>0.4</v>
      </c>
      <c r="K108" s="198">
        <v>0</v>
      </c>
      <c r="L108" s="198">
        <v>-0.2</v>
      </c>
      <c r="M108" s="198">
        <f t="shared" si="1"/>
        <v>125.80000000000001</v>
      </c>
    </row>
    <row r="109" spans="1:13">
      <c r="A109" s="204">
        <v>41659</v>
      </c>
      <c r="B109" s="198">
        <v>6.2</v>
      </c>
      <c r="C109" s="198">
        <v>7.9</v>
      </c>
      <c r="D109" s="198">
        <v>4.4000000000000004</v>
      </c>
      <c r="E109" s="198">
        <v>87</v>
      </c>
      <c r="F109" s="198">
        <v>57</v>
      </c>
      <c r="G109" s="198">
        <v>8.5</v>
      </c>
      <c r="H109" s="198">
        <v>3.5</v>
      </c>
      <c r="I109" s="198">
        <v>0.7</v>
      </c>
      <c r="J109" s="198">
        <v>0.7</v>
      </c>
      <c r="K109" s="198">
        <v>0</v>
      </c>
      <c r="L109" s="198">
        <v>2.8</v>
      </c>
      <c r="M109" s="198">
        <f t="shared" si="1"/>
        <v>128.60000000000002</v>
      </c>
    </row>
    <row r="110" spans="1:13">
      <c r="A110" s="204">
        <v>41660</v>
      </c>
      <c r="B110" s="198">
        <v>5.9</v>
      </c>
      <c r="C110" s="198">
        <v>11.7</v>
      </c>
      <c r="D110" s="198">
        <v>0.2</v>
      </c>
      <c r="E110" s="198">
        <v>83</v>
      </c>
      <c r="F110" s="198">
        <v>105</v>
      </c>
      <c r="G110" s="198">
        <v>1.6</v>
      </c>
      <c r="H110" s="198">
        <v>0</v>
      </c>
      <c r="I110" s="198">
        <v>0.5</v>
      </c>
      <c r="J110" s="198">
        <v>0.5</v>
      </c>
      <c r="K110" s="198">
        <v>0</v>
      </c>
      <c r="L110" s="198">
        <v>-0.5</v>
      </c>
      <c r="M110" s="198">
        <f t="shared" si="1"/>
        <v>128.10000000000002</v>
      </c>
    </row>
    <row r="111" spans="1:13">
      <c r="A111" s="204">
        <v>41661</v>
      </c>
      <c r="B111" s="198">
        <v>3.9</v>
      </c>
      <c r="C111" s="198">
        <v>8.6</v>
      </c>
      <c r="D111" s="198">
        <v>-0.9</v>
      </c>
      <c r="E111" s="198">
        <v>95</v>
      </c>
      <c r="F111" s="198">
        <v>24</v>
      </c>
      <c r="G111" s="198">
        <v>1.3</v>
      </c>
      <c r="H111" s="198">
        <v>5.6</v>
      </c>
      <c r="I111" s="198">
        <v>0.4</v>
      </c>
      <c r="J111" s="198">
        <v>0.4</v>
      </c>
      <c r="K111" s="198">
        <v>0</v>
      </c>
      <c r="L111" s="198">
        <v>5.2</v>
      </c>
      <c r="M111" s="198">
        <f t="shared" si="1"/>
        <v>133.30000000000001</v>
      </c>
    </row>
    <row r="112" spans="1:13">
      <c r="A112" s="204">
        <v>41662</v>
      </c>
      <c r="B112" s="198">
        <v>8.1999999999999993</v>
      </c>
      <c r="C112" s="198">
        <v>10.5</v>
      </c>
      <c r="D112" s="198">
        <v>6</v>
      </c>
      <c r="E112" s="198">
        <v>87</v>
      </c>
      <c r="F112" s="198">
        <v>62</v>
      </c>
      <c r="G112" s="198">
        <v>5</v>
      </c>
      <c r="H112" s="198">
        <v>0</v>
      </c>
      <c r="I112" s="198">
        <v>0.8</v>
      </c>
      <c r="J112" s="198">
        <v>0.8</v>
      </c>
      <c r="K112" s="198">
        <v>0</v>
      </c>
      <c r="L112" s="198">
        <v>-0.8</v>
      </c>
      <c r="M112" s="198">
        <f t="shared" si="1"/>
        <v>132.5</v>
      </c>
    </row>
    <row r="113" spans="1:13">
      <c r="A113" s="204">
        <v>41663</v>
      </c>
      <c r="B113" s="198">
        <v>10</v>
      </c>
      <c r="C113" s="198">
        <v>11.7</v>
      </c>
      <c r="D113" s="198">
        <v>8.1999999999999993</v>
      </c>
      <c r="E113" s="198">
        <v>90</v>
      </c>
      <c r="F113" s="198">
        <v>23</v>
      </c>
      <c r="G113" s="198">
        <v>10</v>
      </c>
      <c r="H113" s="198">
        <v>22.5</v>
      </c>
      <c r="I113" s="198">
        <v>0.8</v>
      </c>
      <c r="J113" s="198">
        <v>0.8</v>
      </c>
      <c r="K113" s="198">
        <v>0</v>
      </c>
      <c r="L113" s="198">
        <v>21.7</v>
      </c>
      <c r="M113" s="198">
        <f t="shared" si="1"/>
        <v>154.19999999999999</v>
      </c>
    </row>
    <row r="114" spans="1:13">
      <c r="A114" s="204">
        <v>41664</v>
      </c>
      <c r="B114" s="198">
        <v>11.4</v>
      </c>
      <c r="C114" s="198">
        <v>12.4</v>
      </c>
      <c r="D114" s="198">
        <v>10.4</v>
      </c>
      <c r="E114" s="198">
        <v>90</v>
      </c>
      <c r="F114" s="198">
        <v>31</v>
      </c>
      <c r="G114" s="198">
        <v>9.1999999999999993</v>
      </c>
      <c r="H114" s="198">
        <v>5.3</v>
      </c>
      <c r="I114" s="198">
        <v>0.7</v>
      </c>
      <c r="J114" s="198">
        <v>0.7</v>
      </c>
      <c r="K114" s="198">
        <v>0</v>
      </c>
      <c r="L114" s="198">
        <v>4.5999999999999996</v>
      </c>
      <c r="M114" s="198">
        <f t="shared" si="1"/>
        <v>158.79999999999998</v>
      </c>
    </row>
    <row r="115" spans="1:13">
      <c r="A115" s="204">
        <v>41665</v>
      </c>
      <c r="B115" s="198">
        <v>11.5</v>
      </c>
      <c r="C115" s="198">
        <v>12.7</v>
      </c>
      <c r="D115" s="198">
        <v>10.199999999999999</v>
      </c>
      <c r="E115" s="198">
        <v>88</v>
      </c>
      <c r="F115" s="198">
        <v>55</v>
      </c>
      <c r="G115" s="198">
        <v>6.4</v>
      </c>
      <c r="H115" s="198">
        <v>2.7</v>
      </c>
      <c r="I115" s="198">
        <v>0.8</v>
      </c>
      <c r="J115" s="198">
        <v>0.8</v>
      </c>
      <c r="K115" s="198">
        <v>0</v>
      </c>
      <c r="L115" s="198">
        <v>1.9</v>
      </c>
      <c r="M115" s="198">
        <f t="shared" si="1"/>
        <v>160.69999999999999</v>
      </c>
    </row>
    <row r="116" spans="1:13">
      <c r="A116" s="204">
        <v>41666</v>
      </c>
      <c r="B116" s="198">
        <v>8</v>
      </c>
      <c r="C116" s="198">
        <v>12.1</v>
      </c>
      <c r="D116" s="198">
        <v>3.8</v>
      </c>
      <c r="E116" s="198">
        <v>84</v>
      </c>
      <c r="F116" s="198">
        <v>70</v>
      </c>
      <c r="G116" s="198">
        <v>10.5</v>
      </c>
      <c r="H116" s="198">
        <v>5.5</v>
      </c>
      <c r="I116" s="198">
        <v>1</v>
      </c>
      <c r="J116" s="198">
        <v>1</v>
      </c>
      <c r="K116" s="198">
        <v>0</v>
      </c>
      <c r="L116" s="198">
        <v>4.5</v>
      </c>
      <c r="M116" s="198">
        <f t="shared" si="1"/>
        <v>165.2</v>
      </c>
    </row>
    <row r="117" spans="1:13">
      <c r="A117" s="204">
        <v>41667</v>
      </c>
      <c r="B117" s="198">
        <v>7.6</v>
      </c>
      <c r="C117" s="198">
        <v>11.4</v>
      </c>
      <c r="D117" s="198">
        <v>3.7</v>
      </c>
      <c r="E117" s="198">
        <v>77</v>
      </c>
      <c r="F117" s="198">
        <v>94</v>
      </c>
      <c r="G117" s="198">
        <v>8.5</v>
      </c>
      <c r="H117" s="198">
        <v>2.2999999999999998</v>
      </c>
      <c r="I117" s="198">
        <v>1.4</v>
      </c>
      <c r="J117" s="198">
        <v>1.4</v>
      </c>
      <c r="K117" s="198">
        <v>0</v>
      </c>
      <c r="L117" s="198">
        <v>0.9</v>
      </c>
      <c r="M117" s="198">
        <f t="shared" si="1"/>
        <v>166.1</v>
      </c>
    </row>
    <row r="118" spans="1:13">
      <c r="A118" s="204">
        <v>41668</v>
      </c>
      <c r="B118" s="198">
        <v>7.5</v>
      </c>
      <c r="C118" s="198">
        <v>10.3</v>
      </c>
      <c r="D118" s="198">
        <v>4.5999999999999996</v>
      </c>
      <c r="E118" s="198">
        <v>80</v>
      </c>
      <c r="F118" s="198">
        <v>70</v>
      </c>
      <c r="G118" s="198">
        <v>4.8</v>
      </c>
      <c r="H118" s="198">
        <v>1.9</v>
      </c>
      <c r="I118" s="198">
        <v>0.9</v>
      </c>
      <c r="J118" s="198">
        <v>0.9</v>
      </c>
      <c r="K118" s="198">
        <v>0</v>
      </c>
      <c r="L118" s="198">
        <v>1</v>
      </c>
      <c r="M118" s="198">
        <f t="shared" si="1"/>
        <v>167.1</v>
      </c>
    </row>
    <row r="119" spans="1:13">
      <c r="A119" s="204">
        <v>41669</v>
      </c>
      <c r="B119" s="198">
        <v>6.5</v>
      </c>
      <c r="C119" s="198">
        <v>9.1999999999999993</v>
      </c>
      <c r="D119" s="198">
        <v>3.8</v>
      </c>
      <c r="E119" s="198">
        <v>83</v>
      </c>
      <c r="F119" s="198">
        <v>75</v>
      </c>
      <c r="G119" s="198">
        <v>4</v>
      </c>
      <c r="H119" s="198">
        <v>0.9</v>
      </c>
      <c r="I119" s="198">
        <v>0.8</v>
      </c>
      <c r="J119" s="198">
        <v>0.8</v>
      </c>
      <c r="K119" s="198">
        <v>0</v>
      </c>
      <c r="L119" s="198">
        <v>0.1</v>
      </c>
      <c r="M119" s="198">
        <f t="shared" si="1"/>
        <v>167.2</v>
      </c>
    </row>
    <row r="120" spans="1:13">
      <c r="A120" s="204">
        <v>41670</v>
      </c>
      <c r="B120" s="198">
        <v>4.5999999999999996</v>
      </c>
      <c r="C120" s="198">
        <v>8.6999999999999993</v>
      </c>
      <c r="D120" s="198">
        <v>0.5</v>
      </c>
      <c r="E120" s="198">
        <v>94</v>
      </c>
      <c r="F120" s="198">
        <v>40</v>
      </c>
      <c r="G120" s="198">
        <v>0.8</v>
      </c>
      <c r="H120" s="198">
        <v>0.2</v>
      </c>
      <c r="I120" s="198">
        <v>0.5</v>
      </c>
      <c r="J120" s="198">
        <v>0.5</v>
      </c>
      <c r="K120" s="198">
        <v>0</v>
      </c>
      <c r="L120" s="198">
        <v>-0.3</v>
      </c>
      <c r="M120" s="198">
        <f t="shared" si="1"/>
        <v>166.89999999999998</v>
      </c>
    </row>
    <row r="121" spans="1:13">
      <c r="A121" s="204">
        <v>41671</v>
      </c>
      <c r="B121" s="198">
        <v>6.1</v>
      </c>
      <c r="C121" s="198">
        <v>8.4</v>
      </c>
      <c r="D121" s="198">
        <v>3.7</v>
      </c>
      <c r="E121" s="198">
        <v>88</v>
      </c>
      <c r="F121" s="198">
        <v>23</v>
      </c>
      <c r="G121" s="198">
        <v>6.7</v>
      </c>
      <c r="H121" s="198">
        <v>9.6</v>
      </c>
      <c r="I121" s="198">
        <v>0.6</v>
      </c>
      <c r="J121" s="198">
        <v>0.6</v>
      </c>
      <c r="K121" s="198">
        <v>0</v>
      </c>
      <c r="L121" s="198">
        <v>9</v>
      </c>
      <c r="M121" s="198">
        <f t="shared" si="1"/>
        <v>175.89999999999998</v>
      </c>
    </row>
    <row r="122" spans="1:13">
      <c r="A122" s="204">
        <v>41672</v>
      </c>
      <c r="B122" s="198">
        <v>5.9</v>
      </c>
      <c r="C122" s="198">
        <v>9.1</v>
      </c>
      <c r="D122" s="198">
        <v>2.7</v>
      </c>
      <c r="E122" s="198">
        <v>83</v>
      </c>
      <c r="F122" s="198">
        <v>97</v>
      </c>
      <c r="G122" s="198">
        <v>5.3</v>
      </c>
      <c r="H122" s="198">
        <v>0</v>
      </c>
      <c r="I122" s="198">
        <v>0.8</v>
      </c>
      <c r="J122" s="198">
        <v>0.8</v>
      </c>
      <c r="K122" s="198">
        <v>0</v>
      </c>
      <c r="L122" s="198">
        <v>-0.8</v>
      </c>
      <c r="M122" s="198">
        <f t="shared" si="1"/>
        <v>175.09999999999997</v>
      </c>
    </row>
    <row r="123" spans="1:13">
      <c r="A123" s="204">
        <v>41673</v>
      </c>
      <c r="B123" s="198">
        <v>5.0999999999999996</v>
      </c>
      <c r="C123" s="198">
        <v>10.4</v>
      </c>
      <c r="D123" s="198">
        <v>-0.2</v>
      </c>
      <c r="E123" s="198">
        <v>84</v>
      </c>
      <c r="F123" s="198">
        <v>103</v>
      </c>
      <c r="G123" s="198">
        <v>2.7</v>
      </c>
      <c r="H123" s="198">
        <v>1.6</v>
      </c>
      <c r="I123" s="198">
        <v>0.7</v>
      </c>
      <c r="J123" s="198">
        <v>0.7</v>
      </c>
      <c r="K123" s="198">
        <v>0</v>
      </c>
      <c r="L123" s="198">
        <v>0.9</v>
      </c>
      <c r="M123" s="198">
        <f t="shared" si="1"/>
        <v>175.99999999999997</v>
      </c>
    </row>
    <row r="124" spans="1:13">
      <c r="A124" s="204">
        <v>41674</v>
      </c>
      <c r="B124" s="198">
        <v>7</v>
      </c>
      <c r="C124" s="198">
        <v>12.2</v>
      </c>
      <c r="D124" s="198">
        <v>1.8</v>
      </c>
      <c r="E124" s="198">
        <v>75</v>
      </c>
      <c r="F124" s="198">
        <v>131</v>
      </c>
      <c r="G124" s="198">
        <v>4.4000000000000004</v>
      </c>
      <c r="H124" s="198">
        <v>0.5</v>
      </c>
      <c r="I124" s="198">
        <v>1.1000000000000001</v>
      </c>
      <c r="J124" s="198">
        <v>1.1000000000000001</v>
      </c>
      <c r="K124" s="198">
        <v>0</v>
      </c>
      <c r="L124" s="198">
        <v>-0.6</v>
      </c>
      <c r="M124" s="198">
        <f t="shared" si="1"/>
        <v>175.39999999999998</v>
      </c>
    </row>
    <row r="125" spans="1:13">
      <c r="A125" s="204">
        <v>41675</v>
      </c>
      <c r="B125" s="198">
        <v>7.7</v>
      </c>
      <c r="C125" s="198">
        <v>12.1</v>
      </c>
      <c r="D125" s="198">
        <v>3.3</v>
      </c>
      <c r="E125" s="198">
        <v>69</v>
      </c>
      <c r="F125" s="198">
        <v>81</v>
      </c>
      <c r="G125" s="198">
        <v>5.8</v>
      </c>
      <c r="H125" s="198">
        <v>1.4</v>
      </c>
      <c r="I125" s="198">
        <v>1.2</v>
      </c>
      <c r="J125" s="198">
        <v>1.2</v>
      </c>
      <c r="K125" s="198">
        <v>0</v>
      </c>
      <c r="L125" s="198">
        <v>0.2</v>
      </c>
      <c r="M125" s="198">
        <f t="shared" si="1"/>
        <v>175.59999999999997</v>
      </c>
    </row>
    <row r="126" spans="1:13">
      <c r="A126" s="204">
        <v>41676</v>
      </c>
      <c r="B126" s="198">
        <v>7.5</v>
      </c>
      <c r="C126" s="198">
        <v>13.7</v>
      </c>
      <c r="D126" s="198">
        <v>1.3</v>
      </c>
      <c r="E126" s="198">
        <v>76</v>
      </c>
      <c r="F126" s="198">
        <v>118</v>
      </c>
      <c r="G126" s="198">
        <v>10.1</v>
      </c>
      <c r="H126" s="198">
        <v>0.2</v>
      </c>
      <c r="I126" s="198">
        <v>1.5</v>
      </c>
      <c r="J126" s="198">
        <v>1.5</v>
      </c>
      <c r="K126" s="198">
        <v>0</v>
      </c>
      <c r="L126" s="198">
        <v>-1.3</v>
      </c>
      <c r="M126" s="198">
        <f t="shared" si="1"/>
        <v>174.29999999999995</v>
      </c>
    </row>
    <row r="127" spans="1:13">
      <c r="A127" s="204">
        <v>41677</v>
      </c>
      <c r="B127" s="198">
        <v>8.5</v>
      </c>
      <c r="C127" s="198">
        <v>12.9</v>
      </c>
      <c r="D127" s="198">
        <v>4</v>
      </c>
      <c r="E127" s="198">
        <v>73</v>
      </c>
      <c r="F127" s="198">
        <v>114</v>
      </c>
      <c r="G127" s="198">
        <v>6.3</v>
      </c>
      <c r="H127" s="198">
        <v>1.4</v>
      </c>
      <c r="I127" s="198">
        <v>1.4</v>
      </c>
      <c r="J127" s="198">
        <v>1.4</v>
      </c>
      <c r="K127" s="198">
        <v>0</v>
      </c>
      <c r="L127" s="198">
        <v>0</v>
      </c>
      <c r="M127" s="198">
        <f t="shared" si="1"/>
        <v>174.29999999999995</v>
      </c>
    </row>
    <row r="128" spans="1:13">
      <c r="A128" s="204">
        <v>41678</v>
      </c>
      <c r="B128" s="198">
        <v>8.1999999999999993</v>
      </c>
      <c r="C128" s="198">
        <v>12.7</v>
      </c>
      <c r="D128" s="198">
        <v>3.8</v>
      </c>
      <c r="E128" s="198">
        <v>78</v>
      </c>
      <c r="F128" s="198">
        <v>68</v>
      </c>
      <c r="G128" s="198">
        <v>7.4</v>
      </c>
      <c r="H128" s="198">
        <v>2.1</v>
      </c>
      <c r="I128" s="198">
        <v>1.1000000000000001</v>
      </c>
      <c r="J128" s="198">
        <v>1.1000000000000001</v>
      </c>
      <c r="K128" s="198">
        <v>0</v>
      </c>
      <c r="L128" s="198">
        <v>1</v>
      </c>
      <c r="M128" s="198">
        <f t="shared" si="1"/>
        <v>175.29999999999995</v>
      </c>
    </row>
    <row r="129" spans="1:13">
      <c r="A129" s="204">
        <v>41679</v>
      </c>
      <c r="B129" s="198">
        <v>7.2</v>
      </c>
      <c r="C129" s="198">
        <v>11.6</v>
      </c>
      <c r="D129" s="198">
        <v>2.7</v>
      </c>
      <c r="E129" s="198">
        <v>69</v>
      </c>
      <c r="F129" s="198">
        <v>111</v>
      </c>
      <c r="G129" s="198">
        <v>5.0999999999999996</v>
      </c>
      <c r="H129" s="198">
        <v>0.4</v>
      </c>
      <c r="I129" s="198">
        <v>1.2</v>
      </c>
      <c r="J129" s="198">
        <v>1.2</v>
      </c>
      <c r="K129" s="198">
        <v>0</v>
      </c>
      <c r="L129" s="198">
        <v>-0.8</v>
      </c>
      <c r="M129" s="198">
        <f t="shared" si="1"/>
        <v>174.49999999999994</v>
      </c>
    </row>
    <row r="130" spans="1:13">
      <c r="A130" s="204">
        <v>41680</v>
      </c>
      <c r="B130" s="198">
        <v>7.4</v>
      </c>
      <c r="C130" s="198">
        <v>10.199999999999999</v>
      </c>
      <c r="D130" s="198">
        <v>4.5</v>
      </c>
      <c r="E130" s="198">
        <v>75</v>
      </c>
      <c r="F130" s="198">
        <v>59</v>
      </c>
      <c r="G130" s="198">
        <v>10.1</v>
      </c>
      <c r="H130" s="198">
        <v>3.1</v>
      </c>
      <c r="I130" s="198">
        <v>1.5</v>
      </c>
      <c r="J130" s="198">
        <v>1.5</v>
      </c>
      <c r="K130" s="198">
        <v>0</v>
      </c>
      <c r="L130" s="198">
        <v>1.6</v>
      </c>
      <c r="M130" s="198">
        <f t="shared" si="1"/>
        <v>176.09999999999994</v>
      </c>
    </row>
    <row r="131" spans="1:13">
      <c r="A131" s="204">
        <v>41681</v>
      </c>
      <c r="B131" s="198">
        <v>6.3</v>
      </c>
      <c r="C131" s="198">
        <v>8.9</v>
      </c>
      <c r="D131" s="198">
        <v>3.6</v>
      </c>
      <c r="E131" s="198">
        <v>81</v>
      </c>
      <c r="F131" s="198">
        <v>62</v>
      </c>
      <c r="G131" s="198">
        <v>7.3</v>
      </c>
      <c r="H131" s="198">
        <v>6.5</v>
      </c>
      <c r="I131" s="198">
        <v>1</v>
      </c>
      <c r="J131" s="198">
        <v>1</v>
      </c>
      <c r="K131" s="198">
        <v>0</v>
      </c>
      <c r="L131" s="198">
        <v>5.5</v>
      </c>
      <c r="M131" s="198">
        <f t="shared" si="1"/>
        <v>181.59999999999994</v>
      </c>
    </row>
    <row r="132" spans="1:13">
      <c r="A132" s="204">
        <v>41682</v>
      </c>
      <c r="B132" s="198">
        <v>7.5</v>
      </c>
      <c r="C132" s="198">
        <v>12.1</v>
      </c>
      <c r="D132" s="198">
        <v>2.8</v>
      </c>
      <c r="E132" s="198">
        <v>74</v>
      </c>
      <c r="F132" s="198">
        <v>129</v>
      </c>
      <c r="G132" s="198">
        <v>2.5</v>
      </c>
      <c r="H132" s="198">
        <v>0</v>
      </c>
      <c r="I132" s="198">
        <v>1</v>
      </c>
      <c r="J132" s="198">
        <v>1</v>
      </c>
      <c r="K132" s="198">
        <v>0</v>
      </c>
      <c r="L132" s="198">
        <v>-1</v>
      </c>
      <c r="M132" s="198">
        <f t="shared" si="1"/>
        <v>180.59999999999994</v>
      </c>
    </row>
    <row r="133" spans="1:13">
      <c r="A133" s="204">
        <v>41683</v>
      </c>
      <c r="B133" s="198">
        <v>8.9</v>
      </c>
      <c r="C133" s="198">
        <v>12.4</v>
      </c>
      <c r="D133" s="198">
        <v>5.3</v>
      </c>
      <c r="E133" s="198">
        <v>79</v>
      </c>
      <c r="F133" s="198">
        <v>49</v>
      </c>
      <c r="G133" s="198">
        <v>6.3</v>
      </c>
      <c r="H133" s="198">
        <v>2.8</v>
      </c>
      <c r="I133" s="198">
        <v>1.2</v>
      </c>
      <c r="J133" s="198">
        <v>1.2</v>
      </c>
      <c r="K133" s="198">
        <v>0</v>
      </c>
      <c r="L133" s="198">
        <v>1.6</v>
      </c>
      <c r="M133" s="198">
        <f t="shared" si="1"/>
        <v>182.19999999999993</v>
      </c>
    </row>
    <row r="134" spans="1:13">
      <c r="A134" s="204">
        <v>41684</v>
      </c>
      <c r="B134" s="198">
        <v>10.7</v>
      </c>
      <c r="C134" s="198">
        <v>14.7</v>
      </c>
      <c r="D134" s="198">
        <v>6.6</v>
      </c>
      <c r="E134" s="198">
        <v>79</v>
      </c>
      <c r="F134" s="198">
        <v>89</v>
      </c>
      <c r="G134" s="198">
        <v>7.6</v>
      </c>
      <c r="H134" s="198">
        <v>0</v>
      </c>
      <c r="I134" s="198">
        <v>1.4</v>
      </c>
      <c r="J134" s="198">
        <v>1.4</v>
      </c>
      <c r="K134" s="198">
        <v>0</v>
      </c>
      <c r="L134" s="198">
        <v>-1.4</v>
      </c>
      <c r="M134" s="198">
        <f t="shared" si="1"/>
        <v>180.79999999999993</v>
      </c>
    </row>
    <row r="135" spans="1:13">
      <c r="A135" s="204">
        <v>41685</v>
      </c>
      <c r="B135" s="198">
        <v>7.8</v>
      </c>
      <c r="C135" s="198">
        <v>9.6999999999999993</v>
      </c>
      <c r="D135" s="198">
        <v>5.9</v>
      </c>
      <c r="E135" s="198">
        <v>92</v>
      </c>
      <c r="F135" s="198">
        <v>32</v>
      </c>
      <c r="G135" s="198">
        <v>1</v>
      </c>
      <c r="H135" s="198">
        <v>4.2</v>
      </c>
      <c r="I135" s="198">
        <v>0.6</v>
      </c>
      <c r="J135" s="198">
        <v>0.6</v>
      </c>
      <c r="K135" s="198">
        <v>0</v>
      </c>
      <c r="L135" s="198">
        <v>3.6</v>
      </c>
      <c r="M135" s="198">
        <f t="shared" si="1"/>
        <v>184.39999999999992</v>
      </c>
    </row>
    <row r="136" spans="1:13">
      <c r="A136" s="204">
        <v>41686</v>
      </c>
      <c r="B136" s="198">
        <v>6.8</v>
      </c>
      <c r="C136" s="198">
        <v>10.6</v>
      </c>
      <c r="D136" s="198">
        <v>3</v>
      </c>
      <c r="E136" s="198">
        <v>89</v>
      </c>
      <c r="F136" s="198">
        <v>73</v>
      </c>
      <c r="G136" s="198">
        <v>0.1</v>
      </c>
      <c r="H136" s="198">
        <v>2.2000000000000002</v>
      </c>
      <c r="I136" s="198">
        <v>0.8</v>
      </c>
      <c r="J136" s="198">
        <v>0.8</v>
      </c>
      <c r="K136" s="198">
        <v>0</v>
      </c>
      <c r="L136" s="198">
        <v>1.4</v>
      </c>
      <c r="M136" s="198">
        <f t="shared" si="1"/>
        <v>185.79999999999993</v>
      </c>
    </row>
    <row r="137" spans="1:13">
      <c r="A137" s="204">
        <v>41687</v>
      </c>
      <c r="B137" s="198">
        <v>7.7</v>
      </c>
      <c r="C137" s="198">
        <v>14.2</v>
      </c>
      <c r="D137" s="198">
        <v>1.2</v>
      </c>
      <c r="E137" s="198">
        <v>81</v>
      </c>
      <c r="F137" s="198">
        <v>153</v>
      </c>
      <c r="G137" s="198">
        <v>2.5</v>
      </c>
      <c r="H137" s="198">
        <v>0.2</v>
      </c>
      <c r="I137" s="198">
        <v>1.2</v>
      </c>
      <c r="J137" s="198">
        <v>1.2</v>
      </c>
      <c r="K137" s="198">
        <v>0</v>
      </c>
      <c r="L137" s="198">
        <v>-1</v>
      </c>
      <c r="M137" s="198">
        <f t="shared" si="1"/>
        <v>184.79999999999993</v>
      </c>
    </row>
    <row r="138" spans="1:13">
      <c r="A138" s="204">
        <v>41688</v>
      </c>
      <c r="B138" s="198">
        <v>7.2</v>
      </c>
      <c r="C138" s="198">
        <v>12.8</v>
      </c>
      <c r="D138" s="198">
        <v>1.6</v>
      </c>
      <c r="E138" s="198">
        <v>87</v>
      </c>
      <c r="F138" s="198">
        <v>79</v>
      </c>
      <c r="G138" s="198">
        <v>0.6</v>
      </c>
      <c r="H138" s="198">
        <v>0</v>
      </c>
      <c r="I138" s="198">
        <v>0.9</v>
      </c>
      <c r="J138" s="198">
        <v>0.9</v>
      </c>
      <c r="K138" s="198">
        <v>0</v>
      </c>
      <c r="L138" s="198">
        <v>-0.9</v>
      </c>
      <c r="M138" s="198">
        <f t="shared" si="1"/>
        <v>183.89999999999992</v>
      </c>
    </row>
    <row r="139" spans="1:13">
      <c r="A139" s="204">
        <v>41689</v>
      </c>
      <c r="B139" s="198">
        <v>8.5</v>
      </c>
      <c r="C139" s="198">
        <v>12.3</v>
      </c>
      <c r="D139" s="198">
        <v>4.5999999999999996</v>
      </c>
      <c r="E139" s="198">
        <v>86</v>
      </c>
      <c r="F139" s="198">
        <v>96</v>
      </c>
      <c r="G139" s="198">
        <v>2.6</v>
      </c>
      <c r="H139" s="198">
        <v>0.2</v>
      </c>
      <c r="I139" s="198">
        <v>1</v>
      </c>
      <c r="J139" s="198">
        <v>1</v>
      </c>
      <c r="K139" s="198">
        <v>0</v>
      </c>
      <c r="L139" s="198">
        <v>-0.8</v>
      </c>
      <c r="M139" s="198">
        <f t="shared" si="1"/>
        <v>183.09999999999991</v>
      </c>
    </row>
    <row r="140" spans="1:13">
      <c r="A140" s="204">
        <v>41690</v>
      </c>
      <c r="B140" s="198">
        <v>8.9</v>
      </c>
      <c r="C140" s="198">
        <v>13.4</v>
      </c>
      <c r="D140" s="198">
        <v>4.4000000000000004</v>
      </c>
      <c r="E140" s="198">
        <v>87</v>
      </c>
      <c r="F140" s="198">
        <v>94</v>
      </c>
      <c r="G140" s="198">
        <v>0.4</v>
      </c>
      <c r="H140" s="198">
        <v>1.2</v>
      </c>
      <c r="I140" s="198">
        <v>0.9</v>
      </c>
      <c r="J140" s="198">
        <v>0.9</v>
      </c>
      <c r="K140" s="198">
        <v>0</v>
      </c>
      <c r="L140" s="198">
        <v>0.3</v>
      </c>
      <c r="M140" s="198">
        <f t="shared" si="1"/>
        <v>183.39999999999992</v>
      </c>
    </row>
    <row r="141" spans="1:13">
      <c r="A141" s="204">
        <v>41691</v>
      </c>
      <c r="B141" s="198">
        <v>7.6</v>
      </c>
      <c r="C141" s="198">
        <v>10.7</v>
      </c>
      <c r="D141" s="198">
        <v>4.4000000000000004</v>
      </c>
      <c r="E141" s="198">
        <v>81</v>
      </c>
      <c r="F141" s="198">
        <v>103</v>
      </c>
      <c r="G141" s="198">
        <v>6.1</v>
      </c>
      <c r="H141" s="198">
        <v>5.8</v>
      </c>
      <c r="I141" s="198">
        <v>1.2</v>
      </c>
      <c r="J141" s="198">
        <v>1.2</v>
      </c>
      <c r="K141" s="198">
        <v>0</v>
      </c>
      <c r="L141" s="198">
        <v>4.5999999999999996</v>
      </c>
      <c r="M141" s="198">
        <f t="shared" si="1"/>
        <v>187.99999999999991</v>
      </c>
    </row>
    <row r="142" spans="1:13">
      <c r="A142" s="204">
        <v>41692</v>
      </c>
      <c r="B142" s="198">
        <v>8</v>
      </c>
      <c r="C142" s="198">
        <v>14.6</v>
      </c>
      <c r="D142" s="198">
        <v>1.4</v>
      </c>
      <c r="E142" s="198">
        <v>72</v>
      </c>
      <c r="F142" s="198">
        <v>159</v>
      </c>
      <c r="G142" s="198">
        <v>2</v>
      </c>
      <c r="H142" s="198">
        <v>0</v>
      </c>
      <c r="I142" s="198">
        <v>1.3</v>
      </c>
      <c r="J142" s="198">
        <v>1.3</v>
      </c>
      <c r="K142" s="198">
        <v>0</v>
      </c>
      <c r="L142" s="198">
        <v>-1.3</v>
      </c>
      <c r="M142" s="198">
        <f t="shared" si="1"/>
        <v>186.6999999999999</v>
      </c>
    </row>
    <row r="143" spans="1:13">
      <c r="A143" s="204">
        <v>41693</v>
      </c>
      <c r="B143" s="198">
        <v>8.6999999999999993</v>
      </c>
      <c r="C143" s="198">
        <v>16.7</v>
      </c>
      <c r="D143" s="198">
        <v>0.7</v>
      </c>
      <c r="E143" s="198">
        <v>72</v>
      </c>
      <c r="F143" s="198">
        <v>181</v>
      </c>
      <c r="G143" s="198">
        <v>2.6</v>
      </c>
      <c r="H143" s="198">
        <v>0</v>
      </c>
      <c r="I143" s="198">
        <v>1.6</v>
      </c>
      <c r="J143" s="198">
        <v>1.6</v>
      </c>
      <c r="K143" s="198">
        <v>0</v>
      </c>
      <c r="L143" s="198">
        <v>-1.6</v>
      </c>
      <c r="M143" s="198">
        <f t="shared" si="1"/>
        <v>185.09999999999991</v>
      </c>
    </row>
    <row r="144" spans="1:13">
      <c r="A144" s="204">
        <v>41694</v>
      </c>
      <c r="B144" s="198">
        <v>9.1999999999999993</v>
      </c>
      <c r="C144" s="198">
        <v>16.600000000000001</v>
      </c>
      <c r="D144" s="198">
        <v>1.7</v>
      </c>
      <c r="E144" s="198">
        <v>70</v>
      </c>
      <c r="F144" s="198">
        <v>176</v>
      </c>
      <c r="G144" s="198">
        <v>3.8</v>
      </c>
      <c r="H144" s="198">
        <v>0</v>
      </c>
      <c r="I144" s="198">
        <v>1.7</v>
      </c>
      <c r="J144" s="198">
        <v>1.7</v>
      </c>
      <c r="K144" s="198">
        <v>0</v>
      </c>
      <c r="L144" s="198">
        <v>-1.7</v>
      </c>
      <c r="M144" s="198">
        <f t="shared" si="1"/>
        <v>183.39999999999992</v>
      </c>
    </row>
    <row r="145" spans="1:13">
      <c r="A145" s="204">
        <v>41695</v>
      </c>
      <c r="B145" s="198">
        <v>10.4</v>
      </c>
      <c r="C145" s="198">
        <v>16.600000000000001</v>
      </c>
      <c r="D145" s="198">
        <v>4.0999999999999996</v>
      </c>
      <c r="E145" s="198">
        <v>78</v>
      </c>
      <c r="F145" s="198">
        <v>120</v>
      </c>
      <c r="G145" s="198">
        <v>2.6</v>
      </c>
      <c r="H145" s="198">
        <v>3.7</v>
      </c>
      <c r="I145" s="198">
        <v>1.4</v>
      </c>
      <c r="J145" s="198">
        <v>1.4</v>
      </c>
      <c r="K145" s="198">
        <v>0</v>
      </c>
      <c r="L145" s="198">
        <v>2.2999999999999998</v>
      </c>
      <c r="M145" s="198">
        <f t="shared" si="1"/>
        <v>185.69999999999993</v>
      </c>
    </row>
    <row r="146" spans="1:13">
      <c r="A146" s="204">
        <v>41696</v>
      </c>
      <c r="B146" s="198">
        <v>7.4</v>
      </c>
      <c r="C146" s="198">
        <v>10.3</v>
      </c>
      <c r="D146" s="198">
        <v>4.5</v>
      </c>
      <c r="E146" s="198">
        <v>78</v>
      </c>
      <c r="F146" s="198">
        <v>128</v>
      </c>
      <c r="G146" s="198">
        <v>6.7</v>
      </c>
      <c r="H146" s="198">
        <v>0</v>
      </c>
      <c r="I146" s="198">
        <v>1.4</v>
      </c>
      <c r="J146" s="198">
        <v>1.4</v>
      </c>
      <c r="K146" s="198">
        <v>0</v>
      </c>
      <c r="L146" s="198">
        <v>-1.4</v>
      </c>
      <c r="M146" s="198">
        <f t="shared" si="1"/>
        <v>184.29999999999993</v>
      </c>
    </row>
    <row r="147" spans="1:13">
      <c r="A147" s="204">
        <v>41697</v>
      </c>
      <c r="B147" s="198">
        <v>6.4</v>
      </c>
      <c r="C147" s="198">
        <v>11.8</v>
      </c>
      <c r="D147" s="198">
        <v>0.9</v>
      </c>
      <c r="E147" s="198">
        <v>84</v>
      </c>
      <c r="F147" s="198">
        <v>67</v>
      </c>
      <c r="G147" s="198">
        <v>3.7</v>
      </c>
      <c r="H147" s="198">
        <v>1.8</v>
      </c>
      <c r="I147" s="198">
        <v>1</v>
      </c>
      <c r="J147" s="198">
        <v>1</v>
      </c>
      <c r="K147" s="198">
        <v>0</v>
      </c>
      <c r="L147" s="198">
        <v>0.8</v>
      </c>
      <c r="M147" s="198">
        <f t="shared" si="1"/>
        <v>185.09999999999994</v>
      </c>
    </row>
    <row r="148" spans="1:13">
      <c r="A148" s="204">
        <v>41698</v>
      </c>
      <c r="B148" s="198">
        <v>7.3</v>
      </c>
      <c r="C148" s="198">
        <v>9.1999999999999993</v>
      </c>
      <c r="D148" s="198">
        <v>5.4</v>
      </c>
      <c r="E148" s="198">
        <v>81</v>
      </c>
      <c r="F148" s="198">
        <v>113</v>
      </c>
      <c r="G148" s="198">
        <v>9.4</v>
      </c>
      <c r="H148" s="198">
        <v>9.3000000000000007</v>
      </c>
      <c r="I148" s="198">
        <v>1.3</v>
      </c>
      <c r="J148" s="198">
        <v>1.3</v>
      </c>
      <c r="K148" s="198">
        <v>0</v>
      </c>
      <c r="L148" s="198">
        <v>8</v>
      </c>
      <c r="M148" s="198">
        <f t="shared" si="1"/>
        <v>193.09999999999994</v>
      </c>
    </row>
    <row r="149" spans="1:13">
      <c r="A149" s="204">
        <v>41699</v>
      </c>
      <c r="B149" s="198">
        <v>7</v>
      </c>
      <c r="C149" s="198">
        <v>10.8</v>
      </c>
      <c r="D149" s="198">
        <v>3.2</v>
      </c>
      <c r="E149" s="198">
        <v>76</v>
      </c>
      <c r="F149" s="198">
        <v>122</v>
      </c>
      <c r="G149" s="198">
        <v>5.4</v>
      </c>
      <c r="H149" s="198">
        <v>0.7</v>
      </c>
      <c r="I149" s="198">
        <v>1.4</v>
      </c>
      <c r="J149" s="198">
        <v>1.4</v>
      </c>
      <c r="K149" s="198">
        <v>0</v>
      </c>
      <c r="L149" s="198">
        <v>-0.7</v>
      </c>
      <c r="M149" s="198">
        <f t="shared" si="1"/>
        <v>192.39999999999995</v>
      </c>
    </row>
    <row r="150" spans="1:13">
      <c r="A150" s="204">
        <v>41700</v>
      </c>
      <c r="B150" s="198">
        <v>5.9</v>
      </c>
      <c r="C150" s="198">
        <v>13.4</v>
      </c>
      <c r="D150" s="198">
        <v>-1.5</v>
      </c>
      <c r="E150" s="198">
        <v>75</v>
      </c>
      <c r="F150" s="198">
        <v>163</v>
      </c>
      <c r="G150" s="198">
        <v>0.3</v>
      </c>
      <c r="H150" s="198">
        <v>0.7</v>
      </c>
      <c r="I150" s="198">
        <v>1.3</v>
      </c>
      <c r="J150" s="198">
        <v>1.3</v>
      </c>
      <c r="K150" s="198">
        <v>0</v>
      </c>
      <c r="L150" s="198">
        <v>-0.6</v>
      </c>
      <c r="M150" s="198">
        <f t="shared" ref="M150:M213" si="2">M149+L150</f>
        <v>191.79999999999995</v>
      </c>
    </row>
    <row r="151" spans="1:13">
      <c r="A151" s="204">
        <v>41701</v>
      </c>
      <c r="B151" s="198">
        <v>7.6</v>
      </c>
      <c r="C151" s="198">
        <v>10.199999999999999</v>
      </c>
      <c r="D151" s="198">
        <v>5</v>
      </c>
      <c r="E151" s="198">
        <v>79</v>
      </c>
      <c r="F151" s="198">
        <v>122</v>
      </c>
      <c r="G151" s="198">
        <v>12.3</v>
      </c>
      <c r="H151" s="198">
        <v>15.4</v>
      </c>
      <c r="I151" s="198">
        <v>1.5</v>
      </c>
      <c r="J151" s="198">
        <v>1.5</v>
      </c>
      <c r="K151" s="198">
        <v>0</v>
      </c>
      <c r="L151" s="198">
        <v>13.9</v>
      </c>
      <c r="M151" s="198">
        <f t="shared" si="2"/>
        <v>205.69999999999996</v>
      </c>
    </row>
    <row r="152" spans="1:13">
      <c r="A152" s="204">
        <v>41702</v>
      </c>
      <c r="B152" s="198">
        <v>8.9</v>
      </c>
      <c r="C152" s="198">
        <v>12.6</v>
      </c>
      <c r="D152" s="198">
        <v>5.2</v>
      </c>
      <c r="E152" s="198">
        <v>70</v>
      </c>
      <c r="F152" s="198">
        <v>167</v>
      </c>
      <c r="G152" s="198">
        <v>12.5</v>
      </c>
      <c r="H152" s="198">
        <v>0.8</v>
      </c>
      <c r="I152" s="198">
        <v>2.2999999999999998</v>
      </c>
      <c r="J152" s="198">
        <v>2.2999999999999998</v>
      </c>
      <c r="K152" s="198">
        <v>0</v>
      </c>
      <c r="L152" s="198">
        <v>-1.5</v>
      </c>
      <c r="M152" s="198">
        <f t="shared" si="2"/>
        <v>204.19999999999996</v>
      </c>
    </row>
    <row r="153" spans="1:13">
      <c r="A153" s="204">
        <v>41703</v>
      </c>
      <c r="B153" s="198">
        <v>10.6</v>
      </c>
      <c r="C153" s="198">
        <v>14.9</v>
      </c>
      <c r="D153" s="198">
        <v>6.3</v>
      </c>
      <c r="E153" s="198">
        <v>70</v>
      </c>
      <c r="F153" s="198">
        <v>202</v>
      </c>
      <c r="G153" s="198">
        <v>3.1</v>
      </c>
      <c r="H153" s="198">
        <v>2.8</v>
      </c>
      <c r="I153" s="198">
        <v>1.9</v>
      </c>
      <c r="J153" s="198">
        <v>1.9</v>
      </c>
      <c r="K153" s="198">
        <v>0</v>
      </c>
      <c r="L153" s="198">
        <v>0.9</v>
      </c>
      <c r="M153" s="198">
        <f t="shared" si="2"/>
        <v>205.09999999999997</v>
      </c>
    </row>
    <row r="154" spans="1:13">
      <c r="A154" s="204">
        <v>41704</v>
      </c>
      <c r="B154" s="198">
        <v>7.7</v>
      </c>
      <c r="C154" s="198">
        <v>15.2</v>
      </c>
      <c r="D154" s="198">
        <v>0.2</v>
      </c>
      <c r="E154" s="198">
        <v>67</v>
      </c>
      <c r="F154" s="198">
        <v>210</v>
      </c>
      <c r="G154" s="198">
        <v>0.9</v>
      </c>
      <c r="H154" s="198">
        <v>0</v>
      </c>
      <c r="I154" s="198">
        <v>1.8</v>
      </c>
      <c r="J154" s="198">
        <v>1.8</v>
      </c>
      <c r="K154" s="198">
        <v>0</v>
      </c>
      <c r="L154" s="198">
        <v>-1.8</v>
      </c>
      <c r="M154" s="198">
        <f t="shared" si="2"/>
        <v>203.29999999999995</v>
      </c>
    </row>
    <row r="155" spans="1:13">
      <c r="A155" s="204">
        <v>41705</v>
      </c>
      <c r="B155" s="198">
        <v>8.4</v>
      </c>
      <c r="C155" s="198">
        <v>17.100000000000001</v>
      </c>
      <c r="D155" s="198">
        <v>-0.3</v>
      </c>
      <c r="E155" s="198">
        <v>71</v>
      </c>
      <c r="F155" s="198">
        <v>195</v>
      </c>
      <c r="G155" s="198">
        <v>0.3</v>
      </c>
      <c r="H155" s="198">
        <v>0</v>
      </c>
      <c r="I155" s="198">
        <v>1.7</v>
      </c>
      <c r="J155" s="198">
        <v>1.7</v>
      </c>
      <c r="K155" s="198">
        <v>0</v>
      </c>
      <c r="L155" s="198">
        <v>-1.7</v>
      </c>
      <c r="M155" s="198">
        <f t="shared" si="2"/>
        <v>201.59999999999997</v>
      </c>
    </row>
    <row r="156" spans="1:13">
      <c r="A156" s="204">
        <v>41706</v>
      </c>
      <c r="B156" s="198">
        <v>9.3000000000000007</v>
      </c>
      <c r="C156" s="198">
        <v>19.600000000000001</v>
      </c>
      <c r="D156" s="198">
        <v>-1.1000000000000001</v>
      </c>
      <c r="E156" s="198">
        <v>68</v>
      </c>
      <c r="F156" s="198">
        <v>211</v>
      </c>
      <c r="G156" s="198">
        <v>0.8</v>
      </c>
      <c r="H156" s="198">
        <v>0</v>
      </c>
      <c r="I156" s="198">
        <v>1.9</v>
      </c>
      <c r="J156" s="198">
        <v>1.9</v>
      </c>
      <c r="K156" s="198">
        <v>0</v>
      </c>
      <c r="L156" s="198">
        <v>-1.9</v>
      </c>
      <c r="M156" s="198">
        <f t="shared" si="2"/>
        <v>199.69999999999996</v>
      </c>
    </row>
    <row r="157" spans="1:13">
      <c r="A157" s="204">
        <v>41707</v>
      </c>
      <c r="B157" s="198">
        <v>11.7</v>
      </c>
      <c r="C157" s="198">
        <v>20.3</v>
      </c>
      <c r="D157" s="198">
        <v>3.1</v>
      </c>
      <c r="E157" s="198">
        <v>42</v>
      </c>
      <c r="F157" s="198">
        <v>224</v>
      </c>
      <c r="G157" s="198">
        <v>8.6</v>
      </c>
      <c r="H157" s="198">
        <v>0</v>
      </c>
      <c r="I157" s="198">
        <v>3.5</v>
      </c>
      <c r="J157" s="198">
        <v>3.5</v>
      </c>
      <c r="K157" s="198">
        <v>0</v>
      </c>
      <c r="L157" s="198">
        <v>-3.5</v>
      </c>
      <c r="M157" s="198">
        <f t="shared" si="2"/>
        <v>196.19999999999996</v>
      </c>
    </row>
    <row r="158" spans="1:13">
      <c r="A158" s="204">
        <v>41708</v>
      </c>
      <c r="B158" s="198">
        <v>9.6</v>
      </c>
      <c r="C158" s="198">
        <v>20</v>
      </c>
      <c r="D158" s="198">
        <v>-0.8</v>
      </c>
      <c r="E158" s="198">
        <v>67</v>
      </c>
      <c r="F158" s="198">
        <v>218</v>
      </c>
      <c r="G158" s="198">
        <v>1.4</v>
      </c>
      <c r="H158" s="198">
        <v>0</v>
      </c>
      <c r="I158" s="198">
        <v>2.1</v>
      </c>
      <c r="J158" s="198">
        <v>2.1</v>
      </c>
      <c r="K158" s="198">
        <v>0</v>
      </c>
      <c r="L158" s="198">
        <v>-2.1</v>
      </c>
      <c r="M158" s="198">
        <f t="shared" si="2"/>
        <v>194.09999999999997</v>
      </c>
    </row>
    <row r="159" spans="1:13">
      <c r="A159" s="204">
        <v>41709</v>
      </c>
      <c r="B159" s="198">
        <v>9.8000000000000007</v>
      </c>
      <c r="C159" s="198">
        <v>16.399999999999999</v>
      </c>
      <c r="D159" s="198">
        <v>3.2</v>
      </c>
      <c r="E159" s="198">
        <v>81</v>
      </c>
      <c r="F159" s="198">
        <v>192</v>
      </c>
      <c r="G159" s="198">
        <v>1</v>
      </c>
      <c r="H159" s="198">
        <v>0</v>
      </c>
      <c r="I159" s="198">
        <v>1.8</v>
      </c>
      <c r="J159" s="198">
        <v>1.8</v>
      </c>
      <c r="K159" s="198">
        <v>0</v>
      </c>
      <c r="L159" s="198">
        <v>-1.8</v>
      </c>
      <c r="M159" s="198">
        <f t="shared" si="2"/>
        <v>192.29999999999995</v>
      </c>
    </row>
    <row r="160" spans="1:13">
      <c r="A160" s="204">
        <v>41710</v>
      </c>
      <c r="B160" s="198">
        <v>9.9</v>
      </c>
      <c r="C160" s="198">
        <v>18.2</v>
      </c>
      <c r="D160" s="198">
        <v>1.5</v>
      </c>
      <c r="E160" s="198">
        <v>68</v>
      </c>
      <c r="F160" s="198">
        <v>215</v>
      </c>
      <c r="G160" s="198">
        <v>4</v>
      </c>
      <c r="H160" s="198">
        <v>0</v>
      </c>
      <c r="I160" s="198">
        <v>2.4</v>
      </c>
      <c r="J160" s="198">
        <v>2.4</v>
      </c>
      <c r="K160" s="198">
        <v>0</v>
      </c>
      <c r="L160" s="198">
        <v>-2.4</v>
      </c>
      <c r="M160" s="198">
        <f t="shared" si="2"/>
        <v>189.89999999999995</v>
      </c>
    </row>
    <row r="161" spans="1:13">
      <c r="A161" s="204">
        <v>41711</v>
      </c>
      <c r="B161" s="198">
        <v>10.3</v>
      </c>
      <c r="C161" s="198">
        <v>19.8</v>
      </c>
      <c r="D161" s="198">
        <v>0.8</v>
      </c>
      <c r="E161" s="198">
        <v>68</v>
      </c>
      <c r="F161" s="198">
        <v>216</v>
      </c>
      <c r="G161" s="198">
        <v>2</v>
      </c>
      <c r="H161" s="198">
        <v>0</v>
      </c>
      <c r="I161" s="198">
        <v>2.1</v>
      </c>
      <c r="J161" s="198">
        <v>2.1</v>
      </c>
      <c r="K161" s="198">
        <v>0</v>
      </c>
      <c r="L161" s="198">
        <v>-2.1</v>
      </c>
      <c r="M161" s="198">
        <f t="shared" si="2"/>
        <v>187.79999999999995</v>
      </c>
    </row>
    <row r="162" spans="1:13">
      <c r="A162" s="204">
        <v>41712</v>
      </c>
      <c r="B162" s="198">
        <v>11.3</v>
      </c>
      <c r="C162" s="198">
        <v>20.6</v>
      </c>
      <c r="D162" s="198">
        <v>1.9</v>
      </c>
      <c r="E162" s="198">
        <v>73</v>
      </c>
      <c r="F162" s="198">
        <v>215</v>
      </c>
      <c r="G162" s="198">
        <v>1.2</v>
      </c>
      <c r="H162" s="198">
        <v>0</v>
      </c>
      <c r="I162" s="198">
        <v>2.2000000000000002</v>
      </c>
      <c r="J162" s="198">
        <v>2.2000000000000002</v>
      </c>
      <c r="K162" s="198">
        <v>0</v>
      </c>
      <c r="L162" s="198">
        <v>-2.2000000000000002</v>
      </c>
      <c r="M162" s="198">
        <f t="shared" si="2"/>
        <v>185.59999999999997</v>
      </c>
    </row>
    <row r="163" spans="1:13">
      <c r="A163" s="204">
        <v>41713</v>
      </c>
      <c r="B163" s="198">
        <v>11.3</v>
      </c>
      <c r="C163" s="198">
        <v>14.9</v>
      </c>
      <c r="D163" s="198">
        <v>7.7</v>
      </c>
      <c r="E163" s="198">
        <v>80</v>
      </c>
      <c r="F163" s="198">
        <v>112</v>
      </c>
      <c r="G163" s="198">
        <v>7</v>
      </c>
      <c r="H163" s="198">
        <v>0</v>
      </c>
      <c r="I163" s="198">
        <v>1.7</v>
      </c>
      <c r="J163" s="198">
        <v>1.7</v>
      </c>
      <c r="K163" s="198">
        <v>0</v>
      </c>
      <c r="L163" s="198">
        <v>-1.7</v>
      </c>
      <c r="M163" s="198">
        <f t="shared" si="2"/>
        <v>183.89999999999998</v>
      </c>
    </row>
    <row r="164" spans="1:13">
      <c r="A164" s="204">
        <v>41714</v>
      </c>
      <c r="B164" s="198">
        <v>12</v>
      </c>
      <c r="C164" s="198">
        <v>17.3</v>
      </c>
      <c r="D164" s="198">
        <v>6.7</v>
      </c>
      <c r="E164" s="198">
        <v>78</v>
      </c>
      <c r="F164" s="198">
        <v>224</v>
      </c>
      <c r="G164" s="198">
        <v>5.7</v>
      </c>
      <c r="H164" s="198">
        <v>0</v>
      </c>
      <c r="I164" s="198">
        <v>2.5</v>
      </c>
      <c r="J164" s="198">
        <v>2.5</v>
      </c>
      <c r="K164" s="198">
        <v>0</v>
      </c>
      <c r="L164" s="198">
        <v>-2.5</v>
      </c>
      <c r="M164" s="198">
        <f t="shared" si="2"/>
        <v>181.39999999999998</v>
      </c>
    </row>
    <row r="165" spans="1:13">
      <c r="A165" s="204">
        <v>41715</v>
      </c>
      <c r="B165" s="198">
        <v>12.6</v>
      </c>
      <c r="C165" s="198">
        <v>22.8</v>
      </c>
      <c r="D165" s="198">
        <v>2.2999999999999998</v>
      </c>
      <c r="E165" s="198">
        <v>79</v>
      </c>
      <c r="F165" s="198">
        <v>225</v>
      </c>
      <c r="G165" s="198">
        <v>0.3</v>
      </c>
      <c r="H165" s="198">
        <v>0</v>
      </c>
      <c r="I165" s="198">
        <v>2.4</v>
      </c>
      <c r="J165" s="198">
        <v>2.4</v>
      </c>
      <c r="K165" s="198">
        <v>0</v>
      </c>
      <c r="L165" s="198">
        <v>-2.4</v>
      </c>
      <c r="M165" s="198">
        <f t="shared" si="2"/>
        <v>178.99999999999997</v>
      </c>
    </row>
    <row r="166" spans="1:13">
      <c r="A166" s="204">
        <v>41716</v>
      </c>
      <c r="B166" s="198">
        <v>8.9</v>
      </c>
      <c r="C166" s="198">
        <v>12.6</v>
      </c>
      <c r="D166" s="198">
        <v>5.2</v>
      </c>
      <c r="E166" s="198">
        <v>92</v>
      </c>
      <c r="F166" s="198">
        <v>44</v>
      </c>
      <c r="G166" s="198">
        <v>2.2999999999999998</v>
      </c>
      <c r="H166" s="198">
        <v>0</v>
      </c>
      <c r="I166" s="198">
        <v>0.8</v>
      </c>
      <c r="J166" s="198">
        <v>0.8</v>
      </c>
      <c r="K166" s="198">
        <v>0</v>
      </c>
      <c r="L166" s="198">
        <v>-0.8</v>
      </c>
      <c r="M166" s="198">
        <f t="shared" si="2"/>
        <v>178.19999999999996</v>
      </c>
    </row>
    <row r="167" spans="1:13">
      <c r="A167" s="204">
        <v>41717</v>
      </c>
      <c r="B167" s="198">
        <v>11.5</v>
      </c>
      <c r="C167" s="198">
        <v>17.2</v>
      </c>
      <c r="D167" s="198">
        <v>5.7</v>
      </c>
      <c r="E167" s="198">
        <v>74</v>
      </c>
      <c r="F167" s="198">
        <v>208</v>
      </c>
      <c r="G167" s="198">
        <v>1.2</v>
      </c>
      <c r="H167" s="198">
        <v>0</v>
      </c>
      <c r="I167" s="198">
        <v>2.1</v>
      </c>
      <c r="J167" s="198">
        <v>2.1</v>
      </c>
      <c r="K167" s="198">
        <v>0</v>
      </c>
      <c r="L167" s="198">
        <v>-2.1</v>
      </c>
      <c r="M167" s="198">
        <f t="shared" si="2"/>
        <v>176.09999999999997</v>
      </c>
    </row>
    <row r="168" spans="1:13">
      <c r="A168" s="204">
        <v>41718</v>
      </c>
      <c r="B168" s="198">
        <v>10.4</v>
      </c>
      <c r="C168" s="198">
        <v>19.600000000000001</v>
      </c>
      <c r="D168" s="198">
        <v>1.1000000000000001</v>
      </c>
      <c r="E168" s="198">
        <v>78</v>
      </c>
      <c r="F168" s="198">
        <v>233</v>
      </c>
      <c r="G168" s="198">
        <v>3.8</v>
      </c>
      <c r="H168" s="198">
        <v>0</v>
      </c>
      <c r="I168" s="198">
        <v>2.5</v>
      </c>
      <c r="J168" s="198">
        <v>2.5</v>
      </c>
      <c r="K168" s="198">
        <v>0</v>
      </c>
      <c r="L168" s="198">
        <v>-2.5</v>
      </c>
      <c r="M168" s="198">
        <f t="shared" si="2"/>
        <v>173.59999999999997</v>
      </c>
    </row>
    <row r="169" spans="1:13">
      <c r="A169" s="204">
        <v>41719</v>
      </c>
      <c r="B169" s="198">
        <v>12.9</v>
      </c>
      <c r="C169" s="198">
        <v>18.3</v>
      </c>
      <c r="D169" s="198">
        <v>7.4</v>
      </c>
      <c r="E169" s="198">
        <v>78</v>
      </c>
      <c r="F169" s="198">
        <v>148</v>
      </c>
      <c r="G169" s="198">
        <v>3.6</v>
      </c>
      <c r="H169" s="198">
        <v>0</v>
      </c>
      <c r="I169" s="198">
        <v>1.9</v>
      </c>
      <c r="J169" s="198">
        <v>1.9</v>
      </c>
      <c r="K169" s="198">
        <v>0</v>
      </c>
      <c r="L169" s="198">
        <v>-1.9</v>
      </c>
      <c r="M169" s="198">
        <f t="shared" si="2"/>
        <v>171.69999999999996</v>
      </c>
    </row>
    <row r="170" spans="1:13">
      <c r="A170" s="204">
        <v>41720</v>
      </c>
      <c r="B170" s="198">
        <v>9.1</v>
      </c>
      <c r="C170" s="198">
        <v>12.4</v>
      </c>
      <c r="D170" s="198">
        <v>5.8</v>
      </c>
      <c r="E170" s="198">
        <v>88</v>
      </c>
      <c r="F170" s="198">
        <v>53</v>
      </c>
      <c r="G170" s="198">
        <v>5</v>
      </c>
      <c r="H170" s="198">
        <v>4.7</v>
      </c>
      <c r="I170" s="198">
        <v>1</v>
      </c>
      <c r="J170" s="198">
        <v>1</v>
      </c>
      <c r="K170" s="198">
        <v>0</v>
      </c>
      <c r="L170" s="198">
        <v>3.7</v>
      </c>
      <c r="M170" s="198">
        <f t="shared" si="2"/>
        <v>175.39999999999995</v>
      </c>
    </row>
    <row r="171" spans="1:13">
      <c r="A171" s="204">
        <v>41721</v>
      </c>
      <c r="B171" s="198">
        <v>7.2</v>
      </c>
      <c r="C171" s="198">
        <v>10.4</v>
      </c>
      <c r="D171" s="198">
        <v>3.9</v>
      </c>
      <c r="E171" s="198">
        <v>83</v>
      </c>
      <c r="F171" s="198">
        <v>189</v>
      </c>
      <c r="G171" s="198">
        <v>11.2</v>
      </c>
      <c r="H171" s="198">
        <v>0</v>
      </c>
      <c r="I171" s="198">
        <v>1.9</v>
      </c>
      <c r="J171" s="198">
        <v>1.9</v>
      </c>
      <c r="K171" s="198">
        <v>0</v>
      </c>
      <c r="L171" s="198">
        <v>-1.9</v>
      </c>
      <c r="M171" s="198">
        <f t="shared" si="2"/>
        <v>173.49999999999994</v>
      </c>
    </row>
    <row r="172" spans="1:13">
      <c r="A172" s="204">
        <v>41722</v>
      </c>
      <c r="B172" s="198">
        <v>8.1999999999999993</v>
      </c>
      <c r="C172" s="198">
        <v>13.1</v>
      </c>
      <c r="D172" s="198">
        <v>3.3</v>
      </c>
      <c r="E172" s="198">
        <v>81</v>
      </c>
      <c r="F172" s="198">
        <v>304</v>
      </c>
      <c r="G172" s="198">
        <v>5.4</v>
      </c>
      <c r="H172" s="198">
        <v>0.6</v>
      </c>
      <c r="I172" s="198">
        <v>3.1</v>
      </c>
      <c r="J172" s="198">
        <v>3.1</v>
      </c>
      <c r="K172" s="198">
        <v>0</v>
      </c>
      <c r="L172" s="198">
        <v>-2.5</v>
      </c>
      <c r="M172" s="198">
        <f t="shared" si="2"/>
        <v>170.99999999999994</v>
      </c>
    </row>
    <row r="173" spans="1:13">
      <c r="A173" s="204">
        <v>41723</v>
      </c>
      <c r="B173" s="198">
        <v>7.8</v>
      </c>
      <c r="C173" s="198">
        <v>12.9</v>
      </c>
      <c r="D173" s="198">
        <v>2.7</v>
      </c>
      <c r="E173" s="198">
        <v>73</v>
      </c>
      <c r="F173" s="198">
        <v>223</v>
      </c>
      <c r="G173" s="198">
        <v>2.4</v>
      </c>
      <c r="H173" s="198">
        <v>0</v>
      </c>
      <c r="I173" s="198">
        <v>2.1</v>
      </c>
      <c r="J173" s="198">
        <v>2.1</v>
      </c>
      <c r="K173" s="198">
        <v>0</v>
      </c>
      <c r="L173" s="198">
        <v>-2.1</v>
      </c>
      <c r="M173" s="198">
        <f t="shared" si="2"/>
        <v>168.89999999999995</v>
      </c>
    </row>
    <row r="174" spans="1:13">
      <c r="A174" s="204">
        <v>41724</v>
      </c>
      <c r="B174" s="198">
        <v>5.2</v>
      </c>
      <c r="C174" s="198">
        <v>9.3000000000000007</v>
      </c>
      <c r="D174" s="198">
        <v>1</v>
      </c>
      <c r="E174" s="198">
        <v>93</v>
      </c>
      <c r="F174" s="198">
        <v>53</v>
      </c>
      <c r="G174" s="198">
        <v>0.2</v>
      </c>
      <c r="H174" s="198">
        <v>0</v>
      </c>
      <c r="I174" s="198">
        <v>0.9</v>
      </c>
      <c r="J174" s="198">
        <v>0.9</v>
      </c>
      <c r="K174" s="198">
        <v>0</v>
      </c>
      <c r="L174" s="198">
        <v>-0.9</v>
      </c>
      <c r="M174" s="198">
        <f t="shared" si="2"/>
        <v>167.99999999999994</v>
      </c>
    </row>
    <row r="175" spans="1:13">
      <c r="A175" s="204">
        <v>41725</v>
      </c>
      <c r="I175" s="198">
        <v>0</v>
      </c>
      <c r="J175" s="198">
        <v>0</v>
      </c>
      <c r="K175" s="198">
        <v>0</v>
      </c>
      <c r="L175" s="198">
        <v>0</v>
      </c>
      <c r="M175" s="198">
        <f t="shared" si="2"/>
        <v>167.99999999999994</v>
      </c>
    </row>
    <row r="176" spans="1:13">
      <c r="A176" s="204">
        <v>41726</v>
      </c>
      <c r="B176" s="198">
        <v>14.6</v>
      </c>
      <c r="C176" s="198">
        <v>18.5</v>
      </c>
      <c r="D176" s="198">
        <v>10.6</v>
      </c>
      <c r="E176" s="198">
        <v>49</v>
      </c>
      <c r="F176" s="198">
        <v>358</v>
      </c>
      <c r="G176" s="198">
        <v>7.4</v>
      </c>
      <c r="H176" s="198">
        <v>0</v>
      </c>
      <c r="I176" s="198">
        <v>5.0999999999999996</v>
      </c>
      <c r="J176" s="198">
        <v>5.0999999999999996</v>
      </c>
      <c r="K176" s="198">
        <v>0</v>
      </c>
      <c r="L176" s="198">
        <v>-5.0999999999999996</v>
      </c>
      <c r="M176" s="198">
        <f t="shared" si="2"/>
        <v>162.89999999999995</v>
      </c>
    </row>
    <row r="177" spans="1:13">
      <c r="A177" s="204">
        <v>41727</v>
      </c>
      <c r="B177" s="198">
        <v>13.5</v>
      </c>
      <c r="C177" s="198">
        <v>16.7</v>
      </c>
      <c r="D177" s="198">
        <v>10.3</v>
      </c>
      <c r="E177" s="198">
        <v>53</v>
      </c>
      <c r="F177" s="198">
        <v>146</v>
      </c>
      <c r="G177" s="198">
        <v>15.6</v>
      </c>
      <c r="H177" s="198">
        <v>0</v>
      </c>
      <c r="I177" s="198">
        <v>3.6</v>
      </c>
      <c r="J177" s="198">
        <v>3.6</v>
      </c>
      <c r="K177" s="198">
        <v>0</v>
      </c>
      <c r="L177" s="198">
        <v>-3.6</v>
      </c>
      <c r="M177" s="198">
        <f t="shared" si="2"/>
        <v>159.29999999999995</v>
      </c>
    </row>
    <row r="178" spans="1:13">
      <c r="A178" s="204">
        <v>41728</v>
      </c>
      <c r="B178" s="198">
        <v>14</v>
      </c>
      <c r="C178" s="198">
        <v>16.2</v>
      </c>
      <c r="D178" s="198">
        <v>11.7</v>
      </c>
      <c r="E178" s="198">
        <v>66</v>
      </c>
      <c r="F178" s="198">
        <v>81</v>
      </c>
      <c r="G178" s="198">
        <v>8.6999999999999993</v>
      </c>
      <c r="H178" s="198">
        <v>0</v>
      </c>
      <c r="I178" s="198">
        <v>2.2999999999999998</v>
      </c>
      <c r="J178" s="198">
        <v>2.2999999999999998</v>
      </c>
      <c r="K178" s="198">
        <v>0</v>
      </c>
      <c r="L178" s="198">
        <v>-2.2999999999999998</v>
      </c>
      <c r="M178" s="198">
        <f t="shared" si="2"/>
        <v>156.99999999999994</v>
      </c>
    </row>
    <row r="179" spans="1:13">
      <c r="A179" s="204">
        <v>41729</v>
      </c>
      <c r="B179" s="198">
        <v>15.5</v>
      </c>
      <c r="C179" s="198">
        <v>19.7</v>
      </c>
      <c r="D179" s="198">
        <v>11.3</v>
      </c>
      <c r="E179" s="198">
        <v>76</v>
      </c>
      <c r="F179" s="198">
        <v>162</v>
      </c>
      <c r="G179" s="198">
        <v>4.0999999999999996</v>
      </c>
      <c r="H179" s="198">
        <v>0</v>
      </c>
      <c r="I179" s="198">
        <v>2.4</v>
      </c>
      <c r="J179" s="198">
        <v>2.4</v>
      </c>
      <c r="K179" s="198">
        <v>0</v>
      </c>
      <c r="L179" s="198">
        <v>-2.4</v>
      </c>
      <c r="M179" s="198">
        <f t="shared" si="2"/>
        <v>154.59999999999994</v>
      </c>
    </row>
    <row r="180" spans="1:13">
      <c r="A180" s="204">
        <v>41730</v>
      </c>
      <c r="B180" s="198">
        <v>15.6</v>
      </c>
      <c r="C180" s="198">
        <v>20.2</v>
      </c>
      <c r="D180" s="198">
        <v>11</v>
      </c>
      <c r="E180" s="198">
        <v>74</v>
      </c>
      <c r="F180" s="198">
        <v>251</v>
      </c>
      <c r="G180" s="198">
        <v>7.6</v>
      </c>
      <c r="H180" s="198">
        <v>0</v>
      </c>
      <c r="I180" s="198">
        <v>3.4</v>
      </c>
      <c r="J180" s="198">
        <v>3.4</v>
      </c>
      <c r="K180" s="198">
        <v>0</v>
      </c>
      <c r="L180" s="198">
        <v>-3.4</v>
      </c>
      <c r="M180" s="198">
        <f t="shared" si="2"/>
        <v>151.19999999999993</v>
      </c>
    </row>
    <row r="181" spans="1:13">
      <c r="A181" s="204">
        <v>41731</v>
      </c>
      <c r="B181" s="198">
        <v>14.8</v>
      </c>
      <c r="C181" s="198">
        <v>18.8</v>
      </c>
      <c r="D181" s="198">
        <v>10.7</v>
      </c>
      <c r="E181" s="198">
        <v>74</v>
      </c>
      <c r="F181" s="198">
        <v>152</v>
      </c>
      <c r="G181" s="198">
        <v>10.1</v>
      </c>
      <c r="H181" s="198">
        <v>0</v>
      </c>
      <c r="I181" s="198">
        <v>2.9</v>
      </c>
      <c r="J181" s="198">
        <v>2.9</v>
      </c>
      <c r="K181" s="198">
        <v>0</v>
      </c>
      <c r="L181" s="198">
        <v>-2.9</v>
      </c>
      <c r="M181" s="198">
        <f t="shared" si="2"/>
        <v>148.29999999999993</v>
      </c>
    </row>
    <row r="182" spans="1:13">
      <c r="A182" s="204">
        <v>41732</v>
      </c>
      <c r="B182" s="198">
        <v>12.3</v>
      </c>
      <c r="C182" s="198">
        <v>14.2</v>
      </c>
      <c r="D182" s="198">
        <v>10.4</v>
      </c>
      <c r="E182" s="198">
        <v>91</v>
      </c>
      <c r="F182" s="198">
        <v>48</v>
      </c>
      <c r="G182" s="198">
        <v>3.3</v>
      </c>
      <c r="H182" s="198">
        <v>2</v>
      </c>
      <c r="I182" s="198">
        <v>1</v>
      </c>
      <c r="J182" s="198">
        <v>1</v>
      </c>
      <c r="K182" s="198">
        <v>0</v>
      </c>
      <c r="L182" s="198">
        <v>1</v>
      </c>
      <c r="M182" s="198">
        <f t="shared" si="2"/>
        <v>149.29999999999993</v>
      </c>
    </row>
    <row r="183" spans="1:13">
      <c r="A183" s="204">
        <v>41733</v>
      </c>
      <c r="B183" s="198">
        <v>11.8</v>
      </c>
      <c r="C183" s="198">
        <v>16</v>
      </c>
      <c r="D183" s="198">
        <v>7.5</v>
      </c>
      <c r="E183" s="198">
        <v>87</v>
      </c>
      <c r="F183" s="198">
        <v>145</v>
      </c>
      <c r="G183" s="198">
        <v>8.1999999999999993</v>
      </c>
      <c r="H183" s="198">
        <v>7.2</v>
      </c>
      <c r="I183" s="198">
        <v>2.1</v>
      </c>
      <c r="J183" s="198">
        <v>2.1</v>
      </c>
      <c r="K183" s="198">
        <v>0</v>
      </c>
      <c r="L183" s="198">
        <v>5.0999999999999996</v>
      </c>
      <c r="M183" s="198">
        <f t="shared" si="2"/>
        <v>154.39999999999992</v>
      </c>
    </row>
    <row r="184" spans="1:13">
      <c r="A184" s="204">
        <v>41734</v>
      </c>
      <c r="B184" s="198">
        <v>11</v>
      </c>
      <c r="C184" s="198">
        <v>19.3</v>
      </c>
      <c r="D184" s="198">
        <v>2.6</v>
      </c>
      <c r="E184" s="198">
        <v>79</v>
      </c>
      <c r="F184" s="198">
        <v>252</v>
      </c>
      <c r="G184" s="198">
        <v>2.4</v>
      </c>
      <c r="H184" s="198">
        <v>0</v>
      </c>
      <c r="I184" s="198">
        <v>2.7</v>
      </c>
      <c r="J184" s="198">
        <v>2.7</v>
      </c>
      <c r="K184" s="198">
        <v>0</v>
      </c>
      <c r="L184" s="198">
        <v>-2.7</v>
      </c>
      <c r="M184" s="198">
        <f t="shared" si="2"/>
        <v>151.69999999999993</v>
      </c>
    </row>
    <row r="185" spans="1:13">
      <c r="A185" s="204">
        <v>41735</v>
      </c>
      <c r="B185" s="198">
        <v>16</v>
      </c>
      <c r="C185" s="198">
        <v>22.4</v>
      </c>
      <c r="D185" s="198">
        <v>9.5</v>
      </c>
      <c r="E185" s="198">
        <v>76</v>
      </c>
      <c r="F185" s="198">
        <v>267</v>
      </c>
      <c r="G185" s="198">
        <v>0.4</v>
      </c>
      <c r="H185" s="198">
        <v>0</v>
      </c>
      <c r="I185" s="198">
        <v>3.2</v>
      </c>
      <c r="J185" s="198">
        <v>3.2</v>
      </c>
      <c r="K185" s="198">
        <v>0</v>
      </c>
      <c r="L185" s="198">
        <v>-3.2</v>
      </c>
      <c r="M185" s="198">
        <f t="shared" si="2"/>
        <v>148.49999999999994</v>
      </c>
    </row>
    <row r="186" spans="1:13">
      <c r="A186" s="204">
        <v>41736</v>
      </c>
      <c r="B186" s="198">
        <v>16.899999999999999</v>
      </c>
      <c r="C186" s="198">
        <v>26.6</v>
      </c>
      <c r="D186" s="198">
        <v>7.1</v>
      </c>
      <c r="E186" s="198">
        <v>74</v>
      </c>
      <c r="F186" s="198">
        <v>320</v>
      </c>
      <c r="G186" s="198">
        <v>2</v>
      </c>
      <c r="H186" s="198">
        <v>2.6</v>
      </c>
      <c r="I186" s="198">
        <v>4.3</v>
      </c>
      <c r="J186" s="198">
        <v>4.3</v>
      </c>
      <c r="K186" s="198">
        <v>0</v>
      </c>
      <c r="L186" s="198">
        <v>-1.7</v>
      </c>
      <c r="M186" s="198">
        <f t="shared" si="2"/>
        <v>146.79999999999995</v>
      </c>
    </row>
    <row r="187" spans="1:13">
      <c r="A187" s="204">
        <v>41737</v>
      </c>
      <c r="B187" s="198">
        <v>13.2</v>
      </c>
      <c r="C187" s="198">
        <v>16.899999999999999</v>
      </c>
      <c r="D187" s="198">
        <v>9.4</v>
      </c>
      <c r="E187" s="198">
        <v>81</v>
      </c>
      <c r="F187" s="198">
        <v>239</v>
      </c>
      <c r="G187" s="198">
        <v>3.4</v>
      </c>
      <c r="H187" s="198">
        <v>2.2000000000000002</v>
      </c>
      <c r="I187" s="198">
        <v>2.8</v>
      </c>
      <c r="J187" s="198">
        <v>2.8</v>
      </c>
      <c r="K187" s="198">
        <v>0</v>
      </c>
      <c r="L187" s="198">
        <v>-0.6</v>
      </c>
      <c r="M187" s="198">
        <f t="shared" si="2"/>
        <v>146.19999999999996</v>
      </c>
    </row>
    <row r="188" spans="1:13">
      <c r="A188" s="204">
        <v>41738</v>
      </c>
      <c r="B188" s="198">
        <v>12.4</v>
      </c>
      <c r="C188" s="198">
        <v>20.8</v>
      </c>
      <c r="D188" s="198">
        <v>4</v>
      </c>
      <c r="E188" s="198">
        <v>72</v>
      </c>
      <c r="F188" s="198">
        <v>299</v>
      </c>
      <c r="G188" s="198">
        <v>0.8</v>
      </c>
      <c r="H188" s="198">
        <v>0</v>
      </c>
      <c r="I188" s="198">
        <v>3.4</v>
      </c>
      <c r="J188" s="198">
        <v>3.4</v>
      </c>
      <c r="K188" s="198">
        <v>0</v>
      </c>
      <c r="L188" s="198">
        <v>-3.4</v>
      </c>
      <c r="M188" s="198">
        <f t="shared" si="2"/>
        <v>142.79999999999995</v>
      </c>
    </row>
    <row r="189" spans="1:13">
      <c r="A189" s="204">
        <v>41739</v>
      </c>
      <c r="B189" s="198">
        <v>14.2</v>
      </c>
      <c r="C189" s="198">
        <v>25.2</v>
      </c>
      <c r="D189" s="198">
        <v>3.2</v>
      </c>
      <c r="E189" s="198">
        <v>72</v>
      </c>
      <c r="F189" s="198">
        <v>298</v>
      </c>
      <c r="G189" s="198">
        <v>0</v>
      </c>
      <c r="H189" s="198">
        <v>0</v>
      </c>
      <c r="I189" s="198">
        <v>3.6</v>
      </c>
      <c r="J189" s="198">
        <v>3.6</v>
      </c>
      <c r="K189" s="198">
        <v>0</v>
      </c>
      <c r="L189" s="198">
        <v>-3.6</v>
      </c>
      <c r="M189" s="198">
        <f t="shared" si="2"/>
        <v>139.19999999999996</v>
      </c>
    </row>
    <row r="190" spans="1:13">
      <c r="A190" s="204">
        <v>41740</v>
      </c>
      <c r="B190" s="198">
        <v>15.8</v>
      </c>
      <c r="C190" s="198">
        <v>22.2</v>
      </c>
      <c r="D190" s="198">
        <v>9.3000000000000007</v>
      </c>
      <c r="E190" s="198">
        <v>73</v>
      </c>
      <c r="F190" s="198">
        <v>189</v>
      </c>
      <c r="G190" s="198">
        <v>2.1</v>
      </c>
      <c r="H190" s="198">
        <v>0</v>
      </c>
      <c r="I190" s="198">
        <v>2.7</v>
      </c>
      <c r="J190" s="198">
        <v>2.7</v>
      </c>
      <c r="K190" s="198">
        <v>0</v>
      </c>
      <c r="L190" s="198">
        <v>-2.7</v>
      </c>
      <c r="M190" s="198">
        <f t="shared" si="2"/>
        <v>136.49999999999997</v>
      </c>
    </row>
    <row r="191" spans="1:13">
      <c r="A191" s="204">
        <v>41741</v>
      </c>
      <c r="B191" s="198">
        <v>15.7</v>
      </c>
      <c r="C191" s="198">
        <v>20</v>
      </c>
      <c r="D191" s="198">
        <v>11.3</v>
      </c>
      <c r="E191" s="198">
        <v>80</v>
      </c>
      <c r="F191" s="198">
        <v>167</v>
      </c>
      <c r="G191" s="198">
        <v>2.2999999999999998</v>
      </c>
      <c r="H191" s="198">
        <v>0</v>
      </c>
      <c r="I191" s="198">
        <v>2.4</v>
      </c>
      <c r="J191" s="198">
        <v>2.4</v>
      </c>
      <c r="K191" s="198">
        <v>0</v>
      </c>
      <c r="L191" s="198">
        <v>-2.4</v>
      </c>
      <c r="M191" s="198">
        <f t="shared" si="2"/>
        <v>134.09999999999997</v>
      </c>
    </row>
    <row r="192" spans="1:13">
      <c r="A192" s="204">
        <v>41742</v>
      </c>
      <c r="B192" s="198">
        <v>15.3</v>
      </c>
      <c r="C192" s="198">
        <v>21.8</v>
      </c>
      <c r="D192" s="198">
        <v>8.8000000000000007</v>
      </c>
      <c r="E192" s="198">
        <v>73</v>
      </c>
      <c r="F192" s="198">
        <v>246</v>
      </c>
      <c r="G192" s="198">
        <v>3.6</v>
      </c>
      <c r="H192" s="198">
        <v>0</v>
      </c>
      <c r="I192" s="198">
        <v>3.4</v>
      </c>
      <c r="J192" s="198">
        <v>3.4</v>
      </c>
      <c r="K192" s="198">
        <v>0</v>
      </c>
      <c r="L192" s="198">
        <v>-3.4</v>
      </c>
      <c r="M192" s="198">
        <f t="shared" si="2"/>
        <v>130.69999999999996</v>
      </c>
    </row>
    <row r="193" spans="1:13">
      <c r="A193" s="204">
        <v>41743</v>
      </c>
      <c r="B193" s="198">
        <v>14.8</v>
      </c>
      <c r="C193" s="198">
        <v>24.4</v>
      </c>
      <c r="D193" s="198">
        <v>5.0999999999999996</v>
      </c>
      <c r="E193" s="198">
        <v>65</v>
      </c>
      <c r="F193" s="198">
        <v>310</v>
      </c>
      <c r="G193" s="198">
        <v>1</v>
      </c>
      <c r="H193" s="198">
        <v>0</v>
      </c>
      <c r="I193" s="198">
        <v>3.8</v>
      </c>
      <c r="J193" s="198">
        <v>3.8</v>
      </c>
      <c r="K193" s="198">
        <v>0</v>
      </c>
      <c r="L193" s="198">
        <v>-3.8</v>
      </c>
      <c r="M193" s="198">
        <f t="shared" si="2"/>
        <v>126.89999999999996</v>
      </c>
    </row>
    <row r="194" spans="1:13">
      <c r="A194" s="204">
        <v>41744</v>
      </c>
      <c r="B194" s="198">
        <v>16.2</v>
      </c>
      <c r="C194" s="198">
        <v>25.7</v>
      </c>
      <c r="D194" s="198">
        <v>6.6</v>
      </c>
      <c r="E194" s="198">
        <v>56</v>
      </c>
      <c r="F194" s="198">
        <v>318</v>
      </c>
      <c r="G194" s="198">
        <v>2.9</v>
      </c>
      <c r="H194" s="198">
        <v>0</v>
      </c>
      <c r="I194" s="198">
        <v>4.4000000000000004</v>
      </c>
      <c r="J194" s="198">
        <v>4.4000000000000004</v>
      </c>
      <c r="K194" s="198">
        <v>0</v>
      </c>
      <c r="L194" s="198">
        <v>-4.4000000000000004</v>
      </c>
      <c r="M194" s="198">
        <f t="shared" si="2"/>
        <v>122.49999999999996</v>
      </c>
    </row>
    <row r="195" spans="1:13">
      <c r="A195" s="204">
        <v>41745</v>
      </c>
      <c r="B195" s="198">
        <v>14.4</v>
      </c>
      <c r="C195" s="198">
        <v>25.8</v>
      </c>
      <c r="D195" s="198">
        <v>2.9</v>
      </c>
      <c r="E195" s="198">
        <v>51</v>
      </c>
      <c r="F195" s="198">
        <v>323</v>
      </c>
      <c r="G195" s="198">
        <v>0.8</v>
      </c>
      <c r="H195" s="198">
        <v>0</v>
      </c>
      <c r="I195" s="198">
        <v>4</v>
      </c>
      <c r="J195" s="198">
        <v>4</v>
      </c>
      <c r="K195" s="198">
        <v>0</v>
      </c>
      <c r="L195" s="198">
        <v>-4</v>
      </c>
      <c r="M195" s="198">
        <f t="shared" si="2"/>
        <v>118.49999999999996</v>
      </c>
    </row>
    <row r="196" spans="1:13">
      <c r="A196" s="204">
        <v>41746</v>
      </c>
      <c r="B196" s="198">
        <v>15.6</v>
      </c>
      <c r="C196" s="198">
        <v>25.4</v>
      </c>
      <c r="D196" s="198">
        <v>5.7</v>
      </c>
      <c r="E196" s="198">
        <v>57</v>
      </c>
      <c r="F196" s="198">
        <v>310</v>
      </c>
      <c r="G196" s="198">
        <v>3.9</v>
      </c>
      <c r="H196" s="198">
        <v>0</v>
      </c>
      <c r="I196" s="198">
        <v>4.5</v>
      </c>
      <c r="J196" s="198">
        <v>4.5</v>
      </c>
      <c r="K196" s="198">
        <v>0</v>
      </c>
      <c r="L196" s="198">
        <v>-4.5</v>
      </c>
      <c r="M196" s="198">
        <f t="shared" si="2"/>
        <v>113.99999999999996</v>
      </c>
    </row>
    <row r="197" spans="1:13">
      <c r="A197" s="204">
        <v>41747</v>
      </c>
      <c r="B197" s="198">
        <v>15.6</v>
      </c>
      <c r="C197" s="198">
        <v>22.2</v>
      </c>
      <c r="D197" s="198">
        <v>8.9</v>
      </c>
      <c r="E197" s="198">
        <v>59</v>
      </c>
      <c r="F197" s="198">
        <v>247</v>
      </c>
      <c r="G197" s="198">
        <v>4</v>
      </c>
      <c r="H197" s="198">
        <v>0</v>
      </c>
      <c r="I197" s="198">
        <v>3.6</v>
      </c>
      <c r="J197" s="198">
        <v>3.6</v>
      </c>
      <c r="K197" s="198">
        <v>0</v>
      </c>
      <c r="L197" s="198">
        <v>-3.6</v>
      </c>
      <c r="M197" s="198">
        <f t="shared" si="2"/>
        <v>110.39999999999996</v>
      </c>
    </row>
    <row r="198" spans="1:13">
      <c r="A198" s="204">
        <v>41748</v>
      </c>
      <c r="B198" s="198">
        <v>14</v>
      </c>
      <c r="C198" s="198">
        <v>18.8</v>
      </c>
      <c r="D198" s="198">
        <v>9.1999999999999993</v>
      </c>
      <c r="E198" s="198">
        <v>54</v>
      </c>
      <c r="F198" s="198">
        <v>289</v>
      </c>
      <c r="G198" s="198">
        <v>3</v>
      </c>
      <c r="H198" s="198">
        <v>0</v>
      </c>
      <c r="I198" s="198">
        <v>3.6</v>
      </c>
      <c r="J198" s="198">
        <v>3.6</v>
      </c>
      <c r="K198" s="198">
        <v>0</v>
      </c>
      <c r="L198" s="198">
        <v>-3.6</v>
      </c>
      <c r="M198" s="198">
        <f t="shared" si="2"/>
        <v>106.79999999999997</v>
      </c>
    </row>
    <row r="199" spans="1:13">
      <c r="A199" s="204">
        <v>41749</v>
      </c>
      <c r="B199" s="198">
        <v>10.199999999999999</v>
      </c>
      <c r="C199" s="198">
        <v>11.4</v>
      </c>
      <c r="D199" s="198">
        <v>8.9</v>
      </c>
      <c r="E199" s="198">
        <v>90</v>
      </c>
      <c r="F199" s="198">
        <v>54</v>
      </c>
      <c r="G199" s="198">
        <v>0.5</v>
      </c>
      <c r="H199" s="198">
        <v>6.9</v>
      </c>
      <c r="I199" s="198">
        <v>1.1000000000000001</v>
      </c>
      <c r="J199" s="198">
        <v>1.1000000000000001</v>
      </c>
      <c r="K199" s="198">
        <v>0</v>
      </c>
      <c r="L199" s="198">
        <v>5.8</v>
      </c>
      <c r="M199" s="198">
        <f t="shared" si="2"/>
        <v>112.59999999999997</v>
      </c>
    </row>
    <row r="200" spans="1:13">
      <c r="A200" s="204">
        <v>41750</v>
      </c>
      <c r="B200" s="198">
        <v>14</v>
      </c>
      <c r="C200" s="198">
        <v>20.3</v>
      </c>
      <c r="D200" s="198">
        <v>7.7</v>
      </c>
      <c r="E200" s="198">
        <v>80</v>
      </c>
      <c r="F200" s="198">
        <v>248</v>
      </c>
      <c r="G200" s="198">
        <v>0.4</v>
      </c>
      <c r="H200" s="198">
        <v>0.2</v>
      </c>
      <c r="I200" s="198">
        <v>3.1</v>
      </c>
      <c r="J200" s="198">
        <v>3.1</v>
      </c>
      <c r="K200" s="198">
        <v>0</v>
      </c>
      <c r="L200" s="198">
        <v>-2.9</v>
      </c>
      <c r="M200" s="198">
        <f t="shared" si="2"/>
        <v>109.69999999999996</v>
      </c>
    </row>
    <row r="201" spans="1:13">
      <c r="A201" s="204">
        <v>41751</v>
      </c>
      <c r="B201" s="198">
        <v>25.6</v>
      </c>
      <c r="C201" s="198">
        <v>40.4</v>
      </c>
      <c r="D201" s="198">
        <v>10.8</v>
      </c>
      <c r="E201" s="198">
        <v>89</v>
      </c>
      <c r="F201" s="198">
        <v>105</v>
      </c>
      <c r="G201" s="198">
        <v>0.8</v>
      </c>
      <c r="H201" s="198">
        <v>4.3</v>
      </c>
      <c r="I201" s="198">
        <v>2.4</v>
      </c>
      <c r="J201" s="198">
        <v>2.4</v>
      </c>
      <c r="K201" s="198">
        <v>0</v>
      </c>
      <c r="L201" s="198">
        <v>1.9</v>
      </c>
      <c r="M201" s="198">
        <f t="shared" si="2"/>
        <v>111.59999999999997</v>
      </c>
    </row>
    <row r="202" spans="1:13">
      <c r="A202" s="204">
        <v>41752</v>
      </c>
      <c r="B202" s="198">
        <v>14.8</v>
      </c>
      <c r="C202" s="198">
        <v>23.4</v>
      </c>
      <c r="D202" s="198">
        <v>6.2</v>
      </c>
      <c r="E202" s="198">
        <v>73</v>
      </c>
      <c r="F202" s="198">
        <v>269</v>
      </c>
      <c r="G202" s="198">
        <v>1.7</v>
      </c>
      <c r="H202" s="198">
        <v>0</v>
      </c>
      <c r="I202" s="198">
        <v>3.4</v>
      </c>
      <c r="J202" s="198">
        <v>3.4</v>
      </c>
      <c r="K202" s="198">
        <v>0</v>
      </c>
      <c r="L202" s="198">
        <v>-3.4</v>
      </c>
      <c r="M202" s="198">
        <f t="shared" si="2"/>
        <v>108.19999999999996</v>
      </c>
    </row>
    <row r="203" spans="1:13">
      <c r="A203" s="204">
        <v>41753</v>
      </c>
      <c r="B203" s="198">
        <v>15.6</v>
      </c>
      <c r="C203" s="198">
        <v>20.2</v>
      </c>
      <c r="D203" s="198">
        <v>10.9</v>
      </c>
      <c r="E203" s="198">
        <v>85</v>
      </c>
      <c r="F203" s="198">
        <v>149</v>
      </c>
      <c r="G203" s="198">
        <v>2.6</v>
      </c>
      <c r="H203" s="198">
        <v>7.6</v>
      </c>
      <c r="I203" s="198">
        <v>2.2999999999999998</v>
      </c>
      <c r="J203" s="198">
        <v>2.2999999999999998</v>
      </c>
      <c r="K203" s="198">
        <v>0</v>
      </c>
      <c r="L203" s="198">
        <v>5.3</v>
      </c>
      <c r="M203" s="198">
        <f t="shared" si="2"/>
        <v>113.49999999999996</v>
      </c>
    </row>
    <row r="204" spans="1:13">
      <c r="A204" s="204">
        <v>41754</v>
      </c>
      <c r="B204" s="198">
        <v>12.4</v>
      </c>
      <c r="C204" s="198">
        <v>16</v>
      </c>
      <c r="D204" s="198">
        <v>8.8000000000000007</v>
      </c>
      <c r="E204" s="198">
        <v>87</v>
      </c>
      <c r="F204" s="198">
        <v>196</v>
      </c>
      <c r="G204" s="198">
        <v>6.1</v>
      </c>
      <c r="H204" s="198">
        <v>1.9</v>
      </c>
      <c r="I204" s="198">
        <v>2.5</v>
      </c>
      <c r="J204" s="198">
        <v>2.5</v>
      </c>
      <c r="K204" s="198">
        <v>0</v>
      </c>
      <c r="L204" s="198">
        <v>-0.6</v>
      </c>
      <c r="M204" s="198">
        <f t="shared" si="2"/>
        <v>112.89999999999996</v>
      </c>
    </row>
    <row r="205" spans="1:13">
      <c r="A205" s="204">
        <v>41755</v>
      </c>
      <c r="B205" s="198">
        <v>11.2</v>
      </c>
      <c r="C205" s="198">
        <v>17.2</v>
      </c>
      <c r="D205" s="198">
        <v>5.2</v>
      </c>
      <c r="E205" s="198">
        <v>93</v>
      </c>
      <c r="F205" s="198">
        <v>124</v>
      </c>
      <c r="G205" s="198">
        <v>1.8</v>
      </c>
      <c r="H205" s="198">
        <v>13.7</v>
      </c>
      <c r="I205" s="198">
        <v>1.8</v>
      </c>
      <c r="J205" s="198">
        <v>1.8</v>
      </c>
      <c r="K205" s="198">
        <v>0</v>
      </c>
      <c r="L205" s="198">
        <v>11.9</v>
      </c>
      <c r="M205" s="198">
        <f t="shared" si="2"/>
        <v>124.79999999999997</v>
      </c>
    </row>
    <row r="206" spans="1:13">
      <c r="A206" s="204">
        <v>41756</v>
      </c>
      <c r="B206" s="198">
        <v>11.9</v>
      </c>
      <c r="C206" s="198">
        <v>15.8</v>
      </c>
      <c r="D206" s="198">
        <v>7.9</v>
      </c>
      <c r="E206" s="198">
        <v>82</v>
      </c>
      <c r="F206" s="198">
        <v>236</v>
      </c>
      <c r="G206" s="198">
        <v>9.3000000000000007</v>
      </c>
      <c r="H206" s="198">
        <v>1.4</v>
      </c>
      <c r="I206" s="198">
        <v>3.1</v>
      </c>
      <c r="J206" s="198">
        <v>3.1</v>
      </c>
      <c r="K206" s="198">
        <v>0</v>
      </c>
      <c r="L206" s="198">
        <v>-1.7</v>
      </c>
      <c r="M206" s="198">
        <f t="shared" si="2"/>
        <v>123.09999999999997</v>
      </c>
    </row>
    <row r="207" spans="1:13">
      <c r="A207" s="204">
        <v>41757</v>
      </c>
      <c r="B207" s="198">
        <v>11.9</v>
      </c>
      <c r="C207" s="198">
        <v>15.3</v>
      </c>
      <c r="D207" s="198">
        <v>8.4</v>
      </c>
      <c r="E207" s="198">
        <v>86</v>
      </c>
      <c r="F207" s="198">
        <v>183</v>
      </c>
      <c r="G207" s="198">
        <v>5.9</v>
      </c>
      <c r="H207" s="198">
        <v>3.2</v>
      </c>
      <c r="I207" s="198">
        <v>2.2999999999999998</v>
      </c>
      <c r="J207" s="198">
        <v>2.2999999999999998</v>
      </c>
      <c r="K207" s="198">
        <v>0</v>
      </c>
      <c r="L207" s="198">
        <v>0.9</v>
      </c>
      <c r="M207" s="198">
        <f t="shared" si="2"/>
        <v>123.99999999999997</v>
      </c>
    </row>
    <row r="208" spans="1:13">
      <c r="A208" s="204">
        <v>41758</v>
      </c>
      <c r="B208" s="198">
        <v>12.3</v>
      </c>
      <c r="C208" s="198">
        <v>17.3</v>
      </c>
      <c r="D208" s="198">
        <v>7.2</v>
      </c>
      <c r="E208" s="198">
        <v>87</v>
      </c>
      <c r="F208" s="198">
        <v>165</v>
      </c>
      <c r="G208" s="198">
        <v>4</v>
      </c>
      <c r="H208" s="198">
        <v>1.1000000000000001</v>
      </c>
      <c r="I208" s="198">
        <v>2.2000000000000002</v>
      </c>
      <c r="J208" s="198">
        <v>2.2000000000000002</v>
      </c>
      <c r="K208" s="198">
        <v>0</v>
      </c>
      <c r="L208" s="198">
        <v>-1.1000000000000001</v>
      </c>
      <c r="M208" s="198">
        <f t="shared" si="2"/>
        <v>122.89999999999998</v>
      </c>
    </row>
    <row r="209" spans="1:13">
      <c r="A209" s="204">
        <v>41759</v>
      </c>
      <c r="B209" s="198">
        <v>14.7</v>
      </c>
      <c r="C209" s="198">
        <v>17.600000000000001</v>
      </c>
      <c r="D209" s="198">
        <v>11.7</v>
      </c>
      <c r="E209" s="198">
        <v>86</v>
      </c>
      <c r="F209" s="198">
        <v>152</v>
      </c>
      <c r="G209" s="198">
        <v>3.9</v>
      </c>
      <c r="H209" s="198">
        <v>0</v>
      </c>
      <c r="I209" s="198">
        <v>2.2999999999999998</v>
      </c>
      <c r="J209" s="198">
        <v>2.2999999999999998</v>
      </c>
      <c r="K209" s="198">
        <v>0</v>
      </c>
      <c r="L209" s="198">
        <v>-2.2999999999999998</v>
      </c>
      <c r="M209" s="198">
        <f t="shared" si="2"/>
        <v>120.59999999999998</v>
      </c>
    </row>
    <row r="210" spans="1:13">
      <c r="A210" s="204">
        <v>41760</v>
      </c>
      <c r="B210" s="198">
        <v>14.2</v>
      </c>
      <c r="C210" s="198">
        <v>16.8</v>
      </c>
      <c r="D210" s="198">
        <v>11.6</v>
      </c>
      <c r="E210" s="198">
        <v>85</v>
      </c>
      <c r="F210" s="198">
        <v>141</v>
      </c>
      <c r="G210" s="198">
        <v>4.5999999999999996</v>
      </c>
      <c r="H210" s="198">
        <v>1.2</v>
      </c>
      <c r="I210" s="198">
        <v>2.1</v>
      </c>
      <c r="J210" s="198">
        <v>2.1</v>
      </c>
      <c r="K210" s="198">
        <v>0</v>
      </c>
      <c r="L210" s="198">
        <v>-0.9</v>
      </c>
      <c r="M210" s="198">
        <f t="shared" si="2"/>
        <v>119.69999999999997</v>
      </c>
    </row>
    <row r="211" spans="1:13">
      <c r="A211" s="204">
        <v>41761</v>
      </c>
      <c r="B211" s="198">
        <v>13.1</v>
      </c>
      <c r="C211" s="198">
        <v>15.8</v>
      </c>
      <c r="D211" s="198">
        <v>10.3</v>
      </c>
      <c r="E211" s="198">
        <v>84</v>
      </c>
      <c r="F211" s="198">
        <v>184</v>
      </c>
      <c r="G211" s="198">
        <v>8.9</v>
      </c>
      <c r="H211" s="198">
        <v>2.1</v>
      </c>
      <c r="I211" s="198">
        <v>2.6</v>
      </c>
      <c r="J211" s="198">
        <v>2.6</v>
      </c>
      <c r="K211" s="198">
        <v>0</v>
      </c>
      <c r="L211" s="198">
        <v>-0.5</v>
      </c>
      <c r="M211" s="198">
        <f t="shared" si="2"/>
        <v>119.19999999999997</v>
      </c>
    </row>
    <row r="212" spans="1:13">
      <c r="A212" s="204">
        <v>41762</v>
      </c>
      <c r="B212" s="198">
        <v>13.2</v>
      </c>
      <c r="C212" s="198">
        <v>16.3</v>
      </c>
      <c r="D212" s="198">
        <v>10.1</v>
      </c>
      <c r="E212" s="198">
        <v>74</v>
      </c>
      <c r="F212" s="198">
        <v>180</v>
      </c>
      <c r="G212" s="198">
        <v>8</v>
      </c>
      <c r="H212" s="198">
        <v>0</v>
      </c>
      <c r="I212" s="198">
        <v>2.8</v>
      </c>
      <c r="J212" s="198">
        <v>2.8</v>
      </c>
      <c r="K212" s="198">
        <v>0</v>
      </c>
      <c r="L212" s="198">
        <v>-2.8</v>
      </c>
      <c r="M212" s="198">
        <f t="shared" si="2"/>
        <v>116.39999999999998</v>
      </c>
    </row>
    <row r="213" spans="1:13">
      <c r="A213" s="204">
        <v>41763</v>
      </c>
      <c r="B213" s="198">
        <v>12.4</v>
      </c>
      <c r="C213" s="198">
        <v>19.3</v>
      </c>
      <c r="D213" s="198">
        <v>5.4</v>
      </c>
      <c r="E213" s="198">
        <v>67</v>
      </c>
      <c r="F213" s="198">
        <v>347</v>
      </c>
      <c r="G213" s="198">
        <v>1.6</v>
      </c>
      <c r="H213" s="198">
        <v>0</v>
      </c>
      <c r="I213" s="198">
        <v>4.0999999999999996</v>
      </c>
      <c r="J213" s="198">
        <v>4.0999999999999996</v>
      </c>
      <c r="K213" s="198">
        <v>0</v>
      </c>
      <c r="L213" s="198">
        <v>-4.0999999999999996</v>
      </c>
      <c r="M213" s="198">
        <f t="shared" si="2"/>
        <v>112.29999999999998</v>
      </c>
    </row>
    <row r="214" spans="1:13">
      <c r="A214" s="204">
        <v>41764</v>
      </c>
      <c r="B214" s="198">
        <v>14</v>
      </c>
      <c r="C214" s="198">
        <v>24.2</v>
      </c>
      <c r="D214" s="198">
        <v>3.8</v>
      </c>
      <c r="E214" s="198">
        <v>69</v>
      </c>
      <c r="F214" s="198">
        <v>347</v>
      </c>
      <c r="G214" s="198">
        <v>1.6</v>
      </c>
      <c r="H214" s="198">
        <v>0</v>
      </c>
      <c r="I214" s="198">
        <v>4.3</v>
      </c>
      <c r="J214" s="198">
        <v>4.3</v>
      </c>
      <c r="K214" s="198">
        <v>0</v>
      </c>
      <c r="L214" s="198">
        <v>-4.3</v>
      </c>
      <c r="M214" s="198">
        <f t="shared" ref="M214:M258" si="3">M213+L214</f>
        <v>107.99999999999999</v>
      </c>
    </row>
    <row r="215" spans="1:13">
      <c r="A215" s="204">
        <v>41765</v>
      </c>
      <c r="B215" s="198">
        <v>15.8</v>
      </c>
      <c r="C215" s="198">
        <v>20.3</v>
      </c>
      <c r="D215" s="198">
        <v>11.2</v>
      </c>
      <c r="E215" s="198">
        <v>79</v>
      </c>
      <c r="F215" s="198">
        <v>172</v>
      </c>
      <c r="G215" s="198">
        <v>1.9</v>
      </c>
      <c r="H215" s="198">
        <v>0</v>
      </c>
      <c r="I215" s="198">
        <v>2.5</v>
      </c>
      <c r="J215" s="198">
        <v>2.5</v>
      </c>
      <c r="K215" s="198">
        <v>0</v>
      </c>
      <c r="L215" s="198">
        <v>-2.5</v>
      </c>
      <c r="M215" s="198">
        <f t="shared" si="3"/>
        <v>105.49999999999999</v>
      </c>
    </row>
    <row r="216" spans="1:13">
      <c r="A216" s="204">
        <v>41766</v>
      </c>
      <c r="B216" s="198">
        <v>17.399999999999999</v>
      </c>
      <c r="C216" s="198">
        <v>21.1</v>
      </c>
      <c r="D216" s="198">
        <v>13.6</v>
      </c>
      <c r="E216" s="198">
        <v>79</v>
      </c>
      <c r="F216" s="198">
        <v>143</v>
      </c>
      <c r="G216" s="198">
        <v>1.3</v>
      </c>
      <c r="H216" s="198">
        <v>0</v>
      </c>
      <c r="I216" s="198">
        <v>2.4</v>
      </c>
      <c r="J216" s="198">
        <v>2.4</v>
      </c>
      <c r="K216" s="198">
        <v>0</v>
      </c>
      <c r="L216" s="198">
        <v>-2.4</v>
      </c>
      <c r="M216" s="198">
        <f t="shared" si="3"/>
        <v>103.09999999999998</v>
      </c>
    </row>
    <row r="217" spans="1:13">
      <c r="A217" s="204">
        <v>41767</v>
      </c>
      <c r="B217" s="198">
        <v>16.3</v>
      </c>
      <c r="C217" s="198">
        <v>22.1</v>
      </c>
      <c r="D217" s="198">
        <v>10.4</v>
      </c>
      <c r="E217" s="198">
        <v>75</v>
      </c>
      <c r="F217" s="198">
        <v>279</v>
      </c>
      <c r="G217" s="198">
        <v>1.6</v>
      </c>
      <c r="H217" s="198">
        <v>0</v>
      </c>
      <c r="I217" s="198">
        <v>3.7</v>
      </c>
      <c r="J217" s="198">
        <v>3.7</v>
      </c>
      <c r="K217" s="198">
        <v>0</v>
      </c>
      <c r="L217" s="198">
        <v>-3.7</v>
      </c>
      <c r="M217" s="198">
        <f t="shared" si="3"/>
        <v>99.399999999999977</v>
      </c>
    </row>
    <row r="218" spans="1:13">
      <c r="A218" s="204">
        <v>41768</v>
      </c>
      <c r="B218" s="198">
        <v>15.8</v>
      </c>
      <c r="C218" s="198">
        <v>20.6</v>
      </c>
      <c r="D218" s="198">
        <v>10.9</v>
      </c>
      <c r="E218" s="198">
        <v>76</v>
      </c>
      <c r="F218" s="198">
        <v>160</v>
      </c>
      <c r="G218" s="198">
        <v>1.3</v>
      </c>
      <c r="H218" s="198">
        <v>0</v>
      </c>
      <c r="I218" s="198">
        <v>2.5</v>
      </c>
      <c r="J218" s="198">
        <v>2.5</v>
      </c>
      <c r="K218" s="198">
        <v>0</v>
      </c>
      <c r="L218" s="198">
        <v>-2.5</v>
      </c>
      <c r="M218" s="198">
        <f t="shared" si="3"/>
        <v>96.899999999999977</v>
      </c>
    </row>
    <row r="219" spans="1:13">
      <c r="A219" s="204">
        <v>41769</v>
      </c>
      <c r="B219" s="198">
        <v>16.399999999999999</v>
      </c>
      <c r="C219" s="198">
        <v>23.7</v>
      </c>
      <c r="D219" s="198">
        <v>9.1</v>
      </c>
      <c r="E219" s="198">
        <v>75</v>
      </c>
      <c r="F219" s="198">
        <v>251</v>
      </c>
      <c r="G219" s="198">
        <v>1.6</v>
      </c>
      <c r="H219" s="198">
        <v>0</v>
      </c>
      <c r="I219" s="198">
        <v>3.5</v>
      </c>
      <c r="J219" s="198">
        <v>3.5</v>
      </c>
      <c r="K219" s="198">
        <v>0</v>
      </c>
      <c r="L219" s="198">
        <v>-3.5</v>
      </c>
      <c r="M219" s="198">
        <f t="shared" si="3"/>
        <v>93.399999999999977</v>
      </c>
    </row>
    <row r="220" spans="1:13">
      <c r="A220" s="204">
        <v>41770</v>
      </c>
      <c r="B220" s="198">
        <v>16</v>
      </c>
      <c r="C220" s="198">
        <v>19.600000000000001</v>
      </c>
      <c r="D220" s="198">
        <v>12.4</v>
      </c>
      <c r="E220" s="198">
        <v>70</v>
      </c>
      <c r="F220" s="198">
        <v>220</v>
      </c>
      <c r="G220" s="198">
        <v>6.1</v>
      </c>
      <c r="H220" s="198">
        <v>1.8</v>
      </c>
      <c r="I220" s="198">
        <v>3.5</v>
      </c>
      <c r="J220" s="198">
        <v>3.5</v>
      </c>
      <c r="K220" s="198">
        <v>0</v>
      </c>
      <c r="L220" s="198">
        <v>-1.7</v>
      </c>
      <c r="M220" s="198">
        <f t="shared" si="3"/>
        <v>91.699999999999974</v>
      </c>
    </row>
    <row r="221" spans="1:13">
      <c r="A221" s="204">
        <v>41771</v>
      </c>
      <c r="B221" s="198">
        <v>13</v>
      </c>
      <c r="C221" s="198">
        <v>17.600000000000001</v>
      </c>
      <c r="D221" s="198">
        <v>8.3000000000000007</v>
      </c>
      <c r="E221" s="198">
        <v>76</v>
      </c>
      <c r="F221" s="198">
        <v>158</v>
      </c>
      <c r="G221" s="198">
        <v>2.2000000000000002</v>
      </c>
      <c r="H221" s="198">
        <v>1.7</v>
      </c>
      <c r="I221" s="198">
        <v>2.4</v>
      </c>
      <c r="J221" s="198">
        <v>2.4</v>
      </c>
      <c r="K221" s="198">
        <v>0</v>
      </c>
      <c r="L221" s="198">
        <v>-0.7</v>
      </c>
      <c r="M221" s="198">
        <f t="shared" si="3"/>
        <v>90.999999999999972</v>
      </c>
    </row>
    <row r="222" spans="1:13">
      <c r="A222" s="204">
        <v>41772</v>
      </c>
      <c r="B222" s="198">
        <v>12.4</v>
      </c>
      <c r="C222" s="198">
        <v>17.8</v>
      </c>
      <c r="D222" s="198">
        <v>6.9</v>
      </c>
      <c r="E222" s="198">
        <v>70</v>
      </c>
      <c r="F222" s="198">
        <v>289</v>
      </c>
      <c r="G222" s="198">
        <v>5.8</v>
      </c>
      <c r="H222" s="198">
        <v>0.5</v>
      </c>
      <c r="I222" s="198">
        <v>3.8</v>
      </c>
      <c r="J222" s="198">
        <v>3.8</v>
      </c>
      <c r="K222" s="198">
        <v>0</v>
      </c>
      <c r="L222" s="198">
        <v>-3.3</v>
      </c>
      <c r="M222" s="198">
        <f t="shared" si="3"/>
        <v>87.699999999999974</v>
      </c>
    </row>
    <row r="223" spans="1:13">
      <c r="A223" s="204">
        <v>41773</v>
      </c>
      <c r="B223" s="198">
        <v>13.4</v>
      </c>
      <c r="C223" s="198">
        <v>19.3</v>
      </c>
      <c r="D223" s="198">
        <v>7.5</v>
      </c>
      <c r="E223" s="198">
        <v>62</v>
      </c>
      <c r="F223" s="198">
        <v>268</v>
      </c>
      <c r="G223" s="198">
        <v>2.5</v>
      </c>
      <c r="H223" s="198">
        <v>0</v>
      </c>
      <c r="I223" s="198">
        <v>3.5</v>
      </c>
      <c r="J223" s="198">
        <v>3.5</v>
      </c>
      <c r="K223" s="198">
        <v>0</v>
      </c>
      <c r="L223" s="198">
        <v>-3.5</v>
      </c>
      <c r="M223" s="198">
        <f t="shared" si="3"/>
        <v>84.199999999999974</v>
      </c>
    </row>
    <row r="224" spans="1:13">
      <c r="A224" s="204">
        <v>41774</v>
      </c>
      <c r="B224" s="198">
        <v>13.5</v>
      </c>
      <c r="C224" s="198">
        <v>22.2</v>
      </c>
      <c r="D224" s="198">
        <v>4.7</v>
      </c>
      <c r="E224" s="198">
        <v>53</v>
      </c>
      <c r="F224" s="198">
        <v>373</v>
      </c>
      <c r="G224" s="198">
        <v>3</v>
      </c>
      <c r="H224" s="198">
        <v>0</v>
      </c>
      <c r="I224" s="198">
        <v>4.8</v>
      </c>
      <c r="J224" s="198">
        <v>4.8</v>
      </c>
      <c r="K224" s="198">
        <v>0</v>
      </c>
      <c r="L224" s="198">
        <v>-4.8</v>
      </c>
      <c r="M224" s="198">
        <f t="shared" si="3"/>
        <v>79.399999999999977</v>
      </c>
    </row>
    <row r="225" spans="1:13">
      <c r="A225" s="204">
        <v>41775</v>
      </c>
      <c r="B225" s="198">
        <v>14</v>
      </c>
      <c r="C225" s="198">
        <v>23.2</v>
      </c>
      <c r="D225" s="198">
        <v>4.8</v>
      </c>
      <c r="E225" s="198">
        <v>51</v>
      </c>
      <c r="F225" s="198">
        <v>373</v>
      </c>
      <c r="G225" s="198">
        <v>2.8</v>
      </c>
      <c r="H225" s="198">
        <v>0</v>
      </c>
      <c r="I225" s="198">
        <v>4.9000000000000004</v>
      </c>
      <c r="J225" s="198">
        <v>4.9000000000000004</v>
      </c>
      <c r="K225" s="198">
        <v>0</v>
      </c>
      <c r="L225" s="198">
        <v>-4.9000000000000004</v>
      </c>
      <c r="M225" s="198">
        <f t="shared" si="3"/>
        <v>74.499999999999972</v>
      </c>
    </row>
    <row r="226" spans="1:13">
      <c r="A226" s="204">
        <v>41776</v>
      </c>
      <c r="B226" s="198">
        <v>16</v>
      </c>
      <c r="C226" s="198">
        <v>23.9</v>
      </c>
      <c r="D226" s="198">
        <v>8</v>
      </c>
      <c r="E226" s="198">
        <v>55</v>
      </c>
      <c r="F226" s="198">
        <v>366</v>
      </c>
      <c r="G226" s="198">
        <v>1</v>
      </c>
      <c r="H226" s="198">
        <v>0</v>
      </c>
      <c r="I226" s="198">
        <v>4.8</v>
      </c>
      <c r="J226" s="198">
        <v>4.8</v>
      </c>
      <c r="K226" s="198">
        <v>0</v>
      </c>
      <c r="L226" s="198">
        <v>-4.8</v>
      </c>
      <c r="M226" s="198">
        <f t="shared" si="3"/>
        <v>69.699999999999974</v>
      </c>
    </row>
    <row r="227" spans="1:13">
      <c r="A227" s="204">
        <v>41777</v>
      </c>
      <c r="B227" s="198">
        <v>16.2</v>
      </c>
      <c r="C227" s="198">
        <v>26.4</v>
      </c>
      <c r="D227" s="198">
        <v>6</v>
      </c>
      <c r="E227" s="198">
        <v>57</v>
      </c>
      <c r="F227" s="198">
        <v>358</v>
      </c>
      <c r="G227" s="198">
        <v>3.3</v>
      </c>
      <c r="H227" s="198">
        <v>0</v>
      </c>
      <c r="I227" s="198">
        <v>5.0999999999999996</v>
      </c>
      <c r="J227" s="198">
        <v>5.0999999999999996</v>
      </c>
      <c r="K227" s="198">
        <v>0</v>
      </c>
      <c r="L227" s="198">
        <v>-5.0999999999999996</v>
      </c>
      <c r="M227" s="198">
        <f t="shared" si="3"/>
        <v>64.59999999999998</v>
      </c>
    </row>
    <row r="228" spans="1:13">
      <c r="A228" s="204">
        <v>41778</v>
      </c>
      <c r="B228" s="198">
        <v>19.3</v>
      </c>
      <c r="C228" s="198">
        <v>25.2</v>
      </c>
      <c r="D228" s="198">
        <v>13.4</v>
      </c>
      <c r="E228" s="198">
        <v>59</v>
      </c>
      <c r="F228" s="198">
        <v>312</v>
      </c>
      <c r="G228" s="198">
        <v>8.3000000000000007</v>
      </c>
      <c r="H228" s="198">
        <v>0</v>
      </c>
      <c r="I228" s="198">
        <v>5.5</v>
      </c>
      <c r="J228" s="198">
        <v>5.5</v>
      </c>
      <c r="K228" s="198">
        <v>0</v>
      </c>
      <c r="L228" s="198">
        <v>-5.5</v>
      </c>
      <c r="M228" s="198">
        <f t="shared" si="3"/>
        <v>59.09999999999998</v>
      </c>
    </row>
    <row r="229" spans="1:13">
      <c r="A229" s="204">
        <v>41779</v>
      </c>
      <c r="B229" s="198">
        <v>19.8</v>
      </c>
      <c r="C229" s="198">
        <v>23.7</v>
      </c>
      <c r="D229" s="198">
        <v>15.8</v>
      </c>
      <c r="E229" s="198">
        <v>62</v>
      </c>
      <c r="F229" s="198">
        <v>245</v>
      </c>
      <c r="G229" s="198">
        <v>6.4</v>
      </c>
      <c r="H229" s="198">
        <v>0</v>
      </c>
      <c r="I229" s="198">
        <v>4.4000000000000004</v>
      </c>
      <c r="J229" s="198">
        <v>4.4000000000000004</v>
      </c>
      <c r="K229" s="198">
        <v>0</v>
      </c>
      <c r="L229" s="198">
        <v>-4.4000000000000004</v>
      </c>
      <c r="M229" s="198">
        <f t="shared" si="3"/>
        <v>54.699999999999982</v>
      </c>
    </row>
    <row r="230" spans="1:13">
      <c r="A230" s="204">
        <v>41780</v>
      </c>
      <c r="B230" s="198">
        <v>18.899999999999999</v>
      </c>
      <c r="C230" s="198">
        <v>23.6</v>
      </c>
      <c r="D230" s="198">
        <v>14.2</v>
      </c>
      <c r="E230" s="198">
        <v>76</v>
      </c>
      <c r="F230" s="198">
        <v>186</v>
      </c>
      <c r="G230" s="198">
        <v>8.3000000000000007</v>
      </c>
      <c r="H230" s="198">
        <v>1.7</v>
      </c>
      <c r="I230" s="198">
        <v>3.4</v>
      </c>
      <c r="J230" s="198">
        <v>3.4</v>
      </c>
      <c r="K230" s="198">
        <v>0</v>
      </c>
      <c r="L230" s="198">
        <v>-1.7</v>
      </c>
      <c r="M230" s="198">
        <f t="shared" si="3"/>
        <v>52.999999999999979</v>
      </c>
    </row>
    <row r="231" spans="1:13">
      <c r="A231" s="204">
        <v>41781</v>
      </c>
      <c r="B231" s="198">
        <v>17.5</v>
      </c>
      <c r="C231" s="198">
        <v>25.3</v>
      </c>
      <c r="D231" s="198">
        <v>9.6</v>
      </c>
      <c r="E231" s="198">
        <v>63</v>
      </c>
      <c r="F231" s="198">
        <v>356</v>
      </c>
      <c r="G231" s="198">
        <v>4.8</v>
      </c>
      <c r="H231" s="198">
        <v>0</v>
      </c>
      <c r="I231" s="198">
        <v>5.3</v>
      </c>
      <c r="J231" s="198">
        <v>5.3</v>
      </c>
      <c r="K231" s="198">
        <v>0</v>
      </c>
      <c r="L231" s="198">
        <v>-5.3</v>
      </c>
      <c r="M231" s="198">
        <f t="shared" si="3"/>
        <v>47.699999999999982</v>
      </c>
    </row>
    <row r="232" spans="1:13">
      <c r="A232" s="204">
        <v>41782</v>
      </c>
      <c r="B232" s="198">
        <v>12.8</v>
      </c>
      <c r="C232" s="198">
        <v>18.2</v>
      </c>
      <c r="D232" s="198">
        <v>7.3</v>
      </c>
      <c r="E232" s="198">
        <v>83</v>
      </c>
      <c r="F232" s="198">
        <v>147</v>
      </c>
      <c r="G232" s="198">
        <v>2.5</v>
      </c>
      <c r="H232" s="198">
        <v>2.2000000000000002</v>
      </c>
      <c r="I232" s="198">
        <v>2.2999999999999998</v>
      </c>
      <c r="J232" s="198">
        <v>2.2999999999999998</v>
      </c>
      <c r="K232" s="198">
        <v>0</v>
      </c>
      <c r="L232" s="198">
        <v>-0.1</v>
      </c>
      <c r="M232" s="198">
        <f t="shared" si="3"/>
        <v>47.59999999999998</v>
      </c>
    </row>
    <row r="233" spans="1:13">
      <c r="A233" s="204">
        <v>41783</v>
      </c>
      <c r="B233" s="198">
        <v>14</v>
      </c>
      <c r="C233" s="198">
        <v>22.1</v>
      </c>
      <c r="D233" s="198">
        <v>5.8</v>
      </c>
      <c r="E233" s="198">
        <v>66</v>
      </c>
      <c r="F233" s="198">
        <v>314</v>
      </c>
      <c r="G233" s="198">
        <v>0.7</v>
      </c>
      <c r="H233" s="198">
        <v>0</v>
      </c>
      <c r="I233" s="198">
        <v>4</v>
      </c>
      <c r="J233" s="198">
        <v>4</v>
      </c>
      <c r="K233" s="198">
        <v>0</v>
      </c>
      <c r="L233" s="198">
        <v>-4</v>
      </c>
      <c r="M233" s="198">
        <f t="shared" si="3"/>
        <v>43.59999999999998</v>
      </c>
    </row>
    <row r="234" spans="1:13">
      <c r="A234" s="204">
        <v>41784</v>
      </c>
      <c r="B234" s="198">
        <v>17.8</v>
      </c>
      <c r="C234" s="198">
        <v>23.3</v>
      </c>
      <c r="D234" s="198">
        <v>12.3</v>
      </c>
      <c r="E234" s="198">
        <v>72</v>
      </c>
      <c r="F234" s="198">
        <v>256</v>
      </c>
      <c r="G234" s="198">
        <v>2.1</v>
      </c>
      <c r="H234" s="198">
        <v>22.1</v>
      </c>
      <c r="I234" s="198">
        <v>3.8</v>
      </c>
      <c r="J234" s="198">
        <v>3.8</v>
      </c>
      <c r="K234" s="198">
        <v>0</v>
      </c>
      <c r="L234" s="198">
        <v>18.3</v>
      </c>
      <c r="M234" s="198">
        <f t="shared" si="3"/>
        <v>61.899999999999977</v>
      </c>
    </row>
    <row r="235" spans="1:13">
      <c r="A235" s="204">
        <v>41785</v>
      </c>
      <c r="B235" s="198">
        <v>13.2</v>
      </c>
      <c r="C235" s="198">
        <v>15.7</v>
      </c>
      <c r="D235" s="198">
        <v>10.6</v>
      </c>
      <c r="E235" s="198">
        <v>92</v>
      </c>
      <c r="F235" s="198">
        <v>123</v>
      </c>
      <c r="G235" s="198">
        <v>2.8</v>
      </c>
      <c r="H235" s="198">
        <v>13.3</v>
      </c>
      <c r="I235" s="198">
        <v>1.9</v>
      </c>
      <c r="J235" s="198">
        <v>1.9</v>
      </c>
      <c r="K235" s="198">
        <v>0</v>
      </c>
      <c r="L235" s="198">
        <v>11.4</v>
      </c>
      <c r="M235" s="198">
        <f t="shared" si="3"/>
        <v>73.299999999999983</v>
      </c>
    </row>
    <row r="236" spans="1:13">
      <c r="A236" s="204">
        <v>41786</v>
      </c>
      <c r="B236" s="198">
        <v>15</v>
      </c>
      <c r="C236" s="198">
        <v>20.100000000000001</v>
      </c>
      <c r="D236" s="198">
        <v>9.9</v>
      </c>
      <c r="E236" s="198">
        <v>77</v>
      </c>
      <c r="F236" s="198">
        <v>279</v>
      </c>
      <c r="G236" s="198">
        <v>1</v>
      </c>
      <c r="H236" s="198">
        <v>0.2</v>
      </c>
      <c r="I236" s="198">
        <v>3.7</v>
      </c>
      <c r="J236" s="198">
        <v>3.7</v>
      </c>
      <c r="K236" s="198">
        <v>0</v>
      </c>
      <c r="L236" s="198">
        <v>-3.5</v>
      </c>
      <c r="M236" s="198">
        <f t="shared" si="3"/>
        <v>69.799999999999983</v>
      </c>
    </row>
    <row r="237" spans="1:13">
      <c r="A237" s="204">
        <v>41787</v>
      </c>
      <c r="B237" s="198">
        <v>14.1</v>
      </c>
      <c r="C237" s="198">
        <v>20.8</v>
      </c>
      <c r="D237" s="198">
        <v>7.3</v>
      </c>
      <c r="E237" s="198">
        <v>83</v>
      </c>
      <c r="F237" s="198">
        <v>249</v>
      </c>
      <c r="G237" s="198">
        <v>2.6</v>
      </c>
      <c r="H237" s="198">
        <v>1.9</v>
      </c>
      <c r="I237" s="198">
        <v>3.4</v>
      </c>
      <c r="J237" s="198">
        <v>3.4</v>
      </c>
      <c r="K237" s="198">
        <v>0</v>
      </c>
      <c r="L237" s="198">
        <v>-1.5</v>
      </c>
      <c r="M237" s="198">
        <f t="shared" si="3"/>
        <v>68.299999999999983</v>
      </c>
    </row>
    <row r="238" spans="1:13">
      <c r="A238" s="204">
        <v>41788</v>
      </c>
      <c r="B238" s="198">
        <v>16.100000000000001</v>
      </c>
      <c r="C238" s="198">
        <v>20.2</v>
      </c>
      <c r="D238" s="198">
        <v>12</v>
      </c>
      <c r="E238" s="198">
        <v>79</v>
      </c>
      <c r="F238" s="198">
        <v>197</v>
      </c>
      <c r="G238" s="198">
        <v>2.6</v>
      </c>
      <c r="H238" s="198">
        <v>0</v>
      </c>
      <c r="I238" s="198">
        <v>3</v>
      </c>
      <c r="J238" s="198">
        <v>3</v>
      </c>
      <c r="K238" s="198">
        <v>0</v>
      </c>
      <c r="L238" s="198">
        <v>-3</v>
      </c>
      <c r="M238" s="198">
        <f t="shared" si="3"/>
        <v>65.299999999999983</v>
      </c>
    </row>
    <row r="239" spans="1:13">
      <c r="A239" s="204">
        <v>41789</v>
      </c>
      <c r="B239" s="198">
        <v>15.8</v>
      </c>
      <c r="C239" s="198">
        <v>20.2</v>
      </c>
      <c r="D239" s="198">
        <v>11.4</v>
      </c>
      <c r="E239" s="198">
        <v>81</v>
      </c>
      <c r="F239" s="198">
        <v>215</v>
      </c>
      <c r="G239" s="198">
        <v>3.5</v>
      </c>
      <c r="H239" s="198">
        <v>0.2</v>
      </c>
      <c r="I239" s="198">
        <v>3.2</v>
      </c>
      <c r="J239" s="198">
        <v>3.2</v>
      </c>
      <c r="K239" s="198">
        <v>0</v>
      </c>
      <c r="L239" s="198">
        <v>-3</v>
      </c>
      <c r="M239" s="198">
        <f t="shared" si="3"/>
        <v>62.299999999999983</v>
      </c>
    </row>
    <row r="240" spans="1:13">
      <c r="A240" s="204">
        <v>41790</v>
      </c>
      <c r="B240" s="198">
        <v>17.2</v>
      </c>
      <c r="C240" s="198">
        <v>21.6</v>
      </c>
      <c r="D240" s="198">
        <v>12.7</v>
      </c>
      <c r="E240" s="198">
        <v>79</v>
      </c>
      <c r="F240" s="198">
        <v>218</v>
      </c>
      <c r="G240" s="198">
        <v>5.2</v>
      </c>
      <c r="H240" s="198">
        <v>0.2</v>
      </c>
      <c r="I240" s="198">
        <v>3.5</v>
      </c>
      <c r="J240" s="198">
        <v>3.5</v>
      </c>
      <c r="K240" s="198">
        <v>0</v>
      </c>
      <c r="L240" s="198">
        <v>-3.3</v>
      </c>
      <c r="M240" s="198">
        <f t="shared" si="3"/>
        <v>58.999999999999986</v>
      </c>
    </row>
    <row r="241" spans="1:13">
      <c r="A241" s="204">
        <v>41791</v>
      </c>
      <c r="B241" s="198">
        <v>19.100000000000001</v>
      </c>
      <c r="C241" s="198">
        <v>24.4</v>
      </c>
      <c r="D241" s="198">
        <v>13.7</v>
      </c>
      <c r="E241" s="198">
        <v>66</v>
      </c>
      <c r="F241" s="198">
        <v>323</v>
      </c>
      <c r="G241" s="198">
        <v>3.8</v>
      </c>
      <c r="H241" s="198">
        <v>0</v>
      </c>
      <c r="I241" s="198">
        <v>4.9000000000000004</v>
      </c>
      <c r="J241" s="198">
        <v>4.9000000000000004</v>
      </c>
      <c r="K241" s="198">
        <v>0</v>
      </c>
      <c r="L241" s="198">
        <v>-4.9000000000000004</v>
      </c>
      <c r="M241" s="198">
        <f t="shared" si="3"/>
        <v>54.099999999999987</v>
      </c>
    </row>
    <row r="242" spans="1:13">
      <c r="A242" s="204">
        <v>41792</v>
      </c>
      <c r="B242" s="198">
        <v>18.600000000000001</v>
      </c>
      <c r="C242" s="198">
        <v>24.1</v>
      </c>
      <c r="D242" s="198">
        <v>13.1</v>
      </c>
      <c r="E242" s="198">
        <v>65</v>
      </c>
      <c r="F242" s="198">
        <v>289</v>
      </c>
      <c r="G242" s="198">
        <v>3.4</v>
      </c>
      <c r="H242" s="198">
        <v>0</v>
      </c>
      <c r="I242" s="198">
        <v>4.5</v>
      </c>
      <c r="J242" s="198">
        <v>4.5</v>
      </c>
      <c r="K242" s="198">
        <v>0</v>
      </c>
      <c r="L242" s="198">
        <v>-4.5</v>
      </c>
      <c r="M242" s="198">
        <f t="shared" si="3"/>
        <v>49.599999999999987</v>
      </c>
    </row>
    <row r="243" spans="1:13">
      <c r="A243" s="204">
        <v>41793</v>
      </c>
      <c r="B243" s="198">
        <v>17.2</v>
      </c>
      <c r="C243" s="198">
        <v>22.1</v>
      </c>
      <c r="D243" s="198">
        <v>12.3</v>
      </c>
      <c r="E243" s="198">
        <v>70</v>
      </c>
      <c r="F243" s="198">
        <v>272</v>
      </c>
      <c r="G243" s="198">
        <v>1.2</v>
      </c>
      <c r="H243" s="198">
        <v>0</v>
      </c>
      <c r="I243" s="198">
        <v>3.9</v>
      </c>
      <c r="J243" s="198">
        <v>3.9</v>
      </c>
      <c r="K243" s="198">
        <v>0</v>
      </c>
      <c r="L243" s="198">
        <v>-3.9</v>
      </c>
      <c r="M243" s="198">
        <f t="shared" si="3"/>
        <v>45.699999999999989</v>
      </c>
    </row>
    <row r="244" spans="1:13">
      <c r="A244" s="204">
        <v>41794</v>
      </c>
      <c r="B244" s="198">
        <v>14.5</v>
      </c>
      <c r="C244" s="198">
        <v>18.600000000000001</v>
      </c>
      <c r="D244" s="198">
        <v>10.4</v>
      </c>
      <c r="E244" s="198">
        <v>79</v>
      </c>
      <c r="F244" s="198">
        <v>141</v>
      </c>
      <c r="G244" s="198">
        <v>3.4</v>
      </c>
      <c r="H244" s="198">
        <v>9.3000000000000007</v>
      </c>
      <c r="I244" s="198">
        <v>2.4</v>
      </c>
      <c r="J244" s="198">
        <v>2.4</v>
      </c>
      <c r="K244" s="198">
        <v>0</v>
      </c>
      <c r="L244" s="198">
        <v>6.9</v>
      </c>
      <c r="M244" s="198">
        <f t="shared" si="3"/>
        <v>52.599999999999987</v>
      </c>
    </row>
    <row r="245" spans="1:13">
      <c r="A245" s="204">
        <v>41795</v>
      </c>
      <c r="B245" s="198">
        <v>17.100000000000001</v>
      </c>
      <c r="C245" s="198">
        <v>28.1</v>
      </c>
      <c r="D245" s="198">
        <v>6.1</v>
      </c>
      <c r="E245" s="198">
        <v>61</v>
      </c>
      <c r="F245" s="198">
        <v>366</v>
      </c>
      <c r="G245" s="198">
        <v>1.7</v>
      </c>
      <c r="H245" s="198">
        <v>0</v>
      </c>
      <c r="I245" s="198">
        <v>5</v>
      </c>
      <c r="J245" s="198">
        <v>5</v>
      </c>
      <c r="K245" s="198">
        <v>0</v>
      </c>
      <c r="L245" s="198">
        <v>-5</v>
      </c>
      <c r="M245" s="198">
        <f t="shared" si="3"/>
        <v>47.599999999999987</v>
      </c>
    </row>
    <row r="246" spans="1:13">
      <c r="A246" s="204">
        <v>41796</v>
      </c>
      <c r="B246" s="198">
        <v>21.5</v>
      </c>
      <c r="C246" s="198">
        <v>27.2</v>
      </c>
      <c r="D246" s="198">
        <v>15.8</v>
      </c>
      <c r="E246" s="198">
        <v>59</v>
      </c>
      <c r="F246" s="198">
        <v>322</v>
      </c>
      <c r="G246" s="198">
        <v>7.1</v>
      </c>
      <c r="H246" s="198">
        <v>0</v>
      </c>
      <c r="I246" s="198">
        <v>5.7</v>
      </c>
      <c r="J246" s="198">
        <v>5.7</v>
      </c>
      <c r="K246" s="198">
        <v>0</v>
      </c>
      <c r="L246" s="198">
        <v>-5.7</v>
      </c>
      <c r="M246" s="198">
        <f t="shared" si="3"/>
        <v>41.899999999999984</v>
      </c>
    </row>
    <row r="247" spans="1:13">
      <c r="A247" s="204">
        <v>41797</v>
      </c>
      <c r="B247" s="198">
        <v>24.3</v>
      </c>
      <c r="C247" s="198">
        <v>31.4</v>
      </c>
      <c r="D247" s="198">
        <v>17.2</v>
      </c>
      <c r="E247" s="198">
        <v>55</v>
      </c>
      <c r="F247" s="198">
        <v>328</v>
      </c>
      <c r="G247" s="198">
        <v>3.8</v>
      </c>
      <c r="H247" s="198">
        <v>0</v>
      </c>
      <c r="I247" s="198">
        <v>5.8</v>
      </c>
      <c r="J247" s="198">
        <v>5.8</v>
      </c>
      <c r="K247" s="198">
        <v>0</v>
      </c>
      <c r="L247" s="198">
        <v>-5.8</v>
      </c>
      <c r="M247" s="198">
        <f t="shared" si="3"/>
        <v>36.099999999999987</v>
      </c>
    </row>
    <row r="248" spans="1:13">
      <c r="A248" s="204">
        <v>41798</v>
      </c>
      <c r="B248" s="198">
        <v>24.3</v>
      </c>
      <c r="C248" s="198">
        <v>32.4</v>
      </c>
      <c r="D248" s="198">
        <v>16.2</v>
      </c>
      <c r="E248" s="198">
        <v>62</v>
      </c>
      <c r="F248" s="198">
        <v>373</v>
      </c>
      <c r="G248" s="198">
        <v>1.5</v>
      </c>
      <c r="H248" s="198">
        <v>0</v>
      </c>
      <c r="I248" s="198">
        <v>6</v>
      </c>
      <c r="J248" s="198">
        <v>6</v>
      </c>
      <c r="K248" s="198">
        <v>0</v>
      </c>
      <c r="L248" s="198">
        <v>-6</v>
      </c>
      <c r="M248" s="198">
        <f t="shared" si="3"/>
        <v>30.099999999999987</v>
      </c>
    </row>
    <row r="249" spans="1:13">
      <c r="A249" s="204">
        <v>41799</v>
      </c>
      <c r="B249" s="198">
        <v>23.7</v>
      </c>
      <c r="C249" s="198">
        <v>31.3</v>
      </c>
      <c r="D249" s="198">
        <v>16</v>
      </c>
      <c r="E249" s="198">
        <v>64</v>
      </c>
      <c r="F249" s="198">
        <v>235</v>
      </c>
      <c r="G249" s="198">
        <v>0.8</v>
      </c>
      <c r="H249" s="198">
        <v>0</v>
      </c>
      <c r="I249" s="198">
        <v>4.0999999999999996</v>
      </c>
      <c r="J249" s="198">
        <v>4.0999999999999996</v>
      </c>
      <c r="K249" s="198">
        <v>0</v>
      </c>
      <c r="L249" s="198">
        <v>-4.0999999999999996</v>
      </c>
      <c r="M249" s="198">
        <f t="shared" si="3"/>
        <v>25.999999999999986</v>
      </c>
    </row>
    <row r="250" spans="1:13">
      <c r="A250" s="204">
        <v>41800</v>
      </c>
      <c r="B250" s="198">
        <v>22.7</v>
      </c>
      <c r="C250" s="198">
        <v>27.5</v>
      </c>
      <c r="D250" s="198">
        <v>17.899999999999999</v>
      </c>
      <c r="E250" s="198">
        <v>71</v>
      </c>
      <c r="F250" s="198">
        <v>252</v>
      </c>
      <c r="G250" s="198">
        <v>0.8</v>
      </c>
      <c r="H250" s="198">
        <v>0</v>
      </c>
      <c r="I250" s="198">
        <v>4.2</v>
      </c>
      <c r="J250" s="198">
        <v>4.2</v>
      </c>
      <c r="K250" s="198">
        <v>0</v>
      </c>
      <c r="L250" s="198">
        <v>-4.2</v>
      </c>
      <c r="M250" s="198">
        <f t="shared" si="3"/>
        <v>21.799999999999986</v>
      </c>
    </row>
    <row r="251" spans="1:13">
      <c r="A251" s="204">
        <v>41801</v>
      </c>
      <c r="B251" s="198">
        <v>24.3</v>
      </c>
      <c r="C251" s="198">
        <v>30.8</v>
      </c>
      <c r="D251" s="198">
        <v>17.7</v>
      </c>
      <c r="E251" s="198">
        <v>63</v>
      </c>
      <c r="F251" s="198">
        <v>354</v>
      </c>
      <c r="G251" s="198">
        <v>0.7</v>
      </c>
      <c r="H251" s="198">
        <v>0</v>
      </c>
      <c r="I251" s="198">
        <v>5.7</v>
      </c>
      <c r="J251" s="198">
        <v>5.7</v>
      </c>
      <c r="K251" s="198">
        <v>0</v>
      </c>
      <c r="L251" s="198">
        <v>-5.7</v>
      </c>
      <c r="M251" s="198">
        <f t="shared" si="3"/>
        <v>16.099999999999987</v>
      </c>
    </row>
    <row r="252" spans="1:13">
      <c r="A252" s="204">
        <v>41802</v>
      </c>
      <c r="B252" s="198">
        <v>25.1</v>
      </c>
      <c r="C252" s="198">
        <v>32.799999999999997</v>
      </c>
      <c r="D252" s="198">
        <v>17.399999999999999</v>
      </c>
      <c r="E252" s="198">
        <v>64</v>
      </c>
      <c r="F252" s="198">
        <v>376</v>
      </c>
      <c r="G252" s="198">
        <v>0.7</v>
      </c>
      <c r="H252" s="198">
        <v>0</v>
      </c>
      <c r="I252" s="198">
        <v>6.2</v>
      </c>
      <c r="J252" s="198">
        <v>6.2</v>
      </c>
      <c r="K252" s="198">
        <v>0</v>
      </c>
      <c r="L252" s="198">
        <v>-6.2</v>
      </c>
      <c r="M252" s="198">
        <f t="shared" si="3"/>
        <v>9.8999999999999879</v>
      </c>
    </row>
    <row r="253" spans="1:13">
      <c r="A253" s="204">
        <v>41803</v>
      </c>
      <c r="B253" s="198">
        <v>24.8</v>
      </c>
      <c r="C253" s="198">
        <v>30.7</v>
      </c>
      <c r="D253" s="198">
        <v>18.899999999999999</v>
      </c>
      <c r="E253" s="198">
        <v>68</v>
      </c>
      <c r="F253" s="198">
        <v>358</v>
      </c>
      <c r="G253" s="198">
        <v>3</v>
      </c>
      <c r="H253" s="198">
        <v>16.399999999999999</v>
      </c>
      <c r="I253" s="198">
        <v>6</v>
      </c>
      <c r="J253" s="198">
        <v>6</v>
      </c>
      <c r="K253" s="198">
        <v>0</v>
      </c>
      <c r="L253" s="198">
        <v>10.4</v>
      </c>
      <c r="M253" s="198">
        <f t="shared" si="3"/>
        <v>20.29999999999999</v>
      </c>
    </row>
    <row r="254" spans="1:13">
      <c r="A254" s="204">
        <v>41804</v>
      </c>
      <c r="B254" s="198">
        <v>22</v>
      </c>
      <c r="C254" s="198">
        <v>26.8</v>
      </c>
      <c r="D254" s="198">
        <v>17.100000000000001</v>
      </c>
      <c r="E254" s="198">
        <v>59</v>
      </c>
      <c r="F254" s="198">
        <v>334</v>
      </c>
      <c r="G254" s="198">
        <v>6</v>
      </c>
      <c r="H254" s="198">
        <v>0</v>
      </c>
      <c r="I254" s="198">
        <v>5.7</v>
      </c>
      <c r="J254" s="198">
        <v>5.7</v>
      </c>
      <c r="K254" s="198">
        <v>0</v>
      </c>
      <c r="L254" s="198">
        <v>-5.7</v>
      </c>
      <c r="M254" s="198">
        <f t="shared" si="3"/>
        <v>14.599999999999991</v>
      </c>
    </row>
    <row r="255" spans="1:13">
      <c r="A255" s="204">
        <v>41805</v>
      </c>
      <c r="B255" s="198">
        <v>19.8</v>
      </c>
      <c r="C255" s="198">
        <v>24.1</v>
      </c>
      <c r="D255" s="198">
        <v>15.4</v>
      </c>
      <c r="E255" s="198">
        <v>53</v>
      </c>
      <c r="F255" s="198">
        <v>357</v>
      </c>
      <c r="G255" s="198">
        <v>2.8</v>
      </c>
      <c r="H255" s="198">
        <v>0</v>
      </c>
      <c r="I255" s="198">
        <v>5.2</v>
      </c>
      <c r="J255" s="198">
        <v>5.2</v>
      </c>
      <c r="K255" s="198">
        <v>0</v>
      </c>
      <c r="L255" s="198">
        <v>-5.2</v>
      </c>
      <c r="M255" s="198">
        <f t="shared" si="3"/>
        <v>9.3999999999999915</v>
      </c>
    </row>
    <row r="256" spans="1:13">
      <c r="A256" s="204">
        <v>41806</v>
      </c>
      <c r="B256" s="198">
        <v>20.3</v>
      </c>
      <c r="C256" s="198">
        <v>25.7</v>
      </c>
      <c r="D256" s="198">
        <v>14.9</v>
      </c>
      <c r="E256" s="198">
        <v>55</v>
      </c>
      <c r="F256" s="198">
        <v>224</v>
      </c>
      <c r="G256" s="198">
        <v>0.4</v>
      </c>
      <c r="H256" s="198">
        <v>0</v>
      </c>
      <c r="I256" s="198">
        <v>3.7</v>
      </c>
      <c r="J256" s="198">
        <v>3.7</v>
      </c>
      <c r="K256" s="198">
        <v>0</v>
      </c>
      <c r="L256" s="198">
        <v>-3.7</v>
      </c>
      <c r="M256" s="198">
        <f t="shared" si="3"/>
        <v>5.6999999999999913</v>
      </c>
    </row>
    <row r="257" spans="1:13">
      <c r="A257" s="204">
        <v>41807</v>
      </c>
      <c r="B257" s="198">
        <v>19.600000000000001</v>
      </c>
      <c r="C257" s="198">
        <v>26.7</v>
      </c>
      <c r="D257" s="198">
        <v>12.5</v>
      </c>
      <c r="E257" s="198">
        <v>56</v>
      </c>
      <c r="F257" s="198">
        <v>358</v>
      </c>
      <c r="G257" s="198">
        <v>1.6</v>
      </c>
      <c r="H257" s="198">
        <v>0</v>
      </c>
      <c r="I257" s="198">
        <v>5.0999999999999996</v>
      </c>
      <c r="J257" s="198">
        <v>5.0999999999999996</v>
      </c>
      <c r="K257" s="198">
        <v>0</v>
      </c>
      <c r="L257" s="198">
        <v>-5.0999999999999996</v>
      </c>
      <c r="M257" s="198">
        <f t="shared" si="3"/>
        <v>0.59999999999999165</v>
      </c>
    </row>
    <row r="258" spans="1:13">
      <c r="A258" s="204">
        <v>41808</v>
      </c>
      <c r="B258" s="198">
        <v>19</v>
      </c>
      <c r="C258" s="198">
        <v>25.9</v>
      </c>
      <c r="D258" s="198">
        <v>12</v>
      </c>
      <c r="E258" s="198">
        <v>58</v>
      </c>
      <c r="F258" s="198">
        <v>279</v>
      </c>
      <c r="G258" s="198">
        <v>0.4</v>
      </c>
      <c r="H258" s="198">
        <v>2</v>
      </c>
      <c r="I258" s="198">
        <v>4.2</v>
      </c>
      <c r="J258" s="198">
        <v>4.2</v>
      </c>
      <c r="K258" s="198">
        <v>0</v>
      </c>
      <c r="L258" s="198">
        <v>-2.2000000000000002</v>
      </c>
      <c r="M258" s="198">
        <f t="shared" si="3"/>
        <v>-1.6000000000000085</v>
      </c>
    </row>
  </sheetData>
  <sheetProtection selectLockedCells="1" selectUnlockedCells="1"/>
  <mergeCells count="13">
    <mergeCell ref="B19:D19"/>
    <mergeCell ref="C11:G11"/>
    <mergeCell ref="C12:G12"/>
    <mergeCell ref="C13:G13"/>
    <mergeCell ref="C14:G14"/>
    <mergeCell ref="C15:G15"/>
    <mergeCell ref="C16:G16"/>
    <mergeCell ref="C10:G10"/>
    <mergeCell ref="A6:A8"/>
    <mergeCell ref="C6:G6"/>
    <mergeCell ref="C7:G7"/>
    <mergeCell ref="C8:G8"/>
    <mergeCell ref="C9:G9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47"/>
  <sheetViews>
    <sheetView workbookViewId="0">
      <pane ySplit="3" topLeftCell="A4" activePane="bottomLeft" state="frozen"/>
      <selection pane="bottomLeft" activeCell="L38" sqref="L38"/>
    </sheetView>
  </sheetViews>
  <sheetFormatPr baseColWidth="10" defaultRowHeight="15"/>
  <cols>
    <col min="1" max="1" width="10.7109375" style="209" bestFit="1" customWidth="1"/>
    <col min="2" max="2" width="8.140625" style="209" bestFit="1" customWidth="1"/>
    <col min="3" max="6" width="10.85546875" style="209" bestFit="1" customWidth="1"/>
    <col min="7" max="8" width="10.85546875" style="208" bestFit="1" customWidth="1"/>
    <col min="9" max="10" width="13.7109375" style="208" bestFit="1" customWidth="1"/>
    <col min="11" max="11" width="11.42578125" style="208"/>
    <col min="12" max="12" width="19.42578125" style="208" bestFit="1" customWidth="1"/>
    <col min="13" max="13" width="18.7109375" style="208" bestFit="1" customWidth="1"/>
    <col min="14" max="14" width="5.28515625" style="208" bestFit="1" customWidth="1"/>
    <col min="15" max="15" width="19.7109375" style="208" bestFit="1" customWidth="1"/>
    <col min="16" max="16" width="5.28515625" style="208" bestFit="1" customWidth="1"/>
    <col min="17" max="17" width="24.42578125" style="208" bestFit="1" customWidth="1"/>
    <col min="18" max="18" width="6.140625" style="208" bestFit="1" customWidth="1"/>
    <col min="19" max="19" width="48.85546875" style="208" bestFit="1" customWidth="1"/>
    <col min="20" max="20" width="9.140625" style="208" bestFit="1" customWidth="1"/>
    <col min="21" max="21" width="16.5703125" style="208" bestFit="1" customWidth="1"/>
    <col min="22" max="22" width="5.28515625" style="208" bestFit="1" customWidth="1"/>
    <col min="23" max="23" width="20.5703125" style="208" bestFit="1" customWidth="1"/>
    <col min="24" max="24" width="5.28515625" style="208" bestFit="1" customWidth="1"/>
    <col min="25" max="25" width="26.5703125" style="208" bestFit="1" customWidth="1"/>
    <col min="26" max="26" width="5.28515625" style="208" bestFit="1" customWidth="1"/>
    <col min="27" max="27" width="27.7109375" style="208" bestFit="1" customWidth="1"/>
    <col min="28" max="28" width="6.140625" style="208" bestFit="1" customWidth="1"/>
    <col min="29" max="29" width="18.28515625" style="208" bestFit="1" customWidth="1"/>
    <col min="30" max="30" width="5.28515625" style="208" bestFit="1" customWidth="1"/>
    <col min="31" max="31" width="12.7109375" style="208" bestFit="1" customWidth="1"/>
    <col min="32" max="32" width="5.28515625" style="208" bestFit="1" customWidth="1"/>
    <col min="33" max="33" width="12.7109375" style="208" bestFit="1" customWidth="1"/>
    <col min="34" max="34" width="5.28515625" style="208" bestFit="1" customWidth="1"/>
    <col min="35" max="35" width="29.85546875" style="208" bestFit="1" customWidth="1"/>
    <col min="36" max="36" width="6.140625" style="208" bestFit="1" customWidth="1"/>
    <col min="37" max="37" width="26.7109375" style="208" bestFit="1" customWidth="1"/>
    <col min="38" max="38" width="6.140625" style="208" bestFit="1" customWidth="1"/>
    <col min="39" max="39" width="22.42578125" style="208" bestFit="1" customWidth="1"/>
    <col min="40" max="40" width="5.28515625" style="208" bestFit="1" customWidth="1"/>
    <col min="41" max="41" width="29.28515625" style="208" bestFit="1" customWidth="1"/>
    <col min="42" max="42" width="5.28515625" style="208" bestFit="1" customWidth="1"/>
    <col min="43" max="16384" width="11.42578125" style="208"/>
  </cols>
  <sheetData>
    <row r="1" spans="1:42">
      <c r="A1" s="206"/>
      <c r="B1" s="207"/>
      <c r="C1" s="368" t="s">
        <v>8186</v>
      </c>
      <c r="D1" s="368"/>
      <c r="E1" s="368"/>
      <c r="F1" s="368"/>
      <c r="G1" s="369" t="s">
        <v>8187</v>
      </c>
      <c r="H1" s="370"/>
      <c r="I1" s="370"/>
      <c r="J1" s="370"/>
    </row>
    <row r="2" spans="1:42">
      <c r="A2" s="209" t="s">
        <v>8188</v>
      </c>
      <c r="C2" s="210" t="s">
        <v>8189</v>
      </c>
      <c r="D2" s="211" t="s">
        <v>8190</v>
      </c>
      <c r="E2" s="212" t="s">
        <v>8191</v>
      </c>
      <c r="F2" s="213" t="s">
        <v>8192</v>
      </c>
      <c r="G2" s="210" t="s">
        <v>8189</v>
      </c>
      <c r="H2" s="211" t="s">
        <v>8193</v>
      </c>
      <c r="I2" s="212" t="s">
        <v>8194</v>
      </c>
      <c r="J2" s="213" t="s">
        <v>8195</v>
      </c>
      <c r="L2" s="214" t="s">
        <v>8196</v>
      </c>
      <c r="M2" s="214" t="s">
        <v>8197</v>
      </c>
      <c r="N2" s="214"/>
      <c r="O2" s="214" t="s">
        <v>8198</v>
      </c>
      <c r="P2" s="214"/>
      <c r="Q2" s="214" t="s">
        <v>8199</v>
      </c>
      <c r="R2" s="214"/>
      <c r="S2" s="214" t="s">
        <v>8200</v>
      </c>
      <c r="T2" s="214"/>
      <c r="U2" s="214" t="s">
        <v>8201</v>
      </c>
      <c r="V2" s="214"/>
      <c r="W2" s="214" t="s">
        <v>8202</v>
      </c>
      <c r="X2" s="214"/>
      <c r="Y2" s="214" t="s">
        <v>8203</v>
      </c>
      <c r="Z2" s="214"/>
      <c r="AA2" s="214" t="s">
        <v>8204</v>
      </c>
      <c r="AB2" s="214"/>
      <c r="AC2" s="214" t="s">
        <v>8205</v>
      </c>
      <c r="AD2" s="214"/>
      <c r="AE2" s="214" t="s">
        <v>8206</v>
      </c>
      <c r="AF2" s="214"/>
      <c r="AG2" s="214" t="s">
        <v>8207</v>
      </c>
      <c r="AH2" s="214"/>
      <c r="AI2" s="214" t="s">
        <v>8208</v>
      </c>
      <c r="AJ2" s="214"/>
      <c r="AK2" s="214" t="s">
        <v>8209</v>
      </c>
      <c r="AL2" s="214"/>
      <c r="AM2" s="214" t="s">
        <v>8210</v>
      </c>
      <c r="AN2" s="214"/>
      <c r="AO2" s="214" t="s">
        <v>8211</v>
      </c>
      <c r="AP2" s="214"/>
    </row>
    <row r="3" spans="1:42">
      <c r="A3" s="209" t="s">
        <v>213</v>
      </c>
      <c r="B3" s="209" t="s">
        <v>8212</v>
      </c>
      <c r="C3" s="215" t="s">
        <v>247</v>
      </c>
      <c r="D3" s="216" t="s">
        <v>247</v>
      </c>
      <c r="E3" s="216" t="s">
        <v>247</v>
      </c>
      <c r="F3" s="217" t="s">
        <v>247</v>
      </c>
      <c r="G3" s="218" t="s">
        <v>247</v>
      </c>
      <c r="H3" s="219" t="s">
        <v>247</v>
      </c>
      <c r="I3" s="219" t="s">
        <v>8213</v>
      </c>
      <c r="J3" s="220" t="s">
        <v>8213</v>
      </c>
      <c r="L3" s="214"/>
      <c r="M3" s="214" t="s">
        <v>8214</v>
      </c>
      <c r="N3" s="214"/>
      <c r="O3" s="214" t="s">
        <v>8215</v>
      </c>
      <c r="P3" s="214"/>
      <c r="Q3" s="214" t="s">
        <v>8216</v>
      </c>
      <c r="R3" s="214"/>
      <c r="S3" s="214" t="s">
        <v>8217</v>
      </c>
      <c r="T3" s="214"/>
      <c r="U3" s="214" t="s">
        <v>8218</v>
      </c>
      <c r="V3" s="214"/>
      <c r="W3" s="214" t="s">
        <v>8214</v>
      </c>
      <c r="X3" s="214"/>
      <c r="Y3" s="214" t="s">
        <v>8214</v>
      </c>
      <c r="Z3" s="214"/>
      <c r="AA3" s="214" t="s">
        <v>8216</v>
      </c>
      <c r="AB3" s="214"/>
      <c r="AC3" s="214" t="s">
        <v>8218</v>
      </c>
      <c r="AD3" s="214"/>
      <c r="AE3" s="214" t="s">
        <v>8219</v>
      </c>
      <c r="AF3" s="214"/>
      <c r="AG3" s="214" t="s">
        <v>8219</v>
      </c>
      <c r="AH3" s="214"/>
      <c r="AI3" s="214" t="s">
        <v>8220</v>
      </c>
      <c r="AJ3" s="214"/>
      <c r="AK3" s="214" t="s">
        <v>8216</v>
      </c>
      <c r="AL3" s="214"/>
      <c r="AM3" s="214" t="s">
        <v>8214</v>
      </c>
      <c r="AN3" s="214"/>
      <c r="AO3" s="214" t="s">
        <v>8214</v>
      </c>
      <c r="AP3" s="214"/>
    </row>
    <row r="4" spans="1:42">
      <c r="A4" s="221">
        <v>41618</v>
      </c>
      <c r="B4" s="222">
        <v>0.66666666666666663</v>
      </c>
      <c r="C4" s="215">
        <v>36.4</v>
      </c>
      <c r="D4" s="216">
        <v>34</v>
      </c>
      <c r="E4" s="216">
        <v>28.4</v>
      </c>
      <c r="F4" s="217">
        <v>33.700000000000003</v>
      </c>
      <c r="G4" s="223"/>
      <c r="H4" s="224"/>
      <c r="I4" s="224"/>
      <c r="J4" s="225"/>
      <c r="L4" s="214"/>
      <c r="M4" s="214" t="s">
        <v>8221</v>
      </c>
      <c r="N4" s="214" t="s">
        <v>8222</v>
      </c>
      <c r="O4" s="214" t="s">
        <v>8221</v>
      </c>
      <c r="P4" s="214" t="s">
        <v>8222</v>
      </c>
      <c r="Q4" s="214" t="s">
        <v>8221</v>
      </c>
      <c r="R4" s="214" t="s">
        <v>8222</v>
      </c>
      <c r="S4" s="214" t="s">
        <v>8221</v>
      </c>
      <c r="T4" s="214" t="s">
        <v>8222</v>
      </c>
      <c r="U4" s="214" t="s">
        <v>8221</v>
      </c>
      <c r="V4" s="214" t="s">
        <v>8222</v>
      </c>
      <c r="W4" s="214" t="s">
        <v>8221</v>
      </c>
      <c r="X4" s="214" t="s">
        <v>8222</v>
      </c>
      <c r="Y4" s="214" t="s">
        <v>8221</v>
      </c>
      <c r="Z4" s="214" t="s">
        <v>8222</v>
      </c>
      <c r="AA4" s="214" t="s">
        <v>8221</v>
      </c>
      <c r="AB4" s="214" t="s">
        <v>8222</v>
      </c>
      <c r="AC4" s="214" t="s">
        <v>8221</v>
      </c>
      <c r="AD4" s="214" t="s">
        <v>8222</v>
      </c>
      <c r="AE4" s="214" t="s">
        <v>8221</v>
      </c>
      <c r="AF4" s="214" t="s">
        <v>8222</v>
      </c>
      <c r="AG4" s="214" t="s">
        <v>8221</v>
      </c>
      <c r="AH4" s="214" t="s">
        <v>8222</v>
      </c>
      <c r="AI4" s="214" t="s">
        <v>8221</v>
      </c>
      <c r="AJ4" s="214" t="s">
        <v>8222</v>
      </c>
      <c r="AK4" s="214" t="s">
        <v>8221</v>
      </c>
      <c r="AL4" s="214" t="s">
        <v>8222</v>
      </c>
      <c r="AM4" s="214" t="s">
        <v>8221</v>
      </c>
      <c r="AN4" s="214" t="s">
        <v>8222</v>
      </c>
      <c r="AO4" s="214" t="s">
        <v>8221</v>
      </c>
      <c r="AP4" s="214" t="s">
        <v>8222</v>
      </c>
    </row>
    <row r="5" spans="1:42">
      <c r="A5" s="221">
        <v>41618</v>
      </c>
      <c r="B5" s="222">
        <v>0.83333333333333337</v>
      </c>
      <c r="C5" s="215">
        <v>36.299999999999997</v>
      </c>
      <c r="D5" s="216">
        <v>33.799999999999997</v>
      </c>
      <c r="E5" s="216">
        <v>29.6</v>
      </c>
      <c r="F5" s="217">
        <v>34.200000000000003</v>
      </c>
      <c r="G5" s="226"/>
      <c r="H5" s="227"/>
      <c r="I5" s="227"/>
      <c r="J5" s="228"/>
      <c r="L5" s="214" t="s">
        <v>8223</v>
      </c>
      <c r="M5" s="214" t="s">
        <v>8224</v>
      </c>
      <c r="N5" s="214" t="s">
        <v>8225</v>
      </c>
      <c r="O5" s="214" t="s">
        <v>8226</v>
      </c>
      <c r="P5" s="214" t="s">
        <v>8225</v>
      </c>
      <c r="Q5" s="214" t="s">
        <v>8227</v>
      </c>
      <c r="R5" s="214" t="s">
        <v>8228</v>
      </c>
      <c r="S5" s="214" t="s">
        <v>8229</v>
      </c>
      <c r="T5" s="214" t="s">
        <v>8230</v>
      </c>
      <c r="U5" s="214" t="s">
        <v>8231</v>
      </c>
      <c r="V5" s="214" t="s">
        <v>8225</v>
      </c>
      <c r="W5" s="214" t="s">
        <v>8232</v>
      </c>
      <c r="X5" s="214" t="s">
        <v>8225</v>
      </c>
      <c r="Y5" s="214" t="s">
        <v>8233</v>
      </c>
      <c r="Z5" s="214" t="s">
        <v>8225</v>
      </c>
      <c r="AA5" s="214" t="s">
        <v>8234</v>
      </c>
      <c r="AB5" s="214" t="s">
        <v>8228</v>
      </c>
      <c r="AC5" s="214" t="s">
        <v>8235</v>
      </c>
      <c r="AD5" s="214" t="s">
        <v>8225</v>
      </c>
      <c r="AE5" s="214" t="s">
        <v>8236</v>
      </c>
      <c r="AF5" s="214" t="s">
        <v>8237</v>
      </c>
      <c r="AG5" s="214" t="s">
        <v>8238</v>
      </c>
      <c r="AH5" s="214" t="s">
        <v>8237</v>
      </c>
      <c r="AI5" s="214" t="s">
        <v>8239</v>
      </c>
      <c r="AJ5" s="214" t="s">
        <v>8228</v>
      </c>
      <c r="AK5" s="214" t="s">
        <v>8240</v>
      </c>
      <c r="AL5" s="214" t="s">
        <v>8228</v>
      </c>
      <c r="AM5" s="214" t="s">
        <v>8241</v>
      </c>
      <c r="AN5" s="214" t="s">
        <v>8225</v>
      </c>
      <c r="AO5" s="214" t="s">
        <v>8242</v>
      </c>
      <c r="AP5" s="214" t="s">
        <v>8225</v>
      </c>
    </row>
    <row r="6" spans="1:42">
      <c r="A6" s="221">
        <v>41619</v>
      </c>
      <c r="B6" s="222">
        <v>0</v>
      </c>
      <c r="C6" s="215">
        <v>36.299999999999997</v>
      </c>
      <c r="D6" s="216">
        <v>33.799999999999997</v>
      </c>
      <c r="E6" s="216">
        <v>30.1</v>
      </c>
      <c r="F6" s="217">
        <v>34.299999999999997</v>
      </c>
      <c r="G6" s="226"/>
      <c r="H6" s="227"/>
      <c r="I6" s="227"/>
      <c r="J6" s="228"/>
      <c r="L6" s="214" t="s">
        <v>8243</v>
      </c>
      <c r="M6" s="214" t="s">
        <v>8244</v>
      </c>
      <c r="N6" s="214" t="s">
        <v>8225</v>
      </c>
      <c r="O6" s="214"/>
      <c r="P6" s="214"/>
      <c r="Q6" s="214" t="s">
        <v>8245</v>
      </c>
      <c r="R6" s="214" t="s">
        <v>8228</v>
      </c>
      <c r="S6" s="214" t="s">
        <v>8246</v>
      </c>
      <c r="T6" s="214" t="s">
        <v>8230</v>
      </c>
      <c r="U6" s="214" t="s">
        <v>8247</v>
      </c>
      <c r="V6" s="214" t="s">
        <v>8225</v>
      </c>
      <c r="W6" s="214" t="s">
        <v>8248</v>
      </c>
      <c r="X6" s="214" t="s">
        <v>8225</v>
      </c>
      <c r="Y6" s="214" t="s">
        <v>8249</v>
      </c>
      <c r="Z6" s="214" t="s">
        <v>8225</v>
      </c>
      <c r="AA6" s="214" t="s">
        <v>8250</v>
      </c>
      <c r="AB6" s="214" t="s">
        <v>8228</v>
      </c>
      <c r="AC6" s="214" t="s">
        <v>8251</v>
      </c>
      <c r="AD6" s="214" t="s">
        <v>8225</v>
      </c>
      <c r="AE6" s="214" t="s">
        <v>8252</v>
      </c>
      <c r="AF6" s="214" t="s">
        <v>8237</v>
      </c>
      <c r="AG6" s="214" t="s">
        <v>8253</v>
      </c>
      <c r="AH6" s="214" t="s">
        <v>8237</v>
      </c>
      <c r="AI6" s="214" t="s">
        <v>8254</v>
      </c>
      <c r="AJ6" s="214" t="s">
        <v>8228</v>
      </c>
      <c r="AK6" s="214" t="s">
        <v>8255</v>
      </c>
      <c r="AL6" s="214" t="s">
        <v>8228</v>
      </c>
      <c r="AM6" s="214" t="s">
        <v>8256</v>
      </c>
      <c r="AN6" s="214" t="s">
        <v>8225</v>
      </c>
      <c r="AO6" s="214" t="s">
        <v>8257</v>
      </c>
      <c r="AP6" s="214" t="s">
        <v>8225</v>
      </c>
    </row>
    <row r="7" spans="1:42">
      <c r="A7" s="221">
        <v>41619</v>
      </c>
      <c r="B7" s="222">
        <v>0.16666666666666666</v>
      </c>
      <c r="C7" s="215">
        <v>36.4</v>
      </c>
      <c r="D7" s="216">
        <v>33.9</v>
      </c>
      <c r="E7" s="216">
        <v>30.5</v>
      </c>
      <c r="F7" s="217">
        <v>34.5</v>
      </c>
      <c r="G7" s="226"/>
      <c r="H7" s="227"/>
      <c r="I7" s="227"/>
      <c r="J7" s="228"/>
      <c r="L7" s="214" t="s">
        <v>8258</v>
      </c>
      <c r="M7" s="214" t="s">
        <v>8259</v>
      </c>
      <c r="N7" s="214" t="s">
        <v>8225</v>
      </c>
      <c r="O7" s="214"/>
      <c r="P7" s="214"/>
      <c r="Q7" s="214" t="s">
        <v>8260</v>
      </c>
      <c r="R7" s="214" t="s">
        <v>8228</v>
      </c>
      <c r="S7" s="214" t="s">
        <v>8261</v>
      </c>
      <c r="T7" s="214" t="s">
        <v>8230</v>
      </c>
      <c r="U7" s="214" t="s">
        <v>8262</v>
      </c>
      <c r="V7" s="214" t="s">
        <v>8225</v>
      </c>
      <c r="W7" s="214" t="s">
        <v>8263</v>
      </c>
      <c r="X7" s="214" t="s">
        <v>8225</v>
      </c>
      <c r="Y7" s="214" t="s">
        <v>8264</v>
      </c>
      <c r="Z7" s="214" t="s">
        <v>8225</v>
      </c>
      <c r="AA7" s="214" t="s">
        <v>8265</v>
      </c>
      <c r="AB7" s="214" t="s">
        <v>8228</v>
      </c>
      <c r="AC7" s="214" t="s">
        <v>8266</v>
      </c>
      <c r="AD7" s="214" t="s">
        <v>8225</v>
      </c>
      <c r="AE7" s="214" t="s">
        <v>8267</v>
      </c>
      <c r="AF7" s="214" t="s">
        <v>8237</v>
      </c>
      <c r="AG7" s="214" t="s">
        <v>8268</v>
      </c>
      <c r="AH7" s="214" t="s">
        <v>8237</v>
      </c>
      <c r="AI7" s="214" t="s">
        <v>8269</v>
      </c>
      <c r="AJ7" s="214" t="s">
        <v>8228</v>
      </c>
      <c r="AK7" s="214" t="s">
        <v>8270</v>
      </c>
      <c r="AL7" s="214" t="s">
        <v>8228</v>
      </c>
      <c r="AM7" s="214" t="s">
        <v>8271</v>
      </c>
      <c r="AN7" s="214" t="s">
        <v>8225</v>
      </c>
      <c r="AO7" s="214" t="s">
        <v>8272</v>
      </c>
      <c r="AP7" s="214" t="s">
        <v>8225</v>
      </c>
    </row>
    <row r="8" spans="1:42">
      <c r="A8" s="221">
        <v>41619</v>
      </c>
      <c r="B8" s="222">
        <v>0.33333333333333331</v>
      </c>
      <c r="C8" s="215">
        <v>36.4</v>
      </c>
      <c r="D8" s="216">
        <v>33.9</v>
      </c>
      <c r="E8" s="216">
        <v>30.5</v>
      </c>
      <c r="F8" s="217">
        <v>34.5</v>
      </c>
      <c r="G8" s="226"/>
      <c r="H8" s="227"/>
      <c r="I8" s="227"/>
      <c r="J8" s="228"/>
    </row>
    <row r="9" spans="1:42">
      <c r="A9" s="221">
        <v>41619</v>
      </c>
      <c r="B9" s="222">
        <v>0.5</v>
      </c>
      <c r="C9" s="215">
        <v>36.4</v>
      </c>
      <c r="D9" s="216">
        <v>33.9</v>
      </c>
      <c r="E9" s="216">
        <v>30.6</v>
      </c>
      <c r="F9" s="217">
        <v>34.5</v>
      </c>
      <c r="G9" s="226"/>
      <c r="H9" s="227"/>
      <c r="I9" s="227"/>
      <c r="J9" s="228"/>
    </row>
    <row r="10" spans="1:42">
      <c r="A10" s="221">
        <v>41619</v>
      </c>
      <c r="B10" s="222">
        <v>0.66666666666666663</v>
      </c>
      <c r="C10" s="215">
        <v>36.299999999999997</v>
      </c>
      <c r="D10" s="216">
        <v>33.9</v>
      </c>
      <c r="E10" s="216">
        <v>30.7</v>
      </c>
      <c r="F10" s="217">
        <v>34.5</v>
      </c>
      <c r="G10" s="226"/>
      <c r="H10" s="227"/>
      <c r="I10" s="227"/>
      <c r="J10" s="228"/>
    </row>
    <row r="11" spans="1:42">
      <c r="A11" s="221">
        <v>41619</v>
      </c>
      <c r="B11" s="222">
        <v>0.83333333333333337</v>
      </c>
      <c r="C11" s="215">
        <v>36.200000000000003</v>
      </c>
      <c r="D11" s="216">
        <v>33.9</v>
      </c>
      <c r="E11" s="216">
        <v>31</v>
      </c>
      <c r="F11" s="217">
        <v>34.700000000000003</v>
      </c>
      <c r="G11" s="226"/>
      <c r="H11" s="227"/>
      <c r="I11" s="227"/>
      <c r="J11" s="228"/>
    </row>
    <row r="12" spans="1:42">
      <c r="A12" s="221">
        <v>41620</v>
      </c>
      <c r="B12" s="222">
        <v>0</v>
      </c>
      <c r="C12" s="215">
        <v>36.1</v>
      </c>
      <c r="D12" s="216">
        <v>33.799999999999997</v>
      </c>
      <c r="E12" s="216">
        <v>30.7</v>
      </c>
      <c r="F12" s="217">
        <v>34.5</v>
      </c>
      <c r="G12" s="226"/>
      <c r="H12" s="227"/>
      <c r="I12" s="227"/>
      <c r="J12" s="228"/>
    </row>
    <row r="13" spans="1:42">
      <c r="A13" s="221">
        <v>41620</v>
      </c>
      <c r="B13" s="222">
        <v>0.16666666666666666</v>
      </c>
      <c r="C13" s="215">
        <v>36.200000000000003</v>
      </c>
      <c r="D13" s="216">
        <v>33.799999999999997</v>
      </c>
      <c r="E13" s="216">
        <v>30.8</v>
      </c>
      <c r="F13" s="217">
        <v>34.799999999999997</v>
      </c>
      <c r="G13" s="226"/>
      <c r="H13" s="227"/>
      <c r="I13" s="227"/>
      <c r="J13" s="228"/>
    </row>
    <row r="14" spans="1:42">
      <c r="A14" s="221">
        <v>41620</v>
      </c>
      <c r="B14" s="222">
        <v>0.33333333333333331</v>
      </c>
      <c r="C14" s="215">
        <v>36.299999999999997</v>
      </c>
      <c r="D14" s="216">
        <v>33.9</v>
      </c>
      <c r="E14" s="216">
        <v>31</v>
      </c>
      <c r="F14" s="217">
        <v>34.700000000000003</v>
      </c>
      <c r="G14" s="226"/>
      <c r="H14" s="227"/>
      <c r="I14" s="227"/>
      <c r="J14" s="228"/>
    </row>
    <row r="15" spans="1:42">
      <c r="A15" s="221">
        <v>41620</v>
      </c>
      <c r="B15" s="222">
        <v>0.5</v>
      </c>
      <c r="C15" s="215">
        <v>36.299999999999997</v>
      </c>
      <c r="D15" s="216">
        <v>33.9</v>
      </c>
      <c r="E15" s="216">
        <v>31</v>
      </c>
      <c r="F15" s="217">
        <v>34.700000000000003</v>
      </c>
      <c r="G15" s="226"/>
      <c r="H15" s="227"/>
      <c r="I15" s="227"/>
      <c r="J15" s="228"/>
    </row>
    <row r="16" spans="1:42">
      <c r="A16" s="221">
        <v>41620</v>
      </c>
      <c r="B16" s="222">
        <v>0.66666666666666663</v>
      </c>
      <c r="C16" s="215">
        <v>36.200000000000003</v>
      </c>
      <c r="D16" s="216">
        <v>33.799999999999997</v>
      </c>
      <c r="E16" s="216">
        <v>31</v>
      </c>
      <c r="F16" s="217">
        <v>34.799999999999997</v>
      </c>
      <c r="G16" s="226"/>
      <c r="H16" s="227"/>
      <c r="I16" s="227"/>
      <c r="J16" s="228"/>
    </row>
    <row r="17" spans="1:10">
      <c r="A17" s="221">
        <v>41620</v>
      </c>
      <c r="B17" s="222">
        <v>0.83333333333333337</v>
      </c>
      <c r="C17" s="215">
        <v>36.1</v>
      </c>
      <c r="D17" s="216">
        <v>33.799999999999997</v>
      </c>
      <c r="E17" s="216">
        <v>30.9</v>
      </c>
      <c r="F17" s="217">
        <v>34.6</v>
      </c>
      <c r="G17" s="226"/>
      <c r="H17" s="227"/>
      <c r="I17" s="227"/>
      <c r="J17" s="228"/>
    </row>
    <row r="18" spans="1:10">
      <c r="A18" s="221">
        <v>41621</v>
      </c>
      <c r="B18" s="222">
        <v>0</v>
      </c>
      <c r="C18" s="215">
        <v>36.200000000000003</v>
      </c>
      <c r="D18" s="216">
        <v>33.9</v>
      </c>
      <c r="E18" s="216">
        <v>31.2</v>
      </c>
      <c r="F18" s="217">
        <v>34.799999999999997</v>
      </c>
      <c r="G18" s="226"/>
      <c r="H18" s="227"/>
      <c r="I18" s="227"/>
      <c r="J18" s="228"/>
    </row>
    <row r="19" spans="1:10">
      <c r="A19" s="221">
        <v>41621</v>
      </c>
      <c r="B19" s="222">
        <v>0.16666666666666666</v>
      </c>
      <c r="C19" s="215">
        <v>36.200000000000003</v>
      </c>
      <c r="D19" s="216">
        <v>33.9</v>
      </c>
      <c r="E19" s="216">
        <v>31.2</v>
      </c>
      <c r="F19" s="217">
        <v>34.799999999999997</v>
      </c>
      <c r="G19" s="226"/>
      <c r="H19" s="227"/>
      <c r="I19" s="227"/>
      <c r="J19" s="228"/>
    </row>
    <row r="20" spans="1:10">
      <c r="A20" s="221">
        <v>41621</v>
      </c>
      <c r="B20" s="222">
        <v>0.33333333333333331</v>
      </c>
      <c r="C20" s="215">
        <v>36.200000000000003</v>
      </c>
      <c r="D20" s="216">
        <v>33.9</v>
      </c>
      <c r="E20" s="216">
        <v>31.2</v>
      </c>
      <c r="F20" s="217">
        <v>34.799999999999997</v>
      </c>
      <c r="G20" s="226"/>
      <c r="H20" s="227"/>
      <c r="I20" s="227"/>
      <c r="J20" s="228"/>
    </row>
    <row r="21" spans="1:10">
      <c r="A21" s="221">
        <v>41621</v>
      </c>
      <c r="B21" s="222">
        <v>0.5</v>
      </c>
      <c r="C21" s="215">
        <v>36.200000000000003</v>
      </c>
      <c r="D21" s="216">
        <v>33.9</v>
      </c>
      <c r="E21" s="216">
        <v>31.2</v>
      </c>
      <c r="F21" s="217">
        <v>34.9</v>
      </c>
      <c r="G21" s="226"/>
      <c r="H21" s="227"/>
      <c r="I21" s="227"/>
      <c r="J21" s="228"/>
    </row>
    <row r="22" spans="1:10">
      <c r="A22" s="221">
        <v>41621</v>
      </c>
      <c r="B22" s="222">
        <v>0.66666666666666663</v>
      </c>
      <c r="C22" s="215">
        <v>36.1</v>
      </c>
      <c r="D22" s="216">
        <v>33.799999999999997</v>
      </c>
      <c r="E22" s="216">
        <v>31</v>
      </c>
      <c r="F22" s="217">
        <v>34.799999999999997</v>
      </c>
      <c r="G22" s="226"/>
      <c r="H22" s="227"/>
      <c r="I22" s="227"/>
      <c r="J22" s="228"/>
    </row>
    <row r="23" spans="1:10">
      <c r="A23" s="221">
        <v>41621</v>
      </c>
      <c r="B23" s="222">
        <v>0.83333333333333337</v>
      </c>
      <c r="C23" s="215">
        <v>36.1</v>
      </c>
      <c r="D23" s="216">
        <v>33.799999999999997</v>
      </c>
      <c r="E23" s="216">
        <v>31.3</v>
      </c>
      <c r="F23" s="217">
        <v>34.9</v>
      </c>
      <c r="G23" s="226"/>
      <c r="H23" s="227"/>
      <c r="I23" s="227"/>
      <c r="J23" s="228"/>
    </row>
    <row r="24" spans="1:10">
      <c r="A24" s="221">
        <v>41622</v>
      </c>
      <c r="B24" s="222">
        <v>0</v>
      </c>
      <c r="C24" s="215">
        <v>36.299999999999997</v>
      </c>
      <c r="D24" s="216">
        <v>33.9</v>
      </c>
      <c r="E24" s="216">
        <v>33.1</v>
      </c>
      <c r="F24" s="217">
        <v>34.9</v>
      </c>
      <c r="G24" s="226"/>
      <c r="H24" s="227"/>
      <c r="I24" s="227"/>
      <c r="J24" s="228"/>
    </row>
    <row r="25" spans="1:10">
      <c r="A25" s="221">
        <v>41622</v>
      </c>
      <c r="B25" s="222">
        <v>0.16666666666666666</v>
      </c>
      <c r="C25" s="215">
        <v>36.9</v>
      </c>
      <c r="D25" s="216">
        <v>33.9</v>
      </c>
      <c r="E25" s="216">
        <v>35.1</v>
      </c>
      <c r="F25" s="217">
        <v>34.9</v>
      </c>
      <c r="G25" s="226"/>
      <c r="H25" s="227"/>
      <c r="I25" s="227"/>
      <c r="J25" s="228"/>
    </row>
    <row r="26" spans="1:10">
      <c r="A26" s="221">
        <v>41622</v>
      </c>
      <c r="B26" s="222">
        <v>0.33333333333333331</v>
      </c>
      <c r="C26" s="215">
        <v>36.9</v>
      </c>
      <c r="D26" s="216">
        <v>33.9</v>
      </c>
      <c r="E26" s="216">
        <v>32.4</v>
      </c>
      <c r="F26" s="217">
        <v>34.9</v>
      </c>
      <c r="G26" s="226"/>
      <c r="H26" s="227"/>
      <c r="I26" s="227"/>
      <c r="J26" s="228"/>
    </row>
    <row r="27" spans="1:10">
      <c r="A27" s="221">
        <v>41622</v>
      </c>
      <c r="B27" s="222">
        <v>0.5</v>
      </c>
      <c r="C27" s="215">
        <v>36.799999999999997</v>
      </c>
      <c r="D27" s="216">
        <v>33.9</v>
      </c>
      <c r="E27" s="216">
        <v>31.7</v>
      </c>
      <c r="F27" s="217">
        <v>34.799999999999997</v>
      </c>
      <c r="G27" s="226"/>
      <c r="H27" s="227"/>
      <c r="I27" s="227"/>
      <c r="J27" s="228"/>
    </row>
    <row r="28" spans="1:10">
      <c r="A28" s="221">
        <v>41622</v>
      </c>
      <c r="B28" s="222">
        <v>0.66666666666666663</v>
      </c>
      <c r="C28" s="215">
        <v>36.700000000000003</v>
      </c>
      <c r="D28" s="216">
        <v>33.799999999999997</v>
      </c>
      <c r="E28" s="216">
        <v>31.6</v>
      </c>
      <c r="F28" s="217">
        <v>34.799999999999997</v>
      </c>
      <c r="G28" s="226"/>
      <c r="H28" s="227"/>
      <c r="I28" s="227"/>
      <c r="J28" s="228"/>
    </row>
    <row r="29" spans="1:10">
      <c r="A29" s="221">
        <v>41622</v>
      </c>
      <c r="B29" s="222">
        <v>0.83333333333333337</v>
      </c>
      <c r="C29" s="215">
        <v>36.6</v>
      </c>
      <c r="D29" s="216">
        <v>33.799999999999997</v>
      </c>
      <c r="E29" s="216">
        <v>31.6</v>
      </c>
      <c r="F29" s="217">
        <v>35</v>
      </c>
      <c r="G29" s="226"/>
      <c r="H29" s="227"/>
      <c r="I29" s="227"/>
      <c r="J29" s="228"/>
    </row>
    <row r="30" spans="1:10">
      <c r="A30" s="221">
        <v>41623</v>
      </c>
      <c r="B30" s="222">
        <v>0</v>
      </c>
      <c r="C30" s="215">
        <v>36.5</v>
      </c>
      <c r="D30" s="216">
        <v>33.9</v>
      </c>
      <c r="E30" s="216">
        <v>31.8</v>
      </c>
      <c r="F30" s="217">
        <v>34.9</v>
      </c>
      <c r="G30" s="226"/>
      <c r="H30" s="227"/>
      <c r="I30" s="227"/>
      <c r="J30" s="228"/>
    </row>
    <row r="31" spans="1:10">
      <c r="A31" s="221">
        <v>41623</v>
      </c>
      <c r="B31" s="222">
        <v>0.16666666666666666</v>
      </c>
      <c r="C31" s="215">
        <v>36.4</v>
      </c>
      <c r="D31" s="216">
        <v>33.9</v>
      </c>
      <c r="E31" s="216">
        <v>31.8</v>
      </c>
      <c r="F31" s="217">
        <v>34.9</v>
      </c>
      <c r="G31" s="226"/>
      <c r="H31" s="227"/>
      <c r="I31" s="227"/>
      <c r="J31" s="228"/>
    </row>
    <row r="32" spans="1:10">
      <c r="A32" s="221">
        <v>41623</v>
      </c>
      <c r="B32" s="222">
        <v>0.33333333333333331</v>
      </c>
      <c r="C32" s="215">
        <v>36.4</v>
      </c>
      <c r="D32" s="216">
        <v>33.9</v>
      </c>
      <c r="E32" s="216">
        <v>31.5</v>
      </c>
      <c r="F32" s="217">
        <v>34.799999999999997</v>
      </c>
      <c r="G32" s="226"/>
      <c r="H32" s="227"/>
      <c r="I32" s="227"/>
      <c r="J32" s="228"/>
    </row>
    <row r="33" spans="1:10">
      <c r="A33" s="221">
        <v>41623</v>
      </c>
      <c r="B33" s="222">
        <v>0.5</v>
      </c>
      <c r="C33" s="215">
        <v>36.4</v>
      </c>
      <c r="D33" s="216">
        <v>33.9</v>
      </c>
      <c r="E33" s="216">
        <v>31.7</v>
      </c>
      <c r="F33" s="217">
        <v>34.9</v>
      </c>
      <c r="G33" s="226"/>
      <c r="H33" s="227"/>
      <c r="I33" s="227"/>
      <c r="J33" s="228"/>
    </row>
    <row r="34" spans="1:10">
      <c r="A34" s="221">
        <v>41623</v>
      </c>
      <c r="B34" s="222">
        <v>0.66666666666666663</v>
      </c>
      <c r="C34" s="215">
        <v>36.4</v>
      </c>
      <c r="D34" s="216">
        <v>33.9</v>
      </c>
      <c r="E34" s="216">
        <v>31.6</v>
      </c>
      <c r="F34" s="217">
        <v>34.9</v>
      </c>
      <c r="G34" s="226"/>
      <c r="H34" s="227"/>
      <c r="I34" s="227"/>
      <c r="J34" s="228"/>
    </row>
    <row r="35" spans="1:10">
      <c r="A35" s="221">
        <v>41623</v>
      </c>
      <c r="B35" s="222">
        <v>0.83333333333333337</v>
      </c>
      <c r="C35" s="215">
        <v>36.4</v>
      </c>
      <c r="D35" s="216">
        <v>33.9</v>
      </c>
      <c r="E35" s="216">
        <v>31.8</v>
      </c>
      <c r="F35" s="217">
        <v>35</v>
      </c>
      <c r="G35" s="226"/>
      <c r="H35" s="227"/>
      <c r="I35" s="227"/>
      <c r="J35" s="228"/>
    </row>
    <row r="36" spans="1:10">
      <c r="A36" s="221">
        <v>41624</v>
      </c>
      <c r="B36" s="222">
        <v>0</v>
      </c>
      <c r="C36" s="215">
        <v>36.4</v>
      </c>
      <c r="D36" s="216">
        <v>33.9</v>
      </c>
      <c r="E36" s="216">
        <v>31.7</v>
      </c>
      <c r="F36" s="217">
        <v>34.9</v>
      </c>
      <c r="G36" s="226"/>
      <c r="H36" s="227"/>
      <c r="I36" s="227"/>
      <c r="J36" s="228"/>
    </row>
    <row r="37" spans="1:10">
      <c r="A37" s="221">
        <v>41624</v>
      </c>
      <c r="B37" s="222">
        <v>0.16666666666666666</v>
      </c>
      <c r="C37" s="215">
        <v>36.4</v>
      </c>
      <c r="D37" s="216">
        <v>33.9</v>
      </c>
      <c r="E37" s="216">
        <v>31.8</v>
      </c>
      <c r="F37" s="217">
        <v>34.9</v>
      </c>
      <c r="G37" s="226"/>
      <c r="H37" s="227"/>
      <c r="I37" s="227"/>
      <c r="J37" s="228"/>
    </row>
    <row r="38" spans="1:10">
      <c r="A38" s="221">
        <v>41624</v>
      </c>
      <c r="B38" s="222">
        <v>0.33333333333333331</v>
      </c>
      <c r="C38" s="215">
        <v>36.299999999999997</v>
      </c>
      <c r="D38" s="216">
        <v>33.9</v>
      </c>
      <c r="E38" s="216">
        <v>31.9</v>
      </c>
      <c r="F38" s="217">
        <v>35</v>
      </c>
      <c r="G38" s="226"/>
      <c r="H38" s="227"/>
      <c r="I38" s="227"/>
      <c r="J38" s="228"/>
    </row>
    <row r="39" spans="1:10">
      <c r="A39" s="221">
        <v>41624</v>
      </c>
      <c r="B39" s="222">
        <v>0.5</v>
      </c>
      <c r="C39" s="215">
        <v>36.4</v>
      </c>
      <c r="D39" s="216">
        <v>34</v>
      </c>
      <c r="E39" s="216">
        <v>31.8</v>
      </c>
      <c r="F39" s="217">
        <v>34.9</v>
      </c>
      <c r="G39" s="226"/>
      <c r="H39" s="227"/>
      <c r="I39" s="227"/>
      <c r="J39" s="228"/>
    </row>
    <row r="40" spans="1:10">
      <c r="A40" s="221">
        <v>41624</v>
      </c>
      <c r="B40" s="222">
        <v>0.66666666666666663</v>
      </c>
      <c r="C40" s="215">
        <v>36.299999999999997</v>
      </c>
      <c r="D40" s="216">
        <v>33.9</v>
      </c>
      <c r="E40" s="216">
        <v>31.5</v>
      </c>
      <c r="F40" s="217">
        <v>34.799999999999997</v>
      </c>
      <c r="G40" s="226"/>
      <c r="H40" s="227"/>
      <c r="I40" s="227"/>
      <c r="J40" s="228"/>
    </row>
    <row r="41" spans="1:10">
      <c r="A41" s="221">
        <v>41624</v>
      </c>
      <c r="B41" s="222">
        <v>0.83333333333333337</v>
      </c>
      <c r="C41" s="215">
        <v>36.299999999999997</v>
      </c>
      <c r="D41" s="216">
        <v>33.9</v>
      </c>
      <c r="E41" s="216">
        <v>31.7</v>
      </c>
      <c r="F41" s="217">
        <v>34.9</v>
      </c>
      <c r="G41" s="226"/>
      <c r="H41" s="227"/>
      <c r="I41" s="227"/>
      <c r="J41" s="228"/>
    </row>
    <row r="42" spans="1:10">
      <c r="A42" s="221">
        <v>41625</v>
      </c>
      <c r="B42" s="222">
        <v>0</v>
      </c>
      <c r="C42" s="215">
        <v>36.200000000000003</v>
      </c>
      <c r="D42" s="216">
        <v>33.9</v>
      </c>
      <c r="E42" s="216">
        <v>31.6</v>
      </c>
      <c r="F42" s="217">
        <v>34.9</v>
      </c>
      <c r="G42" s="226"/>
      <c r="H42" s="227"/>
      <c r="I42" s="227"/>
      <c r="J42" s="228"/>
    </row>
    <row r="43" spans="1:10">
      <c r="A43" s="221">
        <v>41625</v>
      </c>
      <c r="B43" s="222">
        <v>0.16666666666666666</v>
      </c>
      <c r="C43" s="215">
        <v>36.200000000000003</v>
      </c>
      <c r="D43" s="216">
        <v>33.9</v>
      </c>
      <c r="E43" s="216">
        <v>31.7</v>
      </c>
      <c r="F43" s="217">
        <v>34.9</v>
      </c>
      <c r="G43" s="226"/>
      <c r="H43" s="227"/>
      <c r="I43" s="227"/>
      <c r="J43" s="228"/>
    </row>
    <row r="44" spans="1:10">
      <c r="A44" s="221">
        <v>41625</v>
      </c>
      <c r="B44" s="222">
        <v>0.33333333333333331</v>
      </c>
      <c r="C44" s="215">
        <v>36.200000000000003</v>
      </c>
      <c r="D44" s="216">
        <v>33.9</v>
      </c>
      <c r="E44" s="216">
        <v>31.5</v>
      </c>
      <c r="F44" s="217">
        <v>34.799999999999997</v>
      </c>
      <c r="G44" s="226"/>
      <c r="H44" s="227"/>
      <c r="I44" s="227"/>
      <c r="J44" s="228"/>
    </row>
    <row r="45" spans="1:10">
      <c r="A45" s="221">
        <v>41625</v>
      </c>
      <c r="B45" s="222">
        <v>0.5</v>
      </c>
      <c r="C45" s="215">
        <v>36.200000000000003</v>
      </c>
      <c r="D45" s="216">
        <v>33.9</v>
      </c>
      <c r="E45" s="216">
        <v>31.5</v>
      </c>
      <c r="F45" s="217">
        <v>34.799999999999997</v>
      </c>
      <c r="G45" s="226"/>
      <c r="H45" s="227"/>
      <c r="I45" s="227"/>
      <c r="J45" s="228"/>
    </row>
    <row r="46" spans="1:10">
      <c r="A46" s="221">
        <v>41625</v>
      </c>
      <c r="B46" s="222">
        <v>0.66666666666666663</v>
      </c>
      <c r="C46" s="215">
        <v>36.1</v>
      </c>
      <c r="D46" s="216">
        <v>33.799999999999997</v>
      </c>
      <c r="E46" s="216">
        <v>31.5</v>
      </c>
      <c r="F46" s="217">
        <v>34.799999999999997</v>
      </c>
      <c r="G46" s="226"/>
      <c r="H46" s="227"/>
      <c r="I46" s="227"/>
      <c r="J46" s="228"/>
    </row>
    <row r="47" spans="1:10">
      <c r="A47" s="221">
        <v>41625</v>
      </c>
      <c r="B47" s="222">
        <v>0.83333333333333337</v>
      </c>
      <c r="C47" s="215">
        <v>36.1</v>
      </c>
      <c r="D47" s="216">
        <v>33.9</v>
      </c>
      <c r="E47" s="216">
        <v>31.8</v>
      </c>
      <c r="F47" s="217">
        <v>35.1</v>
      </c>
      <c r="G47" s="226"/>
      <c r="H47" s="227"/>
      <c r="I47" s="227"/>
      <c r="J47" s="228"/>
    </row>
    <row r="48" spans="1:10">
      <c r="A48" s="221">
        <v>41626</v>
      </c>
      <c r="B48" s="222">
        <v>0</v>
      </c>
      <c r="C48" s="215">
        <v>36.1</v>
      </c>
      <c r="D48" s="216">
        <v>33.799999999999997</v>
      </c>
      <c r="E48" s="216">
        <v>31.6</v>
      </c>
      <c r="F48" s="217">
        <v>34.9</v>
      </c>
      <c r="G48" s="226"/>
      <c r="H48" s="227"/>
      <c r="I48" s="227"/>
      <c r="J48" s="228"/>
    </row>
    <row r="49" spans="1:10">
      <c r="A49" s="221">
        <v>41626</v>
      </c>
      <c r="B49" s="222">
        <v>0.16666666666666666</v>
      </c>
      <c r="C49" s="215">
        <v>36.1</v>
      </c>
      <c r="D49" s="216">
        <v>33.9</v>
      </c>
      <c r="E49" s="216">
        <v>31.8</v>
      </c>
      <c r="F49" s="217">
        <v>34.9</v>
      </c>
      <c r="G49" s="226"/>
      <c r="H49" s="227"/>
      <c r="I49" s="227"/>
      <c r="J49" s="228"/>
    </row>
    <row r="50" spans="1:10">
      <c r="A50" s="221">
        <v>41626</v>
      </c>
      <c r="B50" s="222">
        <v>0.33333333333333331</v>
      </c>
      <c r="C50" s="215">
        <v>36.1</v>
      </c>
      <c r="D50" s="216">
        <v>33.9</v>
      </c>
      <c r="E50" s="216">
        <v>31.7</v>
      </c>
      <c r="F50" s="217">
        <v>34.9</v>
      </c>
      <c r="G50" s="226"/>
      <c r="H50" s="227"/>
      <c r="I50" s="227"/>
      <c r="J50" s="228"/>
    </row>
    <row r="51" spans="1:10">
      <c r="A51" s="221">
        <v>41626</v>
      </c>
      <c r="B51" s="222">
        <v>0.5</v>
      </c>
      <c r="C51" s="215">
        <v>36.1</v>
      </c>
      <c r="D51" s="216">
        <v>33.799999999999997</v>
      </c>
      <c r="E51" s="216">
        <v>31.7</v>
      </c>
      <c r="F51" s="217">
        <v>34.9</v>
      </c>
      <c r="G51" s="226"/>
      <c r="H51" s="227"/>
      <c r="I51" s="227"/>
      <c r="J51" s="228"/>
    </row>
    <row r="52" spans="1:10">
      <c r="A52" s="221">
        <v>41626</v>
      </c>
      <c r="B52" s="222">
        <v>0.66666666666666663</v>
      </c>
      <c r="C52" s="215">
        <v>36</v>
      </c>
      <c r="D52" s="216">
        <v>33.799999999999997</v>
      </c>
      <c r="E52" s="216">
        <v>31.8</v>
      </c>
      <c r="F52" s="217">
        <v>35</v>
      </c>
      <c r="G52" s="226"/>
      <c r="H52" s="227"/>
      <c r="I52" s="227"/>
      <c r="J52" s="228"/>
    </row>
    <row r="53" spans="1:10">
      <c r="A53" s="221">
        <v>41626</v>
      </c>
      <c r="B53" s="222">
        <v>0.83333333333333337</v>
      </c>
      <c r="C53" s="215">
        <v>36</v>
      </c>
      <c r="D53" s="216">
        <v>33.799999999999997</v>
      </c>
      <c r="E53" s="216">
        <v>31.8</v>
      </c>
      <c r="F53" s="217">
        <v>35</v>
      </c>
      <c r="G53" s="226"/>
      <c r="H53" s="227"/>
      <c r="I53" s="227"/>
      <c r="J53" s="228"/>
    </row>
    <row r="54" spans="1:10">
      <c r="A54" s="221">
        <v>41627</v>
      </c>
      <c r="B54" s="222">
        <v>0</v>
      </c>
      <c r="C54" s="215">
        <v>36</v>
      </c>
      <c r="D54" s="216">
        <v>33.799999999999997</v>
      </c>
      <c r="E54" s="216">
        <v>31.8</v>
      </c>
      <c r="F54" s="217">
        <v>35</v>
      </c>
      <c r="G54" s="226"/>
      <c r="H54" s="227"/>
      <c r="I54" s="227"/>
      <c r="J54" s="228"/>
    </row>
    <row r="55" spans="1:10">
      <c r="A55" s="221">
        <v>41627</v>
      </c>
      <c r="B55" s="222">
        <v>0.16666666666666666</v>
      </c>
      <c r="C55" s="215">
        <v>36</v>
      </c>
      <c r="D55" s="216">
        <v>33.799999999999997</v>
      </c>
      <c r="E55" s="216">
        <v>31.6</v>
      </c>
      <c r="F55" s="217">
        <v>34.9</v>
      </c>
      <c r="G55" s="226"/>
      <c r="H55" s="227"/>
      <c r="I55" s="227"/>
      <c r="J55" s="228"/>
    </row>
    <row r="56" spans="1:10">
      <c r="A56" s="221">
        <v>41627</v>
      </c>
      <c r="B56" s="222">
        <v>0.33333333333333331</v>
      </c>
      <c r="C56" s="215">
        <v>36.9</v>
      </c>
      <c r="D56" s="216">
        <v>37.700000000000003</v>
      </c>
      <c r="E56" s="216">
        <v>34.200000000000003</v>
      </c>
      <c r="F56" s="217">
        <v>41.1</v>
      </c>
      <c r="G56" s="226"/>
      <c r="H56" s="227"/>
      <c r="I56" s="227"/>
      <c r="J56" s="228"/>
    </row>
    <row r="57" spans="1:10">
      <c r="A57" s="221">
        <v>41627</v>
      </c>
      <c r="B57" s="222">
        <v>0.5</v>
      </c>
      <c r="C57" s="215">
        <v>36.9</v>
      </c>
      <c r="D57" s="216">
        <v>38.1</v>
      </c>
      <c r="E57" s="216">
        <v>54.3</v>
      </c>
      <c r="F57" s="217">
        <v>42.3</v>
      </c>
      <c r="G57" s="226"/>
      <c r="H57" s="227"/>
      <c r="I57" s="227"/>
      <c r="J57" s="228"/>
    </row>
    <row r="58" spans="1:10">
      <c r="A58" s="221">
        <v>41627</v>
      </c>
      <c r="B58" s="222">
        <v>0.66666666666666663</v>
      </c>
      <c r="C58" s="215">
        <v>36.799999999999997</v>
      </c>
      <c r="D58" s="216">
        <v>37.299999999999997</v>
      </c>
      <c r="E58" s="216">
        <v>53.7</v>
      </c>
      <c r="F58" s="217">
        <v>42.4</v>
      </c>
      <c r="G58" s="226"/>
      <c r="H58" s="227"/>
      <c r="I58" s="227"/>
      <c r="J58" s="228"/>
    </row>
    <row r="59" spans="1:10">
      <c r="A59" s="221">
        <v>41627</v>
      </c>
      <c r="B59" s="222">
        <v>0.83333333333333337</v>
      </c>
      <c r="C59" s="215">
        <v>36.9</v>
      </c>
      <c r="D59" s="216">
        <v>37.299999999999997</v>
      </c>
      <c r="E59" s="216">
        <v>53.5</v>
      </c>
      <c r="F59" s="217">
        <v>42.3</v>
      </c>
      <c r="G59" s="226"/>
      <c r="H59" s="227"/>
      <c r="I59" s="227"/>
      <c r="J59" s="228"/>
    </row>
    <row r="60" spans="1:10">
      <c r="A60" s="221">
        <v>41628</v>
      </c>
      <c r="B60" s="222">
        <v>0</v>
      </c>
      <c r="C60" s="215">
        <v>36.9</v>
      </c>
      <c r="D60" s="216">
        <v>37.4</v>
      </c>
      <c r="E60" s="216">
        <v>51.8</v>
      </c>
      <c r="F60" s="217">
        <v>42.3</v>
      </c>
      <c r="G60" s="226"/>
      <c r="H60" s="227"/>
      <c r="I60" s="227"/>
      <c r="J60" s="228"/>
    </row>
    <row r="61" spans="1:10">
      <c r="A61" s="221">
        <v>41628</v>
      </c>
      <c r="B61" s="222">
        <v>0.16666666666666666</v>
      </c>
      <c r="C61" s="215">
        <v>37</v>
      </c>
      <c r="D61" s="216">
        <v>37.4</v>
      </c>
      <c r="E61" s="216">
        <v>50.4</v>
      </c>
      <c r="F61" s="217">
        <v>42.3</v>
      </c>
      <c r="G61" s="226"/>
      <c r="H61" s="227"/>
      <c r="I61" s="227"/>
      <c r="J61" s="228"/>
    </row>
    <row r="62" spans="1:10">
      <c r="A62" s="221">
        <v>41628</v>
      </c>
      <c r="B62" s="222">
        <v>0.33333333333333331</v>
      </c>
      <c r="C62" s="215">
        <v>37</v>
      </c>
      <c r="D62" s="216">
        <v>37.1</v>
      </c>
      <c r="E62" s="216">
        <v>48.8</v>
      </c>
      <c r="F62" s="217">
        <v>42.1</v>
      </c>
      <c r="G62" s="226"/>
      <c r="H62" s="227"/>
      <c r="I62" s="227"/>
      <c r="J62" s="228"/>
    </row>
    <row r="63" spans="1:10">
      <c r="A63" s="221">
        <v>41628</v>
      </c>
      <c r="B63" s="222">
        <v>0.5</v>
      </c>
      <c r="C63" s="215">
        <v>37.1</v>
      </c>
      <c r="D63" s="216">
        <v>37.1</v>
      </c>
      <c r="E63" s="216">
        <v>45.4</v>
      </c>
      <c r="F63" s="217">
        <v>42.2</v>
      </c>
      <c r="G63" s="226"/>
      <c r="H63" s="227"/>
      <c r="I63" s="227"/>
      <c r="J63" s="228"/>
    </row>
    <row r="64" spans="1:10">
      <c r="A64" s="221">
        <v>41628</v>
      </c>
      <c r="B64" s="222">
        <v>0.66666666666666663</v>
      </c>
      <c r="C64" s="215">
        <v>37.1</v>
      </c>
      <c r="D64" s="216">
        <v>36.799999999999997</v>
      </c>
      <c r="E64" s="216">
        <v>42.5</v>
      </c>
      <c r="F64" s="217">
        <v>42.1</v>
      </c>
      <c r="G64" s="226"/>
      <c r="H64" s="227"/>
      <c r="I64" s="227"/>
      <c r="J64" s="228"/>
    </row>
    <row r="65" spans="1:10">
      <c r="A65" s="221">
        <v>41628</v>
      </c>
      <c r="B65" s="222">
        <v>0.83333333333333337</v>
      </c>
      <c r="C65" s="215">
        <v>37</v>
      </c>
      <c r="D65" s="216">
        <v>36.1</v>
      </c>
      <c r="E65" s="216">
        <v>40.299999999999997</v>
      </c>
      <c r="F65" s="217">
        <v>41.9</v>
      </c>
      <c r="G65" s="226"/>
      <c r="H65" s="227"/>
      <c r="I65" s="227"/>
      <c r="J65" s="228"/>
    </row>
    <row r="66" spans="1:10">
      <c r="A66" s="221">
        <v>41629</v>
      </c>
      <c r="B66" s="222">
        <v>0</v>
      </c>
      <c r="C66" s="215">
        <v>37.1</v>
      </c>
      <c r="D66" s="216">
        <v>36</v>
      </c>
      <c r="E66" s="216">
        <v>38.4</v>
      </c>
      <c r="F66" s="217">
        <v>39.299999999999997</v>
      </c>
      <c r="G66" s="226"/>
      <c r="H66" s="227"/>
      <c r="I66" s="227"/>
      <c r="J66" s="228"/>
    </row>
    <row r="67" spans="1:10">
      <c r="A67" s="221">
        <v>41629</v>
      </c>
      <c r="B67" s="222">
        <v>0.16666666666666666</v>
      </c>
      <c r="C67" s="215">
        <v>37.1</v>
      </c>
      <c r="D67" s="216">
        <v>35.9</v>
      </c>
      <c r="E67" s="216">
        <v>36.5</v>
      </c>
      <c r="F67" s="217">
        <v>38.4</v>
      </c>
      <c r="G67" s="226"/>
      <c r="H67" s="227"/>
      <c r="I67" s="227"/>
      <c r="J67" s="228"/>
    </row>
    <row r="68" spans="1:10">
      <c r="A68" s="221">
        <v>41629</v>
      </c>
      <c r="B68" s="222">
        <v>0.33333333333333331</v>
      </c>
      <c r="C68" s="215">
        <v>37.1</v>
      </c>
      <c r="D68" s="216">
        <v>35.9</v>
      </c>
      <c r="E68" s="216">
        <v>35.200000000000003</v>
      </c>
      <c r="F68" s="217">
        <v>38</v>
      </c>
      <c r="G68" s="226"/>
      <c r="H68" s="227"/>
      <c r="I68" s="227"/>
      <c r="J68" s="228"/>
    </row>
    <row r="69" spans="1:10">
      <c r="A69" s="221">
        <v>41629</v>
      </c>
      <c r="B69" s="222">
        <v>0.5</v>
      </c>
      <c r="C69" s="215">
        <v>37.200000000000003</v>
      </c>
      <c r="D69" s="216">
        <v>35.9</v>
      </c>
      <c r="E69" s="216">
        <v>34.6</v>
      </c>
      <c r="F69" s="217">
        <v>37.700000000000003</v>
      </c>
      <c r="G69" s="226"/>
      <c r="H69" s="227"/>
      <c r="I69" s="227"/>
      <c r="J69" s="228"/>
    </row>
    <row r="70" spans="1:10">
      <c r="A70" s="221">
        <v>41629</v>
      </c>
      <c r="B70" s="222">
        <v>0.66666666666666663</v>
      </c>
      <c r="C70" s="215">
        <v>37.1</v>
      </c>
      <c r="D70" s="216">
        <v>35.9</v>
      </c>
      <c r="E70" s="216">
        <v>34.299999999999997</v>
      </c>
      <c r="F70" s="217">
        <v>37.6</v>
      </c>
      <c r="G70" s="226"/>
      <c r="H70" s="227"/>
      <c r="I70" s="227"/>
      <c r="J70" s="228"/>
    </row>
    <row r="71" spans="1:10">
      <c r="A71" s="221">
        <v>41629</v>
      </c>
      <c r="B71" s="222">
        <v>0.83333333333333337</v>
      </c>
      <c r="C71" s="215">
        <v>37</v>
      </c>
      <c r="D71" s="216">
        <v>35.9</v>
      </c>
      <c r="E71" s="216">
        <v>34</v>
      </c>
      <c r="F71" s="217">
        <v>37.4</v>
      </c>
      <c r="G71" s="226"/>
      <c r="H71" s="227"/>
      <c r="I71" s="227"/>
      <c r="J71" s="228"/>
    </row>
    <row r="72" spans="1:10">
      <c r="A72" s="221">
        <v>41630</v>
      </c>
      <c r="B72" s="222">
        <v>0</v>
      </c>
      <c r="C72" s="215">
        <v>37.1</v>
      </c>
      <c r="D72" s="216">
        <v>35.799999999999997</v>
      </c>
      <c r="E72" s="216">
        <v>33.9</v>
      </c>
      <c r="F72" s="217">
        <v>37.299999999999997</v>
      </c>
      <c r="G72" s="226"/>
      <c r="H72" s="227"/>
      <c r="I72" s="227"/>
      <c r="J72" s="228"/>
    </row>
    <row r="73" spans="1:10">
      <c r="A73" s="221">
        <v>41630</v>
      </c>
      <c r="B73" s="222">
        <v>0.16666666666666666</v>
      </c>
      <c r="C73" s="215">
        <v>36.9</v>
      </c>
      <c r="D73" s="216">
        <v>35.700000000000003</v>
      </c>
      <c r="E73" s="216">
        <v>33.700000000000003</v>
      </c>
      <c r="F73" s="217">
        <v>37</v>
      </c>
      <c r="G73" s="226"/>
      <c r="H73" s="227"/>
      <c r="I73" s="227"/>
      <c r="J73" s="228"/>
    </row>
    <row r="74" spans="1:10">
      <c r="A74" s="221">
        <v>41630</v>
      </c>
      <c r="B74" s="222">
        <v>0.33333333333333331</v>
      </c>
      <c r="C74" s="215">
        <v>37</v>
      </c>
      <c r="D74" s="216">
        <v>35.799999999999997</v>
      </c>
      <c r="E74" s="216">
        <v>34.1</v>
      </c>
      <c r="F74" s="217">
        <v>37.200000000000003</v>
      </c>
      <c r="G74" s="226"/>
      <c r="H74" s="227"/>
      <c r="I74" s="227"/>
      <c r="J74" s="228"/>
    </row>
    <row r="75" spans="1:10">
      <c r="A75" s="221">
        <v>41630</v>
      </c>
      <c r="B75" s="222">
        <v>0.5</v>
      </c>
      <c r="C75" s="215">
        <v>37</v>
      </c>
      <c r="D75" s="216">
        <v>35.799999999999997</v>
      </c>
      <c r="E75" s="216">
        <v>33.9</v>
      </c>
      <c r="F75" s="217">
        <v>37.1</v>
      </c>
      <c r="G75" s="226"/>
      <c r="H75" s="227"/>
      <c r="I75" s="227"/>
      <c r="J75" s="228"/>
    </row>
    <row r="76" spans="1:10">
      <c r="A76" s="221">
        <v>41630</v>
      </c>
      <c r="B76" s="222">
        <v>0.66666666666666663</v>
      </c>
      <c r="C76" s="215">
        <v>36.9</v>
      </c>
      <c r="D76" s="216">
        <v>35.700000000000003</v>
      </c>
      <c r="E76" s="216">
        <v>33.700000000000003</v>
      </c>
      <c r="F76" s="217">
        <v>37</v>
      </c>
      <c r="G76" s="226"/>
      <c r="H76" s="227"/>
      <c r="I76" s="227"/>
      <c r="J76" s="228"/>
    </row>
    <row r="77" spans="1:10">
      <c r="A77" s="221">
        <v>41630</v>
      </c>
      <c r="B77" s="222">
        <v>0.83333333333333337</v>
      </c>
      <c r="C77" s="215">
        <v>36.9</v>
      </c>
      <c r="D77" s="216">
        <v>35.700000000000003</v>
      </c>
      <c r="E77" s="216">
        <v>33.6</v>
      </c>
      <c r="F77" s="217">
        <v>36.9</v>
      </c>
      <c r="G77" s="226"/>
      <c r="H77" s="227"/>
      <c r="I77" s="227"/>
      <c r="J77" s="228"/>
    </row>
    <row r="78" spans="1:10">
      <c r="A78" s="221">
        <v>41631</v>
      </c>
      <c r="B78" s="222">
        <v>0</v>
      </c>
      <c r="C78" s="215">
        <v>36.799999999999997</v>
      </c>
      <c r="D78" s="216">
        <v>35.6</v>
      </c>
      <c r="E78" s="216">
        <v>33.799999999999997</v>
      </c>
      <c r="F78" s="217">
        <v>37</v>
      </c>
      <c r="G78" s="226"/>
      <c r="H78" s="227"/>
      <c r="I78" s="227"/>
      <c r="J78" s="228"/>
    </row>
    <row r="79" spans="1:10">
      <c r="A79" s="221">
        <v>41631</v>
      </c>
      <c r="B79" s="222">
        <v>0.16666666666666666</v>
      </c>
      <c r="C79" s="215">
        <v>36.9</v>
      </c>
      <c r="D79" s="216">
        <v>35.6</v>
      </c>
      <c r="E79" s="216">
        <v>33.6</v>
      </c>
      <c r="F79" s="217">
        <v>36.9</v>
      </c>
      <c r="G79" s="226"/>
      <c r="H79" s="227"/>
      <c r="I79" s="227"/>
      <c r="J79" s="228"/>
    </row>
    <row r="80" spans="1:10">
      <c r="A80" s="221">
        <v>41631</v>
      </c>
      <c r="B80" s="222">
        <v>0.33333333333333331</v>
      </c>
      <c r="C80" s="215">
        <v>36.799999999999997</v>
      </c>
      <c r="D80" s="216">
        <v>35.6</v>
      </c>
      <c r="E80" s="216">
        <v>33.5</v>
      </c>
      <c r="F80" s="217">
        <v>36.799999999999997</v>
      </c>
      <c r="G80" s="226"/>
      <c r="H80" s="227"/>
      <c r="I80" s="227"/>
      <c r="J80" s="228"/>
    </row>
    <row r="81" spans="1:10">
      <c r="A81" s="221">
        <v>41631</v>
      </c>
      <c r="B81" s="222">
        <v>0.5</v>
      </c>
      <c r="C81" s="215">
        <v>36.799999999999997</v>
      </c>
      <c r="D81" s="216">
        <v>35.6</v>
      </c>
      <c r="E81" s="216">
        <v>33.4</v>
      </c>
      <c r="F81" s="217">
        <v>36.799999999999997</v>
      </c>
      <c r="G81" s="226"/>
      <c r="H81" s="227"/>
      <c r="I81" s="227"/>
      <c r="J81" s="228"/>
    </row>
    <row r="82" spans="1:10">
      <c r="A82" s="221">
        <v>41631</v>
      </c>
      <c r="B82" s="222">
        <v>0.66666666666666663</v>
      </c>
      <c r="C82" s="215">
        <v>36.700000000000003</v>
      </c>
      <c r="D82" s="216">
        <v>35.5</v>
      </c>
      <c r="E82" s="216">
        <v>33.4</v>
      </c>
      <c r="F82" s="217">
        <v>36.700000000000003</v>
      </c>
      <c r="G82" s="226"/>
      <c r="H82" s="227"/>
      <c r="I82" s="227"/>
      <c r="J82" s="228"/>
    </row>
    <row r="83" spans="1:10">
      <c r="A83" s="221">
        <v>41631</v>
      </c>
      <c r="B83" s="222">
        <v>0.83333333333333337</v>
      </c>
      <c r="C83" s="215">
        <v>36.700000000000003</v>
      </c>
      <c r="D83" s="216">
        <v>35.5</v>
      </c>
      <c r="E83" s="216">
        <v>33.5</v>
      </c>
      <c r="F83" s="217">
        <v>36.799999999999997</v>
      </c>
      <c r="G83" s="226"/>
      <c r="H83" s="227"/>
      <c r="I83" s="227"/>
      <c r="J83" s="228"/>
    </row>
    <row r="84" spans="1:10">
      <c r="A84" s="221">
        <v>41632</v>
      </c>
      <c r="B84" s="222">
        <v>0</v>
      </c>
      <c r="C84" s="215">
        <v>36.700000000000003</v>
      </c>
      <c r="D84" s="216">
        <v>35.5</v>
      </c>
      <c r="E84" s="216">
        <v>33.6</v>
      </c>
      <c r="F84" s="217">
        <v>36.799999999999997</v>
      </c>
      <c r="G84" s="226"/>
      <c r="H84" s="227"/>
      <c r="I84" s="227"/>
      <c r="J84" s="228"/>
    </row>
    <row r="85" spans="1:10">
      <c r="A85" s="221">
        <v>41632</v>
      </c>
      <c r="B85" s="222">
        <v>0.16666666666666666</v>
      </c>
      <c r="C85" s="215">
        <v>36.6</v>
      </c>
      <c r="D85" s="216">
        <v>35.5</v>
      </c>
      <c r="E85" s="216">
        <v>33.5</v>
      </c>
      <c r="F85" s="217">
        <v>36.700000000000003</v>
      </c>
      <c r="G85" s="226"/>
      <c r="H85" s="227"/>
      <c r="I85" s="227"/>
      <c r="J85" s="228"/>
    </row>
    <row r="86" spans="1:10">
      <c r="A86" s="221">
        <v>41632</v>
      </c>
      <c r="B86" s="222">
        <v>0.33333333333333331</v>
      </c>
      <c r="C86" s="215">
        <v>36.5</v>
      </c>
      <c r="D86" s="216">
        <v>35.4</v>
      </c>
      <c r="E86" s="216">
        <v>33.4</v>
      </c>
      <c r="F86" s="217">
        <v>36.700000000000003</v>
      </c>
      <c r="G86" s="226"/>
      <c r="H86" s="227"/>
      <c r="I86" s="227"/>
      <c r="J86" s="228"/>
    </row>
    <row r="87" spans="1:10">
      <c r="A87" s="221">
        <v>41632</v>
      </c>
      <c r="B87" s="222">
        <v>0.5</v>
      </c>
      <c r="C87" s="215">
        <v>36.5</v>
      </c>
      <c r="D87" s="216">
        <v>35.4</v>
      </c>
      <c r="E87" s="216">
        <v>33.4</v>
      </c>
      <c r="F87" s="217">
        <v>36.700000000000003</v>
      </c>
      <c r="G87" s="226"/>
      <c r="H87" s="227"/>
      <c r="I87" s="227"/>
      <c r="J87" s="228"/>
    </row>
    <row r="88" spans="1:10">
      <c r="A88" s="221">
        <v>41632</v>
      </c>
      <c r="B88" s="222">
        <v>0.66666666666666663</v>
      </c>
      <c r="C88" s="215">
        <v>36.5</v>
      </c>
      <c r="D88" s="216">
        <v>35.4</v>
      </c>
      <c r="E88" s="216">
        <v>33.6</v>
      </c>
      <c r="F88" s="217">
        <v>36.799999999999997</v>
      </c>
      <c r="G88" s="226"/>
      <c r="H88" s="227"/>
      <c r="I88" s="227"/>
      <c r="J88" s="228"/>
    </row>
    <row r="89" spans="1:10">
      <c r="A89" s="221">
        <v>41632</v>
      </c>
      <c r="B89" s="222">
        <v>0.83333333333333337</v>
      </c>
      <c r="C89" s="215">
        <v>36.5</v>
      </c>
      <c r="D89" s="216">
        <v>35.4</v>
      </c>
      <c r="E89" s="216">
        <v>33.4</v>
      </c>
      <c r="F89" s="217">
        <v>36.700000000000003</v>
      </c>
      <c r="G89" s="226"/>
      <c r="H89" s="227"/>
      <c r="I89" s="227"/>
      <c r="J89" s="228"/>
    </row>
    <row r="90" spans="1:10">
      <c r="A90" s="221">
        <v>41633</v>
      </c>
      <c r="B90" s="222">
        <v>0</v>
      </c>
      <c r="C90" s="215">
        <v>36.5</v>
      </c>
      <c r="D90" s="216">
        <v>35.4</v>
      </c>
      <c r="E90" s="216">
        <v>33.700000000000003</v>
      </c>
      <c r="F90" s="217">
        <v>36.799999999999997</v>
      </c>
      <c r="G90" s="226"/>
      <c r="H90" s="227"/>
      <c r="I90" s="227"/>
      <c r="J90" s="228"/>
    </row>
    <row r="91" spans="1:10">
      <c r="A91" s="221">
        <v>41633</v>
      </c>
      <c r="B91" s="222">
        <v>0.16666666666666666</v>
      </c>
      <c r="C91" s="215">
        <v>36.4</v>
      </c>
      <c r="D91" s="216">
        <v>35.4</v>
      </c>
      <c r="E91" s="216">
        <v>33.4</v>
      </c>
      <c r="F91" s="217">
        <v>36.700000000000003</v>
      </c>
      <c r="G91" s="226"/>
      <c r="H91" s="227"/>
      <c r="I91" s="227"/>
      <c r="J91" s="228"/>
    </row>
    <row r="92" spans="1:10">
      <c r="A92" s="221">
        <v>41633</v>
      </c>
      <c r="B92" s="222">
        <v>0.33333333333333331</v>
      </c>
      <c r="C92" s="215">
        <v>36.6</v>
      </c>
      <c r="D92" s="216">
        <v>36.9</v>
      </c>
      <c r="E92" s="216">
        <v>33.5</v>
      </c>
      <c r="F92" s="217">
        <v>36.700000000000003</v>
      </c>
      <c r="G92" s="226"/>
      <c r="H92" s="227"/>
      <c r="I92" s="227"/>
      <c r="J92" s="228"/>
    </row>
    <row r="93" spans="1:10">
      <c r="A93" s="221">
        <v>41633</v>
      </c>
      <c r="B93" s="222">
        <v>0.5</v>
      </c>
      <c r="C93" s="215">
        <v>36.5</v>
      </c>
      <c r="D93" s="216">
        <v>36.799999999999997</v>
      </c>
      <c r="E93" s="216">
        <v>33.200000000000003</v>
      </c>
      <c r="F93" s="217">
        <v>36.5</v>
      </c>
      <c r="G93" s="226"/>
      <c r="H93" s="227"/>
      <c r="I93" s="227"/>
      <c r="J93" s="228"/>
    </row>
    <row r="94" spans="1:10">
      <c r="A94" s="221">
        <v>41633</v>
      </c>
      <c r="B94" s="222">
        <v>0.66666666666666663</v>
      </c>
      <c r="C94" s="215">
        <v>36.5</v>
      </c>
      <c r="D94" s="216">
        <v>36.799999999999997</v>
      </c>
      <c r="E94" s="216">
        <v>33.299999999999997</v>
      </c>
      <c r="F94" s="217">
        <v>36.5</v>
      </c>
      <c r="G94" s="226"/>
      <c r="H94" s="227"/>
      <c r="I94" s="227"/>
      <c r="J94" s="228"/>
    </row>
    <row r="95" spans="1:10">
      <c r="A95" s="221">
        <v>41633</v>
      </c>
      <c r="B95" s="222">
        <v>0.83333333333333337</v>
      </c>
      <c r="C95" s="215">
        <v>36.6</v>
      </c>
      <c r="D95" s="216">
        <v>36.799999999999997</v>
      </c>
      <c r="E95" s="216">
        <v>33.4</v>
      </c>
      <c r="F95" s="217">
        <v>36.6</v>
      </c>
      <c r="G95" s="226"/>
      <c r="H95" s="227"/>
      <c r="I95" s="227"/>
      <c r="J95" s="228"/>
    </row>
    <row r="96" spans="1:10">
      <c r="A96" s="221">
        <v>41634</v>
      </c>
      <c r="B96" s="222">
        <v>0</v>
      </c>
      <c r="C96" s="215">
        <v>36.6</v>
      </c>
      <c r="D96" s="216">
        <v>36.6</v>
      </c>
      <c r="E96" s="216">
        <v>33.4</v>
      </c>
      <c r="F96" s="217">
        <v>36.6</v>
      </c>
      <c r="G96" s="226"/>
      <c r="H96" s="227"/>
      <c r="I96" s="227"/>
      <c r="J96" s="228"/>
    </row>
    <row r="97" spans="1:10">
      <c r="A97" s="221">
        <v>41634</v>
      </c>
      <c r="B97" s="222">
        <v>0.16666666666666666</v>
      </c>
      <c r="C97" s="215">
        <v>36.700000000000003</v>
      </c>
      <c r="D97" s="216">
        <v>36.5</v>
      </c>
      <c r="E97" s="216">
        <v>33.700000000000003</v>
      </c>
      <c r="F97" s="217">
        <v>36.700000000000003</v>
      </c>
      <c r="G97" s="226"/>
      <c r="H97" s="227"/>
      <c r="I97" s="227"/>
      <c r="J97" s="228"/>
    </row>
    <row r="98" spans="1:10">
      <c r="A98" s="221">
        <v>41634</v>
      </c>
      <c r="B98" s="222">
        <v>0.33333333333333331</v>
      </c>
      <c r="C98" s="215">
        <v>36.700000000000003</v>
      </c>
      <c r="D98" s="216">
        <v>37.299999999999997</v>
      </c>
      <c r="E98" s="216">
        <v>36.4</v>
      </c>
      <c r="F98" s="217">
        <v>36.700000000000003</v>
      </c>
      <c r="G98" s="226"/>
      <c r="H98" s="227"/>
      <c r="I98" s="227"/>
      <c r="J98" s="228"/>
    </row>
    <row r="99" spans="1:10">
      <c r="A99" s="221">
        <v>41634</v>
      </c>
      <c r="B99" s="222">
        <v>0.5</v>
      </c>
      <c r="C99" s="215">
        <v>36.799999999999997</v>
      </c>
      <c r="D99" s="216">
        <v>37.299999999999997</v>
      </c>
      <c r="E99" s="216">
        <v>34.799999999999997</v>
      </c>
      <c r="F99" s="217">
        <v>36.700000000000003</v>
      </c>
      <c r="G99" s="226"/>
      <c r="H99" s="227"/>
      <c r="I99" s="227"/>
      <c r="J99" s="228"/>
    </row>
    <row r="100" spans="1:10">
      <c r="A100" s="221">
        <v>41634</v>
      </c>
      <c r="B100" s="222">
        <v>0.66666666666666663</v>
      </c>
      <c r="C100" s="215">
        <v>36.799999999999997</v>
      </c>
      <c r="D100" s="216">
        <v>37.5</v>
      </c>
      <c r="E100" s="216">
        <v>34.5</v>
      </c>
      <c r="F100" s="217">
        <v>36.700000000000003</v>
      </c>
      <c r="G100" s="226"/>
      <c r="H100" s="227"/>
      <c r="I100" s="227"/>
      <c r="J100" s="228"/>
    </row>
    <row r="101" spans="1:10">
      <c r="A101" s="221">
        <v>41634</v>
      </c>
      <c r="B101" s="222">
        <v>0.83333333333333337</v>
      </c>
      <c r="C101" s="215">
        <v>36.9</v>
      </c>
      <c r="D101" s="216">
        <v>38.5</v>
      </c>
      <c r="E101" s="216">
        <v>54.3</v>
      </c>
      <c r="F101" s="217">
        <v>36.9</v>
      </c>
      <c r="G101" s="226"/>
      <c r="H101" s="227"/>
      <c r="I101" s="227"/>
      <c r="J101" s="228"/>
    </row>
    <row r="102" spans="1:10">
      <c r="A102" s="221">
        <v>41635</v>
      </c>
      <c r="B102" s="222">
        <v>0</v>
      </c>
      <c r="C102" s="215">
        <v>36.9</v>
      </c>
      <c r="D102" s="216">
        <v>38.4</v>
      </c>
      <c r="E102" s="216">
        <v>53.9</v>
      </c>
      <c r="F102" s="217">
        <v>36.9</v>
      </c>
      <c r="G102" s="226"/>
      <c r="H102" s="227"/>
      <c r="I102" s="227"/>
      <c r="J102" s="228"/>
    </row>
    <row r="103" spans="1:10">
      <c r="A103" s="221">
        <v>41635</v>
      </c>
      <c r="B103" s="222">
        <v>0.16666666666666666</v>
      </c>
      <c r="C103" s="215">
        <v>36.9</v>
      </c>
      <c r="D103" s="216">
        <v>38.200000000000003</v>
      </c>
      <c r="E103" s="216">
        <v>53.2</v>
      </c>
      <c r="F103" s="217">
        <v>37</v>
      </c>
      <c r="G103" s="226"/>
      <c r="H103" s="227"/>
      <c r="I103" s="227"/>
      <c r="J103" s="228"/>
    </row>
    <row r="104" spans="1:10">
      <c r="A104" s="221">
        <v>41635</v>
      </c>
      <c r="B104" s="222">
        <v>0.33333333333333331</v>
      </c>
      <c r="C104" s="215">
        <v>36.799999999999997</v>
      </c>
      <c r="D104" s="216">
        <v>38.1</v>
      </c>
      <c r="E104" s="216">
        <v>52.2</v>
      </c>
      <c r="F104" s="217">
        <v>37.1</v>
      </c>
      <c r="G104" s="226"/>
      <c r="H104" s="227"/>
      <c r="I104" s="227"/>
      <c r="J104" s="228"/>
    </row>
    <row r="105" spans="1:10">
      <c r="A105" s="221">
        <v>41635</v>
      </c>
      <c r="B105" s="222">
        <v>0.5</v>
      </c>
      <c r="C105" s="215">
        <v>36.799999999999997</v>
      </c>
      <c r="D105" s="216">
        <v>37.799999999999997</v>
      </c>
      <c r="E105" s="216">
        <v>50.4</v>
      </c>
      <c r="F105" s="217">
        <v>36.9</v>
      </c>
      <c r="G105" s="226"/>
      <c r="H105" s="227"/>
      <c r="I105" s="227"/>
      <c r="J105" s="228"/>
    </row>
    <row r="106" spans="1:10">
      <c r="A106" s="221">
        <v>41635</v>
      </c>
      <c r="B106" s="222">
        <v>0.66666666666666663</v>
      </c>
      <c r="C106" s="215">
        <v>36.799999999999997</v>
      </c>
      <c r="D106" s="216">
        <v>37.799999999999997</v>
      </c>
      <c r="E106" s="216">
        <v>49.1</v>
      </c>
      <c r="F106" s="217">
        <v>36.9</v>
      </c>
      <c r="G106" s="226"/>
      <c r="H106" s="227"/>
      <c r="I106" s="227"/>
      <c r="J106" s="228"/>
    </row>
    <row r="107" spans="1:10">
      <c r="A107" s="221">
        <v>41635</v>
      </c>
      <c r="B107" s="222">
        <v>0.83333333333333337</v>
      </c>
      <c r="C107" s="215">
        <v>36.700000000000003</v>
      </c>
      <c r="D107" s="216">
        <v>37.6</v>
      </c>
      <c r="E107" s="216">
        <v>47.7</v>
      </c>
      <c r="F107" s="217">
        <v>37</v>
      </c>
      <c r="G107" s="226"/>
      <c r="H107" s="227"/>
      <c r="I107" s="227"/>
      <c r="J107" s="228"/>
    </row>
    <row r="108" spans="1:10">
      <c r="A108" s="221">
        <v>41636</v>
      </c>
      <c r="B108" s="222">
        <v>0</v>
      </c>
      <c r="C108" s="215">
        <v>36.799999999999997</v>
      </c>
      <c r="D108" s="216">
        <v>37.6</v>
      </c>
      <c r="E108" s="216">
        <v>43.9</v>
      </c>
      <c r="F108" s="217">
        <v>37</v>
      </c>
      <c r="G108" s="226"/>
      <c r="H108" s="227"/>
      <c r="I108" s="227"/>
      <c r="J108" s="228"/>
    </row>
    <row r="109" spans="1:10">
      <c r="A109" s="221">
        <v>41636</v>
      </c>
      <c r="B109" s="222">
        <v>0.16666666666666666</v>
      </c>
      <c r="C109" s="215">
        <v>36.700000000000003</v>
      </c>
      <c r="D109" s="216">
        <v>37.1</v>
      </c>
      <c r="E109" s="216">
        <v>41.5</v>
      </c>
      <c r="F109" s="217">
        <v>37</v>
      </c>
      <c r="G109" s="226"/>
      <c r="H109" s="227"/>
      <c r="I109" s="227"/>
      <c r="J109" s="228"/>
    </row>
    <row r="110" spans="1:10">
      <c r="A110" s="221">
        <v>41636</v>
      </c>
      <c r="B110" s="222">
        <v>0.33333333333333331</v>
      </c>
      <c r="C110" s="215">
        <v>36.799999999999997</v>
      </c>
      <c r="D110" s="216">
        <v>37</v>
      </c>
      <c r="E110" s="216">
        <v>40.299999999999997</v>
      </c>
      <c r="F110" s="217">
        <v>37.1</v>
      </c>
      <c r="G110" s="226"/>
      <c r="H110" s="227"/>
      <c r="I110" s="227"/>
      <c r="J110" s="228"/>
    </row>
    <row r="111" spans="1:10">
      <c r="A111" s="221">
        <v>41636</v>
      </c>
      <c r="B111" s="222">
        <v>0.5</v>
      </c>
      <c r="C111" s="215">
        <v>36.9</v>
      </c>
      <c r="D111" s="216">
        <v>38.5</v>
      </c>
      <c r="E111" s="216">
        <v>54.9</v>
      </c>
      <c r="F111" s="217">
        <v>41.6</v>
      </c>
      <c r="G111" s="226"/>
      <c r="H111" s="227"/>
      <c r="I111" s="227"/>
      <c r="J111" s="228"/>
    </row>
    <row r="112" spans="1:10">
      <c r="A112" s="221">
        <v>41636</v>
      </c>
      <c r="B112" s="222">
        <v>0.66666666666666663</v>
      </c>
      <c r="C112" s="215">
        <v>36.799999999999997</v>
      </c>
      <c r="D112" s="216">
        <v>38.5</v>
      </c>
      <c r="E112" s="216">
        <v>54.9</v>
      </c>
      <c r="F112" s="217">
        <v>41.9</v>
      </c>
      <c r="G112" s="226"/>
      <c r="H112" s="227"/>
      <c r="I112" s="227"/>
      <c r="J112" s="228"/>
    </row>
    <row r="113" spans="1:10">
      <c r="A113" s="221">
        <v>41636</v>
      </c>
      <c r="B113" s="222">
        <v>0.83333333333333337</v>
      </c>
      <c r="C113" s="215">
        <v>36.799999999999997</v>
      </c>
      <c r="D113" s="216">
        <v>38.299999999999997</v>
      </c>
      <c r="E113" s="216">
        <v>54.8</v>
      </c>
      <c r="F113" s="217">
        <v>41.9</v>
      </c>
      <c r="G113" s="226"/>
      <c r="H113" s="227"/>
      <c r="I113" s="227"/>
      <c r="J113" s="228"/>
    </row>
    <row r="114" spans="1:10">
      <c r="A114" s="221">
        <v>41637</v>
      </c>
      <c r="B114" s="222">
        <v>0</v>
      </c>
      <c r="C114" s="215">
        <v>36.9</v>
      </c>
      <c r="D114" s="216">
        <v>38.1</v>
      </c>
      <c r="E114" s="216">
        <v>54.9</v>
      </c>
      <c r="F114" s="217">
        <v>41.9</v>
      </c>
      <c r="G114" s="226"/>
      <c r="H114" s="227"/>
      <c r="I114" s="227"/>
      <c r="J114" s="228"/>
    </row>
    <row r="115" spans="1:10">
      <c r="A115" s="221">
        <v>41637</v>
      </c>
      <c r="B115" s="222">
        <v>0.16666666666666666</v>
      </c>
      <c r="C115" s="215">
        <v>37</v>
      </c>
      <c r="D115" s="216">
        <v>38</v>
      </c>
      <c r="E115" s="216">
        <v>55</v>
      </c>
      <c r="F115" s="217">
        <v>42</v>
      </c>
      <c r="G115" s="226"/>
      <c r="H115" s="227"/>
      <c r="I115" s="227"/>
      <c r="J115" s="228"/>
    </row>
    <row r="116" spans="1:10">
      <c r="A116" s="221">
        <v>41637</v>
      </c>
      <c r="B116" s="222">
        <v>0.33333333333333331</v>
      </c>
      <c r="C116" s="215">
        <v>36.9</v>
      </c>
      <c r="D116" s="216">
        <v>37.9</v>
      </c>
      <c r="E116" s="216">
        <v>54.6</v>
      </c>
      <c r="F116" s="217">
        <v>41.7</v>
      </c>
      <c r="G116" s="226"/>
      <c r="H116" s="227"/>
      <c r="I116" s="227"/>
      <c r="J116" s="228"/>
    </row>
    <row r="117" spans="1:10">
      <c r="A117" s="221">
        <v>41637</v>
      </c>
      <c r="B117" s="222">
        <v>0.5</v>
      </c>
      <c r="C117" s="215">
        <v>36.9</v>
      </c>
      <c r="D117" s="216">
        <v>37.799999999999997</v>
      </c>
      <c r="E117" s="216">
        <v>54.4</v>
      </c>
      <c r="F117" s="217">
        <v>41.7</v>
      </c>
      <c r="G117" s="226"/>
      <c r="H117" s="227"/>
      <c r="I117" s="227"/>
      <c r="J117" s="228"/>
    </row>
    <row r="118" spans="1:10">
      <c r="A118" s="221">
        <v>41637</v>
      </c>
      <c r="B118" s="222">
        <v>0.66666666666666663</v>
      </c>
      <c r="C118" s="215">
        <v>36.9</v>
      </c>
      <c r="D118" s="216">
        <v>37.6</v>
      </c>
      <c r="E118" s="216">
        <v>54.3</v>
      </c>
      <c r="F118" s="217">
        <v>41.7</v>
      </c>
      <c r="G118" s="226"/>
      <c r="H118" s="227"/>
      <c r="I118" s="227"/>
      <c r="J118" s="228"/>
    </row>
    <row r="119" spans="1:10">
      <c r="A119" s="221">
        <v>41637</v>
      </c>
      <c r="B119" s="222">
        <v>0.83333333333333337</v>
      </c>
      <c r="C119" s="215">
        <v>36.9</v>
      </c>
      <c r="D119" s="216">
        <v>37.299999999999997</v>
      </c>
      <c r="E119" s="216">
        <v>53.7</v>
      </c>
      <c r="F119" s="217">
        <v>41.7</v>
      </c>
      <c r="G119" s="226"/>
      <c r="H119" s="227"/>
      <c r="I119" s="227"/>
      <c r="J119" s="228"/>
    </row>
    <row r="120" spans="1:10">
      <c r="A120" s="221">
        <v>41638</v>
      </c>
      <c r="B120" s="222">
        <v>0</v>
      </c>
      <c r="C120" s="215">
        <v>36.9</v>
      </c>
      <c r="D120" s="216">
        <v>37.200000000000003</v>
      </c>
      <c r="E120" s="216">
        <v>52.9</v>
      </c>
      <c r="F120" s="217">
        <v>41.7</v>
      </c>
      <c r="G120" s="226"/>
      <c r="H120" s="227"/>
      <c r="I120" s="227"/>
      <c r="J120" s="228"/>
    </row>
    <row r="121" spans="1:10">
      <c r="A121" s="221">
        <v>41638</v>
      </c>
      <c r="B121" s="222">
        <v>0.16666666666666666</v>
      </c>
      <c r="C121" s="215">
        <v>36.9</v>
      </c>
      <c r="D121" s="216">
        <v>37.200000000000003</v>
      </c>
      <c r="E121" s="216">
        <v>51</v>
      </c>
      <c r="F121" s="217">
        <v>41.6</v>
      </c>
      <c r="G121" s="226"/>
      <c r="H121" s="227"/>
      <c r="I121" s="227"/>
      <c r="J121" s="228"/>
    </row>
    <row r="122" spans="1:10">
      <c r="A122" s="221">
        <v>41638</v>
      </c>
      <c r="B122" s="222">
        <v>0.33333333333333331</v>
      </c>
      <c r="C122" s="215">
        <v>37</v>
      </c>
      <c r="D122" s="216">
        <v>37.200000000000003</v>
      </c>
      <c r="E122" s="216">
        <v>49.4</v>
      </c>
      <c r="F122" s="217">
        <v>41.2</v>
      </c>
      <c r="G122" s="226"/>
      <c r="H122" s="227"/>
      <c r="I122" s="227"/>
      <c r="J122" s="228"/>
    </row>
    <row r="123" spans="1:10">
      <c r="A123" s="221">
        <v>41638</v>
      </c>
      <c r="B123" s="222">
        <v>0.5</v>
      </c>
      <c r="C123" s="215">
        <v>37</v>
      </c>
      <c r="D123" s="216">
        <v>37.1</v>
      </c>
      <c r="E123" s="216">
        <v>47.3</v>
      </c>
      <c r="F123" s="217">
        <v>39.5</v>
      </c>
      <c r="G123" s="226"/>
      <c r="H123" s="227"/>
      <c r="I123" s="227"/>
      <c r="J123" s="228"/>
    </row>
    <row r="124" spans="1:10">
      <c r="A124" s="221">
        <v>41638</v>
      </c>
      <c r="B124" s="222">
        <v>0.66666666666666663</v>
      </c>
      <c r="C124" s="215">
        <v>36.9</v>
      </c>
      <c r="D124" s="216">
        <v>37</v>
      </c>
      <c r="E124" s="216">
        <v>43.2</v>
      </c>
      <c r="F124" s="217">
        <v>38.9</v>
      </c>
      <c r="G124" s="226"/>
      <c r="H124" s="227"/>
      <c r="I124" s="227"/>
      <c r="J124" s="228"/>
    </row>
    <row r="125" spans="1:10">
      <c r="A125" s="221">
        <v>41638</v>
      </c>
      <c r="B125" s="222">
        <v>0.83333333333333337</v>
      </c>
      <c r="C125" s="215">
        <v>36.9</v>
      </c>
      <c r="D125" s="216">
        <v>36.9</v>
      </c>
      <c r="E125" s="216">
        <v>41.2</v>
      </c>
      <c r="F125" s="217">
        <v>38.299999999999997</v>
      </c>
      <c r="G125" s="226"/>
      <c r="H125" s="227"/>
      <c r="I125" s="227"/>
      <c r="J125" s="228"/>
    </row>
    <row r="126" spans="1:10">
      <c r="A126" s="221">
        <v>41639</v>
      </c>
      <c r="B126" s="222">
        <v>0</v>
      </c>
      <c r="C126" s="215">
        <v>36.9</v>
      </c>
      <c r="D126" s="216">
        <v>36.9</v>
      </c>
      <c r="E126" s="216">
        <v>39</v>
      </c>
      <c r="F126" s="217">
        <v>37.799999999999997</v>
      </c>
      <c r="G126" s="226"/>
      <c r="H126" s="227"/>
      <c r="I126" s="227"/>
      <c r="J126" s="228"/>
    </row>
    <row r="127" spans="1:10">
      <c r="A127" s="221">
        <v>41639</v>
      </c>
      <c r="B127" s="222">
        <v>0.16666666666666666</v>
      </c>
      <c r="C127" s="215">
        <v>36.9</v>
      </c>
      <c r="D127" s="216">
        <v>36.9</v>
      </c>
      <c r="E127" s="216">
        <v>37.4</v>
      </c>
      <c r="F127" s="217">
        <v>37.700000000000003</v>
      </c>
      <c r="G127" s="226"/>
      <c r="H127" s="227"/>
      <c r="I127" s="227"/>
      <c r="J127" s="228"/>
    </row>
    <row r="128" spans="1:10">
      <c r="A128" s="221">
        <v>41639</v>
      </c>
      <c r="B128" s="222">
        <v>0.33333333333333331</v>
      </c>
      <c r="C128" s="215">
        <v>36.9</v>
      </c>
      <c r="D128" s="216">
        <v>36.5</v>
      </c>
      <c r="E128" s="216">
        <v>36.1</v>
      </c>
      <c r="F128" s="217">
        <v>37.6</v>
      </c>
      <c r="G128" s="226"/>
      <c r="H128" s="227"/>
      <c r="I128" s="227"/>
      <c r="J128" s="228"/>
    </row>
    <row r="129" spans="1:10">
      <c r="A129" s="221">
        <v>41639</v>
      </c>
      <c r="B129" s="222">
        <v>0.5</v>
      </c>
      <c r="C129" s="215">
        <v>37</v>
      </c>
      <c r="D129" s="216">
        <v>36.4</v>
      </c>
      <c r="E129" s="216">
        <v>35.200000000000003</v>
      </c>
      <c r="F129" s="217">
        <v>37.5</v>
      </c>
      <c r="G129" s="226"/>
      <c r="H129" s="227"/>
      <c r="I129" s="227"/>
      <c r="J129" s="228"/>
    </row>
    <row r="130" spans="1:10">
      <c r="A130" s="221">
        <v>41639</v>
      </c>
      <c r="B130" s="222">
        <v>0.66666666666666663</v>
      </c>
      <c r="C130" s="215">
        <v>36.9</v>
      </c>
      <c r="D130" s="216">
        <v>36.4</v>
      </c>
      <c r="E130" s="216">
        <v>34.700000000000003</v>
      </c>
      <c r="F130" s="217">
        <v>37.4</v>
      </c>
      <c r="G130" s="226"/>
      <c r="H130" s="227"/>
      <c r="I130" s="227"/>
      <c r="J130" s="228"/>
    </row>
    <row r="131" spans="1:10">
      <c r="A131" s="221">
        <v>41639</v>
      </c>
      <c r="B131" s="222">
        <v>0.83333333333333337</v>
      </c>
      <c r="C131" s="215">
        <v>36.9</v>
      </c>
      <c r="D131" s="216">
        <v>36.299999999999997</v>
      </c>
      <c r="E131" s="216">
        <v>34.5</v>
      </c>
      <c r="F131" s="217">
        <v>37.4</v>
      </c>
      <c r="G131" s="226"/>
      <c r="H131" s="227"/>
      <c r="I131" s="227"/>
      <c r="J131" s="228"/>
    </row>
    <row r="132" spans="1:10">
      <c r="A132" s="221">
        <v>41640</v>
      </c>
      <c r="B132" s="222">
        <v>0</v>
      </c>
      <c r="C132" s="215">
        <v>36.9</v>
      </c>
      <c r="D132" s="216">
        <v>36.299999999999997</v>
      </c>
      <c r="E132" s="216">
        <v>34.200000000000003</v>
      </c>
      <c r="F132" s="217">
        <v>37.299999999999997</v>
      </c>
      <c r="G132" s="226"/>
      <c r="H132" s="227"/>
      <c r="I132" s="227"/>
      <c r="J132" s="228"/>
    </row>
    <row r="133" spans="1:10">
      <c r="A133" s="221">
        <v>41640</v>
      </c>
      <c r="B133" s="222">
        <v>0.16666666666666666</v>
      </c>
      <c r="C133" s="215">
        <v>36.9</v>
      </c>
      <c r="D133" s="216">
        <v>36.200000000000003</v>
      </c>
      <c r="E133" s="216">
        <v>34.4</v>
      </c>
      <c r="F133" s="217">
        <v>37.4</v>
      </c>
      <c r="G133" s="226"/>
      <c r="H133" s="227"/>
      <c r="I133" s="227"/>
      <c r="J133" s="228"/>
    </row>
    <row r="134" spans="1:10">
      <c r="A134" s="221">
        <v>41640</v>
      </c>
      <c r="B134" s="222">
        <v>0.33333333333333331</v>
      </c>
      <c r="C134" s="215">
        <v>36.9</v>
      </c>
      <c r="D134" s="216">
        <v>36.299999999999997</v>
      </c>
      <c r="E134" s="216">
        <v>34.299999999999997</v>
      </c>
      <c r="F134" s="217">
        <v>37.4</v>
      </c>
      <c r="G134" s="226"/>
      <c r="H134" s="227"/>
      <c r="I134" s="227"/>
      <c r="J134" s="228"/>
    </row>
    <row r="135" spans="1:10">
      <c r="A135" s="221">
        <v>41640</v>
      </c>
      <c r="B135" s="222">
        <v>0.5</v>
      </c>
      <c r="C135" s="215">
        <v>36.799999999999997</v>
      </c>
      <c r="D135" s="216">
        <v>36.200000000000003</v>
      </c>
      <c r="E135" s="216">
        <v>33.799999999999997</v>
      </c>
      <c r="F135" s="217">
        <v>37.1</v>
      </c>
      <c r="G135" s="226"/>
      <c r="H135" s="227"/>
      <c r="I135" s="227"/>
      <c r="J135" s="228"/>
    </row>
    <row r="136" spans="1:10">
      <c r="A136" s="221">
        <v>41640</v>
      </c>
      <c r="B136" s="222">
        <v>0.66666666666666663</v>
      </c>
      <c r="C136" s="215">
        <v>36.799999999999997</v>
      </c>
      <c r="D136" s="216">
        <v>36.1</v>
      </c>
      <c r="E136" s="216">
        <v>33.799999999999997</v>
      </c>
      <c r="F136" s="217">
        <v>37.1</v>
      </c>
      <c r="G136" s="226"/>
      <c r="H136" s="227"/>
      <c r="I136" s="227"/>
      <c r="J136" s="228"/>
    </row>
    <row r="137" spans="1:10">
      <c r="A137" s="221">
        <v>41640</v>
      </c>
      <c r="B137" s="222">
        <v>0.83333333333333337</v>
      </c>
      <c r="C137" s="215">
        <v>36.799999999999997</v>
      </c>
      <c r="D137" s="216">
        <v>36.1</v>
      </c>
      <c r="E137" s="216">
        <v>34</v>
      </c>
      <c r="F137" s="217">
        <v>37.200000000000003</v>
      </c>
      <c r="G137" s="226"/>
      <c r="H137" s="227"/>
      <c r="I137" s="227"/>
      <c r="J137" s="228"/>
    </row>
    <row r="138" spans="1:10">
      <c r="A138" s="221">
        <v>41641</v>
      </c>
      <c r="B138" s="222">
        <v>0</v>
      </c>
      <c r="C138" s="215">
        <v>36.799999999999997</v>
      </c>
      <c r="D138" s="216">
        <v>36.1</v>
      </c>
      <c r="E138" s="216">
        <v>38.299999999999997</v>
      </c>
      <c r="F138" s="217">
        <v>37.299999999999997</v>
      </c>
      <c r="G138" s="226"/>
      <c r="H138" s="227"/>
      <c r="I138" s="227"/>
      <c r="J138" s="228"/>
    </row>
    <row r="139" spans="1:10">
      <c r="A139" s="221">
        <v>41641</v>
      </c>
      <c r="B139" s="222">
        <v>0.16666666666666666</v>
      </c>
      <c r="C139" s="215">
        <v>36.799999999999997</v>
      </c>
      <c r="D139" s="216">
        <v>36.1</v>
      </c>
      <c r="E139" s="216">
        <v>38.1</v>
      </c>
      <c r="F139" s="217">
        <v>37.299999999999997</v>
      </c>
      <c r="G139" s="226"/>
      <c r="H139" s="227"/>
      <c r="I139" s="227"/>
      <c r="J139" s="228"/>
    </row>
    <row r="140" spans="1:10">
      <c r="A140" s="221">
        <v>41641</v>
      </c>
      <c r="B140" s="222">
        <v>0.33333333333333331</v>
      </c>
      <c r="C140" s="215">
        <v>36.799999999999997</v>
      </c>
      <c r="D140" s="216">
        <v>36.1</v>
      </c>
      <c r="E140" s="216">
        <v>41.8</v>
      </c>
      <c r="F140" s="217">
        <v>37.200000000000003</v>
      </c>
      <c r="G140" s="226"/>
      <c r="H140" s="227"/>
      <c r="I140" s="227"/>
      <c r="J140" s="228"/>
    </row>
    <row r="141" spans="1:10">
      <c r="A141" s="221">
        <v>41641</v>
      </c>
      <c r="B141" s="222">
        <v>0.5</v>
      </c>
      <c r="C141" s="215">
        <v>36.9</v>
      </c>
      <c r="D141" s="216">
        <v>36.1</v>
      </c>
      <c r="E141" s="216">
        <v>40.799999999999997</v>
      </c>
      <c r="F141" s="217">
        <v>37.200000000000003</v>
      </c>
      <c r="G141" s="226"/>
      <c r="H141" s="227"/>
      <c r="I141" s="227"/>
      <c r="J141" s="228"/>
    </row>
    <row r="142" spans="1:10">
      <c r="A142" s="221">
        <v>41641</v>
      </c>
      <c r="B142" s="222">
        <v>0.66666666666666663</v>
      </c>
      <c r="C142" s="215">
        <v>36.799999999999997</v>
      </c>
      <c r="D142" s="216">
        <v>36.1</v>
      </c>
      <c r="E142" s="216">
        <v>38.5</v>
      </c>
      <c r="F142" s="217">
        <v>37.200000000000003</v>
      </c>
      <c r="G142" s="226"/>
      <c r="H142" s="227"/>
      <c r="I142" s="227"/>
      <c r="J142" s="228"/>
    </row>
    <row r="143" spans="1:10">
      <c r="A143" s="221">
        <v>41641</v>
      </c>
      <c r="B143" s="222">
        <v>0.83333333333333337</v>
      </c>
      <c r="C143" s="215">
        <v>36.700000000000003</v>
      </c>
      <c r="D143" s="216">
        <v>36.1</v>
      </c>
      <c r="E143" s="216">
        <v>36.700000000000003</v>
      </c>
      <c r="F143" s="217">
        <v>37.1</v>
      </c>
      <c r="G143" s="226"/>
      <c r="H143" s="227"/>
      <c r="I143" s="227"/>
      <c r="J143" s="228"/>
    </row>
    <row r="144" spans="1:10">
      <c r="A144" s="221">
        <v>41642</v>
      </c>
      <c r="B144" s="222">
        <v>0</v>
      </c>
      <c r="C144" s="215">
        <v>36.799999999999997</v>
      </c>
      <c r="D144" s="216">
        <v>36.1</v>
      </c>
      <c r="E144" s="216">
        <v>35.4</v>
      </c>
      <c r="F144" s="217">
        <v>37.1</v>
      </c>
      <c r="G144" s="226"/>
      <c r="H144" s="227"/>
      <c r="I144" s="227"/>
      <c r="J144" s="228"/>
    </row>
    <row r="145" spans="1:10">
      <c r="A145" s="221">
        <v>41642</v>
      </c>
      <c r="B145" s="222">
        <v>0.16666666666666666</v>
      </c>
      <c r="C145" s="215">
        <v>36.700000000000003</v>
      </c>
      <c r="D145" s="216">
        <v>36.1</v>
      </c>
      <c r="E145" s="216">
        <v>34.5</v>
      </c>
      <c r="F145" s="217">
        <v>37.1</v>
      </c>
      <c r="G145" s="226"/>
      <c r="H145" s="227"/>
      <c r="I145" s="227"/>
      <c r="J145" s="228"/>
    </row>
    <row r="146" spans="1:10">
      <c r="A146" s="221">
        <v>41642</v>
      </c>
      <c r="B146" s="222">
        <v>0.33333333333333331</v>
      </c>
      <c r="C146" s="215">
        <v>36.799999999999997</v>
      </c>
      <c r="D146" s="216">
        <v>36</v>
      </c>
      <c r="E146" s="216">
        <v>34.1</v>
      </c>
      <c r="F146" s="217">
        <v>37.1</v>
      </c>
      <c r="G146" s="226"/>
      <c r="H146" s="227"/>
      <c r="I146" s="227"/>
      <c r="J146" s="228"/>
    </row>
    <row r="147" spans="1:10">
      <c r="A147" s="221">
        <v>41642</v>
      </c>
      <c r="B147" s="222">
        <v>0.5</v>
      </c>
      <c r="C147" s="215">
        <v>36.799999999999997</v>
      </c>
      <c r="D147" s="216">
        <v>38.299999999999997</v>
      </c>
      <c r="E147" s="216">
        <v>54.3</v>
      </c>
      <c r="F147" s="217">
        <v>40.9</v>
      </c>
      <c r="G147" s="226"/>
      <c r="H147" s="227"/>
      <c r="I147" s="227"/>
      <c r="J147" s="228"/>
    </row>
    <row r="148" spans="1:10">
      <c r="A148" s="221">
        <v>41642</v>
      </c>
      <c r="B148" s="222">
        <v>0.66666666666666663</v>
      </c>
      <c r="C148" s="215">
        <v>36.799999999999997</v>
      </c>
      <c r="D148" s="216">
        <v>38.299999999999997</v>
      </c>
      <c r="E148" s="216">
        <v>54.6</v>
      </c>
      <c r="F148" s="217">
        <v>41.6</v>
      </c>
      <c r="G148" s="226"/>
      <c r="H148" s="227"/>
      <c r="I148" s="227"/>
      <c r="J148" s="228"/>
    </row>
    <row r="149" spans="1:10">
      <c r="A149" s="221">
        <v>41642</v>
      </c>
      <c r="B149" s="222">
        <v>0.83333333333333337</v>
      </c>
      <c r="C149" s="215">
        <v>36.799999999999997</v>
      </c>
      <c r="D149" s="216">
        <v>38.1</v>
      </c>
      <c r="E149" s="216">
        <v>54.7</v>
      </c>
      <c r="F149" s="217">
        <v>41.8</v>
      </c>
      <c r="G149" s="226"/>
      <c r="H149" s="227"/>
      <c r="I149" s="227"/>
      <c r="J149" s="228"/>
    </row>
    <row r="150" spans="1:10">
      <c r="A150" s="221">
        <v>41643</v>
      </c>
      <c r="B150" s="222">
        <v>0</v>
      </c>
      <c r="C150" s="215">
        <v>36.799999999999997</v>
      </c>
      <c r="D150" s="216">
        <v>37.9</v>
      </c>
      <c r="E150" s="216">
        <v>54.5</v>
      </c>
      <c r="F150" s="217">
        <v>41.8</v>
      </c>
      <c r="G150" s="226"/>
      <c r="H150" s="227"/>
      <c r="I150" s="227"/>
      <c r="J150" s="228"/>
    </row>
    <row r="151" spans="1:10">
      <c r="A151" s="221">
        <v>41643</v>
      </c>
      <c r="B151" s="222">
        <v>0.16666666666666666</v>
      </c>
      <c r="C151" s="215">
        <v>36.799999999999997</v>
      </c>
      <c r="D151" s="216">
        <v>37.700000000000003</v>
      </c>
      <c r="E151" s="216">
        <v>54.5</v>
      </c>
      <c r="F151" s="217">
        <v>41.8</v>
      </c>
      <c r="G151" s="226"/>
      <c r="H151" s="227"/>
      <c r="I151" s="227"/>
      <c r="J151" s="228"/>
    </row>
    <row r="152" spans="1:10">
      <c r="A152" s="221">
        <v>41643</v>
      </c>
      <c r="B152" s="222">
        <v>0.33333333333333331</v>
      </c>
      <c r="C152" s="215">
        <v>36.799999999999997</v>
      </c>
      <c r="D152" s="216">
        <v>37.700000000000003</v>
      </c>
      <c r="E152" s="216">
        <v>54.4</v>
      </c>
      <c r="F152" s="217">
        <v>41.7</v>
      </c>
      <c r="G152" s="226"/>
      <c r="H152" s="227"/>
      <c r="I152" s="227"/>
      <c r="J152" s="228"/>
    </row>
    <row r="153" spans="1:10">
      <c r="A153" s="221">
        <v>41643</v>
      </c>
      <c r="B153" s="222">
        <v>0.5</v>
      </c>
      <c r="C153" s="215">
        <v>36.799999999999997</v>
      </c>
      <c r="D153" s="216">
        <v>37.799999999999997</v>
      </c>
      <c r="E153" s="216">
        <v>54.4</v>
      </c>
      <c r="F153" s="217">
        <v>41.7</v>
      </c>
      <c r="G153" s="226"/>
      <c r="H153" s="227"/>
      <c r="I153" s="227"/>
      <c r="J153" s="228"/>
    </row>
    <row r="154" spans="1:10">
      <c r="A154" s="221">
        <v>41643</v>
      </c>
      <c r="B154" s="222">
        <v>0.66666666666666663</v>
      </c>
      <c r="C154" s="215">
        <v>36.700000000000003</v>
      </c>
      <c r="D154" s="216">
        <v>37.799999999999997</v>
      </c>
      <c r="E154" s="216">
        <v>54.3</v>
      </c>
      <c r="F154" s="217">
        <v>41.6</v>
      </c>
      <c r="G154" s="226"/>
      <c r="H154" s="227"/>
      <c r="I154" s="227"/>
      <c r="J154" s="228"/>
    </row>
    <row r="155" spans="1:10">
      <c r="A155" s="221">
        <v>41643</v>
      </c>
      <c r="B155" s="222">
        <v>0.83333333333333337</v>
      </c>
      <c r="C155" s="215">
        <v>36.799999999999997</v>
      </c>
      <c r="D155" s="216">
        <v>38.700000000000003</v>
      </c>
      <c r="E155" s="216">
        <v>55.2</v>
      </c>
      <c r="F155" s="217">
        <v>42.2</v>
      </c>
      <c r="G155" s="226"/>
      <c r="H155" s="227"/>
      <c r="I155" s="227"/>
      <c r="J155" s="228"/>
    </row>
    <row r="156" spans="1:10">
      <c r="A156" s="221">
        <v>41644</v>
      </c>
      <c r="B156" s="222">
        <v>0</v>
      </c>
      <c r="C156" s="215">
        <v>36.9</v>
      </c>
      <c r="D156" s="216">
        <v>38.5</v>
      </c>
      <c r="E156" s="216">
        <v>55.4</v>
      </c>
      <c r="F156" s="217">
        <v>42.2</v>
      </c>
      <c r="G156" s="226"/>
      <c r="H156" s="227"/>
      <c r="I156" s="227"/>
      <c r="J156" s="228"/>
    </row>
    <row r="157" spans="1:10">
      <c r="A157" s="221">
        <v>41644</v>
      </c>
      <c r="B157" s="222">
        <v>0.16666666666666666</v>
      </c>
      <c r="C157" s="215">
        <v>36.9</v>
      </c>
      <c r="D157" s="216">
        <v>38.5</v>
      </c>
      <c r="E157" s="216">
        <v>55.4</v>
      </c>
      <c r="F157" s="217">
        <v>42.3</v>
      </c>
      <c r="G157" s="226"/>
      <c r="H157" s="227"/>
      <c r="I157" s="227"/>
      <c r="J157" s="228"/>
    </row>
    <row r="158" spans="1:10">
      <c r="A158" s="221">
        <v>41644</v>
      </c>
      <c r="B158" s="222">
        <v>0.33333333333333331</v>
      </c>
      <c r="C158" s="215">
        <v>36.799999999999997</v>
      </c>
      <c r="D158" s="216">
        <v>38.299999999999997</v>
      </c>
      <c r="E158" s="216">
        <v>50.3</v>
      </c>
      <c r="F158" s="217">
        <v>42</v>
      </c>
      <c r="G158" s="226"/>
      <c r="H158" s="227"/>
      <c r="I158" s="227"/>
      <c r="J158" s="228"/>
    </row>
    <row r="159" spans="1:10">
      <c r="A159" s="221">
        <v>41644</v>
      </c>
      <c r="B159" s="222">
        <v>0.5</v>
      </c>
      <c r="C159" s="215">
        <v>36.9</v>
      </c>
      <c r="D159" s="216">
        <v>38.1</v>
      </c>
      <c r="E159" s="216">
        <v>46.3</v>
      </c>
      <c r="F159" s="217">
        <v>42.1</v>
      </c>
      <c r="G159" s="226"/>
      <c r="H159" s="227"/>
      <c r="I159" s="227"/>
      <c r="J159" s="228"/>
    </row>
    <row r="160" spans="1:10">
      <c r="A160" s="221">
        <v>41644</v>
      </c>
      <c r="B160" s="222">
        <v>0.66666666666666663</v>
      </c>
      <c r="C160" s="215">
        <v>36.9</v>
      </c>
      <c r="D160" s="216">
        <v>38</v>
      </c>
      <c r="E160" s="216">
        <v>43.2</v>
      </c>
      <c r="F160" s="217">
        <v>41.8</v>
      </c>
      <c r="G160" s="226"/>
      <c r="H160" s="227"/>
      <c r="I160" s="227"/>
      <c r="J160" s="228"/>
    </row>
    <row r="161" spans="1:10">
      <c r="A161" s="221">
        <v>41644</v>
      </c>
      <c r="B161" s="222">
        <v>0.83333333333333337</v>
      </c>
      <c r="C161" s="215">
        <v>36.9</v>
      </c>
      <c r="D161" s="216">
        <v>37.6</v>
      </c>
      <c r="E161" s="216">
        <v>42.1</v>
      </c>
      <c r="F161" s="217">
        <v>41.6</v>
      </c>
      <c r="G161" s="226"/>
      <c r="H161" s="227"/>
      <c r="I161" s="227"/>
      <c r="J161" s="228"/>
    </row>
    <row r="162" spans="1:10">
      <c r="A162" s="221">
        <v>41645</v>
      </c>
      <c r="B162" s="222">
        <v>0</v>
      </c>
      <c r="C162" s="215">
        <v>36.799999999999997</v>
      </c>
      <c r="D162" s="216">
        <v>37.5</v>
      </c>
      <c r="E162" s="216">
        <v>41</v>
      </c>
      <c r="F162" s="217">
        <v>41.4</v>
      </c>
      <c r="G162" s="226"/>
      <c r="H162" s="227"/>
      <c r="I162" s="227"/>
      <c r="J162" s="228"/>
    </row>
    <row r="163" spans="1:10">
      <c r="A163" s="221">
        <v>41645</v>
      </c>
      <c r="B163" s="222">
        <v>0.16666666666666666</v>
      </c>
      <c r="C163" s="215">
        <v>36.799999999999997</v>
      </c>
      <c r="D163" s="216">
        <v>37.5</v>
      </c>
      <c r="E163" s="216">
        <v>40</v>
      </c>
      <c r="F163" s="217">
        <v>39.9</v>
      </c>
      <c r="G163" s="226"/>
      <c r="H163" s="227"/>
      <c r="I163" s="227"/>
      <c r="J163" s="228"/>
    </row>
    <row r="164" spans="1:10">
      <c r="A164" s="221">
        <v>41645</v>
      </c>
      <c r="B164" s="222">
        <v>0.33333333333333331</v>
      </c>
      <c r="C164" s="215">
        <v>36.799999999999997</v>
      </c>
      <c r="D164" s="216">
        <v>37.5</v>
      </c>
      <c r="E164" s="216">
        <v>38.6</v>
      </c>
      <c r="F164" s="217">
        <v>39.5</v>
      </c>
      <c r="G164" s="226"/>
      <c r="H164" s="227"/>
      <c r="I164" s="227"/>
      <c r="J164" s="228"/>
    </row>
    <row r="165" spans="1:10">
      <c r="A165" s="221">
        <v>41645</v>
      </c>
      <c r="B165" s="222">
        <v>0.5</v>
      </c>
      <c r="C165" s="215">
        <v>36.799999999999997</v>
      </c>
      <c r="D165" s="216">
        <v>37.6</v>
      </c>
      <c r="E165" s="216">
        <v>38</v>
      </c>
      <c r="F165" s="217">
        <v>39.200000000000003</v>
      </c>
      <c r="G165" s="226"/>
      <c r="H165" s="227"/>
      <c r="I165" s="227"/>
      <c r="J165" s="228"/>
    </row>
    <row r="166" spans="1:10">
      <c r="A166" s="221">
        <v>41645</v>
      </c>
      <c r="B166" s="222">
        <v>0.66666666666666663</v>
      </c>
      <c r="C166" s="215">
        <v>36.700000000000003</v>
      </c>
      <c r="D166" s="216">
        <v>37.4</v>
      </c>
      <c r="E166" s="216">
        <v>36.9</v>
      </c>
      <c r="F166" s="217">
        <v>38.799999999999997</v>
      </c>
      <c r="G166" s="226"/>
      <c r="H166" s="227"/>
      <c r="I166" s="227"/>
      <c r="J166" s="228"/>
    </row>
    <row r="167" spans="1:10">
      <c r="A167" s="221">
        <v>41645</v>
      </c>
      <c r="B167" s="222">
        <v>0.83333333333333337</v>
      </c>
      <c r="C167" s="215">
        <v>36.799999999999997</v>
      </c>
      <c r="D167" s="216">
        <v>37.4</v>
      </c>
      <c r="E167" s="216">
        <v>36.5</v>
      </c>
      <c r="F167" s="217">
        <v>38.700000000000003</v>
      </c>
      <c r="G167" s="226"/>
      <c r="H167" s="227"/>
      <c r="I167" s="227"/>
      <c r="J167" s="228"/>
    </row>
    <row r="168" spans="1:10">
      <c r="A168" s="221">
        <v>41646</v>
      </c>
      <c r="B168" s="222">
        <v>0</v>
      </c>
      <c r="C168" s="215">
        <v>36.799999999999997</v>
      </c>
      <c r="D168" s="216">
        <v>37.299999999999997</v>
      </c>
      <c r="E168" s="216">
        <v>35.799999999999997</v>
      </c>
      <c r="F168" s="217">
        <v>38.5</v>
      </c>
      <c r="G168" s="226"/>
      <c r="H168" s="227"/>
      <c r="I168" s="227"/>
      <c r="J168" s="228"/>
    </row>
    <row r="169" spans="1:10">
      <c r="A169" s="221">
        <v>41646</v>
      </c>
      <c r="B169" s="222">
        <v>0.16666666666666666</v>
      </c>
      <c r="C169" s="215">
        <v>36.799999999999997</v>
      </c>
      <c r="D169" s="216">
        <v>37.4</v>
      </c>
      <c r="E169" s="216">
        <v>35.5</v>
      </c>
      <c r="F169" s="217">
        <v>38.299999999999997</v>
      </c>
      <c r="G169" s="226"/>
      <c r="H169" s="227"/>
      <c r="I169" s="227"/>
      <c r="J169" s="228"/>
    </row>
    <row r="170" spans="1:10">
      <c r="A170" s="221">
        <v>41646</v>
      </c>
      <c r="B170" s="222">
        <v>0.33333333333333331</v>
      </c>
      <c r="C170" s="215">
        <v>36.700000000000003</v>
      </c>
      <c r="D170" s="216">
        <v>37.4</v>
      </c>
      <c r="E170" s="216">
        <v>35.299999999999997</v>
      </c>
      <c r="F170" s="217">
        <v>38.200000000000003</v>
      </c>
      <c r="G170" s="226"/>
      <c r="H170" s="227"/>
      <c r="I170" s="227"/>
      <c r="J170" s="228"/>
    </row>
    <row r="171" spans="1:10">
      <c r="A171" s="221">
        <v>41646</v>
      </c>
      <c r="B171" s="222">
        <v>0.5</v>
      </c>
      <c r="C171" s="215">
        <v>36.799999999999997</v>
      </c>
      <c r="D171" s="216">
        <v>37.4</v>
      </c>
      <c r="E171" s="216">
        <v>35.1</v>
      </c>
      <c r="F171" s="217">
        <v>38.200000000000003</v>
      </c>
      <c r="G171" s="226"/>
      <c r="H171" s="227"/>
      <c r="I171" s="227"/>
      <c r="J171" s="228"/>
    </row>
    <row r="172" spans="1:10">
      <c r="A172" s="221">
        <v>41646</v>
      </c>
      <c r="B172" s="222">
        <v>0.66666666666666663</v>
      </c>
      <c r="C172" s="215">
        <v>36.700000000000003</v>
      </c>
      <c r="D172" s="216">
        <v>36.9</v>
      </c>
      <c r="E172" s="216">
        <v>34.700000000000003</v>
      </c>
      <c r="F172" s="217">
        <v>38</v>
      </c>
      <c r="G172" s="226"/>
      <c r="H172" s="227"/>
      <c r="I172" s="227"/>
      <c r="J172" s="228"/>
    </row>
    <row r="173" spans="1:10">
      <c r="A173" s="221">
        <v>41646</v>
      </c>
      <c r="B173" s="222">
        <v>0.83333333333333337</v>
      </c>
      <c r="C173" s="215">
        <v>36.700000000000003</v>
      </c>
      <c r="D173" s="216">
        <v>36.700000000000003</v>
      </c>
      <c r="E173" s="216">
        <v>34.9</v>
      </c>
      <c r="F173" s="217">
        <v>38</v>
      </c>
      <c r="G173" s="226"/>
      <c r="H173" s="227"/>
      <c r="I173" s="227"/>
      <c r="J173" s="228"/>
    </row>
    <row r="174" spans="1:10">
      <c r="A174" s="221">
        <v>41647</v>
      </c>
      <c r="B174" s="222">
        <v>0</v>
      </c>
      <c r="C174" s="215">
        <v>36.799999999999997</v>
      </c>
      <c r="D174" s="216">
        <v>36.700000000000003</v>
      </c>
      <c r="E174" s="216">
        <v>34.700000000000003</v>
      </c>
      <c r="F174" s="217">
        <v>38</v>
      </c>
      <c r="G174" s="226"/>
      <c r="H174" s="227"/>
      <c r="I174" s="227"/>
      <c r="J174" s="228"/>
    </row>
    <row r="175" spans="1:10">
      <c r="A175" s="221">
        <v>41647</v>
      </c>
      <c r="B175" s="222">
        <v>0.16666666666666666</v>
      </c>
      <c r="C175" s="215">
        <v>36.700000000000003</v>
      </c>
      <c r="D175" s="216">
        <v>36.700000000000003</v>
      </c>
      <c r="E175" s="216">
        <v>34.700000000000003</v>
      </c>
      <c r="F175" s="217">
        <v>38</v>
      </c>
      <c r="G175" s="226"/>
      <c r="H175" s="227"/>
      <c r="I175" s="227"/>
      <c r="J175" s="228"/>
    </row>
    <row r="176" spans="1:10">
      <c r="A176" s="221">
        <v>41647</v>
      </c>
      <c r="B176" s="222">
        <v>0.33333333333333331</v>
      </c>
      <c r="C176" s="215">
        <v>36.700000000000003</v>
      </c>
      <c r="D176" s="216">
        <v>36.700000000000003</v>
      </c>
      <c r="E176" s="216">
        <v>34.5</v>
      </c>
      <c r="F176" s="217">
        <v>37.799999999999997</v>
      </c>
      <c r="G176" s="226"/>
      <c r="H176" s="227"/>
      <c r="I176" s="227"/>
      <c r="J176" s="228"/>
    </row>
    <row r="177" spans="1:10">
      <c r="A177" s="221">
        <v>41647</v>
      </c>
      <c r="B177" s="222">
        <v>0.5</v>
      </c>
      <c r="C177" s="215">
        <v>36.700000000000003</v>
      </c>
      <c r="D177" s="216">
        <v>36.6</v>
      </c>
      <c r="E177" s="216">
        <v>34.6</v>
      </c>
      <c r="F177" s="217">
        <v>37.9</v>
      </c>
      <c r="G177" s="226"/>
      <c r="H177" s="227"/>
      <c r="I177" s="227"/>
      <c r="J177" s="228"/>
    </row>
    <row r="178" spans="1:10">
      <c r="A178" s="221">
        <v>41647</v>
      </c>
      <c r="B178" s="222">
        <v>0.66666666666666663</v>
      </c>
      <c r="C178" s="215">
        <v>36.6</v>
      </c>
      <c r="D178" s="216">
        <v>36.5</v>
      </c>
      <c r="E178" s="216">
        <v>34.299999999999997</v>
      </c>
      <c r="F178" s="217">
        <v>37.700000000000003</v>
      </c>
      <c r="G178" s="226"/>
      <c r="H178" s="227"/>
      <c r="I178" s="227"/>
      <c r="J178" s="228"/>
    </row>
    <row r="179" spans="1:10">
      <c r="A179" s="221">
        <v>41647</v>
      </c>
      <c r="B179" s="222">
        <v>0.83333333333333337</v>
      </c>
      <c r="C179" s="215">
        <v>36.700000000000003</v>
      </c>
      <c r="D179" s="216">
        <v>36.5</v>
      </c>
      <c r="E179" s="216">
        <v>34.4</v>
      </c>
      <c r="F179" s="217">
        <v>37.799999999999997</v>
      </c>
      <c r="G179" s="226"/>
      <c r="H179" s="227"/>
      <c r="I179" s="227"/>
      <c r="J179" s="228"/>
    </row>
    <row r="180" spans="1:10">
      <c r="A180" s="221">
        <v>41648</v>
      </c>
      <c r="B180" s="222">
        <v>0</v>
      </c>
      <c r="C180" s="215">
        <v>36.6</v>
      </c>
      <c r="D180" s="216">
        <v>36.6</v>
      </c>
      <c r="E180" s="216">
        <v>34.5</v>
      </c>
      <c r="F180" s="217">
        <v>37.799999999999997</v>
      </c>
      <c r="G180" s="226"/>
      <c r="H180" s="227"/>
      <c r="I180" s="227"/>
      <c r="J180" s="228"/>
    </row>
    <row r="181" spans="1:10">
      <c r="A181" s="221">
        <v>41648</v>
      </c>
      <c r="B181" s="222">
        <v>0.16666666666666666</v>
      </c>
      <c r="C181" s="215">
        <v>36.6</v>
      </c>
      <c r="D181" s="216">
        <v>37</v>
      </c>
      <c r="E181" s="216">
        <v>34.299999999999997</v>
      </c>
      <c r="F181" s="217">
        <v>37.700000000000003</v>
      </c>
      <c r="G181" s="226"/>
      <c r="H181" s="227"/>
      <c r="I181" s="227"/>
      <c r="J181" s="228"/>
    </row>
    <row r="182" spans="1:10">
      <c r="A182" s="221">
        <v>41648</v>
      </c>
      <c r="B182" s="222">
        <v>0.33333333333333331</v>
      </c>
      <c r="C182" s="215">
        <v>36.700000000000003</v>
      </c>
      <c r="D182" s="216">
        <v>37.299999999999997</v>
      </c>
      <c r="E182" s="216">
        <v>34.4</v>
      </c>
      <c r="F182" s="217">
        <v>37.700000000000003</v>
      </c>
      <c r="G182" s="226"/>
      <c r="H182" s="227"/>
      <c r="I182" s="227"/>
      <c r="J182" s="228"/>
    </row>
    <row r="183" spans="1:10">
      <c r="A183" s="221">
        <v>41648</v>
      </c>
      <c r="B183" s="222">
        <v>0.5</v>
      </c>
      <c r="C183" s="215">
        <v>36.6</v>
      </c>
      <c r="D183" s="216">
        <v>37.200000000000003</v>
      </c>
      <c r="E183" s="216">
        <v>34.200000000000003</v>
      </c>
      <c r="F183" s="217">
        <v>37.6</v>
      </c>
      <c r="G183" s="226"/>
      <c r="H183" s="227"/>
      <c r="I183" s="227"/>
      <c r="J183" s="228"/>
    </row>
    <row r="184" spans="1:10">
      <c r="A184" s="221">
        <v>41648</v>
      </c>
      <c r="B184" s="222">
        <v>0.66666666666666663</v>
      </c>
      <c r="C184" s="215">
        <v>36.5</v>
      </c>
      <c r="D184" s="216">
        <v>37</v>
      </c>
      <c r="E184" s="216">
        <v>34.1</v>
      </c>
      <c r="F184" s="217">
        <v>37.6</v>
      </c>
      <c r="G184" s="226"/>
      <c r="H184" s="227"/>
      <c r="I184" s="227"/>
      <c r="J184" s="228"/>
    </row>
    <row r="185" spans="1:10">
      <c r="A185" s="221">
        <v>41648</v>
      </c>
      <c r="B185" s="222">
        <v>0.83333333333333337</v>
      </c>
      <c r="C185" s="215">
        <v>36.6</v>
      </c>
      <c r="D185" s="216">
        <v>37</v>
      </c>
      <c r="E185" s="216">
        <v>34.4</v>
      </c>
      <c r="F185" s="217">
        <v>37.700000000000003</v>
      </c>
      <c r="G185" s="226"/>
      <c r="H185" s="227"/>
      <c r="I185" s="227"/>
      <c r="J185" s="228"/>
    </row>
    <row r="186" spans="1:10">
      <c r="A186" s="221">
        <v>41649</v>
      </c>
      <c r="B186" s="222">
        <v>0</v>
      </c>
      <c r="C186" s="215">
        <v>36.6</v>
      </c>
      <c r="D186" s="216">
        <v>37</v>
      </c>
      <c r="E186" s="216">
        <v>34.299999999999997</v>
      </c>
      <c r="F186" s="217">
        <v>37.6</v>
      </c>
      <c r="G186" s="226"/>
      <c r="H186" s="227"/>
      <c r="I186" s="227"/>
      <c r="J186" s="228"/>
    </row>
    <row r="187" spans="1:10">
      <c r="A187" s="221">
        <v>41649</v>
      </c>
      <c r="B187" s="222">
        <v>0.16666666666666666</v>
      </c>
      <c r="C187" s="215">
        <v>36.6</v>
      </c>
      <c r="D187" s="216">
        <v>37</v>
      </c>
      <c r="E187" s="216">
        <v>34.4</v>
      </c>
      <c r="F187" s="217">
        <v>37.6</v>
      </c>
      <c r="G187" s="226"/>
      <c r="H187" s="227"/>
      <c r="I187" s="227"/>
      <c r="J187" s="228"/>
    </row>
    <row r="188" spans="1:10">
      <c r="A188" s="221">
        <v>41649</v>
      </c>
      <c r="B188" s="222">
        <v>0.33333333333333331</v>
      </c>
      <c r="C188" s="215">
        <v>36.700000000000003</v>
      </c>
      <c r="D188" s="216">
        <v>37</v>
      </c>
      <c r="E188" s="216">
        <v>34.299999999999997</v>
      </c>
      <c r="F188" s="217">
        <v>37.6</v>
      </c>
      <c r="G188" s="226"/>
      <c r="H188" s="227"/>
      <c r="I188" s="227"/>
      <c r="J188" s="228"/>
    </row>
    <row r="189" spans="1:10">
      <c r="A189" s="221">
        <v>41649</v>
      </c>
      <c r="B189" s="222">
        <v>0.5</v>
      </c>
      <c r="C189" s="215">
        <v>36.700000000000003</v>
      </c>
      <c r="D189" s="216">
        <v>37</v>
      </c>
      <c r="E189" s="216">
        <v>34.299999999999997</v>
      </c>
      <c r="F189" s="217">
        <v>37.6</v>
      </c>
      <c r="G189" s="226"/>
      <c r="H189" s="227"/>
      <c r="I189" s="227"/>
      <c r="J189" s="228"/>
    </row>
    <row r="190" spans="1:10">
      <c r="A190" s="221">
        <v>41649</v>
      </c>
      <c r="B190" s="222">
        <v>0.66666666666666663</v>
      </c>
      <c r="C190" s="215">
        <v>36.700000000000003</v>
      </c>
      <c r="D190" s="216">
        <v>37</v>
      </c>
      <c r="E190" s="216">
        <v>34.299999999999997</v>
      </c>
      <c r="F190" s="217">
        <v>37.6</v>
      </c>
      <c r="G190" s="226"/>
      <c r="H190" s="227"/>
      <c r="I190" s="227"/>
      <c r="J190" s="228"/>
    </row>
    <row r="191" spans="1:10">
      <c r="A191" s="221">
        <v>41649</v>
      </c>
      <c r="B191" s="222">
        <v>0.83333333333333337</v>
      </c>
      <c r="C191" s="215">
        <v>36.700000000000003</v>
      </c>
      <c r="D191" s="216">
        <v>37</v>
      </c>
      <c r="E191" s="216">
        <v>34.200000000000003</v>
      </c>
      <c r="F191" s="217">
        <v>37.5</v>
      </c>
      <c r="G191" s="226"/>
      <c r="H191" s="227"/>
      <c r="I191" s="227"/>
      <c r="J191" s="228"/>
    </row>
    <row r="192" spans="1:10">
      <c r="A192" s="221">
        <v>41650</v>
      </c>
      <c r="B192" s="222">
        <v>0</v>
      </c>
      <c r="C192" s="215">
        <v>36.700000000000003</v>
      </c>
      <c r="D192" s="216">
        <v>37</v>
      </c>
      <c r="E192" s="216">
        <v>34.4</v>
      </c>
      <c r="F192" s="217">
        <v>37.5</v>
      </c>
      <c r="G192" s="226"/>
      <c r="H192" s="227"/>
      <c r="I192" s="227"/>
      <c r="J192" s="228"/>
    </row>
    <row r="193" spans="1:10">
      <c r="A193" s="221">
        <v>41650</v>
      </c>
      <c r="B193" s="222">
        <v>0.16666666666666666</v>
      </c>
      <c r="C193" s="215">
        <v>36.6</v>
      </c>
      <c r="D193" s="216">
        <v>37</v>
      </c>
      <c r="E193" s="216">
        <v>34</v>
      </c>
      <c r="F193" s="217">
        <v>37.4</v>
      </c>
      <c r="G193" s="226"/>
      <c r="H193" s="227"/>
      <c r="I193" s="227"/>
      <c r="J193" s="228"/>
    </row>
    <row r="194" spans="1:10">
      <c r="A194" s="221">
        <v>41650</v>
      </c>
      <c r="B194" s="222">
        <v>0.33333333333333331</v>
      </c>
      <c r="C194" s="215">
        <v>36.6</v>
      </c>
      <c r="D194" s="216">
        <v>37</v>
      </c>
      <c r="E194" s="216">
        <v>34.200000000000003</v>
      </c>
      <c r="F194" s="217">
        <v>37.5</v>
      </c>
      <c r="G194" s="226"/>
      <c r="H194" s="227"/>
      <c r="I194" s="227"/>
      <c r="J194" s="228"/>
    </row>
    <row r="195" spans="1:10">
      <c r="A195" s="221">
        <v>41650</v>
      </c>
      <c r="B195" s="222">
        <v>0.5</v>
      </c>
      <c r="C195" s="215">
        <v>36.700000000000003</v>
      </c>
      <c r="D195" s="216">
        <v>37.1</v>
      </c>
      <c r="E195" s="216">
        <v>34.200000000000003</v>
      </c>
      <c r="F195" s="217">
        <v>37.5</v>
      </c>
      <c r="G195" s="226"/>
      <c r="H195" s="227"/>
      <c r="I195" s="227"/>
      <c r="J195" s="228"/>
    </row>
    <row r="196" spans="1:10">
      <c r="A196" s="221">
        <v>41650</v>
      </c>
      <c r="B196" s="222">
        <v>0.66666666666666663</v>
      </c>
      <c r="C196" s="215">
        <v>36.6</v>
      </c>
      <c r="D196" s="216">
        <v>37</v>
      </c>
      <c r="E196" s="216">
        <v>34.1</v>
      </c>
      <c r="F196" s="217">
        <v>37.4</v>
      </c>
      <c r="G196" s="226"/>
      <c r="H196" s="227"/>
      <c r="I196" s="227"/>
      <c r="J196" s="228"/>
    </row>
    <row r="197" spans="1:10">
      <c r="A197" s="221">
        <v>41650</v>
      </c>
      <c r="B197" s="222">
        <v>0.83333333333333337</v>
      </c>
      <c r="C197" s="215">
        <v>36.700000000000003</v>
      </c>
      <c r="D197" s="216">
        <v>37</v>
      </c>
      <c r="E197" s="216">
        <v>34.200000000000003</v>
      </c>
      <c r="F197" s="217">
        <v>37.5</v>
      </c>
      <c r="G197" s="226"/>
      <c r="H197" s="227"/>
      <c r="I197" s="227"/>
      <c r="J197" s="228"/>
    </row>
    <row r="198" spans="1:10">
      <c r="A198" s="221">
        <v>41651</v>
      </c>
      <c r="B198" s="222">
        <v>0</v>
      </c>
      <c r="C198" s="215">
        <v>36.5</v>
      </c>
      <c r="D198" s="216">
        <v>36.9</v>
      </c>
      <c r="E198" s="216">
        <v>34.1</v>
      </c>
      <c r="F198" s="217">
        <v>37.5</v>
      </c>
      <c r="G198" s="226"/>
      <c r="H198" s="227"/>
      <c r="I198" s="227"/>
      <c r="J198" s="228"/>
    </row>
    <row r="199" spans="1:10">
      <c r="A199" s="221">
        <v>41651</v>
      </c>
      <c r="B199" s="222">
        <v>0.16666666666666666</v>
      </c>
      <c r="C199" s="215">
        <v>36.700000000000003</v>
      </c>
      <c r="D199" s="216">
        <v>36.9</v>
      </c>
      <c r="E199" s="216">
        <v>34.200000000000003</v>
      </c>
      <c r="F199" s="217">
        <v>37.5</v>
      </c>
      <c r="G199" s="226"/>
      <c r="H199" s="227"/>
      <c r="I199" s="227"/>
      <c r="J199" s="228"/>
    </row>
    <row r="200" spans="1:10">
      <c r="A200" s="221">
        <v>41651</v>
      </c>
      <c r="B200" s="222">
        <v>0.33333333333333331</v>
      </c>
      <c r="C200" s="215">
        <v>36.700000000000003</v>
      </c>
      <c r="D200" s="216">
        <v>37</v>
      </c>
      <c r="E200" s="216">
        <v>34.1</v>
      </c>
      <c r="F200" s="217">
        <v>37.4</v>
      </c>
      <c r="G200" s="226"/>
      <c r="H200" s="227"/>
      <c r="I200" s="227"/>
      <c r="J200" s="228"/>
    </row>
    <row r="201" spans="1:10">
      <c r="A201" s="221">
        <v>41651</v>
      </c>
      <c r="B201" s="222">
        <v>0.5</v>
      </c>
      <c r="C201" s="215">
        <v>36.700000000000003</v>
      </c>
      <c r="D201" s="216">
        <v>37</v>
      </c>
      <c r="E201" s="216">
        <v>34.1</v>
      </c>
      <c r="F201" s="217">
        <v>37.4</v>
      </c>
      <c r="G201" s="226"/>
      <c r="H201" s="227"/>
      <c r="I201" s="227"/>
      <c r="J201" s="228"/>
    </row>
    <row r="202" spans="1:10">
      <c r="A202" s="221">
        <v>41651</v>
      </c>
      <c r="B202" s="222">
        <v>0.66666666666666663</v>
      </c>
      <c r="C202" s="215">
        <v>36.6</v>
      </c>
      <c r="D202" s="216">
        <v>36.9</v>
      </c>
      <c r="E202" s="216">
        <v>34</v>
      </c>
      <c r="F202" s="217">
        <v>37.4</v>
      </c>
      <c r="G202" s="226"/>
      <c r="H202" s="227"/>
      <c r="I202" s="227"/>
      <c r="J202" s="228"/>
    </row>
    <row r="203" spans="1:10">
      <c r="A203" s="221">
        <v>41651</v>
      </c>
      <c r="B203" s="222">
        <v>0.83333333333333337</v>
      </c>
      <c r="C203" s="215">
        <v>36.5</v>
      </c>
      <c r="D203" s="216">
        <v>36.9</v>
      </c>
      <c r="E203" s="216">
        <v>34</v>
      </c>
      <c r="F203" s="217">
        <v>37.4</v>
      </c>
      <c r="G203" s="226"/>
      <c r="H203" s="227"/>
      <c r="I203" s="227"/>
      <c r="J203" s="228"/>
    </row>
    <row r="204" spans="1:10">
      <c r="A204" s="221">
        <v>41652</v>
      </c>
      <c r="B204" s="222">
        <v>0</v>
      </c>
      <c r="C204" s="215">
        <v>36.6</v>
      </c>
      <c r="D204" s="216">
        <v>37</v>
      </c>
      <c r="E204" s="216">
        <v>34.1</v>
      </c>
      <c r="F204" s="217">
        <v>37.4</v>
      </c>
      <c r="G204" s="226"/>
      <c r="H204" s="227"/>
      <c r="I204" s="227"/>
      <c r="J204" s="228"/>
    </row>
    <row r="205" spans="1:10">
      <c r="A205" s="221">
        <v>41652</v>
      </c>
      <c r="B205" s="222">
        <v>0.16666666666666666</v>
      </c>
      <c r="C205" s="215">
        <v>36.6</v>
      </c>
      <c r="D205" s="216">
        <v>37</v>
      </c>
      <c r="E205" s="216">
        <v>34.1</v>
      </c>
      <c r="F205" s="217">
        <v>37.4</v>
      </c>
      <c r="G205" s="226"/>
      <c r="H205" s="227"/>
      <c r="I205" s="227"/>
      <c r="J205" s="228"/>
    </row>
    <row r="206" spans="1:10">
      <c r="A206" s="221">
        <v>41652</v>
      </c>
      <c r="B206" s="222">
        <v>0.33333333333333331</v>
      </c>
      <c r="C206" s="215">
        <v>36.700000000000003</v>
      </c>
      <c r="D206" s="216">
        <v>37</v>
      </c>
      <c r="E206" s="216">
        <v>38.200000000000003</v>
      </c>
      <c r="F206" s="217">
        <v>37.4</v>
      </c>
      <c r="G206" s="226"/>
      <c r="H206" s="227"/>
      <c r="I206" s="227"/>
      <c r="J206" s="228"/>
    </row>
    <row r="207" spans="1:10">
      <c r="A207" s="221">
        <v>41652</v>
      </c>
      <c r="B207" s="222">
        <v>0.5</v>
      </c>
      <c r="C207" s="215">
        <v>36.700000000000003</v>
      </c>
      <c r="D207" s="216">
        <v>38.200000000000003</v>
      </c>
      <c r="E207" s="216">
        <v>47.4</v>
      </c>
      <c r="F207" s="217">
        <v>37.200000000000003</v>
      </c>
      <c r="G207" s="226"/>
      <c r="H207" s="227"/>
      <c r="I207" s="227"/>
      <c r="J207" s="228"/>
    </row>
    <row r="208" spans="1:10">
      <c r="A208" s="221">
        <v>41652</v>
      </c>
      <c r="B208" s="222">
        <v>0.66666666666666663</v>
      </c>
      <c r="C208" s="215">
        <v>36.700000000000003</v>
      </c>
      <c r="D208" s="216">
        <v>38.200000000000003</v>
      </c>
      <c r="E208" s="216">
        <v>44.1</v>
      </c>
      <c r="F208" s="217">
        <v>37.200000000000003</v>
      </c>
      <c r="G208" s="226"/>
      <c r="H208" s="227"/>
      <c r="I208" s="227"/>
      <c r="J208" s="228"/>
    </row>
    <row r="209" spans="1:10">
      <c r="A209" s="221">
        <v>41652</v>
      </c>
      <c r="B209" s="222">
        <v>0.83333333333333337</v>
      </c>
      <c r="C209" s="215">
        <v>36.799999999999997</v>
      </c>
      <c r="D209" s="216">
        <v>38.299999999999997</v>
      </c>
      <c r="E209" s="216">
        <v>42.6</v>
      </c>
      <c r="F209" s="217">
        <v>37.299999999999997</v>
      </c>
      <c r="G209" s="226"/>
      <c r="H209" s="227"/>
      <c r="I209" s="227"/>
      <c r="J209" s="228"/>
    </row>
    <row r="210" spans="1:10">
      <c r="A210" s="221">
        <v>41653</v>
      </c>
      <c r="B210" s="222">
        <v>0</v>
      </c>
      <c r="C210" s="215">
        <v>36.799999999999997</v>
      </c>
      <c r="D210" s="216">
        <v>38.299999999999997</v>
      </c>
      <c r="E210" s="216">
        <v>40.299999999999997</v>
      </c>
      <c r="F210" s="217">
        <v>37.4</v>
      </c>
      <c r="G210" s="226"/>
      <c r="H210" s="227"/>
      <c r="I210" s="227"/>
      <c r="J210" s="228"/>
    </row>
    <row r="211" spans="1:10">
      <c r="A211" s="221">
        <v>41653</v>
      </c>
      <c r="B211" s="222">
        <v>0.16666666666666666</v>
      </c>
      <c r="C211" s="215">
        <v>36.9</v>
      </c>
      <c r="D211" s="216">
        <v>38.299999999999997</v>
      </c>
      <c r="E211" s="216">
        <v>38.799999999999997</v>
      </c>
      <c r="F211" s="217">
        <v>37.4</v>
      </c>
      <c r="G211" s="226"/>
      <c r="H211" s="227"/>
      <c r="I211" s="227"/>
      <c r="J211" s="228"/>
    </row>
    <row r="212" spans="1:10">
      <c r="A212" s="221">
        <v>41653</v>
      </c>
      <c r="B212" s="222">
        <v>0.33333333333333331</v>
      </c>
      <c r="C212" s="215">
        <v>36.799999999999997</v>
      </c>
      <c r="D212" s="216">
        <v>38.200000000000003</v>
      </c>
      <c r="E212" s="216">
        <v>37.299999999999997</v>
      </c>
      <c r="F212" s="217">
        <v>37.299999999999997</v>
      </c>
      <c r="G212" s="226"/>
      <c r="H212" s="227"/>
      <c r="I212" s="227"/>
      <c r="J212" s="228"/>
    </row>
    <row r="213" spans="1:10">
      <c r="A213" s="221">
        <v>41653</v>
      </c>
      <c r="B213" s="222">
        <v>0.5</v>
      </c>
      <c r="C213" s="215">
        <v>36.9</v>
      </c>
      <c r="D213" s="216">
        <v>38.700000000000003</v>
      </c>
      <c r="E213" s="216">
        <v>39.700000000000003</v>
      </c>
      <c r="F213" s="217">
        <v>37.299999999999997</v>
      </c>
      <c r="G213" s="226"/>
      <c r="H213" s="227"/>
      <c r="I213" s="227"/>
      <c r="J213" s="228"/>
    </row>
    <row r="214" spans="1:10">
      <c r="A214" s="221">
        <v>41653</v>
      </c>
      <c r="B214" s="222">
        <v>0.66666666666666663</v>
      </c>
      <c r="C214" s="215">
        <v>36.9</v>
      </c>
      <c r="D214" s="216">
        <v>39.4</v>
      </c>
      <c r="E214" s="216">
        <v>41.4</v>
      </c>
      <c r="F214" s="217">
        <v>39</v>
      </c>
      <c r="G214" s="226"/>
      <c r="H214" s="227"/>
      <c r="I214" s="227"/>
      <c r="J214" s="228"/>
    </row>
    <row r="215" spans="1:10">
      <c r="A215" s="221">
        <v>41653</v>
      </c>
      <c r="B215" s="222">
        <v>0.83333333333333337</v>
      </c>
      <c r="C215" s="215">
        <v>37</v>
      </c>
      <c r="D215" s="216">
        <v>39.299999999999997</v>
      </c>
      <c r="E215" s="216">
        <v>39.9</v>
      </c>
      <c r="F215" s="217">
        <v>38.700000000000003</v>
      </c>
      <c r="G215" s="226"/>
      <c r="H215" s="227"/>
      <c r="I215" s="227"/>
      <c r="J215" s="228"/>
    </row>
    <row r="216" spans="1:10">
      <c r="A216" s="221">
        <v>41654</v>
      </c>
      <c r="B216" s="222">
        <v>0</v>
      </c>
      <c r="C216" s="215">
        <v>37</v>
      </c>
      <c r="D216" s="216">
        <v>39</v>
      </c>
      <c r="E216" s="216">
        <v>38.4</v>
      </c>
      <c r="F216" s="217">
        <v>38.299999999999997</v>
      </c>
      <c r="G216" s="226"/>
      <c r="H216" s="227"/>
      <c r="I216" s="227"/>
      <c r="J216" s="228"/>
    </row>
    <row r="217" spans="1:10">
      <c r="A217" s="221">
        <v>41654</v>
      </c>
      <c r="B217" s="222">
        <v>0.16666666666666666</v>
      </c>
      <c r="C217" s="215">
        <v>37</v>
      </c>
      <c r="D217" s="216">
        <v>38.9</v>
      </c>
      <c r="E217" s="216">
        <v>37.299999999999997</v>
      </c>
      <c r="F217" s="217">
        <v>38.1</v>
      </c>
      <c r="G217" s="226"/>
      <c r="H217" s="227"/>
      <c r="I217" s="227"/>
      <c r="J217" s="228"/>
    </row>
    <row r="218" spans="1:10">
      <c r="A218" s="221">
        <v>41654</v>
      </c>
      <c r="B218" s="222">
        <v>0.33333333333333331</v>
      </c>
      <c r="C218" s="215">
        <v>37</v>
      </c>
      <c r="D218" s="216">
        <v>38.799999999999997</v>
      </c>
      <c r="E218" s="216">
        <v>36.5</v>
      </c>
      <c r="F218" s="217">
        <v>37.9</v>
      </c>
      <c r="G218" s="226"/>
      <c r="H218" s="227"/>
      <c r="I218" s="227"/>
      <c r="J218" s="228"/>
    </row>
    <row r="219" spans="1:10">
      <c r="A219" s="221">
        <v>41654</v>
      </c>
      <c r="B219" s="222">
        <v>0.5</v>
      </c>
      <c r="C219" s="215">
        <v>37</v>
      </c>
      <c r="D219" s="216">
        <v>38.700000000000003</v>
      </c>
      <c r="E219" s="216">
        <v>36</v>
      </c>
      <c r="F219" s="217">
        <v>37.9</v>
      </c>
      <c r="G219" s="226"/>
      <c r="H219" s="227"/>
      <c r="I219" s="227"/>
      <c r="J219" s="228"/>
    </row>
    <row r="220" spans="1:10">
      <c r="A220" s="221">
        <v>41654</v>
      </c>
      <c r="B220" s="222">
        <v>0.66666666666666663</v>
      </c>
      <c r="C220" s="215">
        <v>37</v>
      </c>
      <c r="D220" s="216">
        <v>38.700000000000003</v>
      </c>
      <c r="E220" s="216">
        <v>35.6</v>
      </c>
      <c r="F220" s="217">
        <v>37.9</v>
      </c>
      <c r="G220" s="226"/>
      <c r="H220" s="227"/>
      <c r="I220" s="227"/>
      <c r="J220" s="228"/>
    </row>
    <row r="221" spans="1:10">
      <c r="A221" s="221">
        <v>41654</v>
      </c>
      <c r="B221" s="222">
        <v>0.83333333333333337</v>
      </c>
      <c r="C221" s="215">
        <v>36.9</v>
      </c>
      <c r="D221" s="216">
        <v>38.5</v>
      </c>
      <c r="E221" s="216">
        <v>35.6</v>
      </c>
      <c r="F221" s="217">
        <v>37.9</v>
      </c>
      <c r="G221" s="226"/>
      <c r="H221" s="227"/>
      <c r="I221" s="227"/>
      <c r="J221" s="228"/>
    </row>
    <row r="222" spans="1:10">
      <c r="A222" s="221">
        <v>41655</v>
      </c>
      <c r="B222" s="222">
        <v>0</v>
      </c>
      <c r="C222" s="215">
        <v>36.9</v>
      </c>
      <c r="D222" s="216">
        <v>38.5</v>
      </c>
      <c r="E222" s="216">
        <v>35.4</v>
      </c>
      <c r="F222" s="217">
        <v>37.799999999999997</v>
      </c>
      <c r="G222" s="226"/>
      <c r="H222" s="227"/>
      <c r="I222" s="227"/>
      <c r="J222" s="228"/>
    </row>
    <row r="223" spans="1:10">
      <c r="A223" s="221">
        <v>41655</v>
      </c>
      <c r="B223" s="222">
        <v>0.16666666666666666</v>
      </c>
      <c r="C223" s="215">
        <v>36.9</v>
      </c>
      <c r="D223" s="216">
        <v>38.5</v>
      </c>
      <c r="E223" s="216">
        <v>35.5</v>
      </c>
      <c r="F223" s="217">
        <v>37.799999999999997</v>
      </c>
      <c r="G223" s="226"/>
      <c r="H223" s="227"/>
      <c r="I223" s="227"/>
      <c r="J223" s="228"/>
    </row>
    <row r="224" spans="1:10">
      <c r="A224" s="221">
        <v>41655</v>
      </c>
      <c r="B224" s="222">
        <v>0.33333333333333331</v>
      </c>
      <c r="C224" s="215">
        <v>36.9</v>
      </c>
      <c r="D224" s="216">
        <v>38.299999999999997</v>
      </c>
      <c r="E224" s="216">
        <v>35.1</v>
      </c>
      <c r="F224" s="217">
        <v>37.700000000000003</v>
      </c>
      <c r="G224" s="226"/>
      <c r="H224" s="227"/>
      <c r="I224" s="227"/>
      <c r="J224" s="228"/>
    </row>
    <row r="225" spans="1:10">
      <c r="A225" s="221">
        <v>41655</v>
      </c>
      <c r="B225" s="222">
        <v>0.5</v>
      </c>
      <c r="C225" s="215">
        <v>36.9</v>
      </c>
      <c r="D225" s="216">
        <v>38.299999999999997</v>
      </c>
      <c r="E225" s="216">
        <v>35.299999999999997</v>
      </c>
      <c r="F225" s="217">
        <v>37.799999999999997</v>
      </c>
      <c r="G225" s="226"/>
      <c r="H225" s="227"/>
      <c r="I225" s="227"/>
      <c r="J225" s="228"/>
    </row>
    <row r="226" spans="1:10">
      <c r="A226" s="221">
        <v>41655</v>
      </c>
      <c r="B226" s="222">
        <v>0.66666666666666663</v>
      </c>
      <c r="C226" s="215">
        <v>36.9</v>
      </c>
      <c r="D226" s="216">
        <v>38.200000000000003</v>
      </c>
      <c r="E226" s="216">
        <v>35.299999999999997</v>
      </c>
      <c r="F226" s="217">
        <v>37.799999999999997</v>
      </c>
      <c r="G226" s="226"/>
      <c r="H226" s="227"/>
      <c r="I226" s="227"/>
      <c r="J226" s="228"/>
    </row>
    <row r="227" spans="1:10">
      <c r="A227" s="221">
        <v>41655</v>
      </c>
      <c r="B227" s="222">
        <v>0.83333333333333337</v>
      </c>
      <c r="C227" s="215">
        <v>36.9</v>
      </c>
      <c r="D227" s="216">
        <v>38.1</v>
      </c>
      <c r="E227" s="216">
        <v>35.200000000000003</v>
      </c>
      <c r="F227" s="217">
        <v>37.799999999999997</v>
      </c>
      <c r="G227" s="226"/>
      <c r="H227" s="227"/>
      <c r="I227" s="227"/>
      <c r="J227" s="228"/>
    </row>
    <row r="228" spans="1:10">
      <c r="A228" s="221">
        <v>41656</v>
      </c>
      <c r="B228" s="222">
        <v>0</v>
      </c>
      <c r="C228" s="215">
        <v>36.799999999999997</v>
      </c>
      <c r="D228" s="216">
        <v>38</v>
      </c>
      <c r="E228" s="216">
        <v>35.1</v>
      </c>
      <c r="F228" s="217">
        <v>37.799999999999997</v>
      </c>
      <c r="G228" s="226"/>
      <c r="H228" s="227"/>
      <c r="I228" s="227"/>
      <c r="J228" s="228"/>
    </row>
    <row r="229" spans="1:10">
      <c r="A229" s="221">
        <v>41656</v>
      </c>
      <c r="B229" s="222">
        <v>0.16666666666666666</v>
      </c>
      <c r="C229" s="215">
        <v>36.9</v>
      </c>
      <c r="D229" s="216">
        <v>38</v>
      </c>
      <c r="E229" s="216">
        <v>35.1</v>
      </c>
      <c r="F229" s="217">
        <v>37.700000000000003</v>
      </c>
      <c r="G229" s="226"/>
      <c r="H229" s="227"/>
      <c r="I229" s="227"/>
      <c r="J229" s="228"/>
    </row>
    <row r="230" spans="1:10">
      <c r="A230" s="221">
        <v>41656</v>
      </c>
      <c r="B230" s="222">
        <v>0.33333333333333331</v>
      </c>
      <c r="C230" s="215">
        <v>36.9</v>
      </c>
      <c r="D230" s="216">
        <v>38</v>
      </c>
      <c r="E230" s="216">
        <v>35.200000000000003</v>
      </c>
      <c r="F230" s="217">
        <v>37.700000000000003</v>
      </c>
      <c r="G230" s="226"/>
      <c r="H230" s="227"/>
      <c r="I230" s="227"/>
      <c r="J230" s="228"/>
    </row>
    <row r="231" spans="1:10">
      <c r="A231" s="221">
        <v>41656</v>
      </c>
      <c r="B231" s="222">
        <v>0.5</v>
      </c>
      <c r="C231" s="215">
        <v>36.9</v>
      </c>
      <c r="D231" s="216">
        <v>37.9</v>
      </c>
      <c r="E231" s="216">
        <v>35.200000000000003</v>
      </c>
      <c r="F231" s="217">
        <v>37.799999999999997</v>
      </c>
      <c r="G231" s="226"/>
      <c r="H231" s="227"/>
      <c r="I231" s="227"/>
      <c r="J231" s="228"/>
    </row>
    <row r="232" spans="1:10">
      <c r="A232" s="221">
        <v>41656</v>
      </c>
      <c r="B232" s="222">
        <v>0.66666666666666663</v>
      </c>
      <c r="C232" s="215">
        <v>36.9</v>
      </c>
      <c r="D232" s="216">
        <v>37.9</v>
      </c>
      <c r="E232" s="216">
        <v>34.9</v>
      </c>
      <c r="F232" s="217">
        <v>37.6</v>
      </c>
      <c r="G232" s="226"/>
      <c r="H232" s="227"/>
      <c r="I232" s="227"/>
      <c r="J232" s="228"/>
    </row>
    <row r="233" spans="1:10">
      <c r="A233" s="221">
        <v>41656</v>
      </c>
      <c r="B233" s="222">
        <v>0.83333333333333337</v>
      </c>
      <c r="C233" s="215">
        <v>36.799999999999997</v>
      </c>
      <c r="D233" s="216">
        <v>37.799999999999997</v>
      </c>
      <c r="E233" s="216">
        <v>35</v>
      </c>
      <c r="F233" s="217">
        <v>37.700000000000003</v>
      </c>
      <c r="G233" s="226"/>
      <c r="H233" s="227"/>
      <c r="I233" s="227"/>
      <c r="J233" s="228"/>
    </row>
    <row r="234" spans="1:10">
      <c r="A234" s="221">
        <v>41657</v>
      </c>
      <c r="B234" s="222">
        <v>0</v>
      </c>
      <c r="C234" s="215">
        <v>36.9</v>
      </c>
      <c r="D234" s="216">
        <v>37.799999999999997</v>
      </c>
      <c r="E234" s="216">
        <v>35</v>
      </c>
      <c r="F234" s="217">
        <v>37.6</v>
      </c>
      <c r="G234" s="226"/>
      <c r="H234" s="227"/>
      <c r="I234" s="227"/>
      <c r="J234" s="228"/>
    </row>
    <row r="235" spans="1:10">
      <c r="A235" s="221">
        <v>41657</v>
      </c>
      <c r="B235" s="222">
        <v>0.16666666666666666</v>
      </c>
      <c r="C235" s="215">
        <v>36.9</v>
      </c>
      <c r="D235" s="216">
        <v>37.700000000000003</v>
      </c>
      <c r="E235" s="216">
        <v>34.9</v>
      </c>
      <c r="F235" s="217">
        <v>37.6</v>
      </c>
      <c r="G235" s="226"/>
      <c r="H235" s="227"/>
      <c r="I235" s="227"/>
      <c r="J235" s="228"/>
    </row>
    <row r="236" spans="1:10">
      <c r="A236" s="221">
        <v>41657</v>
      </c>
      <c r="B236" s="222">
        <v>0.33333333333333331</v>
      </c>
      <c r="C236" s="215">
        <v>36.9</v>
      </c>
      <c r="D236" s="216">
        <v>37.700000000000003</v>
      </c>
      <c r="E236" s="216">
        <v>35</v>
      </c>
      <c r="F236" s="217">
        <v>37.6</v>
      </c>
      <c r="G236" s="226"/>
      <c r="H236" s="227"/>
      <c r="I236" s="227"/>
      <c r="J236" s="228"/>
    </row>
    <row r="237" spans="1:10">
      <c r="A237" s="221">
        <v>41657</v>
      </c>
      <c r="B237" s="222">
        <v>0.5</v>
      </c>
      <c r="C237" s="215">
        <v>36.799999999999997</v>
      </c>
      <c r="D237" s="216">
        <v>37.700000000000003</v>
      </c>
      <c r="E237" s="216">
        <v>34.700000000000003</v>
      </c>
      <c r="F237" s="217">
        <v>37.5</v>
      </c>
      <c r="G237" s="226"/>
      <c r="H237" s="227"/>
      <c r="I237" s="227"/>
      <c r="J237" s="228"/>
    </row>
    <row r="238" spans="1:10">
      <c r="A238" s="221">
        <v>41657</v>
      </c>
      <c r="B238" s="222">
        <v>0.66666666666666663</v>
      </c>
      <c r="C238" s="215">
        <v>36.9</v>
      </c>
      <c r="D238" s="216">
        <v>37.6</v>
      </c>
      <c r="E238" s="216">
        <v>34.799999999999997</v>
      </c>
      <c r="F238" s="217">
        <v>37.5</v>
      </c>
      <c r="G238" s="226"/>
      <c r="H238" s="227"/>
      <c r="I238" s="227"/>
      <c r="J238" s="228"/>
    </row>
    <row r="239" spans="1:10">
      <c r="A239" s="221">
        <v>41657</v>
      </c>
      <c r="B239" s="222">
        <v>0.83333333333333337</v>
      </c>
      <c r="C239" s="215">
        <v>36.9</v>
      </c>
      <c r="D239" s="216">
        <v>38.299999999999997</v>
      </c>
      <c r="E239" s="216">
        <v>36.299999999999997</v>
      </c>
      <c r="F239" s="217">
        <v>37.6</v>
      </c>
      <c r="G239" s="226"/>
      <c r="H239" s="227"/>
      <c r="I239" s="227"/>
      <c r="J239" s="228"/>
    </row>
    <row r="240" spans="1:10">
      <c r="A240" s="221">
        <v>41658</v>
      </c>
      <c r="B240" s="222">
        <v>0</v>
      </c>
      <c r="C240" s="215">
        <v>37</v>
      </c>
      <c r="D240" s="216">
        <v>38.4</v>
      </c>
      <c r="E240" s="216">
        <v>36.5</v>
      </c>
      <c r="F240" s="217">
        <v>37.6</v>
      </c>
      <c r="G240" s="226"/>
      <c r="H240" s="227"/>
      <c r="I240" s="227"/>
      <c r="J240" s="228"/>
    </row>
    <row r="241" spans="1:10">
      <c r="A241" s="221">
        <v>41658</v>
      </c>
      <c r="B241" s="222">
        <v>0.16666666666666666</v>
      </c>
      <c r="C241" s="215">
        <v>37</v>
      </c>
      <c r="D241" s="216">
        <v>38.299999999999997</v>
      </c>
      <c r="E241" s="216">
        <v>36</v>
      </c>
      <c r="F241" s="217">
        <v>37.6</v>
      </c>
      <c r="G241" s="226"/>
      <c r="H241" s="227"/>
      <c r="I241" s="227"/>
      <c r="J241" s="228"/>
    </row>
    <row r="242" spans="1:10">
      <c r="A242" s="221">
        <v>41658</v>
      </c>
      <c r="B242" s="222">
        <v>0.33333333333333331</v>
      </c>
      <c r="C242" s="215">
        <v>37</v>
      </c>
      <c r="D242" s="216">
        <v>38.299999999999997</v>
      </c>
      <c r="E242" s="216">
        <v>35.4</v>
      </c>
      <c r="F242" s="217">
        <v>37.5</v>
      </c>
      <c r="G242" s="226"/>
      <c r="H242" s="227"/>
      <c r="I242" s="227"/>
      <c r="J242" s="228"/>
    </row>
    <row r="243" spans="1:10">
      <c r="A243" s="221">
        <v>41658</v>
      </c>
      <c r="B243" s="222">
        <v>0.5</v>
      </c>
      <c r="C243" s="215">
        <v>36.9</v>
      </c>
      <c r="D243" s="216">
        <v>38.200000000000003</v>
      </c>
      <c r="E243" s="216">
        <v>35</v>
      </c>
      <c r="F243" s="217">
        <v>37.4</v>
      </c>
      <c r="G243" s="226"/>
      <c r="H243" s="227"/>
      <c r="I243" s="227"/>
      <c r="J243" s="228"/>
    </row>
    <row r="244" spans="1:10">
      <c r="A244" s="221">
        <v>41658</v>
      </c>
      <c r="B244" s="222">
        <v>0.66666666666666663</v>
      </c>
      <c r="C244" s="215">
        <v>36.9</v>
      </c>
      <c r="D244" s="216">
        <v>38</v>
      </c>
      <c r="E244" s="216">
        <v>34.700000000000003</v>
      </c>
      <c r="F244" s="217">
        <v>37.4</v>
      </c>
      <c r="G244" s="226"/>
      <c r="H244" s="227"/>
      <c r="I244" s="227"/>
      <c r="J244" s="228"/>
    </row>
    <row r="245" spans="1:10">
      <c r="A245" s="221">
        <v>41658</v>
      </c>
      <c r="B245" s="222">
        <v>0.83333333333333337</v>
      </c>
      <c r="C245" s="215">
        <v>36.9</v>
      </c>
      <c r="D245" s="216">
        <v>38</v>
      </c>
      <c r="E245" s="216">
        <v>34.700000000000003</v>
      </c>
      <c r="F245" s="217">
        <v>37.4</v>
      </c>
      <c r="G245" s="226"/>
      <c r="H245" s="227"/>
      <c r="I245" s="227"/>
      <c r="J245" s="228"/>
    </row>
    <row r="246" spans="1:10">
      <c r="A246" s="221">
        <v>41659</v>
      </c>
      <c r="B246" s="222">
        <v>0</v>
      </c>
      <c r="C246" s="215">
        <v>36.9</v>
      </c>
      <c r="D246" s="216">
        <v>38</v>
      </c>
      <c r="E246" s="216">
        <v>34.9</v>
      </c>
      <c r="F246" s="217">
        <v>37.6</v>
      </c>
      <c r="G246" s="226"/>
      <c r="H246" s="227"/>
      <c r="I246" s="227"/>
      <c r="J246" s="228"/>
    </row>
    <row r="247" spans="1:10">
      <c r="A247" s="221">
        <v>41659</v>
      </c>
      <c r="B247" s="222">
        <v>0.16666666666666666</v>
      </c>
      <c r="C247" s="215">
        <v>37</v>
      </c>
      <c r="D247" s="216">
        <v>37.700000000000003</v>
      </c>
      <c r="E247" s="216">
        <v>34.799999999999997</v>
      </c>
      <c r="F247" s="217">
        <v>37.6</v>
      </c>
      <c r="G247" s="226"/>
      <c r="H247" s="227"/>
      <c r="I247" s="227"/>
      <c r="J247" s="228"/>
    </row>
    <row r="248" spans="1:10">
      <c r="A248" s="221">
        <v>41659</v>
      </c>
      <c r="B248" s="222">
        <v>0.33333333333333331</v>
      </c>
      <c r="C248" s="215">
        <v>37</v>
      </c>
      <c r="D248" s="216">
        <v>37.6</v>
      </c>
      <c r="E248" s="216">
        <v>34.799999999999997</v>
      </c>
      <c r="F248" s="217">
        <v>37.5</v>
      </c>
      <c r="G248" s="226"/>
      <c r="H248" s="227"/>
      <c r="I248" s="227"/>
      <c r="J248" s="228"/>
    </row>
    <row r="249" spans="1:10">
      <c r="A249" s="221">
        <v>41659</v>
      </c>
      <c r="B249" s="222">
        <v>0.5</v>
      </c>
      <c r="C249" s="215">
        <v>36.9</v>
      </c>
      <c r="D249" s="216">
        <v>37.6</v>
      </c>
      <c r="E249" s="216">
        <v>34.299999999999997</v>
      </c>
      <c r="F249" s="217">
        <v>37.299999999999997</v>
      </c>
      <c r="G249" s="226"/>
      <c r="H249" s="227"/>
      <c r="I249" s="227"/>
      <c r="J249" s="228"/>
    </row>
    <row r="250" spans="1:10">
      <c r="A250" s="221">
        <v>41659</v>
      </c>
      <c r="B250" s="222">
        <v>0.66666666666666663</v>
      </c>
      <c r="C250" s="215">
        <v>37</v>
      </c>
      <c r="D250" s="216">
        <v>38.700000000000003</v>
      </c>
      <c r="E250" s="216">
        <v>56.9</v>
      </c>
      <c r="F250" s="217">
        <v>41.5</v>
      </c>
      <c r="G250" s="226"/>
      <c r="H250" s="227"/>
      <c r="I250" s="227"/>
      <c r="J250" s="228"/>
    </row>
    <row r="251" spans="1:10">
      <c r="A251" s="221">
        <v>41659</v>
      </c>
      <c r="B251" s="222">
        <v>0.83333333333333337</v>
      </c>
      <c r="C251" s="215">
        <v>37.1</v>
      </c>
      <c r="D251" s="216">
        <v>39.1</v>
      </c>
      <c r="E251" s="216">
        <v>57.1</v>
      </c>
      <c r="F251" s="217">
        <v>42.2</v>
      </c>
      <c r="G251" s="226"/>
      <c r="H251" s="227"/>
      <c r="I251" s="227"/>
      <c r="J251" s="228"/>
    </row>
    <row r="252" spans="1:10">
      <c r="A252" s="221">
        <v>41660</v>
      </c>
      <c r="B252" s="222">
        <v>0</v>
      </c>
      <c r="C252" s="215">
        <v>37</v>
      </c>
      <c r="D252" s="216">
        <v>38.9</v>
      </c>
      <c r="E252" s="216">
        <v>57.2</v>
      </c>
      <c r="F252" s="217">
        <v>42.1</v>
      </c>
      <c r="G252" s="226"/>
      <c r="H252" s="227"/>
      <c r="I252" s="227"/>
      <c r="J252" s="228"/>
    </row>
    <row r="253" spans="1:10">
      <c r="A253" s="221">
        <v>41660</v>
      </c>
      <c r="B253" s="222">
        <v>0.16666666666666666</v>
      </c>
      <c r="C253" s="215">
        <v>37.1</v>
      </c>
      <c r="D253" s="216">
        <v>38.9</v>
      </c>
      <c r="E253" s="216">
        <v>57.2</v>
      </c>
      <c r="F253" s="217">
        <v>41.1</v>
      </c>
      <c r="G253" s="226"/>
      <c r="H253" s="227"/>
      <c r="I253" s="227"/>
      <c r="J253" s="228"/>
    </row>
    <row r="254" spans="1:10">
      <c r="A254" s="221">
        <v>41660</v>
      </c>
      <c r="B254" s="222">
        <v>0.33333333333333331</v>
      </c>
      <c r="C254" s="215">
        <v>37.1</v>
      </c>
      <c r="D254" s="216">
        <v>38.799999999999997</v>
      </c>
      <c r="E254" s="216">
        <v>57.1</v>
      </c>
      <c r="F254" s="217">
        <v>39.799999999999997</v>
      </c>
      <c r="G254" s="226"/>
      <c r="H254" s="227"/>
      <c r="I254" s="227"/>
      <c r="J254" s="228"/>
    </row>
    <row r="255" spans="1:10">
      <c r="A255" s="221">
        <v>41660</v>
      </c>
      <c r="B255" s="222">
        <v>0.5</v>
      </c>
      <c r="C255" s="215">
        <v>37.1</v>
      </c>
      <c r="D255" s="216">
        <v>38.799999999999997</v>
      </c>
      <c r="E255" s="216">
        <v>57.2</v>
      </c>
      <c r="F255" s="217">
        <v>39.200000000000003</v>
      </c>
      <c r="G255" s="226"/>
      <c r="H255" s="227"/>
      <c r="I255" s="227"/>
      <c r="J255" s="228"/>
    </row>
    <row r="256" spans="1:10">
      <c r="A256" s="221">
        <v>41660</v>
      </c>
      <c r="B256" s="222">
        <v>0.66666666666666663</v>
      </c>
      <c r="C256" s="215">
        <v>37</v>
      </c>
      <c r="D256" s="216">
        <v>38.700000000000003</v>
      </c>
      <c r="E256" s="216">
        <v>57.1</v>
      </c>
      <c r="F256" s="217">
        <v>38.700000000000003</v>
      </c>
      <c r="G256" s="226"/>
      <c r="H256" s="227"/>
      <c r="I256" s="227"/>
      <c r="J256" s="228"/>
    </row>
    <row r="257" spans="1:10">
      <c r="A257" s="221">
        <v>41660</v>
      </c>
      <c r="B257" s="222">
        <v>0.83333333333333337</v>
      </c>
      <c r="C257" s="215">
        <v>37</v>
      </c>
      <c r="D257" s="216">
        <v>38.4</v>
      </c>
      <c r="E257" s="216">
        <v>57.1</v>
      </c>
      <c r="F257" s="217">
        <v>38.5</v>
      </c>
      <c r="G257" s="226"/>
      <c r="H257" s="227"/>
      <c r="I257" s="227"/>
      <c r="J257" s="228"/>
    </row>
    <row r="258" spans="1:10">
      <c r="A258" s="221">
        <v>41661</v>
      </c>
      <c r="B258" s="222">
        <v>0</v>
      </c>
      <c r="C258" s="215">
        <v>37</v>
      </c>
      <c r="D258" s="216">
        <v>38.4</v>
      </c>
      <c r="E258" s="216">
        <v>57</v>
      </c>
      <c r="F258" s="217">
        <v>38.4</v>
      </c>
      <c r="G258" s="226"/>
      <c r="H258" s="227"/>
      <c r="I258" s="227"/>
      <c r="J258" s="228"/>
    </row>
    <row r="259" spans="1:10">
      <c r="A259" s="221">
        <v>41661</v>
      </c>
      <c r="B259" s="222">
        <v>0.16666666666666666</v>
      </c>
      <c r="C259" s="215">
        <v>37</v>
      </c>
      <c r="D259" s="216">
        <v>38.4</v>
      </c>
      <c r="E259" s="216">
        <v>57</v>
      </c>
      <c r="F259" s="217">
        <v>38.200000000000003</v>
      </c>
      <c r="G259" s="226"/>
      <c r="H259" s="227"/>
      <c r="I259" s="227"/>
      <c r="J259" s="228"/>
    </row>
    <row r="260" spans="1:10">
      <c r="A260" s="221">
        <v>41661</v>
      </c>
      <c r="B260" s="222">
        <v>0.33333333333333331</v>
      </c>
      <c r="C260" s="215">
        <v>37.1</v>
      </c>
      <c r="D260" s="216">
        <v>38.4</v>
      </c>
      <c r="E260" s="216">
        <v>57.1</v>
      </c>
      <c r="F260" s="217">
        <v>38.1</v>
      </c>
      <c r="G260" s="226"/>
      <c r="H260" s="227"/>
      <c r="I260" s="227"/>
      <c r="J260" s="228"/>
    </row>
    <row r="261" spans="1:10">
      <c r="A261" s="221">
        <v>41661</v>
      </c>
      <c r="B261" s="222">
        <v>0.5</v>
      </c>
      <c r="C261" s="215">
        <v>37.1</v>
      </c>
      <c r="D261" s="216">
        <v>39</v>
      </c>
      <c r="E261" s="216">
        <v>57.1</v>
      </c>
      <c r="F261" s="217">
        <v>38</v>
      </c>
      <c r="G261" s="226"/>
      <c r="H261" s="227"/>
      <c r="I261" s="227"/>
      <c r="J261" s="228"/>
    </row>
    <row r="262" spans="1:10">
      <c r="A262" s="221">
        <v>41661</v>
      </c>
      <c r="B262" s="222">
        <v>0.66666666666666663</v>
      </c>
      <c r="C262" s="215">
        <v>37.200000000000003</v>
      </c>
      <c r="D262" s="216">
        <v>39.700000000000003</v>
      </c>
      <c r="E262" s="216">
        <v>57.1</v>
      </c>
      <c r="F262" s="217">
        <v>41.4</v>
      </c>
      <c r="G262" s="226"/>
      <c r="H262" s="227"/>
      <c r="I262" s="227"/>
      <c r="J262" s="228"/>
    </row>
    <row r="263" spans="1:10">
      <c r="A263" s="221">
        <v>41661</v>
      </c>
      <c r="B263" s="222">
        <v>0.83333333333333337</v>
      </c>
      <c r="C263" s="215">
        <v>37.200000000000003</v>
      </c>
      <c r="D263" s="216">
        <v>39.9</v>
      </c>
      <c r="E263" s="216">
        <v>57.3</v>
      </c>
      <c r="F263" s="217">
        <v>41.8</v>
      </c>
      <c r="G263" s="226"/>
      <c r="H263" s="227"/>
      <c r="I263" s="227"/>
      <c r="J263" s="228"/>
    </row>
    <row r="264" spans="1:10">
      <c r="A264" s="221">
        <v>41662</v>
      </c>
      <c r="B264" s="222">
        <v>0</v>
      </c>
      <c r="C264" s="215">
        <v>37.200000000000003</v>
      </c>
      <c r="D264" s="216">
        <v>39.9</v>
      </c>
      <c r="E264" s="216">
        <v>57.4</v>
      </c>
      <c r="F264" s="217">
        <v>41.9</v>
      </c>
      <c r="G264" s="226"/>
      <c r="H264" s="227"/>
      <c r="I264" s="227"/>
      <c r="J264" s="228"/>
    </row>
    <row r="265" spans="1:10">
      <c r="A265" s="221">
        <v>41662</v>
      </c>
      <c r="B265" s="222">
        <v>0.16666666666666666</v>
      </c>
      <c r="C265" s="215">
        <v>37.200000000000003</v>
      </c>
      <c r="D265" s="216">
        <v>40</v>
      </c>
      <c r="E265" s="216">
        <v>57.3</v>
      </c>
      <c r="F265" s="217">
        <v>42</v>
      </c>
      <c r="G265" s="226"/>
      <c r="H265" s="227"/>
      <c r="I265" s="227"/>
      <c r="J265" s="228"/>
    </row>
    <row r="266" spans="1:10">
      <c r="A266" s="221">
        <v>41662</v>
      </c>
      <c r="B266" s="222">
        <v>0.33333333333333331</v>
      </c>
      <c r="C266" s="215">
        <v>37.200000000000003</v>
      </c>
      <c r="D266" s="216">
        <v>39.9</v>
      </c>
      <c r="E266" s="216">
        <v>57</v>
      </c>
      <c r="F266" s="217">
        <v>42</v>
      </c>
      <c r="G266" s="226"/>
      <c r="H266" s="227"/>
      <c r="I266" s="227"/>
      <c r="J266" s="228"/>
    </row>
    <row r="267" spans="1:10">
      <c r="A267" s="221">
        <v>41662</v>
      </c>
      <c r="B267" s="222">
        <v>0.5</v>
      </c>
      <c r="C267" s="215">
        <v>37.200000000000003</v>
      </c>
      <c r="D267" s="216">
        <v>39.700000000000003</v>
      </c>
      <c r="E267" s="216">
        <v>56.8</v>
      </c>
      <c r="F267" s="217">
        <v>42.1</v>
      </c>
      <c r="G267" s="226"/>
      <c r="H267" s="227"/>
      <c r="I267" s="227"/>
      <c r="J267" s="228"/>
    </row>
    <row r="268" spans="1:10">
      <c r="A268" s="221">
        <v>41662</v>
      </c>
      <c r="B268" s="222">
        <v>0.66666666666666663</v>
      </c>
      <c r="C268" s="215">
        <v>37.1</v>
      </c>
      <c r="D268" s="216">
        <v>39.5</v>
      </c>
      <c r="E268" s="216">
        <v>56.3</v>
      </c>
      <c r="F268" s="217">
        <v>42</v>
      </c>
      <c r="G268" s="226"/>
      <c r="H268" s="227"/>
      <c r="I268" s="227"/>
      <c r="J268" s="228"/>
    </row>
    <row r="269" spans="1:10">
      <c r="A269" s="221">
        <v>41662</v>
      </c>
      <c r="B269" s="222">
        <v>0.83333333333333337</v>
      </c>
      <c r="C269" s="215">
        <v>37.1</v>
      </c>
      <c r="D269" s="216">
        <v>39.299999999999997</v>
      </c>
      <c r="E269" s="216">
        <v>55.9</v>
      </c>
      <c r="F269" s="217">
        <v>42.1</v>
      </c>
      <c r="G269" s="226"/>
      <c r="H269" s="227"/>
      <c r="I269" s="227"/>
      <c r="J269" s="228"/>
    </row>
    <row r="270" spans="1:10">
      <c r="A270" s="221">
        <v>41663</v>
      </c>
      <c r="B270" s="222">
        <v>0</v>
      </c>
      <c r="C270" s="215">
        <v>37.1</v>
      </c>
      <c r="D270" s="216">
        <v>39.1</v>
      </c>
      <c r="E270" s="216">
        <v>55.3</v>
      </c>
      <c r="F270" s="217">
        <v>42</v>
      </c>
      <c r="G270" s="226"/>
      <c r="H270" s="227"/>
      <c r="I270" s="227"/>
      <c r="J270" s="228"/>
    </row>
    <row r="271" spans="1:10">
      <c r="A271" s="221">
        <v>41663</v>
      </c>
      <c r="B271" s="222">
        <v>0.16666666666666666</v>
      </c>
      <c r="C271" s="215">
        <v>37.1</v>
      </c>
      <c r="D271" s="216">
        <v>39</v>
      </c>
      <c r="E271" s="216">
        <v>53.2</v>
      </c>
      <c r="F271" s="217">
        <v>42</v>
      </c>
      <c r="G271" s="226"/>
      <c r="H271" s="227"/>
      <c r="I271" s="227"/>
      <c r="J271" s="228"/>
    </row>
    <row r="272" spans="1:10">
      <c r="A272" s="221">
        <v>41663</v>
      </c>
      <c r="B272" s="222">
        <v>0.33333333333333331</v>
      </c>
      <c r="C272" s="215">
        <v>37.1</v>
      </c>
      <c r="D272" s="216">
        <v>40</v>
      </c>
      <c r="E272" s="216">
        <v>56</v>
      </c>
      <c r="F272" s="217">
        <v>42.1</v>
      </c>
      <c r="G272" s="226"/>
      <c r="H272" s="227"/>
      <c r="I272" s="227"/>
      <c r="J272" s="228"/>
    </row>
    <row r="273" spans="1:10">
      <c r="A273" s="221">
        <v>41663</v>
      </c>
      <c r="B273" s="222">
        <v>0.5</v>
      </c>
      <c r="C273" s="215">
        <v>37</v>
      </c>
      <c r="D273" s="216">
        <v>40.200000000000003</v>
      </c>
      <c r="E273" s="216">
        <v>56.8</v>
      </c>
      <c r="F273" s="217">
        <v>42.1</v>
      </c>
      <c r="G273" s="226"/>
      <c r="H273" s="227"/>
      <c r="I273" s="227"/>
      <c r="J273" s="228"/>
    </row>
    <row r="274" spans="1:10">
      <c r="A274" s="221">
        <v>41663</v>
      </c>
      <c r="B274" s="222">
        <v>0.66666666666666663</v>
      </c>
      <c r="C274" s="215">
        <v>37.299999999999997</v>
      </c>
      <c r="D274" s="216">
        <v>40.4</v>
      </c>
      <c r="E274" s="216">
        <v>57.4</v>
      </c>
      <c r="F274" s="217">
        <v>42.7</v>
      </c>
      <c r="G274" s="226"/>
      <c r="H274" s="227"/>
      <c r="I274" s="227"/>
      <c r="J274" s="228"/>
    </row>
    <row r="275" spans="1:10">
      <c r="A275" s="221">
        <v>41663</v>
      </c>
      <c r="B275" s="222">
        <v>0.83333333333333337</v>
      </c>
      <c r="C275" s="215">
        <v>37.200000000000003</v>
      </c>
      <c r="D275" s="216">
        <v>40.4</v>
      </c>
      <c r="E275" s="216">
        <v>57.3</v>
      </c>
      <c r="F275" s="217">
        <v>42.9</v>
      </c>
      <c r="G275" s="226"/>
      <c r="H275" s="227"/>
      <c r="I275" s="227"/>
      <c r="J275" s="228"/>
    </row>
    <row r="276" spans="1:10">
      <c r="A276" s="221">
        <v>41664</v>
      </c>
      <c r="B276" s="222">
        <v>0</v>
      </c>
      <c r="C276" s="215">
        <v>37</v>
      </c>
      <c r="D276" s="216">
        <v>40.200000000000003</v>
      </c>
      <c r="E276" s="216">
        <v>57</v>
      </c>
      <c r="F276" s="217">
        <v>42.9</v>
      </c>
      <c r="G276" s="226"/>
      <c r="H276" s="227"/>
      <c r="I276" s="227"/>
      <c r="J276" s="228"/>
    </row>
    <row r="277" spans="1:10">
      <c r="A277" s="221">
        <v>41664</v>
      </c>
      <c r="B277" s="222">
        <v>0.16666666666666666</v>
      </c>
      <c r="C277" s="215">
        <v>37</v>
      </c>
      <c r="D277" s="216">
        <v>40.200000000000003</v>
      </c>
      <c r="E277" s="216">
        <v>57.2</v>
      </c>
      <c r="F277" s="217">
        <v>43.2</v>
      </c>
      <c r="G277" s="226"/>
      <c r="H277" s="227"/>
      <c r="I277" s="227"/>
      <c r="J277" s="228"/>
    </row>
    <row r="278" spans="1:10">
      <c r="A278" s="221">
        <v>41664</v>
      </c>
      <c r="B278" s="222">
        <v>0.33333333333333331</v>
      </c>
      <c r="C278" s="215">
        <v>37</v>
      </c>
      <c r="D278" s="216">
        <v>40.200000000000003</v>
      </c>
      <c r="E278" s="216">
        <v>53.3</v>
      </c>
      <c r="F278" s="217">
        <v>43.1</v>
      </c>
      <c r="G278" s="226"/>
      <c r="H278" s="227"/>
      <c r="I278" s="227"/>
      <c r="J278" s="228"/>
    </row>
    <row r="279" spans="1:10">
      <c r="A279" s="221">
        <v>41664</v>
      </c>
      <c r="B279" s="222">
        <v>0.5</v>
      </c>
      <c r="C279" s="215">
        <v>37</v>
      </c>
      <c r="D279" s="216">
        <v>40.299999999999997</v>
      </c>
      <c r="E279" s="216">
        <v>57.1</v>
      </c>
      <c r="F279" s="217">
        <v>43</v>
      </c>
      <c r="G279" s="226"/>
      <c r="H279" s="227"/>
      <c r="I279" s="227"/>
      <c r="J279" s="228"/>
    </row>
    <row r="280" spans="1:10">
      <c r="A280" s="221">
        <v>41664</v>
      </c>
      <c r="B280" s="222">
        <v>0.66666666666666663</v>
      </c>
      <c r="C280" s="215">
        <v>37.6</v>
      </c>
      <c r="D280" s="216">
        <v>40.200000000000003</v>
      </c>
      <c r="E280" s="216">
        <v>57.1</v>
      </c>
      <c r="F280" s="217">
        <v>43.1</v>
      </c>
      <c r="G280" s="226"/>
      <c r="H280" s="227"/>
      <c r="I280" s="227"/>
      <c r="J280" s="228"/>
    </row>
    <row r="281" spans="1:10">
      <c r="A281" s="221">
        <v>41664</v>
      </c>
      <c r="B281" s="222">
        <v>0.83333333333333337</v>
      </c>
      <c r="C281" s="215">
        <v>37.700000000000003</v>
      </c>
      <c r="D281" s="216">
        <v>39.9</v>
      </c>
      <c r="E281" s="216">
        <v>51.8</v>
      </c>
      <c r="F281" s="217">
        <v>43.1</v>
      </c>
      <c r="G281" s="226"/>
      <c r="H281" s="227"/>
      <c r="I281" s="227"/>
      <c r="J281" s="228"/>
    </row>
    <row r="282" spans="1:10">
      <c r="A282" s="221">
        <v>41665</v>
      </c>
      <c r="B282" s="222">
        <v>0</v>
      </c>
      <c r="C282" s="215">
        <v>37.700000000000003</v>
      </c>
      <c r="D282" s="216">
        <v>39.799999999999997</v>
      </c>
      <c r="E282" s="216">
        <v>50.6</v>
      </c>
      <c r="F282" s="217">
        <v>43</v>
      </c>
      <c r="G282" s="226"/>
      <c r="H282" s="227"/>
      <c r="I282" s="227"/>
      <c r="J282" s="228"/>
    </row>
    <row r="283" spans="1:10">
      <c r="A283" s="221">
        <v>41665</v>
      </c>
      <c r="B283" s="222">
        <v>0.16666666666666666</v>
      </c>
      <c r="C283" s="215">
        <v>37.799999999999997</v>
      </c>
      <c r="D283" s="216">
        <v>39.700000000000003</v>
      </c>
      <c r="E283" s="216">
        <v>49.4</v>
      </c>
      <c r="F283" s="217">
        <v>43</v>
      </c>
      <c r="G283" s="226"/>
      <c r="H283" s="227"/>
      <c r="I283" s="227"/>
      <c r="J283" s="228"/>
    </row>
    <row r="284" spans="1:10">
      <c r="A284" s="221">
        <v>41665</v>
      </c>
      <c r="B284" s="222">
        <v>0.33333333333333331</v>
      </c>
      <c r="C284" s="215">
        <v>37.799999999999997</v>
      </c>
      <c r="D284" s="216">
        <v>39.6</v>
      </c>
      <c r="E284" s="216">
        <v>47.2</v>
      </c>
      <c r="F284" s="217">
        <v>42.8</v>
      </c>
      <c r="G284" s="226"/>
      <c r="H284" s="227"/>
      <c r="I284" s="227"/>
      <c r="J284" s="228"/>
    </row>
    <row r="285" spans="1:10">
      <c r="A285" s="221">
        <v>41665</v>
      </c>
      <c r="B285" s="222">
        <v>0.5</v>
      </c>
      <c r="C285" s="215">
        <v>37.700000000000003</v>
      </c>
      <c r="D285" s="216">
        <v>39.4</v>
      </c>
      <c r="E285" s="216">
        <v>45.4</v>
      </c>
      <c r="F285" s="217">
        <v>42.5</v>
      </c>
      <c r="G285" s="226"/>
      <c r="H285" s="227"/>
      <c r="I285" s="227"/>
      <c r="J285" s="228"/>
    </row>
    <row r="286" spans="1:10">
      <c r="A286" s="221">
        <v>41665</v>
      </c>
      <c r="B286" s="222">
        <v>0.66666666666666663</v>
      </c>
      <c r="C286" s="215">
        <v>37.6</v>
      </c>
      <c r="D286" s="216">
        <v>39.200000000000003</v>
      </c>
      <c r="E286" s="216">
        <v>44.8</v>
      </c>
      <c r="F286" s="217">
        <v>41.7</v>
      </c>
      <c r="G286" s="226"/>
      <c r="H286" s="227"/>
      <c r="I286" s="227"/>
      <c r="J286" s="228"/>
    </row>
    <row r="287" spans="1:10">
      <c r="A287" s="221">
        <v>41665</v>
      </c>
      <c r="B287" s="222">
        <v>0.83333333333333337</v>
      </c>
      <c r="C287" s="215">
        <v>37.799999999999997</v>
      </c>
      <c r="D287" s="216">
        <v>39.200000000000003</v>
      </c>
      <c r="E287" s="216">
        <v>45.2</v>
      </c>
      <c r="F287" s="217">
        <v>40.9</v>
      </c>
      <c r="G287" s="226"/>
      <c r="H287" s="227"/>
      <c r="I287" s="227"/>
      <c r="J287" s="228"/>
    </row>
    <row r="288" spans="1:10">
      <c r="A288" s="221">
        <v>41666</v>
      </c>
      <c r="B288" s="222">
        <v>0</v>
      </c>
      <c r="C288" s="215">
        <v>37.700000000000003</v>
      </c>
      <c r="D288" s="216">
        <v>40</v>
      </c>
      <c r="E288" s="216">
        <v>56.4</v>
      </c>
      <c r="F288" s="217">
        <v>42.3</v>
      </c>
      <c r="G288" s="226"/>
      <c r="H288" s="227"/>
      <c r="I288" s="227"/>
      <c r="J288" s="228"/>
    </row>
    <row r="289" spans="1:10">
      <c r="A289" s="221">
        <v>41666</v>
      </c>
      <c r="B289" s="222">
        <v>0.16666666666666666</v>
      </c>
      <c r="C289" s="215">
        <v>37.6</v>
      </c>
      <c r="D289" s="216">
        <v>40</v>
      </c>
      <c r="E289" s="216">
        <v>56.5</v>
      </c>
      <c r="F289" s="217">
        <v>42.3</v>
      </c>
      <c r="G289" s="226"/>
      <c r="H289" s="227"/>
      <c r="I289" s="227"/>
      <c r="J289" s="228"/>
    </row>
    <row r="290" spans="1:10">
      <c r="A290" s="221">
        <v>41666</v>
      </c>
      <c r="B290" s="222">
        <v>0.33333333333333331</v>
      </c>
      <c r="C290" s="215">
        <v>37.700000000000003</v>
      </c>
      <c r="D290" s="216">
        <v>40.1</v>
      </c>
      <c r="E290" s="216">
        <v>56.9</v>
      </c>
      <c r="F290" s="217">
        <v>42.4</v>
      </c>
      <c r="G290" s="226"/>
      <c r="H290" s="227"/>
      <c r="I290" s="227"/>
      <c r="J290" s="228"/>
    </row>
    <row r="291" spans="1:10">
      <c r="A291" s="221">
        <v>41666</v>
      </c>
      <c r="B291" s="222">
        <v>0.5</v>
      </c>
      <c r="C291" s="215">
        <v>37.700000000000003</v>
      </c>
      <c r="D291" s="216">
        <v>40.1</v>
      </c>
      <c r="E291" s="216">
        <v>56.4</v>
      </c>
      <c r="F291" s="217">
        <v>42.2</v>
      </c>
      <c r="G291" s="226"/>
      <c r="H291" s="227"/>
      <c r="I291" s="227"/>
      <c r="J291" s="228"/>
    </row>
    <row r="292" spans="1:10">
      <c r="A292" s="221">
        <v>41666</v>
      </c>
      <c r="B292" s="222">
        <v>0.66666666666666663</v>
      </c>
      <c r="C292" s="215">
        <v>37.700000000000003</v>
      </c>
      <c r="D292" s="216">
        <v>40.200000000000003</v>
      </c>
      <c r="E292" s="216">
        <v>53</v>
      </c>
      <c r="F292" s="217">
        <v>42.3</v>
      </c>
      <c r="G292" s="226"/>
      <c r="H292" s="227"/>
      <c r="I292" s="227"/>
      <c r="J292" s="228"/>
    </row>
    <row r="293" spans="1:10">
      <c r="A293" s="221">
        <v>41666</v>
      </c>
      <c r="B293" s="222">
        <v>0.83333333333333337</v>
      </c>
      <c r="C293" s="215">
        <v>37.799999999999997</v>
      </c>
      <c r="D293" s="216">
        <v>40.200000000000003</v>
      </c>
      <c r="E293" s="216">
        <v>51.6</v>
      </c>
      <c r="F293" s="217">
        <v>42.3</v>
      </c>
      <c r="G293" s="226"/>
      <c r="H293" s="227"/>
      <c r="I293" s="227"/>
      <c r="J293" s="228"/>
    </row>
    <row r="294" spans="1:10">
      <c r="A294" s="221">
        <v>41667</v>
      </c>
      <c r="B294" s="222">
        <v>0</v>
      </c>
      <c r="C294" s="215">
        <v>37.799999999999997</v>
      </c>
      <c r="D294" s="216">
        <v>40.299999999999997</v>
      </c>
      <c r="E294" s="216">
        <v>56.8</v>
      </c>
      <c r="F294" s="217">
        <v>42.4</v>
      </c>
      <c r="G294" s="226"/>
      <c r="H294" s="227"/>
      <c r="I294" s="227"/>
      <c r="J294" s="228"/>
    </row>
    <row r="295" spans="1:10">
      <c r="A295" s="221">
        <v>41667</v>
      </c>
      <c r="B295" s="222">
        <v>0.16666666666666666</v>
      </c>
      <c r="C295" s="215">
        <v>37.9</v>
      </c>
      <c r="D295" s="216">
        <v>40.4</v>
      </c>
      <c r="E295" s="216">
        <v>56.3</v>
      </c>
      <c r="F295" s="217">
        <v>42.5</v>
      </c>
      <c r="G295" s="226"/>
      <c r="H295" s="227"/>
      <c r="I295" s="227"/>
      <c r="J295" s="228"/>
    </row>
    <row r="296" spans="1:10">
      <c r="A296" s="221">
        <v>41667</v>
      </c>
      <c r="B296" s="222">
        <v>0.33333333333333331</v>
      </c>
      <c r="C296" s="215">
        <v>37.9</v>
      </c>
      <c r="D296" s="216">
        <v>40.5</v>
      </c>
      <c r="E296" s="216">
        <v>52.6</v>
      </c>
      <c r="F296" s="217">
        <v>42.3</v>
      </c>
      <c r="G296" s="226"/>
      <c r="H296" s="227"/>
      <c r="I296" s="227"/>
      <c r="J296" s="228"/>
    </row>
    <row r="297" spans="1:10">
      <c r="A297" s="221">
        <v>41667</v>
      </c>
      <c r="B297" s="222">
        <v>0.5</v>
      </c>
      <c r="C297" s="215">
        <v>37.799999999999997</v>
      </c>
      <c r="D297" s="216">
        <v>40.5</v>
      </c>
      <c r="E297" s="216">
        <v>51.2</v>
      </c>
      <c r="F297" s="217">
        <v>42.2</v>
      </c>
      <c r="G297" s="226"/>
      <c r="H297" s="227"/>
      <c r="I297" s="227"/>
      <c r="J297" s="228"/>
    </row>
    <row r="298" spans="1:10">
      <c r="A298" s="221">
        <v>41667</v>
      </c>
      <c r="B298" s="222">
        <v>0.66666666666666663</v>
      </c>
      <c r="C298" s="215">
        <v>37.700000000000003</v>
      </c>
      <c r="D298" s="216">
        <v>40</v>
      </c>
      <c r="E298" s="216">
        <v>50.1</v>
      </c>
      <c r="F298" s="217">
        <v>41.7</v>
      </c>
      <c r="G298" s="226"/>
      <c r="H298" s="227"/>
      <c r="I298" s="227"/>
      <c r="J298" s="228"/>
    </row>
    <row r="299" spans="1:10">
      <c r="A299" s="221">
        <v>41667</v>
      </c>
      <c r="B299" s="222">
        <v>0.83333333333333337</v>
      </c>
      <c r="C299" s="215">
        <v>37.700000000000003</v>
      </c>
      <c r="D299" s="216">
        <v>39.9</v>
      </c>
      <c r="E299" s="216">
        <v>50.4</v>
      </c>
      <c r="F299" s="217">
        <v>41.8</v>
      </c>
      <c r="G299" s="226"/>
      <c r="H299" s="227"/>
      <c r="I299" s="227"/>
      <c r="J299" s="228"/>
    </row>
    <row r="300" spans="1:10">
      <c r="A300" s="221">
        <v>41668</v>
      </c>
      <c r="B300" s="222">
        <v>0</v>
      </c>
      <c r="C300" s="215">
        <v>37.799999999999997</v>
      </c>
      <c r="D300" s="216">
        <v>40.299999999999997</v>
      </c>
      <c r="E300" s="216">
        <v>57</v>
      </c>
      <c r="F300" s="217">
        <v>42.6</v>
      </c>
      <c r="G300" s="226"/>
      <c r="H300" s="227"/>
      <c r="I300" s="227"/>
      <c r="J300" s="228"/>
    </row>
    <row r="301" spans="1:10">
      <c r="A301" s="221">
        <v>41668</v>
      </c>
      <c r="B301" s="222">
        <v>0.16666666666666666</v>
      </c>
      <c r="C301" s="215">
        <v>37.799999999999997</v>
      </c>
      <c r="D301" s="216">
        <v>40.299999999999997</v>
      </c>
      <c r="E301" s="216">
        <v>57.3</v>
      </c>
      <c r="F301" s="217">
        <v>42.8</v>
      </c>
      <c r="G301" s="226"/>
      <c r="H301" s="227"/>
      <c r="I301" s="227"/>
      <c r="J301" s="228"/>
    </row>
    <row r="302" spans="1:10">
      <c r="A302" s="221">
        <v>41668</v>
      </c>
      <c r="B302" s="222">
        <v>0.33333333333333331</v>
      </c>
      <c r="C302" s="215">
        <v>37.700000000000003</v>
      </c>
      <c r="D302" s="216">
        <v>40.299999999999997</v>
      </c>
      <c r="E302" s="216">
        <v>57.2</v>
      </c>
      <c r="F302" s="217">
        <v>42.8</v>
      </c>
      <c r="G302" s="226"/>
      <c r="H302" s="227"/>
      <c r="I302" s="227"/>
      <c r="J302" s="228"/>
    </row>
    <row r="303" spans="1:10">
      <c r="A303" s="221">
        <v>41668</v>
      </c>
      <c r="B303" s="222">
        <v>0.5</v>
      </c>
      <c r="C303" s="215">
        <v>37.799999999999997</v>
      </c>
      <c r="D303" s="216">
        <v>40.1</v>
      </c>
      <c r="E303" s="216">
        <v>56.3</v>
      </c>
      <c r="F303" s="217">
        <v>42.9</v>
      </c>
      <c r="G303" s="226"/>
      <c r="H303" s="227"/>
      <c r="I303" s="227"/>
      <c r="J303" s="228"/>
    </row>
    <row r="304" spans="1:10">
      <c r="A304" s="221">
        <v>41668</v>
      </c>
      <c r="B304" s="222">
        <v>0.66666666666666663</v>
      </c>
      <c r="C304" s="215">
        <v>37.700000000000003</v>
      </c>
      <c r="D304" s="216">
        <v>40</v>
      </c>
      <c r="E304" s="216">
        <v>51.3</v>
      </c>
      <c r="F304" s="217">
        <v>42.8</v>
      </c>
      <c r="G304" s="226"/>
      <c r="H304" s="227"/>
      <c r="I304" s="227"/>
      <c r="J304" s="228"/>
    </row>
    <row r="305" spans="1:10">
      <c r="A305" s="221">
        <v>41668</v>
      </c>
      <c r="B305" s="222">
        <v>0.83333333333333337</v>
      </c>
      <c r="C305" s="215">
        <v>37.700000000000003</v>
      </c>
      <c r="D305" s="216">
        <v>39.799999999999997</v>
      </c>
      <c r="E305" s="216">
        <v>50.2</v>
      </c>
      <c r="F305" s="217">
        <v>42.9</v>
      </c>
      <c r="G305" s="226"/>
      <c r="H305" s="227"/>
      <c r="I305" s="227"/>
      <c r="J305" s="228"/>
    </row>
    <row r="306" spans="1:10">
      <c r="A306" s="221">
        <v>41669</v>
      </c>
      <c r="B306" s="222">
        <v>0</v>
      </c>
      <c r="C306" s="215">
        <v>37.700000000000003</v>
      </c>
      <c r="D306" s="216">
        <v>39.700000000000003</v>
      </c>
      <c r="E306" s="216">
        <v>48.6</v>
      </c>
      <c r="F306" s="217">
        <v>42.9</v>
      </c>
      <c r="G306" s="226"/>
      <c r="H306" s="227"/>
      <c r="I306" s="227"/>
      <c r="J306" s="228"/>
    </row>
    <row r="307" spans="1:10">
      <c r="A307" s="221">
        <v>41669</v>
      </c>
      <c r="B307" s="222">
        <v>0.16666666666666666</v>
      </c>
      <c r="C307" s="215">
        <v>37.799999999999997</v>
      </c>
      <c r="D307" s="216">
        <v>39.4</v>
      </c>
      <c r="E307" s="216">
        <v>45.7</v>
      </c>
      <c r="F307" s="217">
        <v>42.9</v>
      </c>
      <c r="G307" s="226"/>
      <c r="H307" s="227"/>
      <c r="I307" s="227"/>
      <c r="J307" s="228"/>
    </row>
    <row r="308" spans="1:10">
      <c r="A308" s="221">
        <v>41669</v>
      </c>
      <c r="B308" s="222">
        <v>0.33333333333333331</v>
      </c>
      <c r="C308" s="215">
        <v>37.799999999999997</v>
      </c>
      <c r="D308" s="216">
        <v>39.4</v>
      </c>
      <c r="E308" s="216">
        <v>45</v>
      </c>
      <c r="F308" s="217">
        <v>42.9</v>
      </c>
      <c r="G308" s="226"/>
      <c r="H308" s="227"/>
      <c r="I308" s="227"/>
      <c r="J308" s="228"/>
    </row>
    <row r="309" spans="1:10">
      <c r="A309" s="221">
        <v>41669</v>
      </c>
      <c r="B309" s="222">
        <v>0.5</v>
      </c>
      <c r="C309" s="215">
        <v>37.799999999999997</v>
      </c>
      <c r="D309" s="216">
        <v>39.4</v>
      </c>
      <c r="E309" s="216">
        <v>44.1</v>
      </c>
      <c r="F309" s="217">
        <v>42.9</v>
      </c>
      <c r="G309" s="226"/>
      <c r="H309" s="227"/>
      <c r="I309" s="227"/>
      <c r="J309" s="228"/>
    </row>
    <row r="310" spans="1:10">
      <c r="A310" s="221">
        <v>41669</v>
      </c>
      <c r="B310" s="222">
        <v>0.66666666666666663</v>
      </c>
      <c r="C310" s="215">
        <v>37.799999999999997</v>
      </c>
      <c r="D310" s="216">
        <v>39.299999999999997</v>
      </c>
      <c r="E310" s="216">
        <v>43.5</v>
      </c>
      <c r="F310" s="217">
        <v>42.8</v>
      </c>
      <c r="G310" s="226"/>
      <c r="H310" s="227"/>
      <c r="I310" s="227"/>
      <c r="J310" s="228"/>
    </row>
    <row r="311" spans="1:10">
      <c r="A311" s="221">
        <v>41669</v>
      </c>
      <c r="B311" s="222">
        <v>0.83333333333333337</v>
      </c>
      <c r="C311" s="215">
        <v>37.9</v>
      </c>
      <c r="D311" s="216">
        <v>39.299999999999997</v>
      </c>
      <c r="E311" s="216">
        <v>43.6</v>
      </c>
      <c r="F311" s="217">
        <v>42.9</v>
      </c>
      <c r="G311" s="226"/>
      <c r="H311" s="227"/>
      <c r="I311" s="227"/>
      <c r="J311" s="228"/>
    </row>
    <row r="312" spans="1:10">
      <c r="A312" s="221">
        <v>41670</v>
      </c>
      <c r="B312" s="222">
        <v>0</v>
      </c>
      <c r="C312" s="215">
        <v>37.799999999999997</v>
      </c>
      <c r="D312" s="216">
        <v>39.200000000000003</v>
      </c>
      <c r="E312" s="216">
        <v>41.8</v>
      </c>
      <c r="F312" s="217">
        <v>42.8</v>
      </c>
      <c r="G312" s="226"/>
      <c r="H312" s="227"/>
      <c r="I312" s="227"/>
      <c r="J312" s="228"/>
    </row>
    <row r="313" spans="1:10">
      <c r="A313" s="221">
        <v>41670</v>
      </c>
      <c r="B313" s="222">
        <v>0.16666666666666666</v>
      </c>
      <c r="C313" s="215">
        <v>37.9</v>
      </c>
      <c r="D313" s="216">
        <v>39</v>
      </c>
      <c r="E313" s="216">
        <v>40.700000000000003</v>
      </c>
      <c r="F313" s="217">
        <v>42.8</v>
      </c>
      <c r="G313" s="226"/>
      <c r="H313" s="227"/>
      <c r="I313" s="227"/>
      <c r="J313" s="228"/>
    </row>
    <row r="314" spans="1:10">
      <c r="A314" s="221">
        <v>41670</v>
      </c>
      <c r="B314" s="222">
        <v>0.33333333333333331</v>
      </c>
      <c r="C314" s="215">
        <v>37.9</v>
      </c>
      <c r="D314" s="216">
        <v>39</v>
      </c>
      <c r="E314" s="216">
        <v>39.700000000000003</v>
      </c>
      <c r="F314" s="217">
        <v>42.8</v>
      </c>
      <c r="G314" s="226"/>
      <c r="H314" s="227"/>
      <c r="I314" s="227"/>
      <c r="J314" s="228"/>
    </row>
    <row r="315" spans="1:10">
      <c r="A315" s="221">
        <v>41670</v>
      </c>
      <c r="B315" s="222">
        <v>0.5</v>
      </c>
      <c r="C315" s="215">
        <v>37.9</v>
      </c>
      <c r="D315" s="216">
        <v>39</v>
      </c>
      <c r="E315" s="216">
        <v>38.299999999999997</v>
      </c>
      <c r="F315" s="217">
        <v>42.8</v>
      </c>
      <c r="G315" s="226"/>
      <c r="H315" s="227"/>
      <c r="I315" s="227"/>
      <c r="J315" s="228"/>
    </row>
    <row r="316" spans="1:10">
      <c r="A316" s="221">
        <v>41670</v>
      </c>
      <c r="B316" s="222">
        <v>0.66666666666666663</v>
      </c>
      <c r="C316" s="215">
        <v>37.799999999999997</v>
      </c>
      <c r="D316" s="216">
        <v>38.9</v>
      </c>
      <c r="E316" s="216">
        <v>38.1</v>
      </c>
      <c r="F316" s="217">
        <v>42.5</v>
      </c>
      <c r="G316" s="226"/>
      <c r="H316" s="227"/>
      <c r="I316" s="227"/>
      <c r="J316" s="228"/>
    </row>
    <row r="317" spans="1:10">
      <c r="A317" s="221">
        <v>41670</v>
      </c>
      <c r="B317" s="222">
        <v>0.83333333333333337</v>
      </c>
      <c r="C317" s="215">
        <v>37.9</v>
      </c>
      <c r="D317" s="216">
        <v>38.9</v>
      </c>
      <c r="E317" s="216">
        <v>38</v>
      </c>
      <c r="F317" s="217">
        <v>42.6</v>
      </c>
      <c r="G317" s="226"/>
      <c r="H317" s="227"/>
      <c r="I317" s="227"/>
      <c r="J317" s="228"/>
    </row>
    <row r="318" spans="1:10">
      <c r="A318" s="221">
        <v>41671</v>
      </c>
      <c r="B318" s="222">
        <v>0</v>
      </c>
      <c r="C318" s="215">
        <v>37.9</v>
      </c>
      <c r="D318" s="216">
        <v>38.799999999999997</v>
      </c>
      <c r="E318" s="216">
        <v>37.4</v>
      </c>
      <c r="F318" s="217">
        <v>42.1</v>
      </c>
      <c r="G318" s="226"/>
      <c r="H318" s="227"/>
      <c r="I318" s="227"/>
      <c r="J318" s="228"/>
    </row>
    <row r="319" spans="1:10">
      <c r="A319" s="221">
        <v>41671</v>
      </c>
      <c r="B319" s="222">
        <v>0.16666666666666666</v>
      </c>
      <c r="C319" s="215">
        <v>37.9</v>
      </c>
      <c r="D319" s="216">
        <v>38.799999999999997</v>
      </c>
      <c r="E319" s="216">
        <v>37.1</v>
      </c>
      <c r="F319" s="217">
        <v>41.4</v>
      </c>
      <c r="G319" s="226"/>
      <c r="H319" s="227"/>
      <c r="I319" s="227"/>
      <c r="J319" s="228"/>
    </row>
    <row r="320" spans="1:10">
      <c r="A320" s="221">
        <v>41671</v>
      </c>
      <c r="B320" s="222">
        <v>0.33333333333333331</v>
      </c>
      <c r="C320" s="215">
        <v>37.9</v>
      </c>
      <c r="D320" s="216">
        <v>38.799999999999997</v>
      </c>
      <c r="E320" s="216">
        <v>36.700000000000003</v>
      </c>
      <c r="F320" s="217">
        <v>40.799999999999997</v>
      </c>
      <c r="G320" s="226"/>
      <c r="H320" s="227"/>
      <c r="I320" s="227"/>
      <c r="J320" s="228"/>
    </row>
    <row r="321" spans="1:10">
      <c r="A321" s="221">
        <v>41671</v>
      </c>
      <c r="B321" s="222">
        <v>0.5</v>
      </c>
      <c r="C321" s="215">
        <v>38</v>
      </c>
      <c r="D321" s="216">
        <v>40.1</v>
      </c>
      <c r="E321" s="216">
        <v>55.8</v>
      </c>
      <c r="F321" s="217">
        <v>42.8</v>
      </c>
      <c r="G321" s="226"/>
      <c r="H321" s="227"/>
      <c r="I321" s="227"/>
      <c r="J321" s="228"/>
    </row>
    <row r="322" spans="1:10">
      <c r="A322" s="221">
        <v>41671</v>
      </c>
      <c r="B322" s="222">
        <v>0.66666666666666663</v>
      </c>
      <c r="C322" s="215">
        <v>37.9</v>
      </c>
      <c r="D322" s="216">
        <v>40.1</v>
      </c>
      <c r="E322" s="216">
        <v>55.8</v>
      </c>
      <c r="F322" s="217">
        <v>43</v>
      </c>
      <c r="G322" s="226"/>
      <c r="H322" s="227"/>
      <c r="I322" s="227"/>
      <c r="J322" s="228"/>
    </row>
    <row r="323" spans="1:10">
      <c r="A323" s="221">
        <v>41671</v>
      </c>
      <c r="B323" s="222">
        <v>0.83333333333333337</v>
      </c>
      <c r="C323" s="215">
        <v>38</v>
      </c>
      <c r="D323" s="216">
        <v>40.200000000000003</v>
      </c>
      <c r="E323" s="216">
        <v>56.3</v>
      </c>
      <c r="F323" s="217">
        <v>43.2</v>
      </c>
      <c r="G323" s="226"/>
      <c r="H323" s="227"/>
      <c r="I323" s="227"/>
      <c r="J323" s="228"/>
    </row>
    <row r="324" spans="1:10">
      <c r="A324" s="221">
        <v>41672</v>
      </c>
      <c r="B324" s="222">
        <v>0</v>
      </c>
      <c r="C324" s="215">
        <v>38</v>
      </c>
      <c r="D324" s="216">
        <v>39.9</v>
      </c>
      <c r="E324" s="216">
        <v>55.8</v>
      </c>
      <c r="F324" s="217">
        <v>43.2</v>
      </c>
      <c r="G324" s="226"/>
      <c r="H324" s="227"/>
      <c r="I324" s="227"/>
      <c r="J324" s="228"/>
    </row>
    <row r="325" spans="1:10">
      <c r="A325" s="221">
        <v>41672</v>
      </c>
      <c r="B325" s="222">
        <v>0.16666666666666666</v>
      </c>
      <c r="C325" s="215">
        <v>38</v>
      </c>
      <c r="D325" s="216">
        <v>39.9</v>
      </c>
      <c r="E325" s="216">
        <v>50.1</v>
      </c>
      <c r="F325" s="217">
        <v>43.4</v>
      </c>
      <c r="G325" s="226"/>
      <c r="H325" s="227"/>
      <c r="I325" s="227"/>
      <c r="J325" s="228"/>
    </row>
    <row r="326" spans="1:10">
      <c r="A326" s="221">
        <v>41672</v>
      </c>
      <c r="B326" s="222">
        <v>0.33333333333333331</v>
      </c>
      <c r="C326" s="215">
        <v>37.9</v>
      </c>
      <c r="D326" s="216">
        <v>39.700000000000003</v>
      </c>
      <c r="E326" s="216">
        <v>43.6</v>
      </c>
      <c r="F326" s="217">
        <v>43.2</v>
      </c>
      <c r="G326" s="226"/>
      <c r="H326" s="227"/>
      <c r="I326" s="227"/>
      <c r="J326" s="228"/>
    </row>
    <row r="327" spans="1:10">
      <c r="A327" s="221">
        <v>41672</v>
      </c>
      <c r="B327" s="222">
        <v>0.5</v>
      </c>
      <c r="C327" s="215">
        <v>38.1</v>
      </c>
      <c r="D327" s="216">
        <v>39.5</v>
      </c>
      <c r="E327" s="216">
        <v>42</v>
      </c>
      <c r="F327" s="217">
        <v>43.3</v>
      </c>
      <c r="G327" s="226"/>
      <c r="H327" s="227"/>
      <c r="I327" s="227"/>
      <c r="J327" s="228"/>
    </row>
    <row r="328" spans="1:10">
      <c r="A328" s="221">
        <v>41672</v>
      </c>
      <c r="B328" s="222">
        <v>0.66666666666666663</v>
      </c>
      <c r="C328" s="215">
        <v>38</v>
      </c>
      <c r="D328" s="216">
        <v>39.4</v>
      </c>
      <c r="E328" s="216">
        <v>41.1</v>
      </c>
      <c r="F328" s="217">
        <v>43.3</v>
      </c>
      <c r="G328" s="226"/>
      <c r="H328" s="227"/>
      <c r="I328" s="227"/>
      <c r="J328" s="228"/>
    </row>
    <row r="329" spans="1:10">
      <c r="A329" s="221">
        <v>41672</v>
      </c>
      <c r="B329" s="222">
        <v>0.83333333333333337</v>
      </c>
      <c r="C329" s="215">
        <v>38</v>
      </c>
      <c r="D329" s="216">
        <v>39.4</v>
      </c>
      <c r="E329" s="216">
        <v>40.5</v>
      </c>
      <c r="F329" s="217">
        <v>43.4</v>
      </c>
      <c r="G329" s="226"/>
      <c r="H329" s="227"/>
      <c r="I329" s="227"/>
      <c r="J329" s="228"/>
    </row>
    <row r="330" spans="1:10">
      <c r="A330" s="221">
        <v>41673</v>
      </c>
      <c r="B330" s="222">
        <v>0</v>
      </c>
      <c r="C330" s="215">
        <v>37.9</v>
      </c>
      <c r="D330" s="216">
        <v>39.299999999999997</v>
      </c>
      <c r="E330" s="216">
        <v>39.6</v>
      </c>
      <c r="F330" s="217">
        <v>43.2</v>
      </c>
      <c r="G330" s="226"/>
      <c r="H330" s="227"/>
      <c r="I330" s="227"/>
      <c r="J330" s="228"/>
    </row>
    <row r="331" spans="1:10">
      <c r="A331" s="221">
        <v>41673</v>
      </c>
      <c r="B331" s="222">
        <v>0.16666666666666666</v>
      </c>
      <c r="C331" s="215">
        <v>38</v>
      </c>
      <c r="D331" s="216">
        <v>39.299999999999997</v>
      </c>
      <c r="E331" s="216">
        <v>39.299999999999997</v>
      </c>
      <c r="F331" s="217">
        <v>43.3</v>
      </c>
      <c r="G331" s="226"/>
      <c r="H331" s="227"/>
      <c r="I331" s="227"/>
      <c r="J331" s="228"/>
    </row>
    <row r="332" spans="1:10">
      <c r="A332" s="221">
        <v>41673</v>
      </c>
      <c r="B332" s="222">
        <v>0.33333333333333331</v>
      </c>
      <c r="C332" s="215">
        <v>38</v>
      </c>
      <c r="D332" s="216">
        <v>39.299999999999997</v>
      </c>
      <c r="E332" s="216">
        <v>38.700000000000003</v>
      </c>
      <c r="F332" s="217">
        <v>43.2</v>
      </c>
      <c r="G332" s="226"/>
      <c r="H332" s="227"/>
      <c r="I332" s="227"/>
      <c r="J332" s="228"/>
    </row>
    <row r="333" spans="1:10">
      <c r="A333" s="221">
        <v>41673</v>
      </c>
      <c r="B333" s="222">
        <v>0.5</v>
      </c>
      <c r="C333" s="215">
        <v>38</v>
      </c>
      <c r="D333" s="216">
        <v>39.299999999999997</v>
      </c>
      <c r="E333" s="216">
        <v>38.200000000000003</v>
      </c>
      <c r="F333" s="217">
        <v>43.1</v>
      </c>
      <c r="G333" s="226"/>
      <c r="H333" s="227"/>
      <c r="I333" s="227"/>
      <c r="J333" s="228"/>
    </row>
    <row r="334" spans="1:10">
      <c r="A334" s="221">
        <v>41673</v>
      </c>
      <c r="B334" s="222">
        <v>0.66666666666666663</v>
      </c>
      <c r="C334" s="215">
        <v>37.9</v>
      </c>
      <c r="D334" s="216">
        <v>39.200000000000003</v>
      </c>
      <c r="E334" s="216">
        <v>37.5</v>
      </c>
      <c r="F334" s="217">
        <v>43.1</v>
      </c>
      <c r="G334" s="226"/>
      <c r="H334" s="227"/>
      <c r="I334" s="227"/>
      <c r="J334" s="228"/>
    </row>
    <row r="335" spans="1:10">
      <c r="A335" s="221">
        <v>41673</v>
      </c>
      <c r="B335" s="222">
        <v>0.83333333333333337</v>
      </c>
      <c r="C335" s="215">
        <v>37.9</v>
      </c>
      <c r="D335" s="216">
        <v>39</v>
      </c>
      <c r="E335" s="216">
        <v>37.299999999999997</v>
      </c>
      <c r="F335" s="217">
        <v>43</v>
      </c>
      <c r="G335" s="226"/>
      <c r="H335" s="227"/>
      <c r="I335" s="227"/>
      <c r="J335" s="228"/>
    </row>
    <row r="336" spans="1:10">
      <c r="A336" s="221">
        <v>41674</v>
      </c>
      <c r="B336" s="222">
        <v>0</v>
      </c>
      <c r="C336" s="215">
        <v>37.799999999999997</v>
      </c>
      <c r="D336" s="216">
        <v>39</v>
      </c>
      <c r="E336" s="216">
        <v>41.3</v>
      </c>
      <c r="F336" s="217">
        <v>43</v>
      </c>
      <c r="G336" s="226"/>
      <c r="H336" s="227"/>
      <c r="I336" s="227"/>
      <c r="J336" s="228"/>
    </row>
    <row r="337" spans="1:10">
      <c r="A337" s="221">
        <v>41674</v>
      </c>
      <c r="B337" s="222">
        <v>0.16666666666666666</v>
      </c>
      <c r="C337" s="215">
        <v>37.9</v>
      </c>
      <c r="D337" s="216">
        <v>39.1</v>
      </c>
      <c r="E337" s="216">
        <v>40.700000000000003</v>
      </c>
      <c r="F337" s="217">
        <v>43</v>
      </c>
      <c r="G337" s="226"/>
      <c r="H337" s="227"/>
      <c r="I337" s="227"/>
      <c r="J337" s="228"/>
    </row>
    <row r="338" spans="1:10">
      <c r="A338" s="221">
        <v>41674</v>
      </c>
      <c r="B338" s="222">
        <v>0.33333333333333331</v>
      </c>
      <c r="C338" s="215">
        <v>37.9</v>
      </c>
      <c r="D338" s="216">
        <v>39.1</v>
      </c>
      <c r="E338" s="216">
        <v>39.700000000000003</v>
      </c>
      <c r="F338" s="217">
        <v>43.2</v>
      </c>
      <c r="G338" s="226"/>
      <c r="H338" s="227"/>
      <c r="I338" s="227"/>
      <c r="J338" s="228"/>
    </row>
    <row r="339" spans="1:10">
      <c r="A339" s="221">
        <v>41674</v>
      </c>
      <c r="B339" s="222">
        <v>0.5</v>
      </c>
      <c r="C339" s="215">
        <v>38</v>
      </c>
      <c r="D339" s="216">
        <v>39</v>
      </c>
      <c r="E339" s="216">
        <v>38.9</v>
      </c>
      <c r="F339" s="217">
        <v>43.1</v>
      </c>
      <c r="G339" s="226"/>
      <c r="H339" s="227"/>
      <c r="I339" s="227"/>
      <c r="J339" s="228"/>
    </row>
    <row r="340" spans="1:10">
      <c r="A340" s="221">
        <v>41674</v>
      </c>
      <c r="B340" s="222">
        <v>0.66666666666666663</v>
      </c>
      <c r="C340" s="215">
        <v>37.9</v>
      </c>
      <c r="D340" s="216">
        <v>39.1</v>
      </c>
      <c r="E340" s="216">
        <v>37.9</v>
      </c>
      <c r="F340" s="217">
        <v>43.1</v>
      </c>
      <c r="G340" s="226"/>
      <c r="H340" s="227"/>
      <c r="I340" s="227"/>
      <c r="J340" s="228"/>
    </row>
    <row r="341" spans="1:10">
      <c r="A341" s="221">
        <v>41674</v>
      </c>
      <c r="B341" s="222">
        <v>0.83333333333333337</v>
      </c>
      <c r="C341" s="215">
        <v>37.9</v>
      </c>
      <c r="D341" s="216">
        <v>39.1</v>
      </c>
      <c r="E341" s="216">
        <v>37.4</v>
      </c>
      <c r="F341" s="217">
        <v>43.1</v>
      </c>
      <c r="G341" s="226"/>
      <c r="H341" s="227"/>
      <c r="I341" s="227"/>
      <c r="J341" s="228"/>
    </row>
    <row r="342" spans="1:10">
      <c r="A342" s="221">
        <v>41675</v>
      </c>
      <c r="B342" s="222">
        <v>0</v>
      </c>
      <c r="C342" s="215">
        <v>37.9</v>
      </c>
      <c r="D342" s="216">
        <v>39.1</v>
      </c>
      <c r="E342" s="216">
        <v>39.299999999999997</v>
      </c>
      <c r="F342" s="217">
        <v>43</v>
      </c>
      <c r="G342" s="226"/>
      <c r="H342" s="227"/>
      <c r="I342" s="227"/>
      <c r="J342" s="228"/>
    </row>
    <row r="343" spans="1:10">
      <c r="A343" s="221">
        <v>41675</v>
      </c>
      <c r="B343" s="222">
        <v>0.16666666666666666</v>
      </c>
      <c r="C343" s="215">
        <v>37.9</v>
      </c>
      <c r="D343" s="216">
        <v>39.1</v>
      </c>
      <c r="E343" s="216">
        <v>39.5</v>
      </c>
      <c r="F343" s="217">
        <v>43</v>
      </c>
      <c r="G343" s="226"/>
      <c r="H343" s="227"/>
      <c r="I343" s="227"/>
      <c r="J343" s="228"/>
    </row>
    <row r="344" spans="1:10">
      <c r="A344" s="221">
        <v>41675</v>
      </c>
      <c r="B344" s="222">
        <v>0.33333333333333331</v>
      </c>
      <c r="C344" s="215">
        <v>37.799999999999997</v>
      </c>
      <c r="D344" s="216">
        <v>39</v>
      </c>
      <c r="E344" s="216">
        <v>38.700000000000003</v>
      </c>
      <c r="F344" s="217">
        <v>42.9</v>
      </c>
      <c r="G344" s="226"/>
      <c r="H344" s="227"/>
      <c r="I344" s="227"/>
      <c r="J344" s="228"/>
    </row>
    <row r="345" spans="1:10">
      <c r="A345" s="221">
        <v>41675</v>
      </c>
      <c r="B345" s="222">
        <v>0.5</v>
      </c>
      <c r="C345" s="215">
        <v>37.799999999999997</v>
      </c>
      <c r="D345" s="216">
        <v>39.1</v>
      </c>
      <c r="E345" s="216">
        <v>37.9</v>
      </c>
      <c r="F345" s="217">
        <v>43</v>
      </c>
      <c r="G345" s="226"/>
      <c r="H345" s="227"/>
      <c r="I345" s="227"/>
      <c r="J345" s="228"/>
    </row>
    <row r="346" spans="1:10">
      <c r="A346" s="221">
        <v>41675</v>
      </c>
      <c r="B346" s="222">
        <v>0.66666666666666663</v>
      </c>
      <c r="C346" s="215">
        <v>37.799999999999997</v>
      </c>
      <c r="D346" s="216">
        <v>39</v>
      </c>
      <c r="E346" s="216">
        <v>37</v>
      </c>
      <c r="F346" s="217">
        <v>42.9</v>
      </c>
      <c r="G346" s="226"/>
      <c r="H346" s="227"/>
      <c r="I346" s="227"/>
      <c r="J346" s="228"/>
    </row>
    <row r="347" spans="1:10">
      <c r="A347" s="221">
        <v>41675</v>
      </c>
      <c r="B347" s="222">
        <v>0.83333333333333337</v>
      </c>
      <c r="C347" s="215">
        <v>37.799999999999997</v>
      </c>
      <c r="D347" s="216">
        <v>38.9</v>
      </c>
      <c r="E347" s="216">
        <v>40.799999999999997</v>
      </c>
      <c r="F347" s="217">
        <v>43.1</v>
      </c>
      <c r="G347" s="226"/>
      <c r="H347" s="227"/>
      <c r="I347" s="227"/>
      <c r="J347" s="228"/>
    </row>
    <row r="348" spans="1:10">
      <c r="A348" s="221">
        <v>41676</v>
      </c>
      <c r="B348" s="222">
        <v>0</v>
      </c>
      <c r="C348" s="215">
        <v>37.799999999999997</v>
      </c>
      <c r="D348" s="216">
        <v>39</v>
      </c>
      <c r="E348" s="216">
        <v>40.299999999999997</v>
      </c>
      <c r="F348" s="217">
        <v>43.1</v>
      </c>
      <c r="G348" s="226"/>
      <c r="H348" s="227"/>
      <c r="I348" s="227"/>
      <c r="J348" s="228"/>
    </row>
    <row r="349" spans="1:10">
      <c r="A349" s="221">
        <v>41676</v>
      </c>
      <c r="B349" s="222">
        <v>0.16666666666666666</v>
      </c>
      <c r="C349" s="215">
        <v>37.9</v>
      </c>
      <c r="D349" s="216">
        <v>39</v>
      </c>
      <c r="E349" s="216">
        <v>39.4</v>
      </c>
      <c r="F349" s="217">
        <v>43.1</v>
      </c>
      <c r="G349" s="226"/>
      <c r="H349" s="227"/>
      <c r="I349" s="227"/>
      <c r="J349" s="228"/>
    </row>
    <row r="350" spans="1:10">
      <c r="A350" s="221">
        <v>41676</v>
      </c>
      <c r="B350" s="222">
        <v>0.33333333333333331</v>
      </c>
      <c r="C350" s="215">
        <v>37.9</v>
      </c>
      <c r="D350" s="216">
        <v>39</v>
      </c>
      <c r="E350" s="216">
        <v>38.1</v>
      </c>
      <c r="F350" s="217">
        <v>42.9</v>
      </c>
      <c r="G350" s="226"/>
      <c r="H350" s="227"/>
      <c r="I350" s="227"/>
      <c r="J350" s="228"/>
    </row>
    <row r="351" spans="1:10">
      <c r="A351" s="221">
        <v>41676</v>
      </c>
      <c r="B351" s="222">
        <v>0.5</v>
      </c>
      <c r="C351" s="215">
        <v>37.9</v>
      </c>
      <c r="D351" s="216">
        <v>39.1</v>
      </c>
      <c r="E351" s="216">
        <v>37.6</v>
      </c>
      <c r="F351" s="217">
        <v>43</v>
      </c>
      <c r="G351" s="226"/>
      <c r="H351" s="227"/>
      <c r="I351" s="227"/>
      <c r="J351" s="228"/>
    </row>
    <row r="352" spans="1:10">
      <c r="A352" s="221">
        <v>41676</v>
      </c>
      <c r="B352" s="222">
        <v>0.66666666666666663</v>
      </c>
      <c r="C352" s="215">
        <v>37.799999999999997</v>
      </c>
      <c r="D352" s="216">
        <v>38.9</v>
      </c>
      <c r="E352" s="216">
        <v>36.700000000000003</v>
      </c>
      <c r="F352" s="217">
        <v>42.9</v>
      </c>
      <c r="G352" s="226"/>
      <c r="H352" s="227"/>
      <c r="I352" s="227"/>
      <c r="J352" s="228"/>
    </row>
    <row r="353" spans="1:10">
      <c r="A353" s="221">
        <v>41676</v>
      </c>
      <c r="B353" s="222">
        <v>0.83333333333333337</v>
      </c>
      <c r="C353" s="215">
        <v>37.799999999999997</v>
      </c>
      <c r="D353" s="216">
        <v>38.9</v>
      </c>
      <c r="E353" s="216">
        <v>36.700000000000003</v>
      </c>
      <c r="F353" s="217">
        <v>42.9</v>
      </c>
      <c r="G353" s="226"/>
      <c r="H353" s="227"/>
      <c r="I353" s="227"/>
      <c r="J353" s="228"/>
    </row>
    <row r="354" spans="1:10">
      <c r="A354" s="221">
        <v>41677</v>
      </c>
      <c r="B354" s="222">
        <v>0</v>
      </c>
      <c r="C354" s="215">
        <v>37.799999999999997</v>
      </c>
      <c r="D354" s="216">
        <v>38.9</v>
      </c>
      <c r="E354" s="216">
        <v>36.299999999999997</v>
      </c>
      <c r="F354" s="217">
        <v>42.9</v>
      </c>
      <c r="G354" s="226"/>
      <c r="H354" s="227"/>
      <c r="I354" s="227"/>
      <c r="J354" s="228"/>
    </row>
    <row r="355" spans="1:10">
      <c r="A355" s="221">
        <v>41677</v>
      </c>
      <c r="B355" s="222">
        <v>0.16666666666666666</v>
      </c>
      <c r="C355" s="215">
        <v>37.799999999999997</v>
      </c>
      <c r="D355" s="216">
        <v>39</v>
      </c>
      <c r="E355" s="216">
        <v>36.200000000000003</v>
      </c>
      <c r="F355" s="217">
        <v>43</v>
      </c>
      <c r="G355" s="226"/>
      <c r="H355" s="227"/>
      <c r="I355" s="227"/>
      <c r="J355" s="228"/>
    </row>
    <row r="356" spans="1:10">
      <c r="A356" s="221">
        <v>41677</v>
      </c>
      <c r="B356" s="222">
        <v>0.33333333333333331</v>
      </c>
      <c r="C356" s="215">
        <v>37.799999999999997</v>
      </c>
      <c r="D356" s="216">
        <v>39.1</v>
      </c>
      <c r="E356" s="216">
        <v>36.200000000000003</v>
      </c>
      <c r="F356" s="217">
        <v>43</v>
      </c>
      <c r="G356" s="226"/>
      <c r="H356" s="227"/>
      <c r="I356" s="227"/>
      <c r="J356" s="228"/>
    </row>
    <row r="357" spans="1:10">
      <c r="A357" s="221">
        <v>41677</v>
      </c>
      <c r="B357" s="222">
        <v>0.5</v>
      </c>
      <c r="C357" s="215">
        <v>37.799999999999997</v>
      </c>
      <c r="D357" s="216">
        <v>38.9</v>
      </c>
      <c r="E357" s="216">
        <v>37</v>
      </c>
      <c r="F357" s="217">
        <v>43</v>
      </c>
      <c r="G357" s="226"/>
      <c r="H357" s="227"/>
      <c r="I357" s="227"/>
      <c r="J357" s="228"/>
    </row>
    <row r="358" spans="1:10">
      <c r="A358" s="221">
        <v>41677</v>
      </c>
      <c r="B358" s="222">
        <v>0.66666666666666663</v>
      </c>
      <c r="C358" s="215">
        <v>37.799999999999997</v>
      </c>
      <c r="D358" s="216">
        <v>38.9</v>
      </c>
      <c r="E358" s="216">
        <v>36.6</v>
      </c>
      <c r="F358" s="217">
        <v>42.9</v>
      </c>
      <c r="G358" s="226"/>
      <c r="H358" s="227"/>
      <c r="I358" s="227"/>
      <c r="J358" s="228"/>
    </row>
    <row r="359" spans="1:10">
      <c r="A359" s="221">
        <v>41677</v>
      </c>
      <c r="B359" s="222">
        <v>0.83333333333333337</v>
      </c>
      <c r="C359" s="215">
        <v>37.799999999999997</v>
      </c>
      <c r="D359" s="216">
        <v>38.9</v>
      </c>
      <c r="E359" s="216">
        <v>36.299999999999997</v>
      </c>
      <c r="F359" s="217">
        <v>42.9</v>
      </c>
      <c r="G359" s="226"/>
      <c r="H359" s="227"/>
      <c r="I359" s="227"/>
      <c r="J359" s="228"/>
    </row>
    <row r="360" spans="1:10">
      <c r="A360" s="221">
        <v>41678</v>
      </c>
      <c r="B360" s="222">
        <v>0</v>
      </c>
      <c r="C360" s="215">
        <v>37.799999999999997</v>
      </c>
      <c r="D360" s="216">
        <v>38.9</v>
      </c>
      <c r="E360" s="216">
        <v>36.299999999999997</v>
      </c>
      <c r="F360" s="217">
        <v>43</v>
      </c>
      <c r="G360" s="226"/>
      <c r="H360" s="227"/>
      <c r="I360" s="227"/>
      <c r="J360" s="228"/>
    </row>
    <row r="361" spans="1:10">
      <c r="A361" s="221">
        <v>41678</v>
      </c>
      <c r="B361" s="222">
        <v>0.16666666666666666</v>
      </c>
      <c r="C361" s="215">
        <v>37.700000000000003</v>
      </c>
      <c r="D361" s="216">
        <v>38.9</v>
      </c>
      <c r="E361" s="216">
        <v>36</v>
      </c>
      <c r="F361" s="217">
        <v>42.9</v>
      </c>
      <c r="G361" s="226"/>
      <c r="H361" s="227"/>
      <c r="I361" s="227"/>
      <c r="J361" s="228"/>
    </row>
    <row r="362" spans="1:10">
      <c r="A362" s="221">
        <v>41678</v>
      </c>
      <c r="B362" s="222">
        <v>0.33333333333333331</v>
      </c>
      <c r="C362" s="215">
        <v>37.799999999999997</v>
      </c>
      <c r="D362" s="216">
        <v>38.9</v>
      </c>
      <c r="E362" s="216">
        <v>36.1</v>
      </c>
      <c r="F362" s="217">
        <v>42.9</v>
      </c>
      <c r="G362" s="226"/>
      <c r="H362" s="227"/>
      <c r="I362" s="227"/>
      <c r="J362" s="228"/>
    </row>
    <row r="363" spans="1:10">
      <c r="A363" s="221">
        <v>41678</v>
      </c>
      <c r="B363" s="222">
        <v>0.5</v>
      </c>
      <c r="C363" s="215">
        <v>37.799999999999997</v>
      </c>
      <c r="D363" s="216">
        <v>38.9</v>
      </c>
      <c r="E363" s="216">
        <v>36.5</v>
      </c>
      <c r="F363" s="217">
        <v>42.8</v>
      </c>
      <c r="G363" s="226"/>
      <c r="H363" s="227"/>
      <c r="I363" s="227"/>
      <c r="J363" s="228"/>
    </row>
    <row r="364" spans="1:10">
      <c r="A364" s="221">
        <v>41678</v>
      </c>
      <c r="B364" s="222">
        <v>0.66666666666666663</v>
      </c>
      <c r="C364" s="215">
        <v>37.799999999999997</v>
      </c>
      <c r="D364" s="216">
        <v>38.9</v>
      </c>
      <c r="E364" s="216">
        <v>43.7</v>
      </c>
      <c r="F364" s="217">
        <v>42.8</v>
      </c>
      <c r="G364" s="226"/>
      <c r="H364" s="227"/>
      <c r="I364" s="227"/>
      <c r="J364" s="228"/>
    </row>
    <row r="365" spans="1:10">
      <c r="A365" s="221">
        <v>41678</v>
      </c>
      <c r="B365" s="222">
        <v>0.83333333333333337</v>
      </c>
      <c r="C365" s="215">
        <v>37.9</v>
      </c>
      <c r="D365" s="216">
        <v>39</v>
      </c>
      <c r="E365" s="216">
        <v>49.5</v>
      </c>
      <c r="F365" s="217">
        <v>42.9</v>
      </c>
      <c r="G365" s="226"/>
      <c r="H365" s="227"/>
      <c r="I365" s="227"/>
      <c r="J365" s="228"/>
    </row>
    <row r="366" spans="1:10">
      <c r="A366" s="221">
        <v>41679</v>
      </c>
      <c r="B366" s="222">
        <v>0</v>
      </c>
      <c r="C366" s="215">
        <v>37.799999999999997</v>
      </c>
      <c r="D366" s="216">
        <v>39</v>
      </c>
      <c r="E366" s="216">
        <v>48.3</v>
      </c>
      <c r="F366" s="217">
        <v>42.7</v>
      </c>
      <c r="G366" s="226"/>
      <c r="H366" s="227"/>
      <c r="I366" s="227"/>
      <c r="J366" s="228"/>
    </row>
    <row r="367" spans="1:10">
      <c r="A367" s="221">
        <v>41679</v>
      </c>
      <c r="B367" s="222">
        <v>0.16666666666666666</v>
      </c>
      <c r="C367" s="215">
        <v>37.700000000000003</v>
      </c>
      <c r="D367" s="216">
        <v>39</v>
      </c>
      <c r="E367" s="216">
        <v>45.8</v>
      </c>
      <c r="F367" s="217">
        <v>42.7</v>
      </c>
      <c r="G367" s="226"/>
      <c r="H367" s="227"/>
      <c r="I367" s="227"/>
      <c r="J367" s="228"/>
    </row>
    <row r="368" spans="1:10">
      <c r="A368" s="221">
        <v>41679</v>
      </c>
      <c r="B368" s="222">
        <v>0.33333333333333331</v>
      </c>
      <c r="C368" s="215">
        <v>37.9</v>
      </c>
      <c r="D368" s="216">
        <v>39.1</v>
      </c>
      <c r="E368" s="216">
        <v>42.9</v>
      </c>
      <c r="F368" s="217">
        <v>42.9</v>
      </c>
      <c r="G368" s="226"/>
      <c r="H368" s="227"/>
      <c r="I368" s="227"/>
      <c r="J368" s="228"/>
    </row>
    <row r="369" spans="1:10">
      <c r="A369" s="221">
        <v>41679</v>
      </c>
      <c r="B369" s="222">
        <v>0.5</v>
      </c>
      <c r="C369" s="215">
        <v>38</v>
      </c>
      <c r="D369" s="216">
        <v>39.1</v>
      </c>
      <c r="E369" s="216">
        <v>41.5</v>
      </c>
      <c r="F369" s="217">
        <v>42.8</v>
      </c>
      <c r="G369" s="226"/>
      <c r="H369" s="227"/>
      <c r="I369" s="227"/>
      <c r="J369" s="228"/>
    </row>
    <row r="370" spans="1:10">
      <c r="A370" s="221">
        <v>41679</v>
      </c>
      <c r="B370" s="222">
        <v>0.66666666666666663</v>
      </c>
      <c r="C370" s="215">
        <v>37.799999999999997</v>
      </c>
      <c r="D370" s="216">
        <v>39.1</v>
      </c>
      <c r="E370" s="216">
        <v>40</v>
      </c>
      <c r="F370" s="217">
        <v>42.8</v>
      </c>
      <c r="G370" s="226"/>
      <c r="H370" s="227"/>
      <c r="I370" s="227"/>
      <c r="J370" s="228"/>
    </row>
    <row r="371" spans="1:10">
      <c r="A371" s="221">
        <v>41679</v>
      </c>
      <c r="B371" s="222">
        <v>0.83333333333333337</v>
      </c>
      <c r="C371" s="215">
        <v>37.799999999999997</v>
      </c>
      <c r="D371" s="216">
        <v>39</v>
      </c>
      <c r="E371" s="216">
        <v>38.6</v>
      </c>
      <c r="F371" s="217">
        <v>42.7</v>
      </c>
      <c r="G371" s="226"/>
      <c r="H371" s="227"/>
      <c r="I371" s="227"/>
      <c r="J371" s="228"/>
    </row>
    <row r="372" spans="1:10">
      <c r="A372" s="221">
        <v>41680</v>
      </c>
      <c r="B372" s="222">
        <v>0</v>
      </c>
      <c r="C372" s="215">
        <v>37.799999999999997</v>
      </c>
      <c r="D372" s="216">
        <v>39</v>
      </c>
      <c r="E372" s="216">
        <v>37.799999999999997</v>
      </c>
      <c r="F372" s="217">
        <v>42.6</v>
      </c>
      <c r="G372" s="226"/>
      <c r="H372" s="227"/>
      <c r="I372" s="227"/>
      <c r="J372" s="228"/>
    </row>
    <row r="373" spans="1:10">
      <c r="A373" s="221">
        <v>41680</v>
      </c>
      <c r="B373" s="222">
        <v>0.16666666666666666</v>
      </c>
      <c r="C373" s="215">
        <v>37.700000000000003</v>
      </c>
      <c r="D373" s="216">
        <v>38.9</v>
      </c>
      <c r="E373" s="216">
        <v>37.1</v>
      </c>
      <c r="F373" s="217">
        <v>42.6</v>
      </c>
      <c r="G373" s="226"/>
      <c r="H373" s="227"/>
      <c r="I373" s="227"/>
      <c r="J373" s="228"/>
    </row>
    <row r="374" spans="1:10">
      <c r="A374" s="221">
        <v>41680</v>
      </c>
      <c r="B374" s="222">
        <v>0.33333333333333331</v>
      </c>
      <c r="C374" s="215">
        <v>37.799999999999997</v>
      </c>
      <c r="D374" s="216">
        <v>38.9</v>
      </c>
      <c r="E374" s="216">
        <v>36.700000000000003</v>
      </c>
      <c r="F374" s="217">
        <v>42.6</v>
      </c>
      <c r="G374" s="226"/>
      <c r="H374" s="227"/>
      <c r="I374" s="227"/>
      <c r="J374" s="228"/>
    </row>
    <row r="375" spans="1:10">
      <c r="A375" s="221">
        <v>41680</v>
      </c>
      <c r="B375" s="222">
        <v>0.5</v>
      </c>
      <c r="C375" s="215">
        <v>37.799999999999997</v>
      </c>
      <c r="D375" s="216">
        <v>38.9</v>
      </c>
      <c r="E375" s="216">
        <v>37.700000000000003</v>
      </c>
      <c r="F375" s="217">
        <v>42.6</v>
      </c>
      <c r="G375" s="226"/>
      <c r="H375" s="227"/>
      <c r="I375" s="227"/>
      <c r="J375" s="228"/>
    </row>
    <row r="376" spans="1:10">
      <c r="A376" s="221">
        <v>41680</v>
      </c>
      <c r="B376" s="222">
        <v>0.66666666666666663</v>
      </c>
      <c r="C376" s="215">
        <v>37.9</v>
      </c>
      <c r="D376" s="216">
        <v>39</v>
      </c>
      <c r="E376" s="216">
        <v>51.1</v>
      </c>
      <c r="F376" s="217">
        <v>42.7</v>
      </c>
      <c r="G376" s="226"/>
      <c r="H376" s="227"/>
      <c r="I376" s="227"/>
      <c r="J376" s="228"/>
    </row>
    <row r="377" spans="1:10">
      <c r="A377" s="221">
        <v>41680</v>
      </c>
      <c r="B377" s="222">
        <v>0.83333333333333337</v>
      </c>
      <c r="C377" s="215">
        <v>37.9</v>
      </c>
      <c r="D377" s="216">
        <v>39.4</v>
      </c>
      <c r="E377" s="216">
        <v>50.2</v>
      </c>
      <c r="F377" s="217">
        <v>42.7</v>
      </c>
      <c r="G377" s="226"/>
      <c r="H377" s="227"/>
      <c r="I377" s="227"/>
      <c r="J377" s="228"/>
    </row>
    <row r="378" spans="1:10">
      <c r="A378" s="221">
        <v>41681</v>
      </c>
      <c r="B378" s="222">
        <v>0</v>
      </c>
      <c r="C378" s="215">
        <v>38</v>
      </c>
      <c r="D378" s="216">
        <v>39.5</v>
      </c>
      <c r="E378" s="216">
        <v>43</v>
      </c>
      <c r="F378" s="217">
        <v>42.9</v>
      </c>
      <c r="G378" s="226"/>
      <c r="H378" s="227"/>
      <c r="I378" s="227"/>
      <c r="J378" s="228"/>
    </row>
    <row r="379" spans="1:10">
      <c r="A379" s="221">
        <v>41681</v>
      </c>
      <c r="B379" s="222">
        <v>0.16666666666666666</v>
      </c>
      <c r="C379" s="215">
        <v>38</v>
      </c>
      <c r="D379" s="216">
        <v>39.9</v>
      </c>
      <c r="E379" s="216">
        <v>53.2</v>
      </c>
      <c r="F379" s="217">
        <v>42.9</v>
      </c>
      <c r="G379" s="226"/>
      <c r="H379" s="227"/>
      <c r="I379" s="227"/>
      <c r="J379" s="228"/>
    </row>
    <row r="380" spans="1:10">
      <c r="A380" s="221">
        <v>41681</v>
      </c>
      <c r="B380" s="222">
        <v>0.33333333333333331</v>
      </c>
      <c r="C380" s="215">
        <v>38</v>
      </c>
      <c r="D380" s="216">
        <v>39.9</v>
      </c>
      <c r="E380" s="216">
        <v>41.3</v>
      </c>
      <c r="F380" s="217">
        <v>42.9</v>
      </c>
      <c r="G380" s="226"/>
      <c r="H380" s="227"/>
      <c r="I380" s="227"/>
      <c r="J380" s="228"/>
    </row>
    <row r="381" spans="1:10">
      <c r="A381" s="221">
        <v>41681</v>
      </c>
      <c r="B381" s="222">
        <v>0.5</v>
      </c>
      <c r="C381" s="215">
        <v>38.1</v>
      </c>
      <c r="D381" s="216">
        <v>39.9</v>
      </c>
      <c r="E381" s="216">
        <v>40.6</v>
      </c>
      <c r="F381" s="217">
        <v>42.8</v>
      </c>
      <c r="G381" s="226"/>
      <c r="H381" s="227"/>
      <c r="I381" s="227"/>
      <c r="J381" s="228"/>
    </row>
    <row r="382" spans="1:10">
      <c r="A382" s="221">
        <v>41681</v>
      </c>
      <c r="B382" s="222">
        <v>0.66666666666666663</v>
      </c>
      <c r="C382" s="215">
        <v>37.9</v>
      </c>
      <c r="D382" s="216">
        <v>39.799999999999997</v>
      </c>
      <c r="E382" s="216">
        <v>39.5</v>
      </c>
      <c r="F382" s="217">
        <v>42.8</v>
      </c>
      <c r="G382" s="226"/>
      <c r="H382" s="227"/>
      <c r="I382" s="227"/>
      <c r="J382" s="228"/>
    </row>
    <row r="383" spans="1:10">
      <c r="A383" s="221">
        <v>41681</v>
      </c>
      <c r="B383" s="222">
        <v>0.83333333333333337</v>
      </c>
      <c r="C383" s="215">
        <v>38</v>
      </c>
      <c r="D383" s="216">
        <v>40.6</v>
      </c>
      <c r="E383" s="216">
        <v>45</v>
      </c>
      <c r="F383" s="217">
        <v>42.8</v>
      </c>
      <c r="G383" s="226"/>
      <c r="H383" s="227"/>
      <c r="I383" s="227"/>
      <c r="J383" s="228"/>
    </row>
    <row r="384" spans="1:10">
      <c r="A384" s="221">
        <v>41682</v>
      </c>
      <c r="B384" s="222">
        <v>0</v>
      </c>
      <c r="C384" s="215">
        <v>38.1</v>
      </c>
      <c r="D384" s="216">
        <v>40.700000000000003</v>
      </c>
      <c r="E384" s="216">
        <v>41.6</v>
      </c>
      <c r="F384" s="217">
        <v>43</v>
      </c>
      <c r="G384" s="226"/>
      <c r="H384" s="227"/>
      <c r="I384" s="227"/>
      <c r="J384" s="228"/>
    </row>
    <row r="385" spans="1:10">
      <c r="A385" s="221">
        <v>41682</v>
      </c>
      <c r="B385" s="222">
        <v>0.16666666666666666</v>
      </c>
      <c r="C385" s="215">
        <v>38</v>
      </c>
      <c r="D385" s="216">
        <v>40.700000000000003</v>
      </c>
      <c r="E385" s="216">
        <v>40.1</v>
      </c>
      <c r="F385" s="217">
        <v>43.1</v>
      </c>
      <c r="G385" s="226"/>
      <c r="H385" s="227"/>
      <c r="I385" s="227"/>
      <c r="J385" s="228"/>
    </row>
    <row r="386" spans="1:10">
      <c r="A386" s="221">
        <v>41682</v>
      </c>
      <c r="B386" s="222">
        <v>0.33333333333333331</v>
      </c>
      <c r="C386" s="215">
        <v>38</v>
      </c>
      <c r="D386" s="216">
        <v>40.299999999999997</v>
      </c>
      <c r="E386" s="216">
        <v>38.700000000000003</v>
      </c>
      <c r="F386" s="217">
        <v>43.1</v>
      </c>
      <c r="G386" s="226"/>
      <c r="H386" s="227"/>
      <c r="I386" s="227"/>
      <c r="J386" s="228"/>
    </row>
    <row r="387" spans="1:10">
      <c r="A387" s="221">
        <v>41682</v>
      </c>
      <c r="B387" s="222">
        <v>0.5</v>
      </c>
      <c r="C387" s="215">
        <v>38</v>
      </c>
      <c r="D387" s="216">
        <v>40.200000000000003</v>
      </c>
      <c r="E387" s="216">
        <v>38</v>
      </c>
      <c r="F387" s="217">
        <v>43</v>
      </c>
      <c r="G387" s="226"/>
      <c r="H387" s="227"/>
      <c r="I387" s="227"/>
      <c r="J387" s="228"/>
    </row>
    <row r="388" spans="1:10">
      <c r="A388" s="221">
        <v>41682</v>
      </c>
      <c r="B388" s="222">
        <v>0.66666666666666663</v>
      </c>
      <c r="C388" s="215">
        <v>38</v>
      </c>
      <c r="D388" s="216">
        <v>40.1</v>
      </c>
      <c r="E388" s="216">
        <v>37.799999999999997</v>
      </c>
      <c r="F388" s="217">
        <v>43</v>
      </c>
      <c r="G388" s="226"/>
      <c r="H388" s="227"/>
      <c r="I388" s="227"/>
      <c r="J388" s="228"/>
    </row>
    <row r="389" spans="1:10">
      <c r="A389" s="221">
        <v>41682</v>
      </c>
      <c r="B389" s="222">
        <v>0.83333333333333337</v>
      </c>
      <c r="C389" s="215">
        <v>37.9</v>
      </c>
      <c r="D389" s="216">
        <v>39.9</v>
      </c>
      <c r="E389" s="216">
        <v>37.700000000000003</v>
      </c>
      <c r="F389" s="217">
        <v>43.2</v>
      </c>
      <c r="G389" s="226"/>
      <c r="H389" s="227"/>
      <c r="I389" s="227"/>
      <c r="J389" s="228"/>
    </row>
    <row r="390" spans="1:10">
      <c r="A390" s="221">
        <v>41683</v>
      </c>
      <c r="B390" s="222">
        <v>0</v>
      </c>
      <c r="C390" s="215">
        <v>37.9</v>
      </c>
      <c r="D390" s="216">
        <v>39.799999999999997</v>
      </c>
      <c r="E390" s="216">
        <v>37.299999999999997</v>
      </c>
      <c r="F390" s="217">
        <v>43.1</v>
      </c>
      <c r="G390" s="226"/>
      <c r="H390" s="227"/>
      <c r="I390" s="227"/>
      <c r="J390" s="228"/>
    </row>
    <row r="391" spans="1:10">
      <c r="A391" s="221">
        <v>41683</v>
      </c>
      <c r="B391" s="222">
        <v>0.16666666666666666</v>
      </c>
      <c r="C391" s="215">
        <v>37.9</v>
      </c>
      <c r="D391" s="216">
        <v>39.700000000000003</v>
      </c>
      <c r="E391" s="216">
        <v>37.200000000000003</v>
      </c>
      <c r="F391" s="217">
        <v>43</v>
      </c>
      <c r="G391" s="226"/>
      <c r="H391" s="227"/>
      <c r="I391" s="227"/>
      <c r="J391" s="228"/>
    </row>
    <row r="392" spans="1:10">
      <c r="A392" s="221">
        <v>41683</v>
      </c>
      <c r="B392" s="222">
        <v>0.33333333333333331</v>
      </c>
      <c r="C392" s="215">
        <v>37.799999999999997</v>
      </c>
      <c r="D392" s="216">
        <v>39.6</v>
      </c>
      <c r="E392" s="216">
        <v>37</v>
      </c>
      <c r="F392" s="217">
        <v>43.1</v>
      </c>
      <c r="G392" s="226"/>
      <c r="H392" s="227"/>
      <c r="I392" s="227"/>
      <c r="J392" s="228"/>
    </row>
    <row r="393" spans="1:10">
      <c r="A393" s="221">
        <v>41683</v>
      </c>
      <c r="B393" s="222">
        <v>0.5</v>
      </c>
      <c r="C393" s="215">
        <v>38</v>
      </c>
      <c r="D393" s="216">
        <v>39.700000000000003</v>
      </c>
      <c r="E393" s="216">
        <v>36.9</v>
      </c>
      <c r="F393" s="217">
        <v>43.1</v>
      </c>
      <c r="G393" s="226"/>
      <c r="H393" s="227"/>
      <c r="I393" s="227"/>
      <c r="J393" s="228"/>
    </row>
    <row r="394" spans="1:10">
      <c r="A394" s="221">
        <v>41683</v>
      </c>
      <c r="B394" s="222">
        <v>0.66666666666666663</v>
      </c>
      <c r="C394" s="215">
        <v>38</v>
      </c>
      <c r="D394" s="216">
        <v>39.6</v>
      </c>
      <c r="E394" s="216">
        <v>42</v>
      </c>
      <c r="F394" s="217">
        <v>43</v>
      </c>
      <c r="G394" s="226"/>
      <c r="H394" s="227"/>
      <c r="I394" s="227"/>
      <c r="J394" s="228"/>
    </row>
    <row r="395" spans="1:10">
      <c r="A395" s="221">
        <v>41683</v>
      </c>
      <c r="B395" s="222">
        <v>0.83333333333333337</v>
      </c>
      <c r="C395" s="215">
        <v>37.9</v>
      </c>
      <c r="D395" s="216">
        <v>40.4</v>
      </c>
      <c r="E395" s="216">
        <v>42.3</v>
      </c>
      <c r="F395" s="217">
        <v>43.1</v>
      </c>
      <c r="G395" s="226"/>
      <c r="H395" s="227"/>
      <c r="I395" s="227"/>
      <c r="J395" s="228"/>
    </row>
    <row r="396" spans="1:10">
      <c r="A396" s="221">
        <v>41684</v>
      </c>
      <c r="B396" s="222">
        <v>0</v>
      </c>
      <c r="C396" s="215">
        <v>37.9</v>
      </c>
      <c r="D396" s="216">
        <v>40.4</v>
      </c>
      <c r="E396" s="216">
        <v>41.5</v>
      </c>
      <c r="F396" s="217">
        <v>43.1</v>
      </c>
      <c r="G396" s="226"/>
      <c r="H396" s="227"/>
      <c r="I396" s="227"/>
      <c r="J396" s="228"/>
    </row>
    <row r="397" spans="1:10">
      <c r="A397" s="221">
        <v>41684</v>
      </c>
      <c r="B397" s="222">
        <v>0.16666666666666666</v>
      </c>
      <c r="C397" s="215">
        <v>37.9</v>
      </c>
      <c r="D397" s="216">
        <v>40.200000000000003</v>
      </c>
      <c r="E397" s="216">
        <v>39.9</v>
      </c>
      <c r="F397" s="217">
        <v>43</v>
      </c>
      <c r="G397" s="226"/>
      <c r="H397" s="227"/>
      <c r="I397" s="227"/>
      <c r="J397" s="228"/>
    </row>
    <row r="398" spans="1:10">
      <c r="A398" s="221">
        <v>41684</v>
      </c>
      <c r="B398" s="222">
        <v>0.33333333333333331</v>
      </c>
      <c r="C398" s="215">
        <v>37.9</v>
      </c>
      <c r="D398" s="216">
        <v>40.1</v>
      </c>
      <c r="E398" s="216">
        <v>39</v>
      </c>
      <c r="F398" s="217">
        <v>43</v>
      </c>
      <c r="G398" s="226"/>
      <c r="H398" s="227"/>
      <c r="I398" s="227"/>
      <c r="J398" s="228"/>
    </row>
    <row r="399" spans="1:10">
      <c r="A399" s="221">
        <v>41684</v>
      </c>
      <c r="B399" s="222">
        <v>0.5</v>
      </c>
      <c r="C399" s="215">
        <v>38</v>
      </c>
      <c r="D399" s="216">
        <v>40.1</v>
      </c>
      <c r="E399" s="216">
        <v>38</v>
      </c>
      <c r="F399" s="217">
        <v>43</v>
      </c>
      <c r="G399" s="226"/>
      <c r="H399" s="227"/>
      <c r="I399" s="227"/>
      <c r="J399" s="228"/>
    </row>
    <row r="400" spans="1:10">
      <c r="A400" s="221">
        <v>41684</v>
      </c>
      <c r="B400" s="222">
        <v>0.66666666666666663</v>
      </c>
      <c r="C400" s="215">
        <v>37.700000000000003</v>
      </c>
      <c r="D400" s="216">
        <v>39.9</v>
      </c>
      <c r="E400" s="216">
        <v>37.200000000000003</v>
      </c>
      <c r="F400" s="217">
        <v>42.8</v>
      </c>
      <c r="G400" s="226"/>
      <c r="H400" s="227"/>
      <c r="I400" s="227"/>
      <c r="J400" s="228"/>
    </row>
    <row r="401" spans="1:10">
      <c r="A401" s="221">
        <v>41684</v>
      </c>
      <c r="B401" s="222">
        <v>0.83333333333333337</v>
      </c>
      <c r="C401" s="215">
        <v>37.799999999999997</v>
      </c>
      <c r="D401" s="216">
        <v>39.799999999999997</v>
      </c>
      <c r="E401" s="216">
        <v>37.4</v>
      </c>
      <c r="F401" s="217">
        <v>43</v>
      </c>
      <c r="G401" s="226"/>
      <c r="H401" s="227"/>
      <c r="I401" s="227"/>
      <c r="J401" s="228"/>
    </row>
    <row r="402" spans="1:10">
      <c r="A402" s="221">
        <v>41685</v>
      </c>
      <c r="B402" s="222">
        <v>0</v>
      </c>
      <c r="C402" s="215">
        <v>37.799999999999997</v>
      </c>
      <c r="D402" s="216">
        <v>39.700000000000003</v>
      </c>
      <c r="E402" s="216">
        <v>37.200000000000003</v>
      </c>
      <c r="F402" s="217">
        <v>43</v>
      </c>
      <c r="G402" s="226"/>
      <c r="H402" s="227"/>
      <c r="I402" s="227"/>
      <c r="J402" s="228"/>
    </row>
    <row r="403" spans="1:10">
      <c r="A403" s="221">
        <v>41685</v>
      </c>
      <c r="B403" s="222">
        <v>0.16666666666666666</v>
      </c>
      <c r="C403" s="215">
        <v>37.799999999999997</v>
      </c>
      <c r="D403" s="216">
        <v>39.700000000000003</v>
      </c>
      <c r="E403" s="216">
        <v>37</v>
      </c>
      <c r="F403" s="217">
        <v>43</v>
      </c>
      <c r="G403" s="226"/>
      <c r="H403" s="227"/>
      <c r="I403" s="227"/>
      <c r="J403" s="228"/>
    </row>
    <row r="404" spans="1:10">
      <c r="A404" s="221">
        <v>41685</v>
      </c>
      <c r="B404" s="222">
        <v>0.33333333333333331</v>
      </c>
      <c r="C404" s="215">
        <v>37.700000000000003</v>
      </c>
      <c r="D404" s="216">
        <v>39.6</v>
      </c>
      <c r="E404" s="216">
        <v>36.6</v>
      </c>
      <c r="F404" s="217">
        <v>42.9</v>
      </c>
      <c r="G404" s="226"/>
      <c r="H404" s="227"/>
      <c r="I404" s="227"/>
      <c r="J404" s="228"/>
    </row>
    <row r="405" spans="1:10">
      <c r="A405" s="221">
        <v>41685</v>
      </c>
      <c r="B405" s="222">
        <v>0.5</v>
      </c>
      <c r="C405" s="215">
        <v>37.799999999999997</v>
      </c>
      <c r="D405" s="216">
        <v>39.6</v>
      </c>
      <c r="E405" s="216">
        <v>36.6</v>
      </c>
      <c r="F405" s="217">
        <v>43</v>
      </c>
      <c r="G405" s="226"/>
      <c r="H405" s="227"/>
      <c r="I405" s="227"/>
      <c r="J405" s="228"/>
    </row>
    <row r="406" spans="1:10">
      <c r="A406" s="221">
        <v>41685</v>
      </c>
      <c r="B406" s="222">
        <v>0.66666666666666663</v>
      </c>
      <c r="C406" s="215">
        <v>38</v>
      </c>
      <c r="D406" s="216">
        <v>40.4</v>
      </c>
      <c r="E406" s="216">
        <v>54.7</v>
      </c>
      <c r="F406" s="217">
        <v>43</v>
      </c>
      <c r="G406" s="226"/>
      <c r="H406" s="227"/>
      <c r="I406" s="227"/>
      <c r="J406" s="228"/>
    </row>
    <row r="407" spans="1:10">
      <c r="A407" s="221">
        <v>41685</v>
      </c>
      <c r="B407" s="222">
        <v>0.83333333333333337</v>
      </c>
      <c r="C407" s="215">
        <v>37.9</v>
      </c>
      <c r="D407" s="216">
        <v>40.5</v>
      </c>
      <c r="E407" s="216">
        <v>54.7</v>
      </c>
      <c r="F407" s="217">
        <v>43.1</v>
      </c>
      <c r="G407" s="226"/>
      <c r="H407" s="227"/>
      <c r="I407" s="227"/>
      <c r="J407" s="228"/>
    </row>
    <row r="408" spans="1:10">
      <c r="A408" s="221">
        <v>41686</v>
      </c>
      <c r="B408" s="222">
        <v>0</v>
      </c>
      <c r="C408" s="215">
        <v>37.9</v>
      </c>
      <c r="D408" s="216">
        <v>40.6</v>
      </c>
      <c r="E408" s="216">
        <v>53.7</v>
      </c>
      <c r="F408" s="217">
        <v>43.2</v>
      </c>
      <c r="G408" s="226"/>
      <c r="H408" s="227"/>
      <c r="I408" s="227"/>
      <c r="J408" s="228"/>
    </row>
    <row r="409" spans="1:10">
      <c r="A409" s="221">
        <v>41686</v>
      </c>
      <c r="B409" s="222">
        <v>0.16666666666666666</v>
      </c>
      <c r="C409" s="215">
        <v>37.9</v>
      </c>
      <c r="D409" s="216">
        <v>40.5</v>
      </c>
      <c r="E409" s="216">
        <v>41.6</v>
      </c>
      <c r="F409" s="217">
        <v>43.2</v>
      </c>
      <c r="G409" s="226"/>
      <c r="H409" s="227"/>
      <c r="I409" s="227"/>
      <c r="J409" s="228"/>
    </row>
    <row r="410" spans="1:10">
      <c r="A410" s="221">
        <v>41686</v>
      </c>
      <c r="B410" s="222">
        <v>0.33333333333333331</v>
      </c>
      <c r="C410" s="215">
        <v>37.9</v>
      </c>
      <c r="D410" s="216">
        <v>40.299999999999997</v>
      </c>
      <c r="E410" s="216">
        <v>40.700000000000003</v>
      </c>
      <c r="F410" s="217">
        <v>43</v>
      </c>
      <c r="G410" s="226"/>
      <c r="H410" s="227"/>
      <c r="I410" s="227"/>
      <c r="J410" s="228"/>
    </row>
    <row r="411" spans="1:10">
      <c r="A411" s="221">
        <v>41686</v>
      </c>
      <c r="B411" s="222">
        <v>0.5</v>
      </c>
      <c r="C411" s="215">
        <v>38</v>
      </c>
      <c r="D411" s="216">
        <v>40.299999999999997</v>
      </c>
      <c r="E411" s="216">
        <v>40.4</v>
      </c>
      <c r="F411" s="217">
        <v>43.1</v>
      </c>
      <c r="G411" s="226"/>
      <c r="H411" s="227"/>
      <c r="I411" s="227"/>
      <c r="J411" s="228"/>
    </row>
    <row r="412" spans="1:10">
      <c r="A412" s="221">
        <v>41686</v>
      </c>
      <c r="B412" s="222">
        <v>0.66666666666666663</v>
      </c>
      <c r="C412" s="215">
        <v>37.9</v>
      </c>
      <c r="D412" s="216">
        <v>40.299999999999997</v>
      </c>
      <c r="E412" s="216">
        <v>39.700000000000003</v>
      </c>
      <c r="F412" s="217">
        <v>43.1</v>
      </c>
      <c r="G412" s="226"/>
      <c r="H412" s="227"/>
      <c r="I412" s="227"/>
      <c r="J412" s="228"/>
    </row>
    <row r="413" spans="1:10">
      <c r="A413" s="221">
        <v>41686</v>
      </c>
      <c r="B413" s="222">
        <v>0.83333333333333337</v>
      </c>
      <c r="C413" s="215">
        <v>37.799999999999997</v>
      </c>
      <c r="D413" s="216">
        <v>40.700000000000003</v>
      </c>
      <c r="E413" s="216">
        <v>54.5</v>
      </c>
      <c r="F413" s="217">
        <v>43.1</v>
      </c>
      <c r="G413" s="226"/>
      <c r="H413" s="227"/>
      <c r="I413" s="227"/>
      <c r="J413" s="228"/>
    </row>
    <row r="414" spans="1:10">
      <c r="A414" s="221">
        <v>41687</v>
      </c>
      <c r="B414" s="222">
        <v>0</v>
      </c>
      <c r="C414" s="215">
        <v>37.9</v>
      </c>
      <c r="D414" s="216">
        <v>40.700000000000003</v>
      </c>
      <c r="E414" s="216">
        <v>49.8</v>
      </c>
      <c r="F414" s="217">
        <v>43.2</v>
      </c>
      <c r="G414" s="226"/>
      <c r="H414" s="227"/>
      <c r="I414" s="227"/>
      <c r="J414" s="228"/>
    </row>
    <row r="415" spans="1:10">
      <c r="A415" s="221">
        <v>41687</v>
      </c>
      <c r="B415" s="222">
        <v>0.16666666666666666</v>
      </c>
      <c r="C415" s="215">
        <v>38</v>
      </c>
      <c r="D415" s="216">
        <v>40.700000000000003</v>
      </c>
      <c r="E415" s="216">
        <v>41.7</v>
      </c>
      <c r="F415" s="217">
        <v>43.2</v>
      </c>
      <c r="G415" s="226"/>
      <c r="H415" s="227"/>
      <c r="I415" s="227"/>
      <c r="J415" s="228"/>
    </row>
    <row r="416" spans="1:10">
      <c r="A416" s="221">
        <v>41687</v>
      </c>
      <c r="B416" s="222">
        <v>0.33333333333333331</v>
      </c>
      <c r="C416" s="215">
        <v>38</v>
      </c>
      <c r="D416" s="216">
        <v>40.6</v>
      </c>
      <c r="E416" s="216">
        <v>41.4</v>
      </c>
      <c r="F416" s="217">
        <v>43.2</v>
      </c>
      <c r="G416" s="226"/>
      <c r="H416" s="227"/>
      <c r="I416" s="227"/>
      <c r="J416" s="228"/>
    </row>
    <row r="417" spans="1:10">
      <c r="A417" s="221">
        <v>41687</v>
      </c>
      <c r="B417" s="222">
        <v>0.5</v>
      </c>
      <c r="C417" s="215">
        <v>38.1</v>
      </c>
      <c r="D417" s="216">
        <v>40.4</v>
      </c>
      <c r="E417" s="216">
        <v>40.6</v>
      </c>
      <c r="F417" s="217">
        <v>43.1</v>
      </c>
      <c r="G417" s="226"/>
      <c r="H417" s="227"/>
      <c r="I417" s="227"/>
      <c r="J417" s="228"/>
    </row>
    <row r="418" spans="1:10">
      <c r="A418" s="221">
        <v>41687</v>
      </c>
      <c r="B418" s="222">
        <v>0.66666666666666663</v>
      </c>
      <c r="C418" s="215">
        <v>38</v>
      </c>
      <c r="D418" s="216">
        <v>40.299999999999997</v>
      </c>
      <c r="E418" s="216">
        <v>39.799999999999997</v>
      </c>
      <c r="F418" s="217">
        <v>43.1</v>
      </c>
      <c r="G418" s="226"/>
      <c r="H418" s="227"/>
      <c r="I418" s="227"/>
      <c r="J418" s="228"/>
    </row>
    <row r="419" spans="1:10">
      <c r="A419" s="221">
        <v>41687</v>
      </c>
      <c r="B419" s="222">
        <v>0.83333333333333337</v>
      </c>
      <c r="C419" s="215">
        <v>37.9</v>
      </c>
      <c r="D419" s="216">
        <v>40</v>
      </c>
      <c r="E419" s="216">
        <v>39.299999999999997</v>
      </c>
      <c r="F419" s="217">
        <v>43.1</v>
      </c>
      <c r="G419" s="226"/>
      <c r="H419" s="227"/>
      <c r="I419" s="227"/>
      <c r="J419" s="228"/>
    </row>
    <row r="420" spans="1:10">
      <c r="A420" s="221">
        <v>41688</v>
      </c>
      <c r="B420" s="222">
        <v>0</v>
      </c>
      <c r="C420" s="215">
        <v>37.9</v>
      </c>
      <c r="D420" s="216">
        <v>39.9</v>
      </c>
      <c r="E420" s="216">
        <v>38.700000000000003</v>
      </c>
      <c r="F420" s="217">
        <v>43.1</v>
      </c>
      <c r="G420" s="226"/>
      <c r="H420" s="227"/>
      <c r="I420" s="227"/>
      <c r="J420" s="228"/>
    </row>
    <row r="421" spans="1:10">
      <c r="A421" s="221">
        <v>41688</v>
      </c>
      <c r="B421" s="222">
        <v>0.16666666666666666</v>
      </c>
      <c r="C421" s="215">
        <v>38</v>
      </c>
      <c r="D421" s="216">
        <v>39.9</v>
      </c>
      <c r="E421" s="216">
        <v>38.200000000000003</v>
      </c>
      <c r="F421" s="217">
        <v>43.2</v>
      </c>
      <c r="G421" s="226"/>
      <c r="H421" s="227"/>
      <c r="I421" s="227"/>
      <c r="J421" s="228"/>
    </row>
    <row r="422" spans="1:10">
      <c r="A422" s="221">
        <v>41688</v>
      </c>
      <c r="B422" s="222">
        <v>0.33333333333333331</v>
      </c>
      <c r="C422" s="215">
        <v>38</v>
      </c>
      <c r="D422" s="216">
        <v>39.9</v>
      </c>
      <c r="E422" s="216">
        <v>37.799999999999997</v>
      </c>
      <c r="F422" s="217">
        <v>43.1</v>
      </c>
      <c r="G422" s="226"/>
      <c r="H422" s="227"/>
      <c r="I422" s="227"/>
      <c r="J422" s="228"/>
    </row>
    <row r="423" spans="1:10">
      <c r="A423" s="221">
        <v>41688</v>
      </c>
      <c r="B423" s="222">
        <v>0.5</v>
      </c>
      <c r="C423" s="215">
        <v>38</v>
      </c>
      <c r="D423" s="216">
        <v>39.799999999999997</v>
      </c>
      <c r="E423" s="216">
        <v>37.5</v>
      </c>
      <c r="F423" s="217">
        <v>43.2</v>
      </c>
      <c r="G423" s="226"/>
      <c r="H423" s="227"/>
      <c r="I423" s="227"/>
      <c r="J423" s="228"/>
    </row>
    <row r="424" spans="1:10">
      <c r="A424" s="221">
        <v>41688</v>
      </c>
      <c r="B424" s="222">
        <v>0.66666666666666663</v>
      </c>
      <c r="C424" s="215">
        <v>38</v>
      </c>
      <c r="D424" s="216">
        <v>39.799999999999997</v>
      </c>
      <c r="E424" s="216">
        <v>36.799999999999997</v>
      </c>
      <c r="F424" s="217">
        <v>43.1</v>
      </c>
      <c r="G424" s="226"/>
      <c r="H424" s="227"/>
      <c r="I424" s="227"/>
      <c r="J424" s="228"/>
    </row>
    <row r="425" spans="1:10">
      <c r="A425" s="221">
        <v>41688</v>
      </c>
      <c r="B425" s="222">
        <v>0.83333333333333337</v>
      </c>
      <c r="C425" s="215">
        <v>38</v>
      </c>
      <c r="D425" s="216">
        <v>39.700000000000003</v>
      </c>
      <c r="E425" s="216">
        <v>36.799999999999997</v>
      </c>
      <c r="F425" s="217">
        <v>43.1</v>
      </c>
      <c r="G425" s="226"/>
      <c r="H425" s="227"/>
      <c r="I425" s="227"/>
      <c r="J425" s="228"/>
    </row>
    <row r="426" spans="1:10">
      <c r="A426" s="221">
        <v>41689</v>
      </c>
      <c r="B426" s="222">
        <v>0</v>
      </c>
      <c r="C426" s="215">
        <v>38</v>
      </c>
      <c r="D426" s="216">
        <v>39.700000000000003</v>
      </c>
      <c r="E426" s="216">
        <v>36.700000000000003</v>
      </c>
      <c r="F426" s="217">
        <v>43.1</v>
      </c>
      <c r="G426" s="226"/>
      <c r="H426" s="227"/>
      <c r="I426" s="227"/>
      <c r="J426" s="228"/>
    </row>
    <row r="427" spans="1:10">
      <c r="A427" s="221">
        <v>41689</v>
      </c>
      <c r="B427" s="222">
        <v>0.16666666666666666</v>
      </c>
      <c r="C427" s="215">
        <v>38</v>
      </c>
      <c r="D427" s="216">
        <v>39.700000000000003</v>
      </c>
      <c r="E427" s="216">
        <v>36.6</v>
      </c>
      <c r="F427" s="217">
        <v>43.2</v>
      </c>
      <c r="G427" s="226"/>
      <c r="H427" s="227"/>
      <c r="I427" s="227"/>
      <c r="J427" s="228"/>
    </row>
    <row r="428" spans="1:10">
      <c r="A428" s="221">
        <v>41689</v>
      </c>
      <c r="B428" s="222">
        <v>0.33333333333333331</v>
      </c>
      <c r="C428" s="215">
        <v>38</v>
      </c>
      <c r="D428" s="216">
        <v>39.700000000000003</v>
      </c>
      <c r="E428" s="216">
        <v>36.5</v>
      </c>
      <c r="F428" s="217">
        <v>43.2</v>
      </c>
      <c r="G428" s="226"/>
      <c r="H428" s="227"/>
      <c r="I428" s="227"/>
      <c r="J428" s="228"/>
    </row>
    <row r="429" spans="1:10">
      <c r="A429" s="221">
        <v>41689</v>
      </c>
      <c r="B429" s="222">
        <v>0.5</v>
      </c>
      <c r="C429" s="215">
        <v>38</v>
      </c>
      <c r="D429" s="216">
        <v>39.6</v>
      </c>
      <c r="E429" s="216">
        <v>36.4</v>
      </c>
      <c r="F429" s="217">
        <v>43.2</v>
      </c>
      <c r="G429" s="226"/>
      <c r="H429" s="227"/>
      <c r="I429" s="227"/>
      <c r="J429" s="228"/>
    </row>
    <row r="430" spans="1:10">
      <c r="A430" s="221">
        <v>41689</v>
      </c>
      <c r="B430" s="222">
        <v>0.66666666666666663</v>
      </c>
      <c r="C430" s="215">
        <v>38</v>
      </c>
      <c r="D430" s="216">
        <v>39.6</v>
      </c>
      <c r="E430" s="216">
        <v>36.1</v>
      </c>
      <c r="F430" s="217">
        <v>43</v>
      </c>
      <c r="G430" s="226"/>
      <c r="H430" s="227"/>
      <c r="I430" s="227"/>
      <c r="J430" s="228"/>
    </row>
    <row r="431" spans="1:10">
      <c r="A431" s="221">
        <v>41689</v>
      </c>
      <c r="B431" s="222">
        <v>0.83333333333333337</v>
      </c>
      <c r="C431" s="215">
        <v>38</v>
      </c>
      <c r="D431" s="216">
        <v>39.5</v>
      </c>
      <c r="E431" s="216">
        <v>36.299999999999997</v>
      </c>
      <c r="F431" s="217">
        <v>43.2</v>
      </c>
      <c r="G431" s="226"/>
      <c r="H431" s="227"/>
      <c r="I431" s="227"/>
      <c r="J431" s="228"/>
    </row>
    <row r="432" spans="1:10">
      <c r="A432" s="221">
        <v>41690</v>
      </c>
      <c r="B432" s="222">
        <v>0</v>
      </c>
      <c r="C432" s="215">
        <v>37.9</v>
      </c>
      <c r="D432" s="216">
        <v>39.5</v>
      </c>
      <c r="E432" s="216">
        <v>36.200000000000003</v>
      </c>
      <c r="F432" s="217">
        <v>43.1</v>
      </c>
      <c r="G432" s="226"/>
      <c r="H432" s="227"/>
      <c r="I432" s="227"/>
      <c r="J432" s="228"/>
    </row>
    <row r="433" spans="1:10">
      <c r="A433" s="221">
        <v>41690</v>
      </c>
      <c r="B433" s="222">
        <v>0.16666666666666666</v>
      </c>
      <c r="C433" s="215">
        <v>38</v>
      </c>
      <c r="D433" s="216">
        <v>39.5</v>
      </c>
      <c r="E433" s="216">
        <v>36.299999999999997</v>
      </c>
      <c r="F433" s="217">
        <v>43.2</v>
      </c>
      <c r="G433" s="226"/>
      <c r="H433" s="227"/>
      <c r="I433" s="227"/>
      <c r="J433" s="228"/>
    </row>
    <row r="434" spans="1:10">
      <c r="A434" s="221">
        <v>41690</v>
      </c>
      <c r="B434" s="222">
        <v>0.33333333333333331</v>
      </c>
      <c r="C434" s="215">
        <v>38</v>
      </c>
      <c r="D434" s="216">
        <v>39.5</v>
      </c>
      <c r="E434" s="216">
        <v>36.200000000000003</v>
      </c>
      <c r="F434" s="217">
        <v>43.1</v>
      </c>
      <c r="G434" s="226"/>
      <c r="H434" s="227"/>
      <c r="I434" s="227"/>
      <c r="J434" s="228"/>
    </row>
    <row r="435" spans="1:10">
      <c r="A435" s="221">
        <v>41690</v>
      </c>
      <c r="B435" s="222">
        <v>0.5</v>
      </c>
      <c r="C435" s="215">
        <v>38</v>
      </c>
      <c r="D435" s="216">
        <v>39.4</v>
      </c>
      <c r="E435" s="216">
        <v>35.9</v>
      </c>
      <c r="F435" s="217">
        <v>43</v>
      </c>
      <c r="G435" s="226"/>
      <c r="H435" s="227"/>
      <c r="I435" s="227"/>
      <c r="J435" s="228"/>
    </row>
    <row r="436" spans="1:10">
      <c r="A436" s="221">
        <v>41690</v>
      </c>
      <c r="B436" s="222">
        <v>0.66666666666666663</v>
      </c>
      <c r="C436" s="215">
        <v>37.9</v>
      </c>
      <c r="D436" s="216">
        <v>39.4</v>
      </c>
      <c r="E436" s="216">
        <v>35.9</v>
      </c>
      <c r="F436" s="217">
        <v>43</v>
      </c>
      <c r="G436" s="226"/>
      <c r="H436" s="227"/>
      <c r="I436" s="227"/>
      <c r="J436" s="228"/>
    </row>
    <row r="437" spans="1:10">
      <c r="A437" s="221">
        <v>41690</v>
      </c>
      <c r="B437" s="222">
        <v>0.83333333333333337</v>
      </c>
      <c r="C437" s="215">
        <v>38</v>
      </c>
      <c r="D437" s="216">
        <v>39.299999999999997</v>
      </c>
      <c r="E437" s="216">
        <v>36.1</v>
      </c>
      <c r="F437" s="217">
        <v>43.1</v>
      </c>
      <c r="G437" s="226"/>
      <c r="H437" s="227"/>
      <c r="I437" s="227"/>
      <c r="J437" s="228"/>
    </row>
    <row r="438" spans="1:10">
      <c r="A438" s="221">
        <v>41691</v>
      </c>
      <c r="B438" s="222">
        <v>0</v>
      </c>
      <c r="C438" s="215">
        <v>38</v>
      </c>
      <c r="D438" s="216">
        <v>39.299999999999997</v>
      </c>
      <c r="E438" s="216">
        <v>40.9</v>
      </c>
      <c r="F438" s="217">
        <v>43.1</v>
      </c>
      <c r="G438" s="226"/>
      <c r="H438" s="227"/>
      <c r="I438" s="227"/>
      <c r="J438" s="228"/>
    </row>
    <row r="439" spans="1:10">
      <c r="A439" s="221">
        <v>41691</v>
      </c>
      <c r="B439" s="222">
        <v>0.16666666666666666</v>
      </c>
      <c r="C439" s="215">
        <v>38.1</v>
      </c>
      <c r="D439" s="216">
        <v>40.5</v>
      </c>
      <c r="E439" s="216">
        <v>55.4</v>
      </c>
      <c r="F439" s="217">
        <v>43.1</v>
      </c>
      <c r="G439" s="226"/>
      <c r="H439" s="227"/>
      <c r="I439" s="227"/>
      <c r="J439" s="228"/>
    </row>
    <row r="440" spans="1:10">
      <c r="A440" s="221">
        <v>41691</v>
      </c>
      <c r="B440" s="222">
        <v>0.33333333333333331</v>
      </c>
      <c r="C440" s="215">
        <v>38</v>
      </c>
      <c r="D440" s="216">
        <v>40.1</v>
      </c>
      <c r="E440" s="216">
        <v>41.6</v>
      </c>
      <c r="F440" s="217">
        <v>43.1</v>
      </c>
      <c r="G440" s="226"/>
      <c r="H440" s="227"/>
      <c r="I440" s="227"/>
      <c r="J440" s="228"/>
    </row>
    <row r="441" spans="1:10">
      <c r="A441" s="221">
        <v>41691</v>
      </c>
      <c r="B441" s="222">
        <v>0.5</v>
      </c>
      <c r="C441" s="215">
        <v>38.1</v>
      </c>
      <c r="D441" s="216">
        <v>40</v>
      </c>
      <c r="E441" s="216">
        <v>41</v>
      </c>
      <c r="F441" s="217">
        <v>43.2</v>
      </c>
      <c r="G441" s="226"/>
      <c r="H441" s="227"/>
      <c r="I441" s="227"/>
      <c r="J441" s="228"/>
    </row>
    <row r="442" spans="1:10">
      <c r="A442" s="221">
        <v>41691</v>
      </c>
      <c r="B442" s="222">
        <v>0.66666666666666663</v>
      </c>
      <c r="C442" s="215">
        <v>38</v>
      </c>
      <c r="D442" s="216">
        <v>39.9</v>
      </c>
      <c r="E442" s="216">
        <v>40.700000000000003</v>
      </c>
      <c r="F442" s="217">
        <v>43.2</v>
      </c>
      <c r="G442" s="226"/>
      <c r="H442" s="227"/>
      <c r="I442" s="227"/>
      <c r="J442" s="228"/>
    </row>
    <row r="443" spans="1:10">
      <c r="A443" s="221">
        <v>41691</v>
      </c>
      <c r="B443" s="222">
        <v>0.83333333333333337</v>
      </c>
      <c r="C443" s="215">
        <v>38</v>
      </c>
      <c r="D443" s="216">
        <v>39.700000000000003</v>
      </c>
      <c r="E443" s="216">
        <v>39.9</v>
      </c>
      <c r="F443" s="217">
        <v>43.2</v>
      </c>
      <c r="G443" s="226"/>
      <c r="H443" s="227"/>
      <c r="I443" s="227"/>
      <c r="J443" s="228"/>
    </row>
    <row r="444" spans="1:10">
      <c r="A444" s="221">
        <v>41692</v>
      </c>
      <c r="B444" s="222">
        <v>0</v>
      </c>
      <c r="C444" s="215">
        <v>38</v>
      </c>
      <c r="D444" s="216">
        <v>39.700000000000003</v>
      </c>
      <c r="E444" s="216">
        <v>39</v>
      </c>
      <c r="F444" s="217">
        <v>43.2</v>
      </c>
      <c r="G444" s="226"/>
      <c r="H444" s="227"/>
      <c r="I444" s="227"/>
      <c r="J444" s="228"/>
    </row>
    <row r="445" spans="1:10">
      <c r="A445" s="221">
        <v>41692</v>
      </c>
      <c r="B445" s="222">
        <v>0.16666666666666666</v>
      </c>
      <c r="C445" s="215">
        <v>38</v>
      </c>
      <c r="D445" s="216">
        <v>39.700000000000003</v>
      </c>
      <c r="E445" s="216">
        <v>38.4</v>
      </c>
      <c r="F445" s="217">
        <v>43.3</v>
      </c>
      <c r="G445" s="226"/>
      <c r="H445" s="227"/>
      <c r="I445" s="227"/>
      <c r="J445" s="228"/>
    </row>
    <row r="446" spans="1:10">
      <c r="A446" s="221">
        <v>41692</v>
      </c>
      <c r="B446" s="222">
        <v>0.33333333333333331</v>
      </c>
      <c r="C446" s="215">
        <v>38.1</v>
      </c>
      <c r="D446" s="216">
        <v>39.700000000000003</v>
      </c>
      <c r="E446" s="216">
        <v>37.700000000000003</v>
      </c>
      <c r="F446" s="217">
        <v>43.2</v>
      </c>
      <c r="G446" s="226"/>
      <c r="H446" s="227"/>
      <c r="I446" s="227"/>
      <c r="J446" s="228"/>
    </row>
    <row r="447" spans="1:10">
      <c r="A447" s="221">
        <v>41692</v>
      </c>
      <c r="B447" s="222">
        <v>0.5</v>
      </c>
      <c r="C447" s="215">
        <v>38.1</v>
      </c>
      <c r="D447" s="216">
        <v>39.700000000000003</v>
      </c>
      <c r="E447" s="216">
        <v>37</v>
      </c>
      <c r="F447" s="217">
        <v>43.1</v>
      </c>
      <c r="G447" s="226"/>
      <c r="H447" s="227"/>
      <c r="I447" s="227"/>
      <c r="J447" s="228"/>
    </row>
    <row r="448" spans="1:10">
      <c r="A448" s="221">
        <v>41692</v>
      </c>
      <c r="B448" s="222">
        <v>0.66666666666666663</v>
      </c>
      <c r="C448" s="215">
        <v>38.1</v>
      </c>
      <c r="D448" s="216">
        <v>39.6</v>
      </c>
      <c r="E448" s="216">
        <v>36.799999999999997</v>
      </c>
      <c r="F448" s="217">
        <v>43.2</v>
      </c>
      <c r="G448" s="226"/>
      <c r="H448" s="227"/>
      <c r="I448" s="227"/>
      <c r="J448" s="228"/>
    </row>
    <row r="449" spans="1:10">
      <c r="A449" s="221">
        <v>41692</v>
      </c>
      <c r="B449" s="222">
        <v>0.83333333333333337</v>
      </c>
      <c r="C449" s="215">
        <v>38.1</v>
      </c>
      <c r="D449" s="216">
        <v>39.5</v>
      </c>
      <c r="E449" s="216">
        <v>36.5</v>
      </c>
      <c r="F449" s="217">
        <v>43.2</v>
      </c>
      <c r="G449" s="226"/>
      <c r="H449" s="227"/>
      <c r="I449" s="227"/>
      <c r="J449" s="228"/>
    </row>
    <row r="450" spans="1:10">
      <c r="A450" s="221">
        <v>41693</v>
      </c>
      <c r="B450" s="222">
        <v>0</v>
      </c>
      <c r="C450" s="215">
        <v>37.9</v>
      </c>
      <c r="D450" s="216">
        <v>39.5</v>
      </c>
      <c r="E450" s="216">
        <v>36.200000000000003</v>
      </c>
      <c r="F450" s="217">
        <v>43.1</v>
      </c>
      <c r="G450" s="226"/>
      <c r="H450" s="227"/>
      <c r="I450" s="227"/>
      <c r="J450" s="228"/>
    </row>
    <row r="451" spans="1:10">
      <c r="A451" s="221">
        <v>41693</v>
      </c>
      <c r="B451" s="222">
        <v>0.16666666666666666</v>
      </c>
      <c r="C451" s="215">
        <v>38</v>
      </c>
      <c r="D451" s="216">
        <v>39.5</v>
      </c>
      <c r="E451" s="216">
        <v>36.299999999999997</v>
      </c>
      <c r="F451" s="217">
        <v>43.2</v>
      </c>
      <c r="G451" s="226"/>
      <c r="H451" s="227"/>
      <c r="I451" s="227"/>
      <c r="J451" s="228"/>
    </row>
    <row r="452" spans="1:10">
      <c r="A452" s="221">
        <v>41693</v>
      </c>
      <c r="B452" s="222">
        <v>0.33333333333333331</v>
      </c>
      <c r="C452" s="215">
        <v>38</v>
      </c>
      <c r="D452" s="216">
        <v>39.5</v>
      </c>
      <c r="E452" s="216">
        <v>36.200000000000003</v>
      </c>
      <c r="F452" s="217">
        <v>43.3</v>
      </c>
      <c r="G452" s="226"/>
      <c r="H452" s="227"/>
      <c r="I452" s="227"/>
      <c r="J452" s="228"/>
    </row>
    <row r="453" spans="1:10">
      <c r="A453" s="221">
        <v>41693</v>
      </c>
      <c r="B453" s="222">
        <v>0.5</v>
      </c>
      <c r="C453" s="215">
        <v>38.1</v>
      </c>
      <c r="D453" s="216">
        <v>39.5</v>
      </c>
      <c r="E453" s="216">
        <v>36.1</v>
      </c>
      <c r="F453" s="217">
        <v>43.1</v>
      </c>
      <c r="G453" s="226"/>
      <c r="H453" s="227"/>
      <c r="I453" s="227"/>
      <c r="J453" s="228"/>
    </row>
    <row r="454" spans="1:10">
      <c r="A454" s="221">
        <v>41693</v>
      </c>
      <c r="B454" s="222">
        <v>0.66666666666666663</v>
      </c>
      <c r="C454" s="215">
        <v>38</v>
      </c>
      <c r="D454" s="216">
        <v>39.4</v>
      </c>
      <c r="E454" s="216">
        <v>35.9</v>
      </c>
      <c r="F454" s="217">
        <v>43.1</v>
      </c>
      <c r="G454" s="226"/>
      <c r="H454" s="227"/>
      <c r="I454" s="227"/>
      <c r="J454" s="228"/>
    </row>
    <row r="455" spans="1:10">
      <c r="A455" s="221">
        <v>41693</v>
      </c>
      <c r="B455" s="222">
        <v>0.83333333333333337</v>
      </c>
      <c r="C455" s="215">
        <v>37.9</v>
      </c>
      <c r="D455" s="216">
        <v>39.299999999999997</v>
      </c>
      <c r="E455" s="216">
        <v>35.9</v>
      </c>
      <c r="F455" s="217">
        <v>43</v>
      </c>
      <c r="G455" s="226"/>
      <c r="H455" s="227"/>
      <c r="I455" s="227"/>
      <c r="J455" s="228"/>
    </row>
    <row r="456" spans="1:10">
      <c r="A456" s="221">
        <v>41694</v>
      </c>
      <c r="B456" s="222">
        <v>0</v>
      </c>
      <c r="C456" s="215">
        <v>37.9</v>
      </c>
      <c r="D456" s="216">
        <v>39.299999999999997</v>
      </c>
      <c r="E456" s="216">
        <v>36.1</v>
      </c>
      <c r="F456" s="217">
        <v>43</v>
      </c>
      <c r="G456" s="226"/>
      <c r="H456" s="227"/>
      <c r="I456" s="227"/>
      <c r="J456" s="228"/>
    </row>
    <row r="457" spans="1:10">
      <c r="A457" s="221">
        <v>41694</v>
      </c>
      <c r="B457" s="222">
        <v>0.16666666666666666</v>
      </c>
      <c r="C457" s="215">
        <v>37.9</v>
      </c>
      <c r="D457" s="216">
        <v>39.299999999999997</v>
      </c>
      <c r="E457" s="216">
        <v>36</v>
      </c>
      <c r="F457" s="217">
        <v>43</v>
      </c>
      <c r="G457" s="226"/>
      <c r="H457" s="227"/>
      <c r="I457" s="227"/>
      <c r="J457" s="228"/>
    </row>
    <row r="458" spans="1:10">
      <c r="A458" s="221">
        <v>41694</v>
      </c>
      <c r="B458" s="222">
        <v>0.33333333333333331</v>
      </c>
      <c r="C458" s="215">
        <v>37.799999999999997</v>
      </c>
      <c r="D458" s="216">
        <v>39.299999999999997</v>
      </c>
      <c r="E458" s="216">
        <v>35.9</v>
      </c>
      <c r="F458" s="217">
        <v>43</v>
      </c>
      <c r="G458" s="226"/>
      <c r="H458" s="227"/>
      <c r="I458" s="227"/>
      <c r="J458" s="228"/>
    </row>
    <row r="459" spans="1:10">
      <c r="A459" s="221">
        <v>41694</v>
      </c>
      <c r="B459" s="222">
        <v>0.5</v>
      </c>
      <c r="C459" s="215">
        <v>38</v>
      </c>
      <c r="D459" s="216">
        <v>39.299999999999997</v>
      </c>
      <c r="E459" s="216">
        <v>35.799999999999997</v>
      </c>
      <c r="F459" s="217">
        <v>43</v>
      </c>
      <c r="G459" s="226"/>
      <c r="H459" s="227"/>
      <c r="I459" s="227"/>
      <c r="J459" s="228"/>
    </row>
    <row r="460" spans="1:10">
      <c r="A460" s="221">
        <v>41694</v>
      </c>
      <c r="B460" s="222">
        <v>0.66666666666666663</v>
      </c>
      <c r="C460" s="215">
        <v>38</v>
      </c>
      <c r="D460" s="216">
        <v>39.299999999999997</v>
      </c>
      <c r="E460" s="216">
        <v>35.799999999999997</v>
      </c>
      <c r="F460" s="217">
        <v>43</v>
      </c>
      <c r="G460" s="226"/>
      <c r="H460" s="227"/>
      <c r="I460" s="227"/>
      <c r="J460" s="228"/>
    </row>
    <row r="461" spans="1:10">
      <c r="A461" s="221">
        <v>41694</v>
      </c>
      <c r="B461" s="222">
        <v>0.83333333333333337</v>
      </c>
      <c r="C461" s="215">
        <v>37.799999999999997</v>
      </c>
      <c r="D461" s="216">
        <v>39.1</v>
      </c>
      <c r="E461" s="216">
        <v>35.700000000000003</v>
      </c>
      <c r="F461" s="217">
        <v>42.9</v>
      </c>
      <c r="G461" s="226"/>
      <c r="H461" s="227"/>
      <c r="I461" s="227"/>
      <c r="J461" s="228"/>
    </row>
    <row r="462" spans="1:10">
      <c r="A462" s="221">
        <v>41695</v>
      </c>
      <c r="B462" s="222">
        <v>0</v>
      </c>
      <c r="C462" s="215">
        <v>37.799999999999997</v>
      </c>
      <c r="D462" s="216">
        <v>39.1</v>
      </c>
      <c r="E462" s="216">
        <v>36</v>
      </c>
      <c r="F462" s="217">
        <v>43.1</v>
      </c>
      <c r="G462" s="226"/>
      <c r="H462" s="227"/>
      <c r="I462" s="227"/>
      <c r="J462" s="228"/>
    </row>
    <row r="463" spans="1:10">
      <c r="A463" s="221">
        <v>41695</v>
      </c>
      <c r="B463" s="222">
        <v>0.16666666666666666</v>
      </c>
      <c r="C463" s="215">
        <v>37.799999999999997</v>
      </c>
      <c r="D463" s="216">
        <v>39</v>
      </c>
      <c r="E463" s="216">
        <v>35.799999999999997</v>
      </c>
      <c r="F463" s="217">
        <v>42.9</v>
      </c>
      <c r="G463" s="226"/>
      <c r="H463" s="227"/>
      <c r="I463" s="227"/>
      <c r="J463" s="228"/>
    </row>
    <row r="464" spans="1:10">
      <c r="A464" s="221">
        <v>41695</v>
      </c>
      <c r="B464" s="222">
        <v>0.33333333333333331</v>
      </c>
      <c r="C464" s="215">
        <v>37.9</v>
      </c>
      <c r="D464" s="216">
        <v>39</v>
      </c>
      <c r="E464" s="216">
        <v>35.700000000000003</v>
      </c>
      <c r="F464" s="217">
        <v>42.9</v>
      </c>
      <c r="G464" s="226"/>
      <c r="H464" s="227"/>
      <c r="I464" s="227"/>
      <c r="J464" s="228"/>
    </row>
    <row r="465" spans="1:10">
      <c r="A465" s="221">
        <v>41695</v>
      </c>
      <c r="B465" s="222">
        <v>0.5</v>
      </c>
      <c r="C465" s="215">
        <v>37.9</v>
      </c>
      <c r="D465" s="216">
        <v>39</v>
      </c>
      <c r="E465" s="216">
        <v>35.9</v>
      </c>
      <c r="F465" s="217">
        <v>43</v>
      </c>
      <c r="G465" s="226"/>
      <c r="H465" s="227"/>
      <c r="I465" s="227"/>
      <c r="J465" s="228"/>
    </row>
    <row r="466" spans="1:10">
      <c r="A466" s="221">
        <v>41695</v>
      </c>
      <c r="B466" s="222">
        <v>0.66666666666666663</v>
      </c>
      <c r="C466" s="215">
        <v>37.9</v>
      </c>
      <c r="D466" s="216">
        <v>38.9</v>
      </c>
      <c r="E466" s="216">
        <v>35.700000000000003</v>
      </c>
      <c r="F466" s="217">
        <v>42.9</v>
      </c>
      <c r="G466" s="226"/>
      <c r="H466" s="227"/>
      <c r="I466" s="227"/>
      <c r="J466" s="228"/>
    </row>
    <row r="467" spans="1:10">
      <c r="A467" s="221">
        <v>41695</v>
      </c>
      <c r="B467" s="222">
        <v>0.83333333333333337</v>
      </c>
      <c r="C467" s="215">
        <v>37.9</v>
      </c>
      <c r="D467" s="216">
        <v>39.200000000000003</v>
      </c>
      <c r="E467" s="216">
        <v>54.1</v>
      </c>
      <c r="F467" s="217">
        <v>43</v>
      </c>
      <c r="G467" s="226"/>
      <c r="H467" s="227"/>
      <c r="I467" s="227"/>
      <c r="J467" s="228"/>
    </row>
    <row r="468" spans="1:10">
      <c r="A468" s="221">
        <v>41696</v>
      </c>
      <c r="B468" s="222">
        <v>0</v>
      </c>
      <c r="C468" s="215">
        <v>37.9</v>
      </c>
      <c r="D468" s="216">
        <v>39.1</v>
      </c>
      <c r="E468" s="216">
        <v>39.5</v>
      </c>
      <c r="F468" s="217">
        <v>43.1</v>
      </c>
      <c r="G468" s="226"/>
      <c r="H468" s="227"/>
      <c r="I468" s="227"/>
      <c r="J468" s="228"/>
    </row>
    <row r="469" spans="1:10">
      <c r="A469" s="221">
        <v>41696</v>
      </c>
      <c r="B469" s="222">
        <v>0.16666666666666666</v>
      </c>
      <c r="C469" s="215">
        <v>37.9</v>
      </c>
      <c r="D469" s="216">
        <v>39</v>
      </c>
      <c r="E469" s="216">
        <v>38.6</v>
      </c>
      <c r="F469" s="217">
        <v>42.9</v>
      </c>
      <c r="G469" s="226"/>
      <c r="H469" s="227"/>
      <c r="I469" s="227"/>
      <c r="J469" s="228"/>
    </row>
    <row r="470" spans="1:10">
      <c r="A470" s="221">
        <v>41696</v>
      </c>
      <c r="B470" s="222">
        <v>0.33333333333333331</v>
      </c>
      <c r="C470" s="215">
        <v>37.9</v>
      </c>
      <c r="D470" s="216">
        <v>39</v>
      </c>
      <c r="E470" s="216">
        <v>37.5</v>
      </c>
      <c r="F470" s="217">
        <v>42.9</v>
      </c>
      <c r="G470" s="226"/>
      <c r="H470" s="227"/>
      <c r="I470" s="227"/>
      <c r="J470" s="228"/>
    </row>
    <row r="471" spans="1:10">
      <c r="A471" s="221">
        <v>41696</v>
      </c>
      <c r="B471" s="222">
        <v>0.5</v>
      </c>
      <c r="C471" s="215">
        <v>38</v>
      </c>
      <c r="D471" s="216">
        <v>39</v>
      </c>
      <c r="E471" s="216">
        <v>36.700000000000003</v>
      </c>
      <c r="F471" s="217">
        <v>43</v>
      </c>
      <c r="G471" s="226"/>
      <c r="H471" s="227"/>
      <c r="I471" s="227"/>
      <c r="J471" s="228"/>
    </row>
    <row r="472" spans="1:10">
      <c r="A472" s="221">
        <v>41696</v>
      </c>
      <c r="B472" s="222">
        <v>0.66666666666666663</v>
      </c>
      <c r="C472" s="215">
        <v>38</v>
      </c>
      <c r="D472" s="216">
        <v>39</v>
      </c>
      <c r="E472" s="216">
        <v>36.200000000000003</v>
      </c>
      <c r="F472" s="217">
        <v>43</v>
      </c>
      <c r="G472" s="226"/>
      <c r="H472" s="227"/>
      <c r="I472" s="227"/>
      <c r="J472" s="228"/>
    </row>
    <row r="473" spans="1:10">
      <c r="A473" s="221">
        <v>41696</v>
      </c>
      <c r="B473" s="222">
        <v>0.83333333333333337</v>
      </c>
      <c r="C473" s="215">
        <v>37.9</v>
      </c>
      <c r="D473" s="216">
        <v>38.9</v>
      </c>
      <c r="E473" s="216">
        <v>36</v>
      </c>
      <c r="F473" s="217">
        <v>43</v>
      </c>
      <c r="G473" s="226"/>
      <c r="H473" s="227"/>
      <c r="I473" s="227"/>
      <c r="J473" s="228"/>
    </row>
    <row r="474" spans="1:10">
      <c r="A474" s="221">
        <v>41697</v>
      </c>
      <c r="B474" s="222">
        <v>0</v>
      </c>
      <c r="C474" s="215">
        <v>38</v>
      </c>
      <c r="D474" s="216">
        <v>38.9</v>
      </c>
      <c r="E474" s="216">
        <v>35.9</v>
      </c>
      <c r="F474" s="217">
        <v>43.1</v>
      </c>
      <c r="G474" s="226"/>
      <c r="H474" s="227"/>
      <c r="I474" s="227"/>
      <c r="J474" s="228"/>
    </row>
    <row r="475" spans="1:10">
      <c r="A475" s="221">
        <v>41697</v>
      </c>
      <c r="B475" s="222">
        <v>0.16666666666666666</v>
      </c>
      <c r="C475" s="215">
        <v>37.9</v>
      </c>
      <c r="D475" s="216">
        <v>38.9</v>
      </c>
      <c r="E475" s="216">
        <v>35.700000000000003</v>
      </c>
      <c r="F475" s="217">
        <v>42.9</v>
      </c>
      <c r="G475" s="226"/>
      <c r="H475" s="227"/>
      <c r="I475" s="227"/>
      <c r="J475" s="228"/>
    </row>
    <row r="476" spans="1:10">
      <c r="A476" s="221">
        <v>41697</v>
      </c>
      <c r="B476" s="222">
        <v>0.33333333333333331</v>
      </c>
      <c r="C476" s="215">
        <v>37.9</v>
      </c>
      <c r="D476" s="216">
        <v>38.9</v>
      </c>
      <c r="E476" s="216">
        <v>35.799999999999997</v>
      </c>
      <c r="F476" s="217">
        <v>43</v>
      </c>
      <c r="G476" s="226"/>
      <c r="H476" s="227"/>
      <c r="I476" s="227"/>
      <c r="J476" s="228"/>
    </row>
    <row r="477" spans="1:10">
      <c r="A477" s="221">
        <v>41697</v>
      </c>
      <c r="B477" s="222">
        <v>0.5</v>
      </c>
      <c r="C477" s="215">
        <v>38</v>
      </c>
      <c r="D477" s="216">
        <v>39</v>
      </c>
      <c r="E477" s="216">
        <v>35.700000000000003</v>
      </c>
      <c r="F477" s="217">
        <v>43</v>
      </c>
      <c r="G477" s="226"/>
      <c r="H477" s="227"/>
      <c r="I477" s="227"/>
      <c r="J477" s="228"/>
    </row>
    <row r="478" spans="1:10">
      <c r="A478" s="221">
        <v>41697</v>
      </c>
      <c r="B478" s="222">
        <v>0.66666666666666663</v>
      </c>
      <c r="C478" s="215">
        <v>38</v>
      </c>
      <c r="D478" s="216">
        <v>38.9</v>
      </c>
      <c r="E478" s="216">
        <v>37.700000000000003</v>
      </c>
      <c r="F478" s="217">
        <v>42.9</v>
      </c>
      <c r="G478" s="226"/>
      <c r="H478" s="227"/>
      <c r="I478" s="227"/>
      <c r="J478" s="228"/>
    </row>
    <row r="479" spans="1:10">
      <c r="A479" s="221">
        <v>41697</v>
      </c>
      <c r="B479" s="222">
        <v>0.83333333333333337</v>
      </c>
      <c r="C479" s="215">
        <v>38.1</v>
      </c>
      <c r="D479" s="216">
        <v>38.9</v>
      </c>
      <c r="E479" s="216">
        <v>37.4</v>
      </c>
      <c r="F479" s="217">
        <v>43</v>
      </c>
      <c r="G479" s="226"/>
      <c r="H479" s="227"/>
      <c r="I479" s="227"/>
      <c r="J479" s="228"/>
    </row>
    <row r="480" spans="1:10">
      <c r="A480" s="221">
        <v>41698</v>
      </c>
      <c r="B480" s="222">
        <v>0</v>
      </c>
      <c r="C480" s="215">
        <v>38</v>
      </c>
      <c r="D480" s="216">
        <v>38.9</v>
      </c>
      <c r="E480" s="216">
        <v>36.4</v>
      </c>
      <c r="F480" s="217">
        <v>42.9</v>
      </c>
      <c r="G480" s="226"/>
      <c r="H480" s="227"/>
      <c r="I480" s="227"/>
      <c r="J480" s="228"/>
    </row>
    <row r="481" spans="1:10">
      <c r="A481" s="221">
        <v>41698</v>
      </c>
      <c r="B481" s="222">
        <v>0.16666666666666666</v>
      </c>
      <c r="C481" s="215">
        <v>38</v>
      </c>
      <c r="D481" s="216">
        <v>38.9</v>
      </c>
      <c r="E481" s="216">
        <v>36</v>
      </c>
      <c r="F481" s="217">
        <v>42.9</v>
      </c>
      <c r="G481" s="226"/>
      <c r="H481" s="227"/>
      <c r="I481" s="227"/>
      <c r="J481" s="228"/>
    </row>
    <row r="482" spans="1:10">
      <c r="A482" s="221">
        <v>41698</v>
      </c>
      <c r="B482" s="222">
        <v>0.33333333333333331</v>
      </c>
      <c r="C482" s="215">
        <v>37.9</v>
      </c>
      <c r="D482" s="216">
        <v>38.9</v>
      </c>
      <c r="E482" s="216">
        <v>35.700000000000003</v>
      </c>
      <c r="F482" s="217">
        <v>42.7</v>
      </c>
      <c r="G482" s="226"/>
      <c r="H482" s="227"/>
      <c r="I482" s="227"/>
      <c r="J482" s="228"/>
    </row>
    <row r="483" spans="1:10">
      <c r="A483" s="221">
        <v>41698</v>
      </c>
      <c r="B483" s="222">
        <v>0.5</v>
      </c>
      <c r="C483" s="215">
        <v>38.1</v>
      </c>
      <c r="D483" s="216">
        <v>40</v>
      </c>
      <c r="E483" s="216">
        <v>39.9</v>
      </c>
      <c r="F483" s="217">
        <v>42.8</v>
      </c>
      <c r="G483" s="226"/>
      <c r="H483" s="227"/>
      <c r="I483" s="227"/>
      <c r="J483" s="228"/>
    </row>
    <row r="484" spans="1:10">
      <c r="A484" s="221">
        <v>41698</v>
      </c>
      <c r="B484" s="222">
        <v>0.66666666666666663</v>
      </c>
      <c r="C484" s="215">
        <v>38.1</v>
      </c>
      <c r="D484" s="216">
        <v>40.1</v>
      </c>
      <c r="E484" s="216">
        <v>41.2</v>
      </c>
      <c r="F484" s="217">
        <v>42.9</v>
      </c>
      <c r="G484" s="226"/>
      <c r="H484" s="227"/>
      <c r="I484" s="227"/>
      <c r="J484" s="228"/>
    </row>
    <row r="485" spans="1:10">
      <c r="A485" s="221">
        <v>41698</v>
      </c>
      <c r="B485" s="222">
        <v>0.83333333333333337</v>
      </c>
      <c r="C485" s="215">
        <v>38</v>
      </c>
      <c r="D485" s="216">
        <v>40</v>
      </c>
      <c r="E485" s="216">
        <v>40</v>
      </c>
      <c r="F485" s="217">
        <v>42.8</v>
      </c>
      <c r="G485" s="226"/>
      <c r="H485" s="227"/>
      <c r="I485" s="227"/>
      <c r="J485" s="228"/>
    </row>
    <row r="486" spans="1:10">
      <c r="A486" s="221">
        <v>41699</v>
      </c>
      <c r="B486" s="222">
        <v>0</v>
      </c>
      <c r="C486" s="215">
        <v>38.200000000000003</v>
      </c>
      <c r="D486" s="216">
        <v>39.799999999999997</v>
      </c>
      <c r="E486" s="216">
        <v>42.8</v>
      </c>
      <c r="F486" s="217">
        <v>43</v>
      </c>
      <c r="G486" s="226"/>
      <c r="H486" s="227"/>
      <c r="I486" s="227"/>
      <c r="J486" s="228"/>
    </row>
    <row r="487" spans="1:10">
      <c r="A487" s="221">
        <v>41699</v>
      </c>
      <c r="B487" s="222">
        <v>0.16666666666666666</v>
      </c>
      <c r="C487" s="215">
        <v>38</v>
      </c>
      <c r="D487" s="216">
        <v>40</v>
      </c>
      <c r="E487" s="216">
        <v>39.5</v>
      </c>
      <c r="F487" s="217">
        <v>43</v>
      </c>
      <c r="G487" s="226"/>
      <c r="H487" s="227"/>
      <c r="I487" s="227"/>
      <c r="J487" s="228"/>
    </row>
    <row r="488" spans="1:10">
      <c r="A488" s="221">
        <v>41699</v>
      </c>
      <c r="B488" s="222">
        <v>0.33333333333333331</v>
      </c>
      <c r="C488" s="215">
        <v>38.200000000000003</v>
      </c>
      <c r="D488" s="216">
        <v>39.9</v>
      </c>
      <c r="E488" s="216">
        <v>38.9</v>
      </c>
      <c r="F488" s="217">
        <v>43</v>
      </c>
      <c r="G488" s="226"/>
      <c r="H488" s="227"/>
      <c r="I488" s="227"/>
      <c r="J488" s="228"/>
    </row>
    <row r="489" spans="1:10">
      <c r="A489" s="221">
        <v>41699</v>
      </c>
      <c r="B489" s="222">
        <v>0.5</v>
      </c>
      <c r="C489" s="215">
        <v>38.200000000000003</v>
      </c>
      <c r="D489" s="216">
        <v>39.799999999999997</v>
      </c>
      <c r="E489" s="216">
        <v>38</v>
      </c>
      <c r="F489" s="217">
        <v>42.9</v>
      </c>
      <c r="G489" s="226"/>
      <c r="H489" s="227"/>
      <c r="I489" s="227"/>
      <c r="J489" s="228"/>
    </row>
    <row r="490" spans="1:10">
      <c r="A490" s="221">
        <v>41699</v>
      </c>
      <c r="B490" s="222">
        <v>0.66666666666666663</v>
      </c>
      <c r="C490" s="215">
        <v>38.200000000000003</v>
      </c>
      <c r="D490" s="216">
        <v>39.700000000000003</v>
      </c>
      <c r="E490" s="216">
        <v>37.700000000000003</v>
      </c>
      <c r="F490" s="217">
        <v>43</v>
      </c>
      <c r="G490" s="226"/>
      <c r="H490" s="227"/>
      <c r="I490" s="227"/>
      <c r="J490" s="228"/>
    </row>
    <row r="491" spans="1:10">
      <c r="A491" s="221">
        <v>41699</v>
      </c>
      <c r="B491" s="222">
        <v>0.83333333333333337</v>
      </c>
      <c r="C491" s="215">
        <v>38.1</v>
      </c>
      <c r="D491" s="216">
        <v>39.5</v>
      </c>
      <c r="E491" s="216">
        <v>37.1</v>
      </c>
      <c r="F491" s="217">
        <v>42.9</v>
      </c>
      <c r="G491" s="226"/>
      <c r="H491" s="227"/>
      <c r="I491" s="227"/>
      <c r="J491" s="228"/>
    </row>
    <row r="492" spans="1:10">
      <c r="A492" s="221">
        <v>41700</v>
      </c>
      <c r="B492" s="222">
        <v>0</v>
      </c>
      <c r="C492" s="215">
        <v>38.1</v>
      </c>
      <c r="D492" s="216">
        <v>39.4</v>
      </c>
      <c r="E492" s="216">
        <v>37</v>
      </c>
      <c r="F492" s="217">
        <v>43</v>
      </c>
      <c r="G492" s="226"/>
      <c r="H492" s="227"/>
      <c r="I492" s="227"/>
      <c r="J492" s="228"/>
    </row>
    <row r="493" spans="1:10">
      <c r="A493" s="221">
        <v>41700</v>
      </c>
      <c r="B493" s="222">
        <v>0.16666666666666666</v>
      </c>
      <c r="C493" s="215">
        <v>38</v>
      </c>
      <c r="D493" s="216">
        <v>39.299999999999997</v>
      </c>
      <c r="E493" s="216">
        <v>36.700000000000003</v>
      </c>
      <c r="F493" s="217">
        <v>43</v>
      </c>
      <c r="G493" s="226"/>
      <c r="H493" s="227"/>
      <c r="I493" s="227"/>
      <c r="J493" s="228"/>
    </row>
    <row r="494" spans="1:10">
      <c r="A494" s="221">
        <v>41700</v>
      </c>
      <c r="B494" s="222">
        <v>0.33333333333333331</v>
      </c>
      <c r="C494" s="215">
        <v>38.1</v>
      </c>
      <c r="D494" s="216">
        <v>39.4</v>
      </c>
      <c r="E494" s="216">
        <v>36.6</v>
      </c>
      <c r="F494" s="217">
        <v>43</v>
      </c>
      <c r="G494" s="226"/>
      <c r="H494" s="227"/>
      <c r="I494" s="227"/>
      <c r="J494" s="228"/>
    </row>
    <row r="495" spans="1:10">
      <c r="A495" s="221">
        <v>41700</v>
      </c>
      <c r="B495" s="222">
        <v>0.5</v>
      </c>
      <c r="C495" s="215">
        <v>38.200000000000003</v>
      </c>
      <c r="D495" s="216">
        <v>39.4</v>
      </c>
      <c r="E495" s="216">
        <v>36.200000000000003</v>
      </c>
      <c r="F495" s="217">
        <v>42.9</v>
      </c>
      <c r="G495" s="226"/>
      <c r="H495" s="227"/>
      <c r="I495" s="227"/>
      <c r="J495" s="228"/>
    </row>
    <row r="496" spans="1:10">
      <c r="A496" s="221">
        <v>41700</v>
      </c>
      <c r="B496" s="222">
        <v>0.66666666666666663</v>
      </c>
      <c r="C496" s="215">
        <v>38</v>
      </c>
      <c r="D496" s="216">
        <v>39.299999999999997</v>
      </c>
      <c r="E496" s="216">
        <v>36.200000000000003</v>
      </c>
      <c r="F496" s="217">
        <v>42.9</v>
      </c>
      <c r="G496" s="226"/>
      <c r="H496" s="227"/>
      <c r="I496" s="227"/>
      <c r="J496" s="228"/>
    </row>
    <row r="497" spans="1:10">
      <c r="A497" s="221">
        <v>41700</v>
      </c>
      <c r="B497" s="222">
        <v>0.83333333333333337</v>
      </c>
      <c r="C497" s="215">
        <v>38</v>
      </c>
      <c r="D497" s="216">
        <v>39.200000000000003</v>
      </c>
      <c r="E497" s="216">
        <v>36.299999999999997</v>
      </c>
      <c r="F497" s="217">
        <v>42.9</v>
      </c>
      <c r="G497" s="226"/>
      <c r="H497" s="227"/>
      <c r="I497" s="227"/>
      <c r="J497" s="228"/>
    </row>
    <row r="498" spans="1:10">
      <c r="A498" s="221">
        <v>41701</v>
      </c>
      <c r="B498" s="222">
        <v>0</v>
      </c>
      <c r="C498" s="215">
        <v>38</v>
      </c>
      <c r="D498" s="216">
        <v>39.200000000000003</v>
      </c>
      <c r="E498" s="216">
        <v>36.4</v>
      </c>
      <c r="F498" s="217">
        <v>43</v>
      </c>
      <c r="G498" s="226"/>
      <c r="H498" s="227"/>
      <c r="I498" s="227"/>
      <c r="J498" s="228"/>
    </row>
    <row r="499" spans="1:10">
      <c r="A499" s="221">
        <v>41701</v>
      </c>
      <c r="B499" s="222">
        <v>0.16666666666666666</v>
      </c>
      <c r="C499" s="215">
        <v>38</v>
      </c>
      <c r="D499" s="216">
        <v>40.1</v>
      </c>
      <c r="E499" s="216">
        <v>55.2</v>
      </c>
      <c r="F499" s="217">
        <v>43</v>
      </c>
      <c r="G499" s="226"/>
      <c r="H499" s="227"/>
      <c r="I499" s="227"/>
      <c r="J499" s="228"/>
    </row>
    <row r="500" spans="1:10">
      <c r="A500" s="221">
        <v>41701</v>
      </c>
      <c r="B500" s="222">
        <v>0.33333333333333331</v>
      </c>
      <c r="C500" s="215">
        <v>38</v>
      </c>
      <c r="D500" s="216">
        <v>39.799999999999997</v>
      </c>
      <c r="E500" s="216">
        <v>55.4</v>
      </c>
      <c r="F500" s="217">
        <v>43</v>
      </c>
      <c r="G500" s="226"/>
      <c r="H500" s="227"/>
      <c r="I500" s="227"/>
      <c r="J500" s="228"/>
    </row>
    <row r="501" spans="1:10">
      <c r="A501" s="221">
        <v>41701</v>
      </c>
      <c r="B501" s="222">
        <v>0.5</v>
      </c>
      <c r="C501" s="215">
        <v>38.1</v>
      </c>
      <c r="D501" s="216">
        <v>39.9</v>
      </c>
      <c r="E501" s="216">
        <v>55.3</v>
      </c>
      <c r="F501" s="217">
        <v>43</v>
      </c>
      <c r="G501" s="226"/>
      <c r="H501" s="227"/>
      <c r="I501" s="227"/>
      <c r="J501" s="228"/>
    </row>
    <row r="502" spans="1:10">
      <c r="A502" s="221">
        <v>41701</v>
      </c>
      <c r="B502" s="222">
        <v>0.66666666666666663</v>
      </c>
      <c r="C502" s="215">
        <v>37.9</v>
      </c>
      <c r="D502" s="216">
        <v>39.6</v>
      </c>
      <c r="E502" s="216">
        <v>55</v>
      </c>
      <c r="F502" s="217">
        <v>43</v>
      </c>
      <c r="G502" s="226"/>
      <c r="H502" s="227"/>
      <c r="I502" s="227"/>
      <c r="J502" s="228"/>
    </row>
    <row r="503" spans="1:10">
      <c r="A503" s="221">
        <v>41701</v>
      </c>
      <c r="B503" s="222">
        <v>0.83333333333333337</v>
      </c>
      <c r="C503" s="215">
        <v>38.200000000000003</v>
      </c>
      <c r="D503" s="216">
        <v>40.4</v>
      </c>
      <c r="E503" s="216">
        <v>56</v>
      </c>
      <c r="F503" s="217">
        <v>43.3</v>
      </c>
      <c r="G503" s="226"/>
      <c r="H503" s="227"/>
      <c r="I503" s="227"/>
      <c r="J503" s="228"/>
    </row>
    <row r="504" spans="1:10">
      <c r="A504" s="221">
        <v>41702</v>
      </c>
      <c r="B504" s="222">
        <v>0</v>
      </c>
      <c r="C504" s="215">
        <v>38.200000000000003</v>
      </c>
      <c r="D504" s="216">
        <v>40.299999999999997</v>
      </c>
      <c r="E504" s="216">
        <v>56.1</v>
      </c>
      <c r="F504" s="217">
        <v>43.6</v>
      </c>
      <c r="G504" s="226"/>
      <c r="H504" s="227"/>
      <c r="I504" s="227"/>
      <c r="J504" s="228"/>
    </row>
    <row r="505" spans="1:10">
      <c r="A505" s="221">
        <v>41702</v>
      </c>
      <c r="B505" s="222">
        <v>0.16666666666666666</v>
      </c>
      <c r="C505" s="215">
        <v>38.200000000000003</v>
      </c>
      <c r="D505" s="216">
        <v>40.200000000000003</v>
      </c>
      <c r="E505" s="216">
        <v>56</v>
      </c>
      <c r="F505" s="217">
        <v>43.5</v>
      </c>
      <c r="G505" s="226"/>
      <c r="H505" s="227"/>
      <c r="I505" s="227"/>
      <c r="J505" s="228"/>
    </row>
    <row r="506" spans="1:10">
      <c r="A506" s="221">
        <v>41702</v>
      </c>
      <c r="B506" s="222">
        <v>0.33333333333333331</v>
      </c>
      <c r="C506" s="215">
        <v>38.1</v>
      </c>
      <c r="D506" s="216">
        <v>40.1</v>
      </c>
      <c r="E506" s="216">
        <v>55.5</v>
      </c>
      <c r="F506" s="217">
        <v>43.3</v>
      </c>
      <c r="G506" s="226"/>
      <c r="H506" s="227"/>
      <c r="I506" s="227"/>
      <c r="J506" s="228"/>
    </row>
    <row r="507" spans="1:10">
      <c r="A507" s="221">
        <v>41702</v>
      </c>
      <c r="B507" s="222">
        <v>0.5</v>
      </c>
      <c r="C507" s="215">
        <v>38.299999999999997</v>
      </c>
      <c r="D507" s="216">
        <v>40</v>
      </c>
      <c r="E507" s="216">
        <v>54</v>
      </c>
      <c r="F507" s="217">
        <v>43.4</v>
      </c>
      <c r="G507" s="226"/>
      <c r="H507" s="227"/>
      <c r="I507" s="227"/>
      <c r="J507" s="228"/>
    </row>
    <row r="508" spans="1:10">
      <c r="A508" s="221">
        <v>41702</v>
      </c>
      <c r="B508" s="222">
        <v>0.66666666666666663</v>
      </c>
      <c r="C508" s="215">
        <v>38.200000000000003</v>
      </c>
      <c r="D508" s="216">
        <v>39.700000000000003</v>
      </c>
      <c r="E508" s="216">
        <v>46.2</v>
      </c>
      <c r="F508" s="217">
        <v>43.2</v>
      </c>
      <c r="G508" s="226"/>
      <c r="H508" s="227"/>
      <c r="I508" s="227"/>
      <c r="J508" s="228"/>
    </row>
    <row r="509" spans="1:10">
      <c r="A509" s="221">
        <v>41702</v>
      </c>
      <c r="B509" s="222">
        <v>0.83333333333333337</v>
      </c>
      <c r="C509" s="215">
        <v>38.1</v>
      </c>
      <c r="D509" s="216">
        <v>39.6</v>
      </c>
      <c r="E509" s="216">
        <v>41.9</v>
      </c>
      <c r="F509" s="217">
        <v>43.4</v>
      </c>
      <c r="G509" s="226"/>
      <c r="H509" s="227"/>
      <c r="I509" s="227"/>
      <c r="J509" s="228"/>
    </row>
    <row r="510" spans="1:10">
      <c r="A510" s="221">
        <v>41703</v>
      </c>
      <c r="B510" s="222">
        <v>0</v>
      </c>
      <c r="C510" s="215">
        <v>38.200000000000003</v>
      </c>
      <c r="D510" s="216">
        <v>39.6</v>
      </c>
      <c r="E510" s="216">
        <v>40.4</v>
      </c>
      <c r="F510" s="217">
        <v>43.4</v>
      </c>
      <c r="G510" s="226"/>
      <c r="H510" s="227"/>
      <c r="I510" s="227"/>
      <c r="J510" s="228"/>
    </row>
    <row r="511" spans="1:10">
      <c r="A511" s="221">
        <v>41703</v>
      </c>
      <c r="B511" s="222">
        <v>0.16666666666666666</v>
      </c>
      <c r="C511" s="215">
        <v>38.200000000000003</v>
      </c>
      <c r="D511" s="216">
        <v>40.1</v>
      </c>
      <c r="E511" s="216">
        <v>52</v>
      </c>
      <c r="F511" s="217">
        <v>43.3</v>
      </c>
      <c r="G511" s="226"/>
      <c r="H511" s="227"/>
      <c r="I511" s="227"/>
      <c r="J511" s="228"/>
    </row>
    <row r="512" spans="1:10">
      <c r="A512" s="221">
        <v>41703</v>
      </c>
      <c r="B512" s="222">
        <v>0.33333333333333331</v>
      </c>
      <c r="C512" s="215">
        <v>38.1</v>
      </c>
      <c r="D512" s="216">
        <v>40.200000000000003</v>
      </c>
      <c r="E512" s="216">
        <v>54.4</v>
      </c>
      <c r="F512" s="217">
        <v>43.2</v>
      </c>
      <c r="G512" s="226"/>
      <c r="H512" s="227"/>
      <c r="I512" s="227"/>
      <c r="J512" s="228"/>
    </row>
    <row r="513" spans="1:10">
      <c r="A513" s="221">
        <v>41703</v>
      </c>
      <c r="B513" s="222">
        <v>0.5</v>
      </c>
      <c r="C513" s="215">
        <v>38.299999999999997</v>
      </c>
      <c r="D513" s="216">
        <v>40.299999999999997</v>
      </c>
      <c r="E513" s="216">
        <v>53.5</v>
      </c>
      <c r="F513" s="217">
        <v>43.3</v>
      </c>
      <c r="G513" s="226"/>
      <c r="H513" s="227"/>
      <c r="I513" s="227"/>
      <c r="J513" s="228"/>
    </row>
    <row r="514" spans="1:10">
      <c r="A514" s="221">
        <v>41703</v>
      </c>
      <c r="B514" s="222">
        <v>0.66666666666666663</v>
      </c>
      <c r="C514" s="215">
        <v>38.200000000000003</v>
      </c>
      <c r="D514" s="216">
        <v>40.1</v>
      </c>
      <c r="E514" s="216">
        <v>51.1</v>
      </c>
      <c r="F514" s="217">
        <v>43.3</v>
      </c>
      <c r="G514" s="226"/>
      <c r="H514" s="227"/>
      <c r="I514" s="227"/>
      <c r="J514" s="228"/>
    </row>
    <row r="515" spans="1:10">
      <c r="A515" s="221">
        <v>41703</v>
      </c>
      <c r="B515" s="222">
        <v>0.83333333333333337</v>
      </c>
      <c r="C515" s="215">
        <v>38</v>
      </c>
      <c r="D515" s="216">
        <v>39.9</v>
      </c>
      <c r="E515" s="216">
        <v>47.1</v>
      </c>
      <c r="F515" s="217">
        <v>43.2</v>
      </c>
      <c r="G515" s="226"/>
      <c r="H515" s="227"/>
      <c r="I515" s="227"/>
      <c r="J515" s="228"/>
    </row>
    <row r="516" spans="1:10">
      <c r="A516" s="221">
        <v>41704</v>
      </c>
      <c r="B516" s="222">
        <v>0</v>
      </c>
      <c r="C516" s="215">
        <v>38.200000000000003</v>
      </c>
      <c r="D516" s="216">
        <v>39.700000000000003</v>
      </c>
      <c r="E516" s="216">
        <v>41.8</v>
      </c>
      <c r="F516" s="217">
        <v>43.4</v>
      </c>
      <c r="G516" s="226"/>
      <c r="H516" s="227"/>
      <c r="I516" s="227"/>
      <c r="J516" s="228"/>
    </row>
    <row r="517" spans="1:10">
      <c r="A517" s="221">
        <v>41704</v>
      </c>
      <c r="B517" s="222">
        <v>0.16666666666666666</v>
      </c>
      <c r="C517" s="215">
        <v>38.1</v>
      </c>
      <c r="D517" s="216">
        <v>39.6</v>
      </c>
      <c r="E517" s="216">
        <v>40.299999999999997</v>
      </c>
      <c r="F517" s="217">
        <v>43.3</v>
      </c>
      <c r="G517" s="226"/>
      <c r="H517" s="227"/>
      <c r="I517" s="227"/>
      <c r="J517" s="228"/>
    </row>
    <row r="518" spans="1:10">
      <c r="A518" s="221">
        <v>41704</v>
      </c>
      <c r="B518" s="222">
        <v>0.33333333333333331</v>
      </c>
      <c r="C518" s="215">
        <v>38.1</v>
      </c>
      <c r="D518" s="216">
        <v>39.700000000000003</v>
      </c>
      <c r="E518" s="216">
        <v>39.4</v>
      </c>
      <c r="F518" s="217">
        <v>43.3</v>
      </c>
      <c r="G518" s="226"/>
      <c r="H518" s="227"/>
      <c r="I518" s="227"/>
      <c r="J518" s="228"/>
    </row>
    <row r="519" spans="1:10">
      <c r="A519" s="221">
        <v>41704</v>
      </c>
      <c r="B519" s="222">
        <v>0.5</v>
      </c>
      <c r="C519" s="215">
        <v>38.299999999999997</v>
      </c>
      <c r="D519" s="216">
        <v>39.700000000000003</v>
      </c>
      <c r="E519" s="216">
        <v>38.6</v>
      </c>
      <c r="F519" s="217">
        <v>43.3</v>
      </c>
      <c r="G519" s="226"/>
      <c r="H519" s="227"/>
      <c r="I519" s="227"/>
      <c r="J519" s="228"/>
    </row>
    <row r="520" spans="1:10">
      <c r="A520" s="221">
        <v>41704</v>
      </c>
      <c r="B520" s="222">
        <v>0.66666666666666663</v>
      </c>
      <c r="C520" s="215">
        <v>38.200000000000003</v>
      </c>
      <c r="D520" s="216">
        <v>39.6</v>
      </c>
      <c r="E520" s="216">
        <v>37.9</v>
      </c>
      <c r="F520" s="217">
        <v>43.3</v>
      </c>
      <c r="G520" s="226"/>
      <c r="H520" s="227"/>
      <c r="I520" s="227"/>
      <c r="J520" s="228"/>
    </row>
    <row r="521" spans="1:10">
      <c r="A521" s="221">
        <v>41704</v>
      </c>
      <c r="B521" s="222">
        <v>0.83333333333333337</v>
      </c>
      <c r="C521" s="215">
        <v>37.9</v>
      </c>
      <c r="D521" s="216">
        <v>39.5</v>
      </c>
      <c r="E521" s="216">
        <v>37.299999999999997</v>
      </c>
      <c r="F521" s="217">
        <v>43.2</v>
      </c>
      <c r="G521" s="226"/>
      <c r="H521" s="227"/>
      <c r="I521" s="227"/>
      <c r="J521" s="228"/>
    </row>
    <row r="522" spans="1:10">
      <c r="A522" s="221">
        <v>41705</v>
      </c>
      <c r="B522" s="222">
        <v>0</v>
      </c>
      <c r="C522" s="215">
        <v>38</v>
      </c>
      <c r="D522" s="216">
        <v>39.4</v>
      </c>
      <c r="E522" s="216">
        <v>37</v>
      </c>
      <c r="F522" s="217">
        <v>43.2</v>
      </c>
      <c r="G522" s="226"/>
      <c r="H522" s="227"/>
      <c r="I522" s="227"/>
      <c r="J522" s="228"/>
    </row>
    <row r="523" spans="1:10">
      <c r="A523" s="221">
        <v>41705</v>
      </c>
      <c r="B523" s="222">
        <v>0.16666666666666666</v>
      </c>
      <c r="C523" s="215">
        <v>38.1</v>
      </c>
      <c r="D523" s="216">
        <v>39.5</v>
      </c>
      <c r="E523" s="216">
        <v>37</v>
      </c>
      <c r="F523" s="217">
        <v>43.3</v>
      </c>
      <c r="G523" s="226"/>
      <c r="H523" s="227"/>
      <c r="I523" s="227"/>
      <c r="J523" s="228"/>
    </row>
    <row r="524" spans="1:10">
      <c r="A524" s="221">
        <v>41705</v>
      </c>
      <c r="B524" s="222">
        <v>0.33333333333333331</v>
      </c>
      <c r="C524" s="215">
        <v>38.1</v>
      </c>
      <c r="D524" s="216">
        <v>39.5</v>
      </c>
      <c r="E524" s="216">
        <v>36.700000000000003</v>
      </c>
      <c r="F524" s="217">
        <v>43.2</v>
      </c>
      <c r="G524" s="226"/>
      <c r="H524" s="227"/>
      <c r="I524" s="227"/>
      <c r="J524" s="228"/>
    </row>
    <row r="525" spans="1:10">
      <c r="A525" s="221">
        <v>41705</v>
      </c>
      <c r="B525" s="222">
        <v>0.5</v>
      </c>
      <c r="C525" s="215">
        <v>38.200000000000003</v>
      </c>
      <c r="D525" s="216">
        <v>39.5</v>
      </c>
      <c r="E525" s="216">
        <v>36.6</v>
      </c>
      <c r="F525" s="217">
        <v>43.2</v>
      </c>
      <c r="G525" s="226"/>
      <c r="H525" s="227"/>
      <c r="I525" s="227"/>
      <c r="J525" s="228"/>
    </row>
    <row r="526" spans="1:10">
      <c r="A526" s="221">
        <v>41705</v>
      </c>
      <c r="B526" s="222">
        <v>0.66666666666666663</v>
      </c>
      <c r="C526" s="215">
        <v>38.200000000000003</v>
      </c>
      <c r="D526" s="216">
        <v>39.1</v>
      </c>
      <c r="E526" s="216">
        <v>36.4</v>
      </c>
      <c r="F526" s="217">
        <v>43.2</v>
      </c>
      <c r="G526" s="226"/>
      <c r="H526" s="227"/>
      <c r="I526" s="227"/>
      <c r="J526" s="228"/>
    </row>
    <row r="527" spans="1:10">
      <c r="A527" s="221">
        <v>41705</v>
      </c>
      <c r="B527" s="222">
        <v>0.83333333333333337</v>
      </c>
      <c r="C527" s="215">
        <v>38</v>
      </c>
      <c r="D527" s="216">
        <v>39</v>
      </c>
      <c r="E527" s="216">
        <v>36.299999999999997</v>
      </c>
      <c r="F527" s="217">
        <v>43.1</v>
      </c>
      <c r="G527" s="226"/>
      <c r="H527" s="227"/>
      <c r="I527" s="227"/>
      <c r="J527" s="228"/>
    </row>
    <row r="528" spans="1:10">
      <c r="A528" s="221">
        <v>41706</v>
      </c>
      <c r="B528" s="222">
        <v>0</v>
      </c>
      <c r="C528" s="215">
        <v>37.9</v>
      </c>
      <c r="D528" s="216">
        <v>38.9</v>
      </c>
      <c r="E528" s="216">
        <v>36.200000000000003</v>
      </c>
      <c r="F528" s="217">
        <v>43.1</v>
      </c>
      <c r="G528" s="226"/>
      <c r="H528" s="227"/>
      <c r="I528" s="227"/>
      <c r="J528" s="228"/>
    </row>
    <row r="529" spans="1:10">
      <c r="A529" s="221">
        <v>41706</v>
      </c>
      <c r="B529" s="222">
        <v>0.16666666666666666</v>
      </c>
      <c r="C529" s="215">
        <v>38</v>
      </c>
      <c r="D529" s="216">
        <v>38.9</v>
      </c>
      <c r="E529" s="216">
        <v>36.5</v>
      </c>
      <c r="F529" s="217">
        <v>43.2</v>
      </c>
      <c r="G529" s="226"/>
      <c r="H529" s="227"/>
      <c r="I529" s="227"/>
      <c r="J529" s="228"/>
    </row>
    <row r="530" spans="1:10">
      <c r="A530" s="221">
        <v>41706</v>
      </c>
      <c r="B530" s="222">
        <v>0.33333333333333331</v>
      </c>
      <c r="C530" s="215">
        <v>38</v>
      </c>
      <c r="D530" s="216">
        <v>38.9</v>
      </c>
      <c r="E530" s="216">
        <v>36.4</v>
      </c>
      <c r="F530" s="217">
        <v>43.1</v>
      </c>
      <c r="G530" s="226"/>
      <c r="H530" s="227"/>
      <c r="I530" s="227"/>
      <c r="J530" s="228"/>
    </row>
    <row r="531" spans="1:10">
      <c r="A531" s="221">
        <v>41706</v>
      </c>
      <c r="B531" s="222">
        <v>0.5</v>
      </c>
      <c r="C531" s="215">
        <v>38.1</v>
      </c>
      <c r="D531" s="216">
        <v>38.9</v>
      </c>
      <c r="E531" s="216">
        <v>36</v>
      </c>
      <c r="F531" s="217">
        <v>43</v>
      </c>
      <c r="G531" s="226"/>
      <c r="H531" s="227"/>
      <c r="I531" s="227"/>
      <c r="J531" s="228"/>
    </row>
    <row r="532" spans="1:10">
      <c r="A532" s="221">
        <v>41706</v>
      </c>
      <c r="B532" s="222">
        <v>0.66666666666666663</v>
      </c>
      <c r="C532" s="215">
        <v>38.1</v>
      </c>
      <c r="D532" s="216">
        <v>38.700000000000003</v>
      </c>
      <c r="E532" s="216">
        <v>36.200000000000003</v>
      </c>
      <c r="F532" s="217">
        <v>43</v>
      </c>
      <c r="G532" s="226"/>
      <c r="H532" s="227"/>
      <c r="I532" s="227"/>
      <c r="J532" s="228"/>
    </row>
    <row r="533" spans="1:10">
      <c r="A533" s="221">
        <v>41706</v>
      </c>
      <c r="B533" s="222">
        <v>0.83333333333333337</v>
      </c>
      <c r="C533" s="215">
        <v>37.9</v>
      </c>
      <c r="D533" s="216">
        <v>38.700000000000003</v>
      </c>
      <c r="E533" s="216">
        <v>36.299999999999997</v>
      </c>
      <c r="F533" s="217">
        <v>43</v>
      </c>
      <c r="G533" s="226"/>
      <c r="H533" s="227"/>
      <c r="I533" s="227"/>
      <c r="J533" s="228"/>
    </row>
    <row r="534" spans="1:10">
      <c r="A534" s="221">
        <v>41707</v>
      </c>
      <c r="B534" s="222">
        <v>0</v>
      </c>
      <c r="C534" s="215">
        <v>37.799999999999997</v>
      </c>
      <c r="D534" s="216">
        <v>38.6</v>
      </c>
      <c r="E534" s="216">
        <v>36.200000000000003</v>
      </c>
      <c r="F534" s="217">
        <v>43</v>
      </c>
      <c r="G534" s="226"/>
      <c r="H534" s="227"/>
      <c r="I534" s="227"/>
      <c r="J534" s="228"/>
    </row>
    <row r="535" spans="1:10">
      <c r="A535" s="221">
        <v>41707</v>
      </c>
      <c r="B535" s="222">
        <v>0.16666666666666666</v>
      </c>
      <c r="C535" s="215">
        <v>37.799999999999997</v>
      </c>
      <c r="D535" s="216">
        <v>38.6</v>
      </c>
      <c r="E535" s="216">
        <v>36.299999999999997</v>
      </c>
      <c r="F535" s="217">
        <v>43</v>
      </c>
      <c r="G535" s="226"/>
      <c r="H535" s="227"/>
      <c r="I535" s="227"/>
      <c r="J535" s="228"/>
    </row>
    <row r="536" spans="1:10">
      <c r="A536" s="221">
        <v>41707</v>
      </c>
      <c r="B536" s="222">
        <v>0.33333333333333331</v>
      </c>
      <c r="C536" s="215">
        <v>37.6</v>
      </c>
      <c r="D536" s="216">
        <v>38.5</v>
      </c>
      <c r="E536" s="216">
        <v>36</v>
      </c>
      <c r="F536" s="217">
        <v>42.9</v>
      </c>
      <c r="G536" s="226"/>
      <c r="H536" s="227"/>
      <c r="I536" s="227"/>
      <c r="J536" s="228"/>
    </row>
    <row r="537" spans="1:10">
      <c r="A537" s="221">
        <v>41707</v>
      </c>
      <c r="B537" s="222">
        <v>0.5</v>
      </c>
      <c r="C537" s="215">
        <v>37.6</v>
      </c>
      <c r="D537" s="216">
        <v>38.5</v>
      </c>
      <c r="E537" s="216">
        <v>36.1</v>
      </c>
      <c r="F537" s="217">
        <v>43</v>
      </c>
      <c r="G537" s="226"/>
      <c r="H537" s="227"/>
      <c r="I537" s="227"/>
      <c r="J537" s="228"/>
    </row>
    <row r="538" spans="1:10">
      <c r="A538" s="221">
        <v>41707</v>
      </c>
      <c r="B538" s="222">
        <v>0.66666666666666663</v>
      </c>
      <c r="C538" s="215">
        <v>37.5</v>
      </c>
      <c r="D538" s="216">
        <v>38.299999999999997</v>
      </c>
      <c r="E538" s="216">
        <v>35.9</v>
      </c>
      <c r="F538" s="217">
        <v>42.8</v>
      </c>
      <c r="G538" s="226"/>
      <c r="H538" s="227"/>
      <c r="I538" s="227"/>
      <c r="J538" s="228"/>
    </row>
    <row r="539" spans="1:10">
      <c r="A539" s="221">
        <v>41707</v>
      </c>
      <c r="B539" s="222">
        <v>0.83333333333333337</v>
      </c>
      <c r="C539" s="215">
        <v>37.4</v>
      </c>
      <c r="D539" s="216">
        <v>38.200000000000003</v>
      </c>
      <c r="E539" s="216">
        <v>36.1</v>
      </c>
      <c r="F539" s="217">
        <v>42.9</v>
      </c>
      <c r="G539" s="226"/>
      <c r="H539" s="227"/>
      <c r="I539" s="227"/>
      <c r="J539" s="228"/>
    </row>
    <row r="540" spans="1:10">
      <c r="A540" s="221">
        <v>41708</v>
      </c>
      <c r="B540" s="222">
        <v>0</v>
      </c>
      <c r="C540" s="215">
        <v>37.299999999999997</v>
      </c>
      <c r="D540" s="216">
        <v>38.200000000000003</v>
      </c>
      <c r="E540" s="216">
        <v>36</v>
      </c>
      <c r="F540" s="217">
        <v>42.8</v>
      </c>
      <c r="G540" s="226"/>
      <c r="H540" s="227"/>
      <c r="I540" s="227"/>
      <c r="J540" s="228"/>
    </row>
    <row r="541" spans="1:10">
      <c r="A541" s="221">
        <v>41708</v>
      </c>
      <c r="B541" s="222">
        <v>0.16666666666666666</v>
      </c>
      <c r="C541" s="215">
        <v>37.299999999999997</v>
      </c>
      <c r="D541" s="216">
        <v>38.200000000000003</v>
      </c>
      <c r="E541" s="216">
        <v>36.1</v>
      </c>
      <c r="F541" s="217">
        <v>42.8</v>
      </c>
      <c r="G541" s="226"/>
      <c r="H541" s="227"/>
      <c r="I541" s="227"/>
      <c r="J541" s="228"/>
    </row>
    <row r="542" spans="1:10">
      <c r="A542" s="221">
        <v>41708</v>
      </c>
      <c r="B542" s="222">
        <v>0.33333333333333331</v>
      </c>
      <c r="C542" s="215">
        <v>36.6</v>
      </c>
      <c r="D542" s="216">
        <v>38.200000000000003</v>
      </c>
      <c r="E542" s="216">
        <v>36</v>
      </c>
      <c r="F542" s="217">
        <v>42.7</v>
      </c>
      <c r="G542" s="226"/>
      <c r="H542" s="227"/>
      <c r="I542" s="227"/>
      <c r="J542" s="228"/>
    </row>
    <row r="543" spans="1:10">
      <c r="A543" s="221">
        <v>41708</v>
      </c>
      <c r="B543" s="222">
        <v>0.5</v>
      </c>
      <c r="C543" s="215">
        <v>36.6</v>
      </c>
      <c r="D543" s="216">
        <v>38</v>
      </c>
      <c r="E543" s="216">
        <v>36</v>
      </c>
      <c r="F543" s="217">
        <v>42.8</v>
      </c>
      <c r="G543" s="226"/>
      <c r="H543" s="227"/>
      <c r="I543" s="227"/>
      <c r="J543" s="228"/>
    </row>
    <row r="544" spans="1:10">
      <c r="A544" s="221">
        <v>41708</v>
      </c>
      <c r="B544" s="222">
        <v>0.66666666666666663</v>
      </c>
      <c r="C544" s="215">
        <v>36.4</v>
      </c>
      <c r="D544" s="216">
        <v>37.9</v>
      </c>
      <c r="E544" s="216">
        <v>36</v>
      </c>
      <c r="F544" s="217">
        <v>42.7</v>
      </c>
      <c r="G544" s="226"/>
      <c r="H544" s="227"/>
      <c r="I544" s="227"/>
      <c r="J544" s="228"/>
    </row>
    <row r="545" spans="1:10">
      <c r="A545" s="221">
        <v>41708</v>
      </c>
      <c r="B545" s="222">
        <v>0.83333333333333337</v>
      </c>
      <c r="C545" s="215">
        <v>36.1</v>
      </c>
      <c r="D545" s="216">
        <v>37.799999999999997</v>
      </c>
      <c r="E545" s="216">
        <v>36</v>
      </c>
      <c r="F545" s="217">
        <v>42.6</v>
      </c>
      <c r="G545" s="226"/>
      <c r="H545" s="227"/>
      <c r="I545" s="227"/>
      <c r="J545" s="228"/>
    </row>
    <row r="546" spans="1:10">
      <c r="A546" s="221">
        <v>41709</v>
      </c>
      <c r="B546" s="222">
        <v>0</v>
      </c>
      <c r="C546" s="215">
        <v>35.9</v>
      </c>
      <c r="D546" s="216">
        <v>37.700000000000003</v>
      </c>
      <c r="E546" s="216">
        <v>35.799999999999997</v>
      </c>
      <c r="F546" s="217">
        <v>42.5</v>
      </c>
      <c r="G546" s="226"/>
      <c r="H546" s="227"/>
      <c r="I546" s="227"/>
      <c r="J546" s="228"/>
    </row>
    <row r="547" spans="1:10">
      <c r="A547" s="221">
        <v>41709</v>
      </c>
      <c r="B547" s="222">
        <v>0.16666666666666666</v>
      </c>
      <c r="C547" s="215">
        <v>35.799999999999997</v>
      </c>
      <c r="D547" s="216">
        <v>37.700000000000003</v>
      </c>
      <c r="E547" s="216">
        <v>36.1</v>
      </c>
      <c r="F547" s="217">
        <v>42.6</v>
      </c>
      <c r="G547" s="226"/>
      <c r="H547" s="227"/>
      <c r="I547" s="227"/>
      <c r="J547" s="228"/>
    </row>
    <row r="548" spans="1:10">
      <c r="A548" s="221">
        <v>41709</v>
      </c>
      <c r="B548" s="222">
        <v>0.33333333333333331</v>
      </c>
      <c r="C548" s="215">
        <v>35.799999999999997</v>
      </c>
      <c r="D548" s="216">
        <v>37.700000000000003</v>
      </c>
      <c r="E548" s="216">
        <v>35.9</v>
      </c>
      <c r="F548" s="217">
        <v>42.5</v>
      </c>
      <c r="G548" s="226"/>
      <c r="H548" s="227"/>
      <c r="I548" s="227"/>
      <c r="J548" s="228"/>
    </row>
    <row r="549" spans="1:10">
      <c r="A549" s="221">
        <v>41709</v>
      </c>
      <c r="B549" s="222">
        <v>0.5</v>
      </c>
      <c r="C549" s="215">
        <v>35.9</v>
      </c>
      <c r="D549" s="216">
        <v>37.700000000000003</v>
      </c>
      <c r="E549" s="216">
        <v>36</v>
      </c>
      <c r="F549" s="217">
        <v>42.4</v>
      </c>
      <c r="G549" s="226"/>
      <c r="H549" s="227"/>
      <c r="I549" s="227"/>
      <c r="J549" s="228"/>
    </row>
    <row r="550" spans="1:10">
      <c r="A550" s="221">
        <v>41709</v>
      </c>
      <c r="B550" s="222">
        <v>0.66666666666666663</v>
      </c>
      <c r="C550" s="215">
        <v>35.799999999999997</v>
      </c>
      <c r="D550" s="216">
        <v>37.6</v>
      </c>
      <c r="E550" s="216">
        <v>36</v>
      </c>
      <c r="F550" s="217">
        <v>41.8</v>
      </c>
      <c r="G550" s="226"/>
      <c r="H550" s="227"/>
      <c r="I550" s="227"/>
      <c r="J550" s="228"/>
    </row>
    <row r="551" spans="1:10">
      <c r="A551" s="221">
        <v>41709</v>
      </c>
      <c r="B551" s="222">
        <v>0.83333333333333337</v>
      </c>
      <c r="C551" s="215">
        <v>35.6</v>
      </c>
      <c r="D551" s="216">
        <v>37.5</v>
      </c>
      <c r="E551" s="216">
        <v>35.9</v>
      </c>
      <c r="F551" s="217">
        <v>41.4</v>
      </c>
      <c r="G551" s="226"/>
      <c r="H551" s="227"/>
      <c r="I551" s="227"/>
      <c r="J551" s="228"/>
    </row>
    <row r="552" spans="1:10">
      <c r="A552" s="221">
        <v>41710</v>
      </c>
      <c r="B552" s="222">
        <v>0</v>
      </c>
      <c r="C552" s="215">
        <v>35.5</v>
      </c>
      <c r="D552" s="216">
        <v>37.5</v>
      </c>
      <c r="E552" s="216">
        <v>35.799999999999997</v>
      </c>
      <c r="F552" s="217">
        <v>40.9</v>
      </c>
      <c r="G552" s="226"/>
      <c r="H552" s="227"/>
      <c r="I552" s="227"/>
      <c r="J552" s="228"/>
    </row>
    <row r="553" spans="1:10">
      <c r="A553" s="221">
        <v>41710</v>
      </c>
      <c r="B553" s="222">
        <v>0.16666666666666666</v>
      </c>
      <c r="C553" s="215">
        <v>35.6</v>
      </c>
      <c r="D553" s="216">
        <v>37.5</v>
      </c>
      <c r="E553" s="216">
        <v>36.1</v>
      </c>
      <c r="F553" s="217">
        <v>40.9</v>
      </c>
      <c r="G553" s="226"/>
      <c r="H553" s="227"/>
      <c r="I553" s="227"/>
      <c r="J553" s="228"/>
    </row>
    <row r="554" spans="1:10">
      <c r="A554" s="221">
        <v>41710</v>
      </c>
      <c r="B554" s="222">
        <v>0.33333333333333331</v>
      </c>
      <c r="C554" s="215">
        <v>35.5</v>
      </c>
      <c r="D554" s="216">
        <v>37.5</v>
      </c>
      <c r="E554" s="216">
        <v>35.9</v>
      </c>
      <c r="F554" s="217">
        <v>40.6</v>
      </c>
      <c r="G554" s="226"/>
      <c r="H554" s="227"/>
      <c r="I554" s="227"/>
      <c r="J554" s="228"/>
    </row>
    <row r="555" spans="1:10">
      <c r="A555" s="221">
        <v>41710</v>
      </c>
      <c r="B555" s="222">
        <v>0.5</v>
      </c>
      <c r="C555" s="215">
        <v>35.6</v>
      </c>
      <c r="D555" s="216">
        <v>37.5</v>
      </c>
      <c r="E555" s="216">
        <v>36</v>
      </c>
      <c r="F555" s="217">
        <v>40.5</v>
      </c>
      <c r="G555" s="226"/>
      <c r="H555" s="227"/>
      <c r="I555" s="227"/>
      <c r="J555" s="228"/>
    </row>
    <row r="556" spans="1:10">
      <c r="A556" s="221">
        <v>41710</v>
      </c>
      <c r="B556" s="222">
        <v>0.66666666666666663</v>
      </c>
      <c r="C556" s="215">
        <v>35.5</v>
      </c>
      <c r="D556" s="216">
        <v>37.4</v>
      </c>
      <c r="E556" s="216">
        <v>35.9</v>
      </c>
      <c r="F556" s="217">
        <v>40.299999999999997</v>
      </c>
      <c r="G556" s="226"/>
      <c r="H556" s="227"/>
      <c r="I556" s="227"/>
      <c r="J556" s="228"/>
    </row>
    <row r="557" spans="1:10">
      <c r="A557" s="221">
        <v>41710</v>
      </c>
      <c r="B557" s="222">
        <v>0.83333333333333337</v>
      </c>
      <c r="C557" s="215">
        <v>35.299999999999997</v>
      </c>
      <c r="D557" s="216">
        <v>37.299999999999997</v>
      </c>
      <c r="E557" s="216">
        <v>35.9</v>
      </c>
      <c r="F557" s="217">
        <v>40.200000000000003</v>
      </c>
      <c r="G557" s="226"/>
      <c r="H557" s="227"/>
      <c r="I557" s="227"/>
      <c r="J557" s="228"/>
    </row>
    <row r="558" spans="1:10">
      <c r="A558" s="221">
        <v>41711</v>
      </c>
      <c r="B558" s="222">
        <v>0</v>
      </c>
      <c r="C558" s="215">
        <v>35.200000000000003</v>
      </c>
      <c r="D558" s="216">
        <v>37.299999999999997</v>
      </c>
      <c r="E558" s="216">
        <v>36.1</v>
      </c>
      <c r="F558" s="217">
        <v>40.200000000000003</v>
      </c>
      <c r="G558" s="226"/>
      <c r="H558" s="227"/>
      <c r="I558" s="227"/>
      <c r="J558" s="228"/>
    </row>
    <row r="559" spans="1:10">
      <c r="A559" s="221">
        <v>41711</v>
      </c>
      <c r="B559" s="222">
        <v>0.16666666666666666</v>
      </c>
      <c r="C559" s="215">
        <v>35.1</v>
      </c>
      <c r="D559" s="216">
        <v>37.299999999999997</v>
      </c>
      <c r="E559" s="216">
        <v>36.5</v>
      </c>
      <c r="F559" s="217">
        <v>40.1</v>
      </c>
      <c r="G559" s="226"/>
      <c r="H559" s="227"/>
      <c r="I559" s="227"/>
      <c r="J559" s="228"/>
    </row>
    <row r="560" spans="1:10">
      <c r="A560" s="221">
        <v>41711</v>
      </c>
      <c r="B560" s="222">
        <v>0.33333333333333331</v>
      </c>
      <c r="C560" s="215">
        <v>35.1</v>
      </c>
      <c r="D560" s="216">
        <v>37.299999999999997</v>
      </c>
      <c r="E560" s="216">
        <v>35.700000000000003</v>
      </c>
      <c r="F560" s="217">
        <v>39.9</v>
      </c>
      <c r="G560" s="226"/>
      <c r="H560" s="227"/>
      <c r="I560" s="227"/>
      <c r="J560" s="228"/>
    </row>
    <row r="561" spans="1:10">
      <c r="A561" s="221">
        <v>41711</v>
      </c>
      <c r="B561" s="222">
        <v>0.5</v>
      </c>
      <c r="C561" s="215">
        <v>35.200000000000003</v>
      </c>
      <c r="D561" s="216">
        <v>37.299999999999997</v>
      </c>
      <c r="E561" s="216">
        <v>35.6</v>
      </c>
      <c r="F561" s="217">
        <v>39.799999999999997</v>
      </c>
      <c r="G561" s="226"/>
      <c r="H561" s="227"/>
      <c r="I561" s="227"/>
      <c r="J561" s="228"/>
    </row>
    <row r="562" spans="1:10">
      <c r="A562" s="221">
        <v>41711</v>
      </c>
      <c r="B562" s="222">
        <v>0.66666666666666663</v>
      </c>
      <c r="C562" s="215">
        <v>35</v>
      </c>
      <c r="D562" s="216">
        <v>37.200000000000003</v>
      </c>
      <c r="E562" s="216">
        <v>35.6</v>
      </c>
      <c r="F562" s="217">
        <v>39.700000000000003</v>
      </c>
      <c r="G562" s="226"/>
      <c r="H562" s="227"/>
      <c r="I562" s="227"/>
      <c r="J562" s="228"/>
    </row>
    <row r="563" spans="1:10">
      <c r="A563" s="221">
        <v>41711</v>
      </c>
      <c r="B563" s="222">
        <v>0.83333333333333337</v>
      </c>
      <c r="C563" s="215">
        <v>34.799999999999997</v>
      </c>
      <c r="D563" s="216">
        <v>37.1</v>
      </c>
      <c r="E563" s="216">
        <v>35.799999999999997</v>
      </c>
      <c r="F563" s="217">
        <v>39.4</v>
      </c>
      <c r="G563" s="226"/>
      <c r="H563" s="227"/>
      <c r="I563" s="227"/>
      <c r="J563" s="228"/>
    </row>
    <row r="564" spans="1:10">
      <c r="A564" s="221">
        <v>41712</v>
      </c>
      <c r="B564" s="222">
        <v>0</v>
      </c>
      <c r="C564" s="215">
        <v>34.700000000000003</v>
      </c>
      <c r="D564" s="216">
        <v>37.1</v>
      </c>
      <c r="E564" s="216">
        <v>35.799999999999997</v>
      </c>
      <c r="F564" s="217">
        <v>39.4</v>
      </c>
      <c r="G564" s="226"/>
      <c r="H564" s="227"/>
      <c r="I564" s="227"/>
      <c r="J564" s="228"/>
    </row>
    <row r="565" spans="1:10">
      <c r="A565" s="221">
        <v>41712</v>
      </c>
      <c r="B565" s="222">
        <v>0.16666666666666666</v>
      </c>
      <c r="C565" s="215">
        <v>34.700000000000003</v>
      </c>
      <c r="D565" s="216">
        <v>37.1</v>
      </c>
      <c r="E565" s="216">
        <v>35.9</v>
      </c>
      <c r="F565" s="217">
        <v>39.299999999999997</v>
      </c>
      <c r="G565" s="226"/>
      <c r="H565" s="227"/>
      <c r="I565" s="227"/>
      <c r="J565" s="228"/>
    </row>
    <row r="566" spans="1:10">
      <c r="A566" s="221">
        <v>41712</v>
      </c>
      <c r="B566" s="222">
        <v>0.33333333333333331</v>
      </c>
      <c r="C566" s="215">
        <v>34.700000000000003</v>
      </c>
      <c r="D566" s="216">
        <v>37.1</v>
      </c>
      <c r="E566" s="216">
        <v>35.6</v>
      </c>
      <c r="F566" s="217">
        <v>39.200000000000003</v>
      </c>
      <c r="G566" s="226"/>
      <c r="H566" s="227"/>
      <c r="I566" s="227"/>
      <c r="J566" s="228"/>
    </row>
    <row r="567" spans="1:10">
      <c r="A567" s="221">
        <v>41712</v>
      </c>
      <c r="B567" s="222">
        <v>0.5</v>
      </c>
      <c r="C567" s="215">
        <v>34.700000000000003</v>
      </c>
      <c r="D567" s="216">
        <v>37.1</v>
      </c>
      <c r="E567" s="216">
        <v>35.6</v>
      </c>
      <c r="F567" s="217">
        <v>39.200000000000003</v>
      </c>
      <c r="G567" s="226"/>
      <c r="H567" s="227"/>
      <c r="I567" s="227"/>
      <c r="J567" s="228"/>
    </row>
    <row r="568" spans="1:10">
      <c r="A568" s="221">
        <v>41712</v>
      </c>
      <c r="B568" s="222">
        <v>0.66666666666666663</v>
      </c>
      <c r="C568" s="215">
        <v>34.6</v>
      </c>
      <c r="D568" s="216">
        <v>36.9</v>
      </c>
      <c r="E568" s="216">
        <v>35.299999999999997</v>
      </c>
      <c r="F568" s="217">
        <v>39</v>
      </c>
      <c r="G568" s="226"/>
      <c r="H568" s="227"/>
      <c r="I568" s="227"/>
      <c r="J568" s="228"/>
    </row>
    <row r="569" spans="1:10">
      <c r="A569" s="221">
        <v>41712</v>
      </c>
      <c r="B569" s="222">
        <v>0.83333333333333337</v>
      </c>
      <c r="C569" s="215">
        <v>34.5</v>
      </c>
      <c r="D569" s="216">
        <v>36.9</v>
      </c>
      <c r="E569" s="216">
        <v>35.5</v>
      </c>
      <c r="F569" s="217">
        <v>39</v>
      </c>
      <c r="G569" s="226"/>
      <c r="H569" s="227"/>
      <c r="I569" s="227"/>
      <c r="J569" s="228"/>
    </row>
    <row r="570" spans="1:10">
      <c r="A570" s="221">
        <v>41713</v>
      </c>
      <c r="B570" s="222">
        <v>0</v>
      </c>
      <c r="C570" s="215">
        <v>34.4</v>
      </c>
      <c r="D570" s="216">
        <v>36.799999999999997</v>
      </c>
      <c r="E570" s="216">
        <v>35.6</v>
      </c>
      <c r="F570" s="217">
        <v>39</v>
      </c>
      <c r="G570" s="226"/>
      <c r="H570" s="227"/>
      <c r="I570" s="227"/>
      <c r="J570" s="228"/>
    </row>
    <row r="571" spans="1:10">
      <c r="A571" s="221">
        <v>41713</v>
      </c>
      <c r="B571" s="222">
        <v>0.16666666666666666</v>
      </c>
      <c r="C571" s="215">
        <v>34.4</v>
      </c>
      <c r="D571" s="216">
        <v>36.799999999999997</v>
      </c>
      <c r="E571" s="216">
        <v>35.6</v>
      </c>
      <c r="F571" s="217">
        <v>39</v>
      </c>
      <c r="G571" s="226"/>
      <c r="H571" s="227"/>
      <c r="I571" s="227"/>
      <c r="J571" s="228"/>
    </row>
    <row r="572" spans="1:10">
      <c r="A572" s="221">
        <v>41713</v>
      </c>
      <c r="B572" s="222">
        <v>0.33333333333333331</v>
      </c>
      <c r="C572" s="215">
        <v>34.4</v>
      </c>
      <c r="D572" s="216">
        <v>36.799999999999997</v>
      </c>
      <c r="E572" s="216">
        <v>35.5</v>
      </c>
      <c r="F572" s="217">
        <v>38.9</v>
      </c>
      <c r="G572" s="226"/>
      <c r="H572" s="227"/>
      <c r="I572" s="227"/>
      <c r="J572" s="228"/>
    </row>
    <row r="573" spans="1:10">
      <c r="A573" s="221">
        <v>41713</v>
      </c>
      <c r="B573" s="222">
        <v>0.5</v>
      </c>
      <c r="C573" s="215">
        <v>34.299999999999997</v>
      </c>
      <c r="D573" s="216">
        <v>36.799999999999997</v>
      </c>
      <c r="E573" s="216">
        <v>35.4</v>
      </c>
      <c r="F573" s="217">
        <v>38.799999999999997</v>
      </c>
      <c r="G573" s="226"/>
      <c r="H573" s="227"/>
      <c r="I573" s="227"/>
      <c r="J573" s="228"/>
    </row>
    <row r="574" spans="1:10">
      <c r="A574" s="221">
        <v>41713</v>
      </c>
      <c r="B574" s="222">
        <v>0.66666666666666663</v>
      </c>
      <c r="C574" s="215">
        <v>34.299999999999997</v>
      </c>
      <c r="D574" s="216">
        <v>36.799999999999997</v>
      </c>
      <c r="E574" s="216">
        <v>35.5</v>
      </c>
      <c r="F574" s="217">
        <v>38.799999999999997</v>
      </c>
      <c r="G574" s="226"/>
      <c r="H574" s="227"/>
      <c r="I574" s="227"/>
      <c r="J574" s="228"/>
    </row>
    <row r="575" spans="1:10">
      <c r="A575" s="221">
        <v>41713</v>
      </c>
      <c r="B575" s="222">
        <v>0.83333333333333337</v>
      </c>
      <c r="C575" s="215">
        <v>34.200000000000003</v>
      </c>
      <c r="D575" s="216">
        <v>36.700000000000003</v>
      </c>
      <c r="E575" s="216">
        <v>35.5</v>
      </c>
      <c r="F575" s="217">
        <v>38.799999999999997</v>
      </c>
      <c r="G575" s="226"/>
      <c r="H575" s="227"/>
      <c r="I575" s="227"/>
      <c r="J575" s="228"/>
    </row>
    <row r="576" spans="1:10">
      <c r="A576" s="221">
        <v>41714</v>
      </c>
      <c r="B576" s="222">
        <v>0</v>
      </c>
      <c r="C576" s="215">
        <v>34.1</v>
      </c>
      <c r="D576" s="216">
        <v>36.700000000000003</v>
      </c>
      <c r="E576" s="216">
        <v>35.4</v>
      </c>
      <c r="F576" s="217">
        <v>38.700000000000003</v>
      </c>
      <c r="G576" s="226"/>
      <c r="H576" s="227"/>
      <c r="I576" s="227"/>
      <c r="J576" s="228"/>
    </row>
    <row r="577" spans="1:10">
      <c r="A577" s="221">
        <v>41714</v>
      </c>
      <c r="B577" s="222">
        <v>0.16666666666666666</v>
      </c>
      <c r="C577" s="215">
        <v>34.1</v>
      </c>
      <c r="D577" s="216">
        <v>36.6</v>
      </c>
      <c r="E577" s="216">
        <v>35.700000000000003</v>
      </c>
      <c r="F577" s="217">
        <v>38.799999999999997</v>
      </c>
      <c r="G577" s="226"/>
      <c r="H577" s="227"/>
      <c r="I577" s="227"/>
      <c r="J577" s="228"/>
    </row>
    <row r="578" spans="1:10">
      <c r="A578" s="221">
        <v>41714</v>
      </c>
      <c r="B578" s="222">
        <v>0.33333333333333331</v>
      </c>
      <c r="C578" s="215">
        <v>34.1</v>
      </c>
      <c r="D578" s="216">
        <v>36.5</v>
      </c>
      <c r="E578" s="216">
        <v>35.5</v>
      </c>
      <c r="F578" s="217">
        <v>38.700000000000003</v>
      </c>
      <c r="G578" s="226"/>
      <c r="H578" s="227"/>
      <c r="I578" s="227"/>
      <c r="J578" s="228"/>
    </row>
    <row r="579" spans="1:10">
      <c r="A579" s="221">
        <v>41714</v>
      </c>
      <c r="B579" s="222">
        <v>0.5</v>
      </c>
      <c r="C579" s="215">
        <v>34.1</v>
      </c>
      <c r="D579" s="216">
        <v>36.5</v>
      </c>
      <c r="E579" s="216">
        <v>35.4</v>
      </c>
      <c r="F579" s="217">
        <v>38.700000000000003</v>
      </c>
      <c r="G579" s="226"/>
      <c r="H579" s="227"/>
      <c r="I579" s="227"/>
      <c r="J579" s="228"/>
    </row>
    <row r="580" spans="1:10">
      <c r="A580" s="221">
        <v>41714</v>
      </c>
      <c r="B580" s="222">
        <v>0.66666666666666663</v>
      </c>
      <c r="C580" s="215">
        <v>34</v>
      </c>
      <c r="D580" s="216">
        <v>36.4</v>
      </c>
      <c r="E580" s="216">
        <v>35.4</v>
      </c>
      <c r="F580" s="217">
        <v>38.6</v>
      </c>
      <c r="G580" s="226"/>
      <c r="H580" s="227"/>
      <c r="I580" s="227"/>
      <c r="J580" s="228"/>
    </row>
    <row r="581" spans="1:10">
      <c r="A581" s="221">
        <v>41714</v>
      </c>
      <c r="B581" s="222">
        <v>0.83333333333333337</v>
      </c>
      <c r="C581" s="215">
        <v>33.9</v>
      </c>
      <c r="D581" s="216">
        <v>36.299999999999997</v>
      </c>
      <c r="E581" s="216">
        <v>35.5</v>
      </c>
      <c r="F581" s="217">
        <v>38.6</v>
      </c>
      <c r="G581" s="226"/>
      <c r="H581" s="227"/>
      <c r="I581" s="227"/>
      <c r="J581" s="228"/>
    </row>
    <row r="582" spans="1:10">
      <c r="A582" s="221">
        <v>41715</v>
      </c>
      <c r="B582" s="222">
        <v>0</v>
      </c>
      <c r="C582" s="215">
        <v>33.799999999999997</v>
      </c>
      <c r="D582" s="216">
        <v>36.299999999999997</v>
      </c>
      <c r="E582" s="216">
        <v>35.4</v>
      </c>
      <c r="F582" s="217">
        <v>38.6</v>
      </c>
      <c r="G582" s="226"/>
      <c r="H582" s="227"/>
      <c r="I582" s="227"/>
      <c r="J582" s="228"/>
    </row>
    <row r="583" spans="1:10">
      <c r="A583" s="221">
        <v>41715</v>
      </c>
      <c r="B583" s="222">
        <v>0.16666666666666666</v>
      </c>
      <c r="C583" s="215">
        <v>33.799999999999997</v>
      </c>
      <c r="D583" s="216">
        <v>36.299999999999997</v>
      </c>
      <c r="E583" s="216">
        <v>35.5</v>
      </c>
      <c r="F583" s="217">
        <v>38.6</v>
      </c>
      <c r="G583" s="226"/>
      <c r="H583" s="227"/>
      <c r="I583" s="227"/>
      <c r="J583" s="228"/>
    </row>
    <row r="584" spans="1:10">
      <c r="A584" s="221">
        <v>41715</v>
      </c>
      <c r="B584" s="222">
        <v>0.33333333333333331</v>
      </c>
      <c r="C584" s="215">
        <v>33.799999999999997</v>
      </c>
      <c r="D584" s="216">
        <v>36.299999999999997</v>
      </c>
      <c r="E584" s="216">
        <v>35.299999999999997</v>
      </c>
      <c r="F584" s="217">
        <v>38.4</v>
      </c>
      <c r="G584" s="226"/>
      <c r="H584" s="227"/>
      <c r="I584" s="227"/>
      <c r="J584" s="228"/>
    </row>
    <row r="585" spans="1:10">
      <c r="A585" s="221">
        <v>41715</v>
      </c>
      <c r="B585" s="222">
        <v>0.5</v>
      </c>
      <c r="C585" s="215">
        <v>33.799999999999997</v>
      </c>
      <c r="D585" s="216">
        <v>36.299999999999997</v>
      </c>
      <c r="E585" s="216">
        <v>35.4</v>
      </c>
      <c r="F585" s="217">
        <v>38.5</v>
      </c>
      <c r="G585" s="226"/>
      <c r="H585" s="227"/>
      <c r="I585" s="227"/>
      <c r="J585" s="228"/>
    </row>
    <row r="586" spans="1:10">
      <c r="A586" s="221">
        <v>41715</v>
      </c>
      <c r="B586" s="222">
        <v>0.66666666666666663</v>
      </c>
      <c r="C586" s="215">
        <v>29.7</v>
      </c>
      <c r="D586" s="216">
        <v>36.200000000000003</v>
      </c>
      <c r="E586" s="229" t="s">
        <v>8273</v>
      </c>
      <c r="F586" s="217">
        <v>38.4</v>
      </c>
      <c r="G586" s="226"/>
      <c r="H586" s="227"/>
      <c r="I586" s="227"/>
      <c r="J586" s="228"/>
    </row>
    <row r="587" spans="1:10">
      <c r="A587" s="221">
        <v>41715</v>
      </c>
      <c r="B587" s="222">
        <v>0.83333333333333337</v>
      </c>
      <c r="C587" s="215">
        <v>29.3</v>
      </c>
      <c r="D587" s="216">
        <v>36.1</v>
      </c>
      <c r="E587" s="229" t="s">
        <v>8273</v>
      </c>
      <c r="F587" s="217">
        <v>38.4</v>
      </c>
      <c r="G587" s="226"/>
      <c r="H587" s="227"/>
      <c r="I587" s="227"/>
      <c r="J587" s="228"/>
    </row>
    <row r="588" spans="1:10">
      <c r="A588" s="221">
        <v>41716</v>
      </c>
      <c r="B588" s="222">
        <v>0</v>
      </c>
      <c r="C588" s="215">
        <v>29</v>
      </c>
      <c r="D588" s="216">
        <v>36</v>
      </c>
      <c r="E588" s="229" t="s">
        <v>8273</v>
      </c>
      <c r="F588" s="217">
        <v>38.4</v>
      </c>
      <c r="G588" s="226"/>
      <c r="H588" s="227"/>
      <c r="I588" s="227"/>
      <c r="J588" s="228"/>
    </row>
    <row r="589" spans="1:10">
      <c r="A589" s="221">
        <v>41716</v>
      </c>
      <c r="B589" s="222">
        <v>0.16666666666666666</v>
      </c>
      <c r="C589" s="215">
        <v>28.8</v>
      </c>
      <c r="D589" s="216">
        <v>36.1</v>
      </c>
      <c r="E589" s="229" t="s">
        <v>8273</v>
      </c>
      <c r="F589" s="217">
        <v>38.299999999999997</v>
      </c>
      <c r="G589" s="226"/>
      <c r="H589" s="227"/>
      <c r="I589" s="227"/>
      <c r="J589" s="228"/>
    </row>
    <row r="590" spans="1:10">
      <c r="A590" s="221">
        <v>41716</v>
      </c>
      <c r="B590" s="222">
        <v>0.33333333333333331</v>
      </c>
      <c r="C590" s="215">
        <v>28.7</v>
      </c>
      <c r="D590" s="216">
        <v>36.1</v>
      </c>
      <c r="E590" s="229" t="s">
        <v>8273</v>
      </c>
      <c r="F590" s="217">
        <v>38.299999999999997</v>
      </c>
      <c r="G590" s="226"/>
      <c r="H590" s="227"/>
      <c r="I590" s="227"/>
      <c r="J590" s="228"/>
    </row>
    <row r="591" spans="1:10">
      <c r="A591" s="221">
        <v>41716</v>
      </c>
      <c r="B591" s="222">
        <v>0.5</v>
      </c>
      <c r="C591" s="215">
        <v>28.7</v>
      </c>
      <c r="D591" s="216">
        <v>36</v>
      </c>
      <c r="E591" s="229" t="s">
        <v>8273</v>
      </c>
      <c r="F591" s="217">
        <v>38.299999999999997</v>
      </c>
      <c r="G591" s="226"/>
      <c r="H591" s="227"/>
      <c r="I591" s="227"/>
      <c r="J591" s="228"/>
    </row>
    <row r="592" spans="1:10">
      <c r="A592" s="221">
        <v>41716</v>
      </c>
      <c r="B592" s="222">
        <v>0.66666666666666663</v>
      </c>
      <c r="C592" s="215">
        <v>28.4</v>
      </c>
      <c r="D592" s="216">
        <v>36</v>
      </c>
      <c r="E592" s="229" t="s">
        <v>8273</v>
      </c>
      <c r="F592" s="217">
        <v>38.200000000000003</v>
      </c>
      <c r="G592" s="215">
        <v>32.6</v>
      </c>
      <c r="H592" s="216">
        <v>30.3</v>
      </c>
      <c r="I592" s="216">
        <v>10.5</v>
      </c>
      <c r="J592" s="217">
        <v>11</v>
      </c>
    </row>
    <row r="593" spans="1:10">
      <c r="A593" s="221">
        <v>41716</v>
      </c>
      <c r="B593" s="222">
        <v>0.83333333333333337</v>
      </c>
      <c r="C593" s="215">
        <v>28.4</v>
      </c>
      <c r="D593" s="216">
        <v>36</v>
      </c>
      <c r="E593" s="229" t="s">
        <v>8273</v>
      </c>
      <c r="F593" s="217">
        <v>38.299999999999997</v>
      </c>
      <c r="G593" s="215">
        <v>32.6</v>
      </c>
      <c r="H593" s="216">
        <v>30.4</v>
      </c>
      <c r="I593" s="216">
        <v>10.7</v>
      </c>
      <c r="J593" s="217">
        <v>11.2</v>
      </c>
    </row>
    <row r="594" spans="1:10">
      <c r="A594" s="221">
        <v>41717</v>
      </c>
      <c r="B594" s="222">
        <v>0</v>
      </c>
      <c r="C594" s="215">
        <v>28.5</v>
      </c>
      <c r="D594" s="216">
        <v>36</v>
      </c>
      <c r="E594" s="229" t="s">
        <v>8273</v>
      </c>
      <c r="F594" s="217">
        <v>38.299999999999997</v>
      </c>
      <c r="G594" s="215">
        <v>32.5</v>
      </c>
      <c r="H594" s="216">
        <v>30.5</v>
      </c>
      <c r="I594" s="216">
        <v>10.7</v>
      </c>
      <c r="J594" s="217">
        <v>11.1</v>
      </c>
    </row>
    <row r="595" spans="1:10">
      <c r="A595" s="221">
        <v>41717</v>
      </c>
      <c r="B595" s="222">
        <v>0.16666666666666666</v>
      </c>
      <c r="C595" s="215">
        <v>28.4</v>
      </c>
      <c r="D595" s="216">
        <v>35.9</v>
      </c>
      <c r="E595" s="229" t="s">
        <v>8273</v>
      </c>
      <c r="F595" s="217">
        <v>38.200000000000003</v>
      </c>
      <c r="G595" s="215">
        <v>32.4</v>
      </c>
      <c r="H595" s="216">
        <v>30.5</v>
      </c>
      <c r="I595" s="216">
        <v>10.5</v>
      </c>
      <c r="J595" s="217">
        <v>10.9</v>
      </c>
    </row>
    <row r="596" spans="1:10">
      <c r="A596" s="221">
        <v>41717</v>
      </c>
      <c r="B596" s="222">
        <v>0.33333333333333331</v>
      </c>
      <c r="C596" s="215">
        <v>28.3</v>
      </c>
      <c r="D596" s="216">
        <v>35.9</v>
      </c>
      <c r="E596" s="229" t="s">
        <v>8273</v>
      </c>
      <c r="F596" s="217">
        <v>38.200000000000003</v>
      </c>
      <c r="G596" s="215">
        <v>32.4</v>
      </c>
      <c r="H596" s="216">
        <v>30.5</v>
      </c>
      <c r="I596" s="216">
        <v>10.4</v>
      </c>
      <c r="J596" s="217">
        <v>10.8</v>
      </c>
    </row>
    <row r="597" spans="1:10">
      <c r="A597" s="221">
        <v>41717</v>
      </c>
      <c r="B597" s="222">
        <v>0.5</v>
      </c>
      <c r="C597" s="215">
        <v>28.2</v>
      </c>
      <c r="D597" s="216">
        <v>35.9</v>
      </c>
      <c r="E597" s="229" t="s">
        <v>8273</v>
      </c>
      <c r="F597" s="217">
        <v>38.200000000000003</v>
      </c>
      <c r="G597" s="215">
        <v>32.4</v>
      </c>
      <c r="H597" s="216">
        <v>30.5</v>
      </c>
      <c r="I597" s="216">
        <v>10.3</v>
      </c>
      <c r="J597" s="217">
        <v>10.9</v>
      </c>
    </row>
    <row r="598" spans="1:10">
      <c r="A598" s="221">
        <v>41717</v>
      </c>
      <c r="B598" s="222">
        <v>0.66666666666666663</v>
      </c>
      <c r="C598" s="215">
        <v>28.1</v>
      </c>
      <c r="D598" s="216">
        <v>35.799999999999997</v>
      </c>
      <c r="E598" s="229" t="s">
        <v>8273</v>
      </c>
      <c r="F598" s="217">
        <v>38.1</v>
      </c>
      <c r="G598" s="215">
        <v>32.299999999999997</v>
      </c>
      <c r="H598" s="216">
        <v>30.4</v>
      </c>
      <c r="I598" s="216">
        <v>11.1</v>
      </c>
      <c r="J598" s="217">
        <v>11.9</v>
      </c>
    </row>
    <row r="599" spans="1:10">
      <c r="A599" s="221">
        <v>41717</v>
      </c>
      <c r="B599" s="222">
        <v>0.83333333333333337</v>
      </c>
      <c r="C599" s="215">
        <v>28.1</v>
      </c>
      <c r="D599" s="216">
        <v>35.700000000000003</v>
      </c>
      <c r="E599" s="229" t="s">
        <v>8273</v>
      </c>
      <c r="F599" s="217">
        <v>38.1</v>
      </c>
      <c r="G599" s="215">
        <v>32.200000000000003</v>
      </c>
      <c r="H599" s="216">
        <v>30.3</v>
      </c>
      <c r="I599" s="216">
        <v>11.9</v>
      </c>
      <c r="J599" s="217">
        <v>12.6</v>
      </c>
    </row>
    <row r="600" spans="1:10">
      <c r="A600" s="221">
        <v>41718</v>
      </c>
      <c r="B600" s="222">
        <v>0</v>
      </c>
      <c r="C600" s="215">
        <v>28.2</v>
      </c>
      <c r="D600" s="216">
        <v>35.700000000000003</v>
      </c>
      <c r="E600" s="229" t="s">
        <v>8273</v>
      </c>
      <c r="F600" s="217">
        <v>38.1</v>
      </c>
      <c r="G600" s="215">
        <v>32.1</v>
      </c>
      <c r="H600" s="216">
        <v>30.3</v>
      </c>
      <c r="I600" s="216">
        <v>11.4</v>
      </c>
      <c r="J600" s="217">
        <v>12</v>
      </c>
    </row>
    <row r="601" spans="1:10">
      <c r="A601" s="221">
        <v>41718</v>
      </c>
      <c r="B601" s="222">
        <v>0.16666666666666666</v>
      </c>
      <c r="C601" s="215">
        <v>28.1</v>
      </c>
      <c r="D601" s="216">
        <v>35.700000000000003</v>
      </c>
      <c r="E601" s="229" t="s">
        <v>8273</v>
      </c>
      <c r="F601" s="217">
        <v>38.1</v>
      </c>
      <c r="G601" s="215">
        <v>32.1</v>
      </c>
      <c r="H601" s="216">
        <v>30.3</v>
      </c>
      <c r="I601" s="216">
        <v>10.6</v>
      </c>
      <c r="J601" s="217">
        <v>11.1</v>
      </c>
    </row>
    <row r="602" spans="1:10">
      <c r="A602" s="221">
        <v>41718</v>
      </c>
      <c r="B602" s="222">
        <v>0.33333333333333331</v>
      </c>
      <c r="C602" s="215">
        <v>28.1</v>
      </c>
      <c r="D602" s="216">
        <v>35.700000000000003</v>
      </c>
      <c r="E602" s="229" t="s">
        <v>8273</v>
      </c>
      <c r="F602" s="217">
        <v>38</v>
      </c>
      <c r="G602" s="215">
        <v>32</v>
      </c>
      <c r="H602" s="216">
        <v>30.2</v>
      </c>
      <c r="I602" s="216">
        <v>10.199999999999999</v>
      </c>
      <c r="J602" s="217">
        <v>10.7</v>
      </c>
    </row>
    <row r="603" spans="1:10">
      <c r="A603" s="221">
        <v>41718</v>
      </c>
      <c r="B603" s="222">
        <v>0.5</v>
      </c>
      <c r="C603" s="215">
        <v>27.9</v>
      </c>
      <c r="D603" s="216">
        <v>35.700000000000003</v>
      </c>
      <c r="E603" s="229" t="s">
        <v>8273</v>
      </c>
      <c r="F603" s="217">
        <v>38</v>
      </c>
      <c r="G603" s="215">
        <v>32</v>
      </c>
      <c r="H603" s="216">
        <v>30.2</v>
      </c>
      <c r="I603" s="216">
        <v>9.6</v>
      </c>
      <c r="J603" s="217">
        <v>10.1</v>
      </c>
    </row>
    <row r="604" spans="1:10">
      <c r="A604" s="221">
        <v>41718</v>
      </c>
      <c r="B604" s="222">
        <v>0.66666666666666663</v>
      </c>
      <c r="C604" s="215">
        <v>27.7</v>
      </c>
      <c r="D604" s="216">
        <v>35.5</v>
      </c>
      <c r="E604" s="229" t="s">
        <v>8273</v>
      </c>
      <c r="F604" s="217">
        <v>38</v>
      </c>
      <c r="G604" s="215">
        <v>32</v>
      </c>
      <c r="H604" s="216">
        <v>30.1</v>
      </c>
      <c r="I604" s="216">
        <v>10.9</v>
      </c>
      <c r="J604" s="217">
        <v>11.7</v>
      </c>
    </row>
    <row r="605" spans="1:10">
      <c r="A605" s="221">
        <v>41718</v>
      </c>
      <c r="B605" s="222">
        <v>0.83333333333333337</v>
      </c>
      <c r="C605" s="215">
        <v>27.7</v>
      </c>
      <c r="D605" s="216">
        <v>35.4</v>
      </c>
      <c r="E605" s="229" t="s">
        <v>8273</v>
      </c>
      <c r="F605" s="217">
        <v>37.9</v>
      </c>
      <c r="G605" s="215">
        <v>31.9</v>
      </c>
      <c r="H605" s="216">
        <v>30.1</v>
      </c>
      <c r="I605" s="216">
        <v>11.9</v>
      </c>
      <c r="J605" s="217">
        <v>12.7</v>
      </c>
    </row>
    <row r="606" spans="1:10">
      <c r="A606" s="221">
        <v>41719</v>
      </c>
      <c r="B606" s="222">
        <v>0</v>
      </c>
      <c r="C606" s="215">
        <v>27.6</v>
      </c>
      <c r="D606" s="216">
        <v>35.4</v>
      </c>
      <c r="E606" s="229" t="s">
        <v>8273</v>
      </c>
      <c r="F606" s="217">
        <v>37.9</v>
      </c>
      <c r="G606" s="215">
        <v>31.8</v>
      </c>
      <c r="H606" s="216">
        <v>30.1</v>
      </c>
      <c r="I606" s="216">
        <v>11.6</v>
      </c>
      <c r="J606" s="217">
        <v>12.3</v>
      </c>
    </row>
    <row r="607" spans="1:10">
      <c r="A607" s="221">
        <v>41719</v>
      </c>
      <c r="B607" s="222">
        <v>0.16666666666666666</v>
      </c>
      <c r="C607" s="215">
        <v>27.6</v>
      </c>
      <c r="D607" s="216">
        <v>35.4</v>
      </c>
      <c r="E607" s="229" t="s">
        <v>8273</v>
      </c>
      <c r="F607" s="217">
        <v>37.799999999999997</v>
      </c>
      <c r="G607" s="215">
        <v>31.8</v>
      </c>
      <c r="H607" s="216">
        <v>30</v>
      </c>
      <c r="I607" s="216">
        <v>11.1</v>
      </c>
      <c r="J607" s="217">
        <v>11.7</v>
      </c>
    </row>
    <row r="608" spans="1:10">
      <c r="A608" s="221">
        <v>41719</v>
      </c>
      <c r="B608" s="222">
        <v>0.33333333333333331</v>
      </c>
      <c r="C608" s="215">
        <v>27.6</v>
      </c>
      <c r="D608" s="216">
        <v>35.4</v>
      </c>
      <c r="E608" s="229" t="s">
        <v>8273</v>
      </c>
      <c r="F608" s="217">
        <v>37.799999999999997</v>
      </c>
      <c r="G608" s="215">
        <v>31.8</v>
      </c>
      <c r="H608" s="216">
        <v>30.1</v>
      </c>
      <c r="I608" s="216">
        <v>10.8</v>
      </c>
      <c r="J608" s="217">
        <v>11.4</v>
      </c>
    </row>
    <row r="609" spans="1:10">
      <c r="A609" s="221">
        <v>41719</v>
      </c>
      <c r="B609" s="222">
        <v>0.5</v>
      </c>
      <c r="C609" s="215">
        <v>27.6</v>
      </c>
      <c r="D609" s="216">
        <v>35.299999999999997</v>
      </c>
      <c r="E609" s="229">
        <v>14.1</v>
      </c>
      <c r="F609" s="217">
        <v>37.700000000000003</v>
      </c>
      <c r="G609" s="215">
        <v>31.8</v>
      </c>
      <c r="H609" s="216">
        <v>30.2</v>
      </c>
      <c r="I609" s="216">
        <v>10.6</v>
      </c>
      <c r="J609" s="217">
        <v>11.1</v>
      </c>
    </row>
    <row r="610" spans="1:10">
      <c r="A610" s="221">
        <v>41719</v>
      </c>
      <c r="B610" s="222">
        <v>0.66666666666666663</v>
      </c>
      <c r="C610" s="215">
        <v>27.5</v>
      </c>
      <c r="D610" s="216">
        <v>35.200000000000003</v>
      </c>
      <c r="E610" s="229">
        <v>13.2</v>
      </c>
      <c r="F610" s="217">
        <v>37.700000000000003</v>
      </c>
      <c r="G610" s="215">
        <v>31.7</v>
      </c>
      <c r="H610" s="216">
        <v>30</v>
      </c>
      <c r="I610" s="216">
        <v>11.4</v>
      </c>
      <c r="J610" s="217">
        <v>12.1</v>
      </c>
    </row>
    <row r="611" spans="1:10">
      <c r="A611" s="221">
        <v>41719</v>
      </c>
      <c r="B611" s="222">
        <v>0.83333333333333337</v>
      </c>
      <c r="C611" s="215">
        <v>27.4</v>
      </c>
      <c r="D611" s="216">
        <v>35.1</v>
      </c>
      <c r="E611" s="229">
        <v>16.3</v>
      </c>
      <c r="F611" s="217">
        <v>37.700000000000003</v>
      </c>
      <c r="G611" s="215">
        <v>31.7</v>
      </c>
      <c r="H611" s="216">
        <v>30</v>
      </c>
      <c r="I611" s="216">
        <v>12.2</v>
      </c>
      <c r="J611" s="217">
        <v>12.9</v>
      </c>
    </row>
    <row r="612" spans="1:10">
      <c r="A612" s="221">
        <v>41720</v>
      </c>
      <c r="B612" s="222">
        <v>0</v>
      </c>
      <c r="C612" s="215">
        <v>27.4</v>
      </c>
      <c r="D612" s="216">
        <v>35.1</v>
      </c>
      <c r="E612" s="229">
        <v>17.8</v>
      </c>
      <c r="F612" s="217">
        <v>37.700000000000003</v>
      </c>
      <c r="G612" s="215">
        <v>31.6</v>
      </c>
      <c r="H612" s="216">
        <v>29.9</v>
      </c>
      <c r="I612" s="216">
        <v>12</v>
      </c>
      <c r="J612" s="217">
        <v>12.7</v>
      </c>
    </row>
    <row r="613" spans="1:10">
      <c r="A613" s="221">
        <v>41720</v>
      </c>
      <c r="B613" s="222">
        <v>0.16666666666666666</v>
      </c>
      <c r="C613" s="215">
        <v>27.4</v>
      </c>
      <c r="D613" s="216">
        <v>35.1</v>
      </c>
      <c r="E613" s="229">
        <v>18.600000000000001</v>
      </c>
      <c r="F613" s="217">
        <v>37.6</v>
      </c>
      <c r="G613" s="215">
        <v>31.6</v>
      </c>
      <c r="H613" s="216">
        <v>29.9</v>
      </c>
      <c r="I613" s="216">
        <v>11.6</v>
      </c>
      <c r="J613" s="217">
        <v>12.3</v>
      </c>
    </row>
    <row r="614" spans="1:10">
      <c r="A614" s="221">
        <v>41720</v>
      </c>
      <c r="B614" s="222">
        <v>0.33333333333333331</v>
      </c>
      <c r="C614" s="215">
        <v>29.3</v>
      </c>
      <c r="D614" s="216">
        <v>35</v>
      </c>
      <c r="E614" s="229" t="s">
        <v>8273</v>
      </c>
      <c r="F614" s="217">
        <v>39.5</v>
      </c>
      <c r="G614" s="215">
        <v>31.5</v>
      </c>
      <c r="H614" s="216">
        <v>29.8</v>
      </c>
      <c r="I614" s="216">
        <v>11.5</v>
      </c>
      <c r="J614" s="217">
        <v>12.1</v>
      </c>
    </row>
    <row r="615" spans="1:10">
      <c r="A615" s="221">
        <v>41720</v>
      </c>
      <c r="B615" s="222">
        <v>0.5</v>
      </c>
      <c r="C615" s="215">
        <v>28.5</v>
      </c>
      <c r="D615" s="216">
        <v>35</v>
      </c>
      <c r="E615" s="229">
        <v>98.1</v>
      </c>
      <c r="F615" s="217">
        <v>39.9</v>
      </c>
      <c r="G615" s="215">
        <v>31.5</v>
      </c>
      <c r="H615" s="216">
        <v>30.5</v>
      </c>
      <c r="I615" s="216">
        <v>11.2</v>
      </c>
      <c r="J615" s="217">
        <v>11.8</v>
      </c>
    </row>
    <row r="616" spans="1:10">
      <c r="A616" s="221">
        <v>41720</v>
      </c>
      <c r="B616" s="222">
        <v>0.66666666666666663</v>
      </c>
      <c r="C616" s="215">
        <v>29.4</v>
      </c>
      <c r="D616" s="216">
        <v>35</v>
      </c>
      <c r="E616" s="229" t="s">
        <v>8273</v>
      </c>
      <c r="F616" s="217">
        <v>40</v>
      </c>
      <c r="G616" s="215">
        <v>31.5</v>
      </c>
      <c r="H616" s="216">
        <v>30.2</v>
      </c>
      <c r="I616" s="216">
        <v>11.2</v>
      </c>
      <c r="J616" s="217">
        <v>11.8</v>
      </c>
    </row>
    <row r="617" spans="1:10">
      <c r="A617" s="221">
        <v>41720</v>
      </c>
      <c r="B617" s="222">
        <v>0.83333333333333337</v>
      </c>
      <c r="C617" s="215">
        <v>28.2</v>
      </c>
      <c r="D617" s="216">
        <v>35</v>
      </c>
      <c r="E617" s="229" t="s">
        <v>8273</v>
      </c>
      <c r="F617" s="217">
        <v>39.799999999999997</v>
      </c>
      <c r="G617" s="215">
        <v>31.4</v>
      </c>
      <c r="H617" s="216">
        <v>31.1</v>
      </c>
      <c r="I617" s="216">
        <v>11.1</v>
      </c>
      <c r="J617" s="217">
        <v>11.7</v>
      </c>
    </row>
    <row r="618" spans="1:10">
      <c r="A618" s="221">
        <v>41721</v>
      </c>
      <c r="B618" s="222">
        <v>0</v>
      </c>
      <c r="C618" s="215">
        <v>27.9</v>
      </c>
      <c r="D618" s="216">
        <v>35</v>
      </c>
      <c r="E618" s="229" t="s">
        <v>8273</v>
      </c>
      <c r="F618" s="217">
        <v>39.4</v>
      </c>
      <c r="G618" s="215">
        <v>31.4</v>
      </c>
      <c r="H618" s="216">
        <v>30.4</v>
      </c>
      <c r="I618" s="216">
        <v>10.6</v>
      </c>
      <c r="J618" s="217">
        <v>11</v>
      </c>
    </row>
    <row r="619" spans="1:10">
      <c r="A619" s="221">
        <v>41721</v>
      </c>
      <c r="B619" s="222">
        <v>0.16666666666666666</v>
      </c>
      <c r="C619" s="215">
        <v>27.8</v>
      </c>
      <c r="D619" s="216">
        <v>35</v>
      </c>
      <c r="E619" s="229" t="s">
        <v>8273</v>
      </c>
      <c r="F619" s="217">
        <v>39.4</v>
      </c>
      <c r="G619" s="215">
        <v>31.4</v>
      </c>
      <c r="H619" s="216">
        <v>30.3</v>
      </c>
      <c r="I619" s="216">
        <v>10</v>
      </c>
      <c r="J619" s="217">
        <v>10.3</v>
      </c>
    </row>
    <row r="620" spans="1:10">
      <c r="A620" s="221">
        <v>41721</v>
      </c>
      <c r="B620" s="222">
        <v>0.33333333333333331</v>
      </c>
      <c r="C620" s="215">
        <v>27.7</v>
      </c>
      <c r="D620" s="216">
        <v>35</v>
      </c>
      <c r="E620" s="229" t="s">
        <v>8273</v>
      </c>
      <c r="F620" s="217">
        <v>39.5</v>
      </c>
      <c r="G620" s="215">
        <v>31.4</v>
      </c>
      <c r="H620" s="216">
        <v>30.2</v>
      </c>
      <c r="I620" s="216">
        <v>9.6999999999999993</v>
      </c>
      <c r="J620" s="217">
        <v>10</v>
      </c>
    </row>
    <row r="621" spans="1:10">
      <c r="A621" s="221">
        <v>41721</v>
      </c>
      <c r="B621" s="222">
        <v>0.5</v>
      </c>
      <c r="C621" s="215">
        <v>27.7</v>
      </c>
      <c r="D621" s="216">
        <v>34.9</v>
      </c>
      <c r="E621" s="229" t="s">
        <v>8273</v>
      </c>
      <c r="F621" s="217">
        <v>40.299999999999997</v>
      </c>
      <c r="G621" s="215">
        <v>31.4</v>
      </c>
      <c r="H621" s="216">
        <v>30.2</v>
      </c>
      <c r="I621" s="216">
        <v>9.1</v>
      </c>
      <c r="J621" s="217">
        <v>9.4</v>
      </c>
    </row>
    <row r="622" spans="1:10">
      <c r="A622" s="221">
        <v>41721</v>
      </c>
      <c r="B622" s="222">
        <v>0.66666666666666663</v>
      </c>
      <c r="C622" s="215">
        <v>27.6</v>
      </c>
      <c r="D622" s="216">
        <v>34.9</v>
      </c>
      <c r="E622" s="229" t="s">
        <v>8273</v>
      </c>
      <c r="F622" s="217">
        <v>37.299999999999997</v>
      </c>
      <c r="G622" s="215">
        <v>31.4</v>
      </c>
      <c r="H622" s="216">
        <v>30.1</v>
      </c>
      <c r="I622" s="216">
        <v>9.6</v>
      </c>
      <c r="J622" s="217">
        <v>10</v>
      </c>
    </row>
    <row r="623" spans="1:10">
      <c r="A623" s="221">
        <v>41721</v>
      </c>
      <c r="B623" s="222">
        <v>0.83333333333333337</v>
      </c>
      <c r="C623" s="215">
        <v>27.6</v>
      </c>
      <c r="D623" s="216">
        <v>34.799999999999997</v>
      </c>
      <c r="E623" s="229" t="s">
        <v>8273</v>
      </c>
      <c r="F623" s="217">
        <v>37.299999999999997</v>
      </c>
      <c r="G623" s="215">
        <v>31.4</v>
      </c>
      <c r="H623" s="216">
        <v>30.1</v>
      </c>
      <c r="I623" s="216">
        <v>9.9</v>
      </c>
      <c r="J623" s="217">
        <v>10.4</v>
      </c>
    </row>
    <row r="624" spans="1:10">
      <c r="A624" s="221">
        <v>41722</v>
      </c>
      <c r="B624" s="222">
        <v>0</v>
      </c>
      <c r="C624" s="215">
        <v>27.5</v>
      </c>
      <c r="D624" s="216">
        <v>34.799999999999997</v>
      </c>
      <c r="E624" s="229" t="s">
        <v>8273</v>
      </c>
      <c r="F624" s="217">
        <v>37.299999999999997</v>
      </c>
      <c r="G624" s="215">
        <v>31.4</v>
      </c>
      <c r="H624" s="216">
        <v>30</v>
      </c>
      <c r="I624" s="216">
        <v>9.6</v>
      </c>
      <c r="J624" s="217">
        <v>10</v>
      </c>
    </row>
    <row r="625" spans="1:10">
      <c r="A625" s="221">
        <v>41722</v>
      </c>
      <c r="B625" s="222">
        <v>0.16666666666666666</v>
      </c>
      <c r="C625" s="215">
        <v>27.6</v>
      </c>
      <c r="D625" s="216">
        <v>34.799999999999997</v>
      </c>
      <c r="E625" s="229" t="s">
        <v>8273</v>
      </c>
      <c r="F625" s="217">
        <v>37.200000000000003</v>
      </c>
      <c r="G625" s="215">
        <v>31.3</v>
      </c>
      <c r="H625" s="216">
        <v>30</v>
      </c>
      <c r="I625" s="216">
        <v>9.1</v>
      </c>
      <c r="J625" s="217">
        <v>9.4</v>
      </c>
    </row>
    <row r="626" spans="1:10">
      <c r="A626" s="221">
        <v>41722</v>
      </c>
      <c r="B626" s="222">
        <v>0.33333333333333331</v>
      </c>
      <c r="C626" s="215">
        <v>27.5</v>
      </c>
      <c r="D626" s="216">
        <v>34.799999999999997</v>
      </c>
      <c r="E626" s="229" t="s">
        <v>8273</v>
      </c>
      <c r="F626" s="217">
        <v>37.200000000000003</v>
      </c>
      <c r="G626" s="215">
        <v>31.3</v>
      </c>
      <c r="H626" s="216">
        <v>30</v>
      </c>
      <c r="I626" s="216">
        <v>8.8000000000000007</v>
      </c>
      <c r="J626" s="217">
        <v>9.1</v>
      </c>
    </row>
    <row r="627" spans="1:10">
      <c r="A627" s="221">
        <v>41722</v>
      </c>
      <c r="B627" s="222">
        <v>0.5</v>
      </c>
      <c r="C627" s="215">
        <v>27.4</v>
      </c>
      <c r="D627" s="216">
        <v>34.799999999999997</v>
      </c>
      <c r="E627" s="229" t="s">
        <v>8273</v>
      </c>
      <c r="F627" s="217">
        <v>37.200000000000003</v>
      </c>
      <c r="G627" s="215">
        <v>31.2</v>
      </c>
      <c r="H627" s="216">
        <v>30</v>
      </c>
      <c r="I627" s="216">
        <v>8.6</v>
      </c>
      <c r="J627" s="217">
        <v>9</v>
      </c>
    </row>
    <row r="628" spans="1:10">
      <c r="A628" s="230">
        <v>41722</v>
      </c>
      <c r="B628" s="231">
        <v>0.66666666666666663</v>
      </c>
      <c r="C628" s="232">
        <v>5.4</v>
      </c>
      <c r="D628" s="229" t="s">
        <v>8274</v>
      </c>
      <c r="E628" s="229">
        <v>7.6</v>
      </c>
      <c r="F628" s="233" t="s">
        <v>8274</v>
      </c>
      <c r="G628" s="215">
        <v>31.1</v>
      </c>
      <c r="H628" s="216">
        <v>29.9</v>
      </c>
      <c r="I628" s="216">
        <v>9.6</v>
      </c>
      <c r="J628" s="217">
        <v>10.1</v>
      </c>
    </row>
    <row r="629" spans="1:10">
      <c r="A629" s="230">
        <v>41722</v>
      </c>
      <c r="B629" s="231">
        <v>0.83333333333333337</v>
      </c>
      <c r="C629" s="232">
        <v>5.6</v>
      </c>
      <c r="D629" s="229" t="s">
        <v>8274</v>
      </c>
      <c r="E629" s="229">
        <v>6.7</v>
      </c>
      <c r="F629" s="233" t="s">
        <v>8274</v>
      </c>
      <c r="G629" s="215">
        <v>31.1</v>
      </c>
      <c r="H629" s="216">
        <v>29.9</v>
      </c>
      <c r="I629" s="216">
        <v>10</v>
      </c>
      <c r="J629" s="217">
        <v>10.5</v>
      </c>
    </row>
    <row r="630" spans="1:10">
      <c r="A630" s="230">
        <v>41723</v>
      </c>
      <c r="B630" s="231">
        <v>0</v>
      </c>
      <c r="C630" s="232">
        <v>5.6</v>
      </c>
      <c r="D630" s="229" t="s">
        <v>8274</v>
      </c>
      <c r="E630" s="229">
        <v>6.6</v>
      </c>
      <c r="F630" s="233" t="s">
        <v>8274</v>
      </c>
      <c r="G630" s="215">
        <v>31.1</v>
      </c>
      <c r="H630" s="216">
        <v>32.9</v>
      </c>
      <c r="I630" s="216">
        <v>9.8000000000000007</v>
      </c>
      <c r="J630" s="217">
        <v>10.3</v>
      </c>
    </row>
    <row r="631" spans="1:10">
      <c r="A631" s="230">
        <v>41723</v>
      </c>
      <c r="B631" s="231">
        <v>0.16666666666666666</v>
      </c>
      <c r="C631" s="232">
        <v>5.6</v>
      </c>
      <c r="D631" s="229" t="s">
        <v>8274</v>
      </c>
      <c r="E631" s="229">
        <v>6.6</v>
      </c>
      <c r="F631" s="233" t="s">
        <v>8274</v>
      </c>
      <c r="G631" s="215">
        <v>31.1</v>
      </c>
      <c r="H631" s="216">
        <v>33.1</v>
      </c>
      <c r="I631" s="216">
        <v>9.6</v>
      </c>
      <c r="J631" s="217">
        <v>10</v>
      </c>
    </row>
    <row r="632" spans="1:10">
      <c r="A632" s="230">
        <v>41723</v>
      </c>
      <c r="B632" s="231">
        <v>0.33333333333333331</v>
      </c>
      <c r="C632" s="232">
        <v>5.6</v>
      </c>
      <c r="D632" s="229" t="s">
        <v>8274</v>
      </c>
      <c r="E632" s="229">
        <v>6.5</v>
      </c>
      <c r="F632" s="233" t="s">
        <v>8274</v>
      </c>
      <c r="G632" s="215">
        <v>31.1</v>
      </c>
      <c r="H632" s="216">
        <v>33.299999999999997</v>
      </c>
      <c r="I632" s="216">
        <v>9.5</v>
      </c>
      <c r="J632" s="217">
        <v>9.9</v>
      </c>
    </row>
    <row r="633" spans="1:10">
      <c r="A633" s="230">
        <v>41723</v>
      </c>
      <c r="B633" s="231">
        <v>0.5</v>
      </c>
      <c r="C633" s="232">
        <v>3.3</v>
      </c>
      <c r="D633" s="229">
        <v>8.6999999999999993</v>
      </c>
      <c r="E633" s="229">
        <v>12.8</v>
      </c>
      <c r="F633" s="233">
        <v>6.9</v>
      </c>
      <c r="G633" s="215">
        <v>31.1</v>
      </c>
      <c r="H633" s="216">
        <v>33.1</v>
      </c>
      <c r="I633" s="216">
        <v>9.3000000000000007</v>
      </c>
      <c r="J633" s="217">
        <v>9.6999999999999993</v>
      </c>
    </row>
    <row r="634" spans="1:10">
      <c r="A634" s="230">
        <v>41723</v>
      </c>
      <c r="B634" s="231">
        <v>0.66666666666666663</v>
      </c>
      <c r="C634" s="232">
        <v>3.8</v>
      </c>
      <c r="D634" s="229">
        <v>8.6999999999999993</v>
      </c>
      <c r="E634" s="229">
        <v>12.5</v>
      </c>
      <c r="F634" s="233">
        <v>7.1</v>
      </c>
      <c r="G634" s="215">
        <v>33.6</v>
      </c>
      <c r="H634" s="216">
        <v>33.299999999999997</v>
      </c>
      <c r="I634" s="216">
        <v>9.6</v>
      </c>
      <c r="J634" s="217">
        <v>10.1</v>
      </c>
    </row>
    <row r="635" spans="1:10">
      <c r="A635" s="230">
        <v>41723</v>
      </c>
      <c r="B635" s="231">
        <v>0.83333333333333337</v>
      </c>
      <c r="C635" s="232">
        <v>4</v>
      </c>
      <c r="D635" s="229">
        <v>8.5</v>
      </c>
      <c r="E635" s="229">
        <v>12.2</v>
      </c>
      <c r="F635" s="233">
        <v>7.1</v>
      </c>
      <c r="G635" s="215">
        <v>32.799999999999997</v>
      </c>
      <c r="H635" s="216">
        <v>33.4</v>
      </c>
      <c r="I635" s="216">
        <v>9.6999999999999993</v>
      </c>
      <c r="J635" s="217">
        <v>10.199999999999999</v>
      </c>
    </row>
    <row r="636" spans="1:10">
      <c r="A636" s="230">
        <v>41724</v>
      </c>
      <c r="B636" s="231">
        <v>0</v>
      </c>
      <c r="C636" s="232">
        <v>4.2</v>
      </c>
      <c r="D636" s="229" t="s">
        <v>8274</v>
      </c>
      <c r="E636" s="229">
        <v>12.1</v>
      </c>
      <c r="F636" s="233">
        <v>7.1</v>
      </c>
      <c r="G636" s="215">
        <v>32.1</v>
      </c>
      <c r="H636" s="216">
        <v>33.4</v>
      </c>
      <c r="I636" s="216">
        <v>9.4</v>
      </c>
      <c r="J636" s="217">
        <v>9.8000000000000007</v>
      </c>
    </row>
    <row r="637" spans="1:10">
      <c r="A637" s="230">
        <v>41724</v>
      </c>
      <c r="B637" s="231">
        <v>0.16666666666666666</v>
      </c>
      <c r="C637" s="232" t="s">
        <v>8274</v>
      </c>
      <c r="D637" s="229" t="s">
        <v>8274</v>
      </c>
      <c r="E637" s="229">
        <v>11.9</v>
      </c>
      <c r="F637" s="233">
        <v>7.1</v>
      </c>
      <c r="G637" s="215">
        <v>31.8</v>
      </c>
      <c r="H637" s="216">
        <v>33.5</v>
      </c>
      <c r="I637" s="216">
        <v>8.9</v>
      </c>
      <c r="J637" s="217">
        <v>9.3000000000000007</v>
      </c>
    </row>
    <row r="638" spans="1:10">
      <c r="A638" s="230">
        <v>41724</v>
      </c>
      <c r="B638" s="231">
        <v>0.33333333333333331</v>
      </c>
      <c r="C638" s="232">
        <v>4.3</v>
      </c>
      <c r="D638" s="229">
        <v>8.1999999999999993</v>
      </c>
      <c r="E638" s="229">
        <v>11.8</v>
      </c>
      <c r="F638" s="233">
        <v>7</v>
      </c>
      <c r="G638" s="215">
        <v>31.7</v>
      </c>
      <c r="H638" s="216">
        <v>33.5</v>
      </c>
      <c r="I638" s="216">
        <v>8.8000000000000007</v>
      </c>
      <c r="J638" s="217">
        <v>9.1</v>
      </c>
    </row>
    <row r="639" spans="1:10">
      <c r="A639" s="221">
        <v>41724</v>
      </c>
      <c r="B639" s="222">
        <v>0.5</v>
      </c>
      <c r="C639" s="215">
        <v>24.3</v>
      </c>
      <c r="D639" s="216">
        <v>28</v>
      </c>
      <c r="E639" s="216">
        <v>30.5</v>
      </c>
      <c r="F639" s="217">
        <v>30.2</v>
      </c>
      <c r="G639" s="215">
        <v>31.7</v>
      </c>
      <c r="H639" s="216">
        <v>33</v>
      </c>
      <c r="I639" s="216">
        <v>8.6</v>
      </c>
      <c r="J639" s="217">
        <v>9</v>
      </c>
    </row>
    <row r="640" spans="1:10">
      <c r="A640" s="221">
        <v>41724</v>
      </c>
      <c r="B640" s="222">
        <v>0.66666666666666663</v>
      </c>
      <c r="C640" s="215">
        <v>24.3</v>
      </c>
      <c r="D640" s="216">
        <v>27.8</v>
      </c>
      <c r="E640" s="216">
        <v>30.5</v>
      </c>
      <c r="F640" s="217">
        <v>30.4</v>
      </c>
      <c r="G640" s="215">
        <v>31.6</v>
      </c>
      <c r="H640" s="216">
        <v>32.9</v>
      </c>
      <c r="I640" s="216">
        <v>9</v>
      </c>
      <c r="J640" s="217">
        <v>9.5</v>
      </c>
    </row>
    <row r="641" spans="1:10">
      <c r="A641" s="221">
        <v>41724</v>
      </c>
      <c r="B641" s="222">
        <v>0.83333333333333337</v>
      </c>
      <c r="C641" s="215">
        <v>24.3</v>
      </c>
      <c r="D641" s="216">
        <v>27.7</v>
      </c>
      <c r="E641" s="216">
        <v>30.7</v>
      </c>
      <c r="F641" s="217">
        <v>30.6</v>
      </c>
      <c r="G641" s="215">
        <v>31.7</v>
      </c>
      <c r="H641" s="216">
        <v>32.799999999999997</v>
      </c>
      <c r="I641" s="216">
        <v>9.6</v>
      </c>
      <c r="J641" s="217">
        <v>10.1</v>
      </c>
    </row>
    <row r="642" spans="1:10">
      <c r="A642" s="221">
        <v>41725</v>
      </c>
      <c r="B642" s="222">
        <v>0</v>
      </c>
      <c r="C642" s="215">
        <v>24.3</v>
      </c>
      <c r="D642" s="216">
        <v>27.6</v>
      </c>
      <c r="E642" s="216">
        <v>30.6</v>
      </c>
      <c r="F642" s="217">
        <v>30.6</v>
      </c>
      <c r="G642" s="215">
        <v>31.7</v>
      </c>
      <c r="H642" s="216">
        <v>32.799999999999997</v>
      </c>
      <c r="I642" s="216">
        <v>9.4</v>
      </c>
      <c r="J642" s="217">
        <v>9.9</v>
      </c>
    </row>
    <row r="643" spans="1:10">
      <c r="A643" s="221">
        <v>41725</v>
      </c>
      <c r="B643" s="222">
        <v>0.16666666666666666</v>
      </c>
      <c r="C643" s="215">
        <v>24.3</v>
      </c>
      <c r="D643" s="216">
        <v>27.6</v>
      </c>
      <c r="E643" s="216">
        <v>30.7</v>
      </c>
      <c r="F643" s="217">
        <v>30.7</v>
      </c>
      <c r="G643" s="215">
        <v>31.6</v>
      </c>
      <c r="H643" s="216">
        <v>32.299999999999997</v>
      </c>
      <c r="I643" s="216">
        <v>9.1</v>
      </c>
      <c r="J643" s="217">
        <v>9.5</v>
      </c>
    </row>
    <row r="644" spans="1:10">
      <c r="A644" s="221">
        <v>41725</v>
      </c>
      <c r="B644" s="222">
        <v>0.33333333333333331</v>
      </c>
      <c r="C644" s="215">
        <v>24.3</v>
      </c>
      <c r="D644" s="216">
        <v>27.6</v>
      </c>
      <c r="E644" s="216">
        <v>30.7</v>
      </c>
      <c r="F644" s="217">
        <v>30.7</v>
      </c>
      <c r="G644" s="215">
        <v>31.6</v>
      </c>
      <c r="H644" s="216">
        <v>32.200000000000003</v>
      </c>
      <c r="I644" s="216">
        <v>8.9</v>
      </c>
      <c r="J644" s="217">
        <v>9.3000000000000007</v>
      </c>
    </row>
    <row r="645" spans="1:10">
      <c r="A645" s="221">
        <v>41725</v>
      </c>
      <c r="B645" s="222">
        <v>0.5</v>
      </c>
      <c r="C645" s="215">
        <v>23.9</v>
      </c>
      <c r="D645" s="216">
        <v>27.5</v>
      </c>
      <c r="E645" s="216">
        <v>30.5</v>
      </c>
      <c r="F645" s="217">
        <v>30.8</v>
      </c>
      <c r="G645" s="215">
        <v>31.6</v>
      </c>
      <c r="H645" s="216">
        <v>32.200000000000003</v>
      </c>
      <c r="I645" s="216">
        <v>8.5</v>
      </c>
      <c r="J645" s="217">
        <v>8.9</v>
      </c>
    </row>
    <row r="646" spans="1:10">
      <c r="A646" s="221">
        <v>41725</v>
      </c>
      <c r="B646" s="222">
        <v>0.66666666666666663</v>
      </c>
      <c r="C646" s="215">
        <v>23.8</v>
      </c>
      <c r="D646" s="216">
        <v>27.5</v>
      </c>
      <c r="E646" s="216">
        <v>30.5</v>
      </c>
      <c r="F646" s="217">
        <v>30.8</v>
      </c>
      <c r="G646" s="215">
        <v>31.5</v>
      </c>
      <c r="H646" s="216">
        <v>32.1</v>
      </c>
      <c r="I646" s="216">
        <v>9.1999999999999993</v>
      </c>
      <c r="J646" s="217">
        <v>9.8000000000000007</v>
      </c>
    </row>
    <row r="647" spans="1:10">
      <c r="A647" s="221">
        <v>41725</v>
      </c>
      <c r="B647" s="222">
        <v>0.83333333333333337</v>
      </c>
      <c r="C647" s="215">
        <v>23.8</v>
      </c>
      <c r="D647" s="216">
        <v>27.4</v>
      </c>
      <c r="E647" s="216">
        <v>30.5</v>
      </c>
      <c r="F647" s="217">
        <v>30.8</v>
      </c>
      <c r="G647" s="215">
        <v>31.5</v>
      </c>
      <c r="H647" s="216">
        <v>32</v>
      </c>
      <c r="I647" s="216">
        <v>9.8000000000000007</v>
      </c>
      <c r="J647" s="217">
        <v>10.4</v>
      </c>
    </row>
    <row r="648" spans="1:10">
      <c r="A648" s="221">
        <v>41726</v>
      </c>
      <c r="B648" s="222">
        <v>0</v>
      </c>
      <c r="C648" s="215">
        <v>23.8</v>
      </c>
      <c r="D648" s="216">
        <v>27.4</v>
      </c>
      <c r="E648" s="216">
        <v>30.5</v>
      </c>
      <c r="F648" s="217">
        <v>30.8</v>
      </c>
      <c r="G648" s="215">
        <v>31.5</v>
      </c>
      <c r="H648" s="216">
        <v>32</v>
      </c>
      <c r="I648" s="216">
        <v>9.5</v>
      </c>
      <c r="J648" s="217">
        <v>10</v>
      </c>
    </row>
    <row r="649" spans="1:10">
      <c r="A649" s="221">
        <v>41726</v>
      </c>
      <c r="B649" s="222">
        <v>0.16666666666666666</v>
      </c>
      <c r="C649" s="215">
        <v>23.7</v>
      </c>
      <c r="D649" s="216">
        <v>27.3</v>
      </c>
      <c r="E649" s="216">
        <v>30.4</v>
      </c>
      <c r="F649" s="217">
        <v>30.7</v>
      </c>
      <c r="G649" s="215">
        <v>31.5</v>
      </c>
      <c r="H649" s="216">
        <v>31.9</v>
      </c>
      <c r="I649" s="216">
        <v>8.8000000000000007</v>
      </c>
      <c r="J649" s="217">
        <v>9.3000000000000007</v>
      </c>
    </row>
    <row r="650" spans="1:10">
      <c r="A650" s="221">
        <v>41726</v>
      </c>
      <c r="B650" s="222">
        <v>0.33333333333333331</v>
      </c>
      <c r="C650" s="215">
        <v>23.7</v>
      </c>
      <c r="D650" s="216">
        <v>27.3</v>
      </c>
      <c r="E650" s="216">
        <v>30.4</v>
      </c>
      <c r="F650" s="217">
        <v>30.7</v>
      </c>
      <c r="G650" s="215">
        <v>31.5</v>
      </c>
      <c r="H650" s="216">
        <v>31.9</v>
      </c>
      <c r="I650" s="216">
        <v>8.5</v>
      </c>
      <c r="J650" s="217">
        <v>8.9</v>
      </c>
    </row>
    <row r="651" spans="1:10">
      <c r="A651" s="221">
        <v>41726</v>
      </c>
      <c r="B651" s="222">
        <v>0.5</v>
      </c>
      <c r="C651" s="215">
        <v>14.1</v>
      </c>
      <c r="D651" s="216">
        <v>27</v>
      </c>
      <c r="E651" s="216">
        <v>30.5</v>
      </c>
      <c r="F651" s="217">
        <v>30.8</v>
      </c>
      <c r="G651" s="215">
        <v>31.5</v>
      </c>
      <c r="H651" s="216">
        <v>31.9</v>
      </c>
      <c r="I651" s="216">
        <v>8.1</v>
      </c>
      <c r="J651" s="217">
        <v>8.6</v>
      </c>
    </row>
    <row r="652" spans="1:10">
      <c r="A652" s="221">
        <v>41726</v>
      </c>
      <c r="B652" s="222">
        <v>0.66666666666666663</v>
      </c>
      <c r="C652" s="215">
        <v>14</v>
      </c>
      <c r="D652" s="216">
        <v>26.7</v>
      </c>
      <c r="E652" s="216">
        <v>30.5</v>
      </c>
      <c r="F652" s="217">
        <v>30.8</v>
      </c>
      <c r="G652" s="215">
        <v>31.4</v>
      </c>
      <c r="H652" s="216">
        <v>31.8</v>
      </c>
      <c r="I652" s="216">
        <v>9.4</v>
      </c>
      <c r="J652" s="217">
        <v>10.1</v>
      </c>
    </row>
    <row r="653" spans="1:10">
      <c r="A653" s="221">
        <v>41726</v>
      </c>
      <c r="B653" s="222">
        <v>0.83333333333333337</v>
      </c>
      <c r="C653" s="215">
        <v>14</v>
      </c>
      <c r="D653" s="216">
        <v>26.6</v>
      </c>
      <c r="E653" s="216">
        <v>30.5</v>
      </c>
      <c r="F653" s="217">
        <v>30.9</v>
      </c>
      <c r="G653" s="215">
        <v>31.4</v>
      </c>
      <c r="H653" s="216">
        <v>31.7</v>
      </c>
      <c r="I653" s="216">
        <v>10.3</v>
      </c>
      <c r="J653" s="217">
        <v>11.1</v>
      </c>
    </row>
    <row r="654" spans="1:10">
      <c r="A654" s="221">
        <v>41727</v>
      </c>
      <c r="B654" s="222">
        <v>0</v>
      </c>
      <c r="C654" s="215">
        <v>14</v>
      </c>
      <c r="D654" s="216">
        <v>26.6</v>
      </c>
      <c r="E654" s="216">
        <v>30.5</v>
      </c>
      <c r="F654" s="217">
        <v>30.9</v>
      </c>
      <c r="G654" s="215">
        <v>31.3</v>
      </c>
      <c r="H654" s="216">
        <v>31.7</v>
      </c>
      <c r="I654" s="216">
        <v>10.199999999999999</v>
      </c>
      <c r="J654" s="217">
        <v>10.9</v>
      </c>
    </row>
    <row r="655" spans="1:10">
      <c r="A655" s="221">
        <v>41727</v>
      </c>
      <c r="B655" s="222">
        <v>0.16666666666666666</v>
      </c>
      <c r="C655" s="215">
        <v>14</v>
      </c>
      <c r="D655" s="216">
        <v>26.6</v>
      </c>
      <c r="E655" s="216">
        <v>30.5</v>
      </c>
      <c r="F655" s="217">
        <v>30.9</v>
      </c>
      <c r="G655" s="215">
        <v>31.3</v>
      </c>
      <c r="H655" s="216">
        <v>31.6</v>
      </c>
      <c r="I655" s="216">
        <v>9.9</v>
      </c>
      <c r="J655" s="217">
        <v>10.6</v>
      </c>
    </row>
    <row r="656" spans="1:10">
      <c r="A656" s="221">
        <v>41727</v>
      </c>
      <c r="B656" s="222">
        <v>0.33333333333333331</v>
      </c>
      <c r="C656" s="215">
        <v>14</v>
      </c>
      <c r="D656" s="216">
        <v>26.6</v>
      </c>
      <c r="E656" s="216">
        <v>30.5</v>
      </c>
      <c r="F656" s="217">
        <v>30.8</v>
      </c>
      <c r="G656" s="215">
        <v>31.3</v>
      </c>
      <c r="H656" s="216">
        <v>31.6</v>
      </c>
      <c r="I656" s="216">
        <v>9.8000000000000007</v>
      </c>
      <c r="J656" s="217">
        <v>10.4</v>
      </c>
    </row>
    <row r="657" spans="1:10">
      <c r="A657" s="221">
        <v>41727</v>
      </c>
      <c r="B657" s="222">
        <v>0.5</v>
      </c>
      <c r="C657" s="215">
        <v>13.9</v>
      </c>
      <c r="D657" s="216">
        <v>26.6</v>
      </c>
      <c r="E657" s="216">
        <v>30.4</v>
      </c>
      <c r="F657" s="217">
        <v>30.4</v>
      </c>
      <c r="G657" s="215">
        <v>31.3</v>
      </c>
      <c r="H657" s="216">
        <v>31.6</v>
      </c>
      <c r="I657" s="216">
        <v>9.6</v>
      </c>
      <c r="J657" s="217">
        <v>10.199999999999999</v>
      </c>
    </row>
    <row r="658" spans="1:10">
      <c r="A658" s="221">
        <v>41727</v>
      </c>
      <c r="B658" s="222">
        <v>0.66666666666666663</v>
      </c>
      <c r="C658" s="215">
        <v>13.8</v>
      </c>
      <c r="D658" s="216">
        <v>26.4</v>
      </c>
      <c r="E658" s="216">
        <v>30.4</v>
      </c>
      <c r="F658" s="217">
        <v>30.4</v>
      </c>
      <c r="G658" s="215">
        <v>31.2</v>
      </c>
      <c r="H658" s="216">
        <v>31.5</v>
      </c>
      <c r="I658" s="216">
        <v>10.1</v>
      </c>
      <c r="J658" s="217">
        <v>10.8</v>
      </c>
    </row>
    <row r="659" spans="1:10">
      <c r="A659" s="221">
        <v>41727</v>
      </c>
      <c r="B659" s="222">
        <v>0.83333333333333337</v>
      </c>
      <c r="C659" s="215">
        <v>13.8</v>
      </c>
      <c r="D659" s="216">
        <v>26.4</v>
      </c>
      <c r="E659" s="216">
        <v>30.4</v>
      </c>
      <c r="F659" s="217">
        <v>30.4</v>
      </c>
      <c r="G659" s="215">
        <v>31.2</v>
      </c>
      <c r="H659" s="216">
        <v>31.4</v>
      </c>
      <c r="I659" s="216">
        <v>10.6</v>
      </c>
      <c r="J659" s="217">
        <v>11.4</v>
      </c>
    </row>
    <row r="660" spans="1:10">
      <c r="A660" s="221">
        <v>41728</v>
      </c>
      <c r="B660" s="222">
        <v>0</v>
      </c>
      <c r="C660" s="215">
        <v>13.9</v>
      </c>
      <c r="D660" s="216">
        <v>26.4</v>
      </c>
      <c r="E660" s="216">
        <v>30.4</v>
      </c>
      <c r="F660" s="217">
        <v>30.4</v>
      </c>
      <c r="G660" s="215">
        <v>31.2</v>
      </c>
      <c r="H660" s="216">
        <v>31.4</v>
      </c>
      <c r="I660" s="216">
        <v>10.5</v>
      </c>
      <c r="J660" s="217">
        <v>11.2</v>
      </c>
    </row>
    <row r="661" spans="1:10">
      <c r="A661" s="221">
        <v>41728</v>
      </c>
      <c r="B661" s="222">
        <v>0.16666666666666666</v>
      </c>
      <c r="C661" s="215">
        <v>13.8</v>
      </c>
      <c r="D661" s="216">
        <v>26.4</v>
      </c>
      <c r="E661" s="216">
        <v>30.4</v>
      </c>
      <c r="F661" s="217">
        <v>30.4</v>
      </c>
      <c r="G661" s="215">
        <v>31.2</v>
      </c>
      <c r="H661" s="216">
        <v>31.3</v>
      </c>
      <c r="I661" s="216">
        <v>10.3</v>
      </c>
      <c r="J661" s="217">
        <v>11</v>
      </c>
    </row>
    <row r="662" spans="1:10">
      <c r="A662" s="221">
        <v>41728</v>
      </c>
      <c r="B662" s="222">
        <v>0.33333333333333331</v>
      </c>
      <c r="C662" s="215">
        <v>13.8</v>
      </c>
      <c r="D662" s="216">
        <v>26.4</v>
      </c>
      <c r="E662" s="216">
        <v>30.3</v>
      </c>
      <c r="F662" s="217">
        <v>30.3</v>
      </c>
      <c r="G662" s="215">
        <v>31.2</v>
      </c>
      <c r="H662" s="216">
        <v>31.3</v>
      </c>
      <c r="I662" s="216">
        <v>10.199999999999999</v>
      </c>
      <c r="J662" s="217">
        <v>10.9</v>
      </c>
    </row>
    <row r="663" spans="1:10">
      <c r="A663" s="221">
        <v>41728</v>
      </c>
      <c r="B663" s="222">
        <v>0.5</v>
      </c>
      <c r="C663" s="215">
        <v>13.8</v>
      </c>
      <c r="D663" s="216">
        <v>26.4</v>
      </c>
      <c r="E663" s="216">
        <v>30.3</v>
      </c>
      <c r="F663" s="217">
        <v>30.4</v>
      </c>
      <c r="G663" s="215">
        <v>31.1</v>
      </c>
      <c r="H663" s="216">
        <v>31.2</v>
      </c>
      <c r="I663" s="216">
        <v>10.199999999999999</v>
      </c>
      <c r="J663" s="217">
        <v>10.8</v>
      </c>
    </row>
    <row r="664" spans="1:10">
      <c r="A664" s="221">
        <v>41728</v>
      </c>
      <c r="B664" s="222">
        <v>0.66666666666666663</v>
      </c>
      <c r="C664" s="215">
        <v>13.8</v>
      </c>
      <c r="D664" s="216">
        <v>26.3</v>
      </c>
      <c r="E664" s="216">
        <v>30.3</v>
      </c>
      <c r="F664" s="217">
        <v>30.4</v>
      </c>
      <c r="G664" s="215">
        <v>31.1</v>
      </c>
      <c r="H664" s="216">
        <v>31.2</v>
      </c>
      <c r="I664" s="216">
        <v>10.6</v>
      </c>
      <c r="J664" s="217">
        <v>11.3</v>
      </c>
    </row>
    <row r="665" spans="1:10">
      <c r="A665" s="221">
        <v>41728</v>
      </c>
      <c r="B665" s="222">
        <v>0.83333333333333337</v>
      </c>
      <c r="C665" s="215">
        <v>13.8</v>
      </c>
      <c r="D665" s="216">
        <v>26.3</v>
      </c>
      <c r="E665" s="216">
        <v>30.3</v>
      </c>
      <c r="F665" s="217">
        <v>30.4</v>
      </c>
      <c r="G665" s="215">
        <v>31.1</v>
      </c>
      <c r="H665" s="216">
        <v>31.1</v>
      </c>
      <c r="I665" s="216">
        <v>10.9</v>
      </c>
      <c r="J665" s="217">
        <v>11.6</v>
      </c>
    </row>
    <row r="666" spans="1:10">
      <c r="A666" s="221">
        <v>41729</v>
      </c>
      <c r="B666" s="222">
        <v>0</v>
      </c>
      <c r="C666" s="215">
        <v>13.7</v>
      </c>
      <c r="D666" s="216">
        <v>26.3</v>
      </c>
      <c r="E666" s="216">
        <v>30.4</v>
      </c>
      <c r="F666" s="217">
        <v>30.5</v>
      </c>
      <c r="G666" s="215">
        <v>31</v>
      </c>
      <c r="H666" s="216">
        <v>31</v>
      </c>
      <c r="I666" s="216">
        <v>10.9</v>
      </c>
      <c r="J666" s="217">
        <v>11.5</v>
      </c>
    </row>
    <row r="667" spans="1:10">
      <c r="A667" s="221">
        <v>41729</v>
      </c>
      <c r="B667" s="222">
        <v>0.16666666666666666</v>
      </c>
      <c r="C667" s="215">
        <v>13.8</v>
      </c>
      <c r="D667" s="216">
        <v>26.3</v>
      </c>
      <c r="E667" s="216">
        <v>30.4</v>
      </c>
      <c r="F667" s="217">
        <v>30.5</v>
      </c>
      <c r="G667" s="215">
        <v>31</v>
      </c>
      <c r="H667" s="216">
        <v>31</v>
      </c>
      <c r="I667" s="216">
        <v>10.7</v>
      </c>
      <c r="J667" s="217">
        <v>11.3</v>
      </c>
    </row>
    <row r="668" spans="1:10">
      <c r="A668" s="221">
        <v>41729</v>
      </c>
      <c r="B668" s="222">
        <v>0.33333333333333331</v>
      </c>
      <c r="C668" s="215">
        <v>13.8</v>
      </c>
      <c r="D668" s="216">
        <v>26.3</v>
      </c>
      <c r="E668" s="216">
        <v>30.3</v>
      </c>
      <c r="F668" s="217">
        <v>30.4</v>
      </c>
      <c r="G668" s="215">
        <v>31</v>
      </c>
      <c r="H668" s="216">
        <v>31</v>
      </c>
      <c r="I668" s="216">
        <v>10.7</v>
      </c>
      <c r="J668" s="217">
        <v>11.3</v>
      </c>
    </row>
    <row r="669" spans="1:10">
      <c r="A669" s="221">
        <v>41729</v>
      </c>
      <c r="B669" s="222">
        <v>0.5</v>
      </c>
      <c r="C669" s="215">
        <v>13.7</v>
      </c>
      <c r="D669" s="216">
        <v>26.2</v>
      </c>
      <c r="E669" s="216">
        <v>30.3</v>
      </c>
      <c r="F669" s="217">
        <v>30.4</v>
      </c>
      <c r="G669" s="215">
        <v>31</v>
      </c>
      <c r="H669" s="216">
        <v>30.9</v>
      </c>
      <c r="I669" s="216">
        <v>10.7</v>
      </c>
      <c r="J669" s="217">
        <v>11.3</v>
      </c>
    </row>
    <row r="670" spans="1:10">
      <c r="A670" s="221">
        <v>41729</v>
      </c>
      <c r="B670" s="222">
        <v>0.66666666666666663</v>
      </c>
      <c r="C670" s="215">
        <v>13.7</v>
      </c>
      <c r="D670" s="216">
        <v>26.2</v>
      </c>
      <c r="E670" s="216">
        <v>30.2</v>
      </c>
      <c r="F670" s="217">
        <v>30.4</v>
      </c>
      <c r="G670" s="215">
        <v>30.9</v>
      </c>
      <c r="H670" s="216">
        <v>30.8</v>
      </c>
      <c r="I670" s="216">
        <v>11.6</v>
      </c>
      <c r="J670" s="217">
        <v>12.3</v>
      </c>
    </row>
    <row r="671" spans="1:10">
      <c r="A671" s="221">
        <v>41729</v>
      </c>
      <c r="B671" s="222">
        <v>0.83333333333333337</v>
      </c>
      <c r="C671" s="215">
        <v>13.8</v>
      </c>
      <c r="D671" s="216">
        <v>26.1</v>
      </c>
      <c r="E671" s="216">
        <v>30.3</v>
      </c>
      <c r="F671" s="217">
        <v>30.4</v>
      </c>
      <c r="G671" s="215">
        <v>30.9</v>
      </c>
      <c r="H671" s="216">
        <v>30.8</v>
      </c>
      <c r="I671" s="216">
        <v>12.3</v>
      </c>
      <c r="J671" s="217">
        <v>13.1</v>
      </c>
    </row>
    <row r="672" spans="1:10">
      <c r="A672" s="221">
        <v>41730</v>
      </c>
      <c r="B672" s="222">
        <v>0</v>
      </c>
      <c r="C672" s="215">
        <v>13.8</v>
      </c>
      <c r="D672" s="216">
        <v>26.2</v>
      </c>
      <c r="E672" s="216">
        <v>30.4</v>
      </c>
      <c r="F672" s="217">
        <v>30.5</v>
      </c>
      <c r="G672" s="215">
        <v>30.9</v>
      </c>
      <c r="H672" s="216">
        <v>30.7</v>
      </c>
      <c r="I672" s="216">
        <v>12.1</v>
      </c>
      <c r="J672" s="217">
        <v>12.9</v>
      </c>
    </row>
    <row r="673" spans="1:10">
      <c r="A673" s="221">
        <v>41730</v>
      </c>
      <c r="B673" s="222">
        <v>0.16666666666666666</v>
      </c>
      <c r="C673" s="215">
        <v>13.8</v>
      </c>
      <c r="D673" s="216">
        <v>26.1</v>
      </c>
      <c r="E673" s="216">
        <v>30.3</v>
      </c>
      <c r="F673" s="217">
        <v>30.5</v>
      </c>
      <c r="G673" s="215">
        <v>30.9</v>
      </c>
      <c r="H673" s="216">
        <v>30.7</v>
      </c>
      <c r="I673" s="216">
        <v>11.8</v>
      </c>
      <c r="J673" s="217">
        <v>12.5</v>
      </c>
    </row>
    <row r="674" spans="1:10">
      <c r="A674" s="221">
        <v>41730</v>
      </c>
      <c r="B674" s="222">
        <v>0.33333333333333331</v>
      </c>
      <c r="C674" s="215">
        <v>13.8</v>
      </c>
      <c r="D674" s="216">
        <v>26.1</v>
      </c>
      <c r="E674" s="216">
        <v>30.2</v>
      </c>
      <c r="F674" s="217">
        <v>30.3</v>
      </c>
      <c r="G674" s="215">
        <v>30.8</v>
      </c>
      <c r="H674" s="216">
        <v>30.7</v>
      </c>
      <c r="I674" s="216">
        <v>11.7</v>
      </c>
      <c r="J674" s="217">
        <v>12.4</v>
      </c>
    </row>
    <row r="675" spans="1:10">
      <c r="A675" s="221">
        <v>41730</v>
      </c>
      <c r="B675" s="222">
        <v>0.5</v>
      </c>
      <c r="C675" s="215">
        <v>13.7</v>
      </c>
      <c r="D675" s="216">
        <v>26</v>
      </c>
      <c r="E675" s="216">
        <v>30.2</v>
      </c>
      <c r="F675" s="217">
        <v>30.4</v>
      </c>
      <c r="G675" s="215">
        <v>30.8</v>
      </c>
      <c r="H675" s="216">
        <v>30.6</v>
      </c>
      <c r="I675" s="216">
        <v>11.7</v>
      </c>
      <c r="J675" s="217">
        <v>12.4</v>
      </c>
    </row>
    <row r="676" spans="1:10">
      <c r="A676" s="221">
        <v>41730</v>
      </c>
      <c r="B676" s="222">
        <v>0.66666666666666663</v>
      </c>
      <c r="C676" s="215">
        <v>13.7</v>
      </c>
      <c r="D676" s="216">
        <v>26</v>
      </c>
      <c r="E676" s="216">
        <v>30.2</v>
      </c>
      <c r="F676" s="217">
        <v>30.3</v>
      </c>
      <c r="G676" s="215">
        <v>30.8</v>
      </c>
      <c r="H676" s="216">
        <v>30.5</v>
      </c>
      <c r="I676" s="216">
        <v>12.6</v>
      </c>
      <c r="J676" s="217">
        <v>13.5</v>
      </c>
    </row>
    <row r="677" spans="1:10">
      <c r="A677" s="221">
        <v>41730</v>
      </c>
      <c r="B677" s="222">
        <v>0.83333333333333337</v>
      </c>
      <c r="C677" s="215">
        <v>13.8</v>
      </c>
      <c r="D677" s="216">
        <v>25.9</v>
      </c>
      <c r="E677" s="216">
        <v>30.1</v>
      </c>
      <c r="F677" s="217">
        <v>30.4</v>
      </c>
      <c r="G677" s="215">
        <v>30.7</v>
      </c>
      <c r="H677" s="216">
        <v>30.4</v>
      </c>
      <c r="I677" s="216">
        <v>13.2</v>
      </c>
      <c r="J677" s="217">
        <v>14</v>
      </c>
    </row>
    <row r="678" spans="1:10">
      <c r="A678" s="221">
        <v>41731</v>
      </c>
      <c r="B678" s="222">
        <v>0</v>
      </c>
      <c r="C678" s="215">
        <v>14.1</v>
      </c>
      <c r="D678" s="216">
        <v>25.9</v>
      </c>
      <c r="E678" s="216">
        <v>30</v>
      </c>
      <c r="F678" s="217">
        <v>30.3</v>
      </c>
      <c r="G678" s="215">
        <v>30.7</v>
      </c>
      <c r="H678" s="216">
        <v>30.4</v>
      </c>
      <c r="I678" s="216">
        <v>12.8</v>
      </c>
      <c r="J678" s="217">
        <v>13.5</v>
      </c>
    </row>
    <row r="679" spans="1:10">
      <c r="A679" s="221">
        <v>41731</v>
      </c>
      <c r="B679" s="222">
        <v>0.16666666666666666</v>
      </c>
      <c r="C679" s="215">
        <v>14.1</v>
      </c>
      <c r="D679" s="216">
        <v>26.5</v>
      </c>
      <c r="E679" s="216">
        <v>30</v>
      </c>
      <c r="F679" s="217">
        <v>30.4</v>
      </c>
      <c r="G679" s="215">
        <v>30.6</v>
      </c>
      <c r="H679" s="216">
        <v>30.3</v>
      </c>
      <c r="I679" s="216">
        <v>12.3</v>
      </c>
      <c r="J679" s="217">
        <v>13</v>
      </c>
    </row>
    <row r="680" spans="1:10">
      <c r="A680" s="221">
        <v>41731</v>
      </c>
      <c r="B680" s="222">
        <v>0.33333333333333331</v>
      </c>
      <c r="C680" s="215">
        <v>14.1</v>
      </c>
      <c r="D680" s="216">
        <v>26.4</v>
      </c>
      <c r="E680" s="216">
        <v>30</v>
      </c>
      <c r="F680" s="217">
        <v>30.3</v>
      </c>
      <c r="G680" s="215">
        <v>30.6</v>
      </c>
      <c r="H680" s="216">
        <v>30.3</v>
      </c>
      <c r="I680" s="216">
        <v>12.1</v>
      </c>
      <c r="J680" s="217">
        <v>12.8</v>
      </c>
    </row>
    <row r="681" spans="1:10">
      <c r="A681" s="221">
        <v>41731</v>
      </c>
      <c r="B681" s="222">
        <v>0.5</v>
      </c>
      <c r="C681" s="215">
        <v>13.9</v>
      </c>
      <c r="D681" s="216">
        <v>26.5</v>
      </c>
      <c r="E681" s="216">
        <v>29.9</v>
      </c>
      <c r="F681" s="217">
        <v>30.3</v>
      </c>
      <c r="G681" s="215">
        <v>30.6</v>
      </c>
      <c r="H681" s="216">
        <v>30.3</v>
      </c>
      <c r="I681" s="216">
        <v>11.8</v>
      </c>
      <c r="J681" s="217">
        <v>12.4</v>
      </c>
    </row>
    <row r="682" spans="1:10">
      <c r="A682" s="221">
        <v>41731</v>
      </c>
      <c r="B682" s="222">
        <v>0.66666666666666663</v>
      </c>
      <c r="C682" s="215">
        <v>13.9</v>
      </c>
      <c r="D682" s="216">
        <v>26.4</v>
      </c>
      <c r="E682" s="216">
        <v>29.5</v>
      </c>
      <c r="F682" s="217">
        <v>30.3</v>
      </c>
      <c r="G682" s="215">
        <v>30.5</v>
      </c>
      <c r="H682" s="216">
        <v>30.2</v>
      </c>
      <c r="I682" s="216">
        <v>12.3</v>
      </c>
      <c r="J682" s="217">
        <v>13.1</v>
      </c>
    </row>
    <row r="683" spans="1:10">
      <c r="A683" s="221">
        <v>41731</v>
      </c>
      <c r="B683" s="222">
        <v>0.83333333333333337</v>
      </c>
      <c r="C683" s="215">
        <v>13.9</v>
      </c>
      <c r="D683" s="216">
        <v>26.3</v>
      </c>
      <c r="E683" s="216">
        <v>29.3</v>
      </c>
      <c r="F683" s="217">
        <v>30.2</v>
      </c>
      <c r="G683" s="215">
        <v>30.5</v>
      </c>
      <c r="H683" s="216">
        <v>30.2</v>
      </c>
      <c r="I683" s="216">
        <v>12.6</v>
      </c>
      <c r="J683" s="217">
        <v>13.3</v>
      </c>
    </row>
    <row r="684" spans="1:10">
      <c r="A684" s="221">
        <v>41732</v>
      </c>
      <c r="B684" s="222">
        <v>0</v>
      </c>
      <c r="C684" s="215">
        <v>13.9</v>
      </c>
      <c r="D684" s="216">
        <v>26.3</v>
      </c>
      <c r="E684" s="216">
        <v>29.4</v>
      </c>
      <c r="F684" s="217">
        <v>30.3</v>
      </c>
      <c r="G684" s="215">
        <v>30.5</v>
      </c>
      <c r="H684" s="216">
        <v>30.1</v>
      </c>
      <c r="I684" s="216">
        <v>12.4</v>
      </c>
      <c r="J684" s="217">
        <v>13.1</v>
      </c>
    </row>
    <row r="685" spans="1:10">
      <c r="A685" s="221">
        <v>41732</v>
      </c>
      <c r="B685" s="222">
        <v>0.16666666666666666</v>
      </c>
      <c r="C685" s="215">
        <v>13.9</v>
      </c>
      <c r="D685" s="216">
        <v>26.2</v>
      </c>
      <c r="E685" s="216">
        <v>29.5</v>
      </c>
      <c r="F685" s="217">
        <v>30.3</v>
      </c>
      <c r="G685" s="215">
        <v>30.4</v>
      </c>
      <c r="H685" s="216">
        <v>30.1</v>
      </c>
      <c r="I685" s="216">
        <v>12.2</v>
      </c>
      <c r="J685" s="217">
        <v>12.9</v>
      </c>
    </row>
    <row r="686" spans="1:10">
      <c r="A686" s="221">
        <v>41732</v>
      </c>
      <c r="B686" s="222">
        <v>0.33333333333333331</v>
      </c>
      <c r="C686" s="215">
        <v>13.8</v>
      </c>
      <c r="D686" s="216">
        <v>26.3</v>
      </c>
      <c r="E686" s="216">
        <v>29.4</v>
      </c>
      <c r="F686" s="217">
        <v>30.2</v>
      </c>
      <c r="G686" s="215">
        <v>30.4</v>
      </c>
      <c r="H686" s="216">
        <v>30.1</v>
      </c>
      <c r="I686" s="216">
        <v>12.1</v>
      </c>
      <c r="J686" s="217">
        <v>12.7</v>
      </c>
    </row>
    <row r="687" spans="1:10">
      <c r="A687" s="221">
        <v>41732</v>
      </c>
      <c r="B687" s="222">
        <v>0.5</v>
      </c>
      <c r="C687" s="215">
        <v>13.8</v>
      </c>
      <c r="D687" s="216">
        <v>26.2</v>
      </c>
      <c r="E687" s="216">
        <v>29.4</v>
      </c>
      <c r="F687" s="217">
        <v>30.2</v>
      </c>
      <c r="G687" s="215">
        <v>30.4</v>
      </c>
      <c r="H687" s="216">
        <v>30</v>
      </c>
      <c r="I687" s="216">
        <v>11.9</v>
      </c>
      <c r="J687" s="217">
        <v>12.5</v>
      </c>
    </row>
    <row r="688" spans="1:10">
      <c r="A688" s="221">
        <v>41732</v>
      </c>
      <c r="B688" s="222">
        <v>0.66666666666666663</v>
      </c>
      <c r="C688" s="215">
        <v>13.8</v>
      </c>
      <c r="D688" s="216">
        <v>27.1</v>
      </c>
      <c r="E688" s="216">
        <v>35.6</v>
      </c>
      <c r="F688" s="217">
        <v>30</v>
      </c>
      <c r="G688" s="215">
        <v>30.3</v>
      </c>
      <c r="H688" s="216">
        <v>30</v>
      </c>
      <c r="I688" s="216">
        <v>12</v>
      </c>
      <c r="J688" s="217">
        <v>12.6</v>
      </c>
    </row>
    <row r="689" spans="1:10">
      <c r="A689" s="221">
        <v>41732</v>
      </c>
      <c r="B689" s="222">
        <v>0.83333333333333337</v>
      </c>
      <c r="C689" s="215">
        <v>13.8</v>
      </c>
      <c r="D689" s="216">
        <v>27.4</v>
      </c>
      <c r="E689" s="216">
        <v>35.9</v>
      </c>
      <c r="F689" s="217">
        <v>30.3</v>
      </c>
      <c r="G689" s="215">
        <v>30.3</v>
      </c>
      <c r="H689" s="216">
        <v>30</v>
      </c>
      <c r="I689" s="216">
        <v>12</v>
      </c>
      <c r="J689" s="217">
        <v>12.6</v>
      </c>
    </row>
    <row r="690" spans="1:10">
      <c r="A690" s="221">
        <v>41733</v>
      </c>
      <c r="B690" s="222">
        <v>0</v>
      </c>
      <c r="C690" s="215">
        <v>14.9</v>
      </c>
      <c r="D690" s="216">
        <v>27.3</v>
      </c>
      <c r="E690" s="216">
        <v>40.200000000000003</v>
      </c>
      <c r="F690" s="217">
        <v>30.4</v>
      </c>
      <c r="G690" s="215">
        <v>30.3</v>
      </c>
      <c r="H690" s="216">
        <v>29.9</v>
      </c>
      <c r="I690" s="216">
        <v>11.9</v>
      </c>
      <c r="J690" s="217">
        <v>12.4</v>
      </c>
    </row>
    <row r="691" spans="1:10">
      <c r="A691" s="221">
        <v>41733</v>
      </c>
      <c r="B691" s="222">
        <v>0.16666666666666666</v>
      </c>
      <c r="C691" s="215">
        <v>24.8</v>
      </c>
      <c r="D691" s="216">
        <v>31.6</v>
      </c>
      <c r="E691" s="216">
        <v>42.8</v>
      </c>
      <c r="F691" s="217">
        <v>39.299999999999997</v>
      </c>
      <c r="G691" s="215">
        <v>30.3</v>
      </c>
      <c r="H691" s="216">
        <v>32.9</v>
      </c>
      <c r="I691" s="216">
        <v>11.7</v>
      </c>
      <c r="J691" s="217">
        <v>12.2</v>
      </c>
    </row>
    <row r="692" spans="1:10">
      <c r="A692" s="221">
        <v>41733</v>
      </c>
      <c r="B692" s="222">
        <v>0.33333333333333331</v>
      </c>
      <c r="C692" s="215">
        <v>21.9</v>
      </c>
      <c r="D692" s="216">
        <v>30.9</v>
      </c>
      <c r="E692" s="216">
        <v>42.2</v>
      </c>
      <c r="F692" s="217">
        <v>38.1</v>
      </c>
      <c r="G692" s="215">
        <v>30.3</v>
      </c>
      <c r="H692" s="216">
        <v>33.1</v>
      </c>
      <c r="I692" s="216">
        <v>11.6</v>
      </c>
      <c r="J692" s="217">
        <v>12.1</v>
      </c>
    </row>
    <row r="693" spans="1:10">
      <c r="A693" s="221">
        <v>41733</v>
      </c>
      <c r="B693" s="222">
        <v>0.5</v>
      </c>
      <c r="C693" s="215">
        <v>20.100000000000001</v>
      </c>
      <c r="D693" s="216">
        <v>29.5</v>
      </c>
      <c r="E693" s="216">
        <v>38.5</v>
      </c>
      <c r="F693" s="217">
        <v>34.1</v>
      </c>
      <c r="G693" s="215">
        <v>30.3</v>
      </c>
      <c r="H693" s="216">
        <v>33.4</v>
      </c>
      <c r="I693" s="216">
        <v>11.3</v>
      </c>
      <c r="J693" s="217">
        <v>11.8</v>
      </c>
    </row>
    <row r="694" spans="1:10">
      <c r="A694" s="221">
        <v>41733</v>
      </c>
      <c r="B694" s="222">
        <v>0.66666666666666663</v>
      </c>
      <c r="C694" s="215">
        <v>19.8</v>
      </c>
      <c r="D694" s="216">
        <v>28.3</v>
      </c>
      <c r="E694" s="216">
        <v>37.5</v>
      </c>
      <c r="F694" s="217">
        <v>32.1</v>
      </c>
      <c r="G694" s="215">
        <v>30.4</v>
      </c>
      <c r="H694" s="216">
        <v>33</v>
      </c>
      <c r="I694" s="216">
        <v>11.7</v>
      </c>
      <c r="J694" s="217">
        <v>12.2</v>
      </c>
    </row>
    <row r="695" spans="1:10">
      <c r="A695" s="221">
        <v>41733</v>
      </c>
      <c r="B695" s="222">
        <v>0.83333333333333337</v>
      </c>
      <c r="C695" s="215">
        <v>19.600000000000001</v>
      </c>
      <c r="D695" s="216">
        <v>28.8</v>
      </c>
      <c r="E695" s="216">
        <v>37.6</v>
      </c>
      <c r="F695" s="217">
        <v>31.4</v>
      </c>
      <c r="G695" s="215">
        <v>30.4</v>
      </c>
      <c r="H695" s="216">
        <v>32.9</v>
      </c>
      <c r="I695" s="216">
        <v>12.2</v>
      </c>
      <c r="J695" s="217">
        <v>12.8</v>
      </c>
    </row>
    <row r="696" spans="1:10">
      <c r="A696" s="221">
        <v>41734</v>
      </c>
      <c r="B696" s="222">
        <v>0</v>
      </c>
      <c r="C696" s="215">
        <v>18.899999999999999</v>
      </c>
      <c r="D696" s="216">
        <v>27.9</v>
      </c>
      <c r="E696" s="216">
        <v>37</v>
      </c>
      <c r="F696" s="217">
        <v>31.1</v>
      </c>
      <c r="G696" s="215">
        <v>30.4</v>
      </c>
      <c r="H696" s="216">
        <v>32.4</v>
      </c>
      <c r="I696" s="216">
        <v>12.1</v>
      </c>
      <c r="J696" s="217">
        <v>12.6</v>
      </c>
    </row>
    <row r="697" spans="1:10">
      <c r="A697" s="221">
        <v>41734</v>
      </c>
      <c r="B697" s="222">
        <v>0.16666666666666666</v>
      </c>
      <c r="C697" s="215">
        <v>18.600000000000001</v>
      </c>
      <c r="D697" s="216">
        <v>27.9</v>
      </c>
      <c r="E697" s="216">
        <v>36.6</v>
      </c>
      <c r="F697" s="217">
        <v>30.9</v>
      </c>
      <c r="G697" s="215">
        <v>30.4</v>
      </c>
      <c r="H697" s="216">
        <v>31.6</v>
      </c>
      <c r="I697" s="216">
        <v>11.4</v>
      </c>
      <c r="J697" s="217">
        <v>11.9</v>
      </c>
    </row>
    <row r="698" spans="1:10">
      <c r="A698" s="221">
        <v>41734</v>
      </c>
      <c r="B698" s="222">
        <v>0.33333333333333331</v>
      </c>
      <c r="C698" s="215">
        <v>18.399999999999999</v>
      </c>
      <c r="D698" s="216">
        <v>27.7</v>
      </c>
      <c r="E698" s="216">
        <v>36.5</v>
      </c>
      <c r="F698" s="217">
        <v>30.9</v>
      </c>
      <c r="G698" s="215">
        <v>30.4</v>
      </c>
      <c r="H698" s="216">
        <v>31.5</v>
      </c>
      <c r="I698" s="216">
        <v>11</v>
      </c>
      <c r="J698" s="217">
        <v>11.5</v>
      </c>
    </row>
    <row r="699" spans="1:10">
      <c r="A699" s="221">
        <v>41734</v>
      </c>
      <c r="B699" s="222">
        <v>0.5</v>
      </c>
      <c r="C699" s="215">
        <v>18.2</v>
      </c>
      <c r="D699" s="216">
        <v>28</v>
      </c>
      <c r="E699" s="216">
        <v>36.299999999999997</v>
      </c>
      <c r="F699" s="217">
        <v>30.8</v>
      </c>
      <c r="G699" s="215">
        <v>30.4</v>
      </c>
      <c r="H699" s="216">
        <v>31.3</v>
      </c>
      <c r="I699" s="216">
        <v>10.4</v>
      </c>
      <c r="J699" s="217">
        <v>10.9</v>
      </c>
    </row>
    <row r="700" spans="1:10">
      <c r="A700" s="221">
        <v>41734</v>
      </c>
      <c r="B700" s="222">
        <v>0.66666666666666663</v>
      </c>
      <c r="C700" s="215">
        <v>18</v>
      </c>
      <c r="D700" s="216">
        <v>27.2</v>
      </c>
      <c r="E700" s="216">
        <v>36.200000000000003</v>
      </c>
      <c r="F700" s="217">
        <v>30.8</v>
      </c>
      <c r="G700" s="215">
        <v>30.4</v>
      </c>
      <c r="H700" s="216">
        <v>31.2</v>
      </c>
      <c r="I700" s="216">
        <v>11.5</v>
      </c>
      <c r="J700" s="217">
        <v>12.3</v>
      </c>
    </row>
    <row r="701" spans="1:10">
      <c r="A701" s="221">
        <v>41734</v>
      </c>
      <c r="B701" s="222">
        <v>0.83333333333333337</v>
      </c>
      <c r="C701" s="215">
        <v>17.899999999999999</v>
      </c>
      <c r="D701" s="216">
        <v>27.3</v>
      </c>
      <c r="E701" s="216">
        <v>36.1</v>
      </c>
      <c r="F701" s="217">
        <v>30.8</v>
      </c>
      <c r="G701" s="215">
        <v>30.3</v>
      </c>
      <c r="H701" s="216">
        <v>31</v>
      </c>
      <c r="I701" s="216">
        <v>12.6</v>
      </c>
      <c r="J701" s="217">
        <v>13.4</v>
      </c>
    </row>
    <row r="702" spans="1:10">
      <c r="A702" s="221">
        <v>41735</v>
      </c>
      <c r="B702" s="222">
        <v>0</v>
      </c>
      <c r="C702" s="215">
        <v>18.100000000000001</v>
      </c>
      <c r="D702" s="216">
        <v>27</v>
      </c>
      <c r="E702" s="216">
        <v>36</v>
      </c>
      <c r="F702" s="217">
        <v>30.7</v>
      </c>
      <c r="G702" s="215">
        <v>30.3</v>
      </c>
      <c r="H702" s="216">
        <v>30.9</v>
      </c>
      <c r="I702" s="216">
        <v>12.6</v>
      </c>
      <c r="J702" s="217">
        <v>13.3</v>
      </c>
    </row>
    <row r="703" spans="1:10">
      <c r="A703" s="221">
        <v>41735</v>
      </c>
      <c r="B703" s="222">
        <v>0.16666666666666666</v>
      </c>
      <c r="C703" s="215">
        <v>17.8</v>
      </c>
      <c r="D703" s="216">
        <v>27.2</v>
      </c>
      <c r="E703" s="216">
        <v>36</v>
      </c>
      <c r="F703" s="217">
        <v>30.8</v>
      </c>
      <c r="G703" s="215">
        <v>30.2</v>
      </c>
      <c r="H703" s="216">
        <v>30.8</v>
      </c>
      <c r="I703" s="216">
        <v>12.4</v>
      </c>
      <c r="J703" s="217">
        <v>13.1</v>
      </c>
    </row>
    <row r="704" spans="1:10">
      <c r="A704" s="221">
        <v>41735</v>
      </c>
      <c r="B704" s="222">
        <v>0.33333333333333331</v>
      </c>
      <c r="C704" s="215">
        <v>17.7</v>
      </c>
      <c r="D704" s="216">
        <v>27</v>
      </c>
      <c r="E704" s="216">
        <v>35.9</v>
      </c>
      <c r="F704" s="217">
        <v>30.7</v>
      </c>
      <c r="G704" s="215">
        <v>30.2</v>
      </c>
      <c r="H704" s="216">
        <v>30.8</v>
      </c>
      <c r="I704" s="216">
        <v>12.3</v>
      </c>
      <c r="J704" s="217">
        <v>12.9</v>
      </c>
    </row>
    <row r="705" spans="1:10">
      <c r="A705" s="221">
        <v>41735</v>
      </c>
      <c r="B705" s="222">
        <v>0.5</v>
      </c>
      <c r="C705" s="215">
        <v>17.600000000000001</v>
      </c>
      <c r="D705" s="216">
        <v>26.9</v>
      </c>
      <c r="E705" s="216">
        <v>35.799999999999997</v>
      </c>
      <c r="F705" s="217">
        <v>30.7</v>
      </c>
      <c r="G705" s="215">
        <v>30.2</v>
      </c>
      <c r="H705" s="216">
        <v>30.7</v>
      </c>
      <c r="I705" s="216">
        <v>12.3</v>
      </c>
      <c r="J705" s="217">
        <v>12.9</v>
      </c>
    </row>
    <row r="706" spans="1:10">
      <c r="A706" s="221">
        <v>41735</v>
      </c>
      <c r="B706" s="222">
        <v>0.66666666666666663</v>
      </c>
      <c r="C706" s="215">
        <v>17.5</v>
      </c>
      <c r="D706" s="216">
        <v>26.9</v>
      </c>
      <c r="E706" s="216">
        <v>35.700000000000003</v>
      </c>
      <c r="F706" s="217">
        <v>30.6</v>
      </c>
      <c r="G706" s="215">
        <v>30.2</v>
      </c>
      <c r="H706" s="216">
        <v>30.6</v>
      </c>
      <c r="I706" s="216">
        <v>13.3</v>
      </c>
      <c r="J706" s="217">
        <v>14.1</v>
      </c>
    </row>
    <row r="707" spans="1:10">
      <c r="A707" s="221">
        <v>41735</v>
      </c>
      <c r="B707" s="222">
        <v>0.83333333333333337</v>
      </c>
      <c r="C707" s="215">
        <v>17.5</v>
      </c>
      <c r="D707" s="216">
        <v>26.9</v>
      </c>
      <c r="E707" s="216">
        <v>35.700000000000003</v>
      </c>
      <c r="F707" s="217">
        <v>30.7</v>
      </c>
      <c r="G707" s="215">
        <v>30.1</v>
      </c>
      <c r="H707" s="216">
        <v>30.5</v>
      </c>
      <c r="I707" s="216">
        <v>14.1</v>
      </c>
      <c r="J707" s="217">
        <v>15.2</v>
      </c>
    </row>
    <row r="708" spans="1:10">
      <c r="A708" s="221">
        <v>41736</v>
      </c>
      <c r="B708" s="222">
        <v>0</v>
      </c>
      <c r="C708" s="215">
        <v>17.399999999999999</v>
      </c>
      <c r="D708" s="216">
        <v>27</v>
      </c>
      <c r="E708" s="216">
        <v>35.700000000000003</v>
      </c>
      <c r="F708" s="217">
        <v>30.6</v>
      </c>
      <c r="G708" s="215">
        <v>30</v>
      </c>
      <c r="H708" s="216">
        <v>30.4</v>
      </c>
      <c r="I708" s="216">
        <v>13.9</v>
      </c>
      <c r="J708" s="217">
        <v>14.8</v>
      </c>
    </row>
    <row r="709" spans="1:10">
      <c r="A709" s="221">
        <v>41736</v>
      </c>
      <c r="B709" s="222">
        <v>0.16666666666666666</v>
      </c>
      <c r="C709" s="215">
        <v>17.399999999999999</v>
      </c>
      <c r="D709" s="216">
        <v>27.2</v>
      </c>
      <c r="E709" s="216">
        <v>35.6</v>
      </c>
      <c r="F709" s="217">
        <v>30.6</v>
      </c>
      <c r="G709" s="215">
        <v>30</v>
      </c>
      <c r="H709" s="216">
        <v>30.3</v>
      </c>
      <c r="I709" s="216">
        <v>13.2</v>
      </c>
      <c r="J709" s="217">
        <v>14</v>
      </c>
    </row>
    <row r="710" spans="1:10">
      <c r="A710" s="221">
        <v>41736</v>
      </c>
      <c r="B710" s="222">
        <v>0.33333333333333331</v>
      </c>
      <c r="C710" s="215">
        <v>17.399999999999999</v>
      </c>
      <c r="D710" s="216">
        <v>27.1</v>
      </c>
      <c r="E710" s="216">
        <v>35.6</v>
      </c>
      <c r="F710" s="217">
        <v>30.5</v>
      </c>
      <c r="G710" s="215">
        <v>30</v>
      </c>
      <c r="H710" s="216">
        <v>30.3</v>
      </c>
      <c r="I710" s="216">
        <v>12.8</v>
      </c>
      <c r="J710" s="217">
        <v>13.6</v>
      </c>
    </row>
    <row r="711" spans="1:10">
      <c r="A711" s="221">
        <v>41736</v>
      </c>
      <c r="B711" s="222">
        <v>0.5</v>
      </c>
      <c r="C711" s="215">
        <v>17.3</v>
      </c>
      <c r="D711" s="216">
        <v>26.9</v>
      </c>
      <c r="E711" s="216">
        <v>35.4</v>
      </c>
      <c r="F711" s="217">
        <v>30.6</v>
      </c>
      <c r="G711" s="215">
        <v>30</v>
      </c>
      <c r="H711" s="216">
        <v>30.3</v>
      </c>
      <c r="I711" s="216">
        <v>12.4</v>
      </c>
      <c r="J711" s="217">
        <v>13.2</v>
      </c>
    </row>
    <row r="712" spans="1:10">
      <c r="A712" s="221">
        <v>41736</v>
      </c>
      <c r="B712" s="222">
        <v>0.66666666666666663</v>
      </c>
      <c r="C712" s="215">
        <v>17.2</v>
      </c>
      <c r="D712" s="216">
        <v>27.5</v>
      </c>
      <c r="E712" s="216">
        <v>35.299999999999997</v>
      </c>
      <c r="F712" s="217">
        <v>30.5</v>
      </c>
      <c r="G712" s="215">
        <v>29.9</v>
      </c>
      <c r="H712" s="216">
        <v>30</v>
      </c>
      <c r="I712" s="216">
        <v>13.6</v>
      </c>
      <c r="J712" s="217">
        <v>14.6</v>
      </c>
    </row>
    <row r="713" spans="1:10">
      <c r="A713" s="221">
        <v>41736</v>
      </c>
      <c r="B713" s="222">
        <v>0.83333333333333337</v>
      </c>
      <c r="C713" s="215">
        <v>17.100000000000001</v>
      </c>
      <c r="D713" s="216">
        <v>26.6</v>
      </c>
      <c r="E713" s="216">
        <v>35.1</v>
      </c>
      <c r="F713" s="217">
        <v>30.3</v>
      </c>
      <c r="G713" s="215">
        <v>29.8</v>
      </c>
      <c r="H713" s="216">
        <v>29.8</v>
      </c>
      <c r="I713" s="216">
        <v>14.8</v>
      </c>
      <c r="J713" s="217">
        <v>15.9</v>
      </c>
    </row>
    <row r="714" spans="1:10">
      <c r="A714" s="221">
        <v>41737</v>
      </c>
      <c r="B714" s="222">
        <v>0</v>
      </c>
      <c r="C714" s="215">
        <v>17.7</v>
      </c>
      <c r="D714" s="216">
        <v>27</v>
      </c>
      <c r="E714" s="216">
        <v>36.9</v>
      </c>
      <c r="F714" s="217">
        <v>30.5</v>
      </c>
      <c r="G714" s="215">
        <v>29.7</v>
      </c>
      <c r="H714" s="216">
        <v>29.8</v>
      </c>
      <c r="I714" s="216">
        <v>14.8</v>
      </c>
      <c r="J714" s="217">
        <v>15.7</v>
      </c>
    </row>
    <row r="715" spans="1:10">
      <c r="A715" s="221">
        <v>41737</v>
      </c>
      <c r="B715" s="222">
        <v>0.16666666666666666</v>
      </c>
      <c r="C715" s="215">
        <v>18.2</v>
      </c>
      <c r="D715" s="216">
        <v>27.9</v>
      </c>
      <c r="E715" s="216">
        <v>35.700000000000003</v>
      </c>
      <c r="F715" s="217">
        <v>30.4</v>
      </c>
      <c r="G715" s="215">
        <v>29.8</v>
      </c>
      <c r="H715" s="216">
        <v>29.8</v>
      </c>
      <c r="I715" s="216">
        <v>14.3</v>
      </c>
      <c r="J715" s="217">
        <v>15.2</v>
      </c>
    </row>
    <row r="716" spans="1:10">
      <c r="A716" s="221">
        <v>41737</v>
      </c>
      <c r="B716" s="222">
        <v>0.33333333333333331</v>
      </c>
      <c r="C716" s="215">
        <v>18.3</v>
      </c>
      <c r="D716" s="216">
        <v>26.9</v>
      </c>
      <c r="E716" s="216">
        <v>37</v>
      </c>
      <c r="F716" s="217">
        <v>30.4</v>
      </c>
      <c r="G716" s="215">
        <v>29.8</v>
      </c>
      <c r="H716" s="216">
        <v>29.8</v>
      </c>
      <c r="I716" s="216">
        <v>14.1</v>
      </c>
      <c r="J716" s="217">
        <v>14.9</v>
      </c>
    </row>
    <row r="717" spans="1:10">
      <c r="A717" s="221">
        <v>41737</v>
      </c>
      <c r="B717" s="222">
        <v>0.5</v>
      </c>
      <c r="C717" s="215">
        <v>17.8</v>
      </c>
      <c r="D717" s="216">
        <v>27.1</v>
      </c>
      <c r="E717" s="216">
        <v>35.9</v>
      </c>
      <c r="F717" s="217">
        <v>30.3</v>
      </c>
      <c r="G717" s="215">
        <v>29.7</v>
      </c>
      <c r="H717" s="216">
        <v>29.8</v>
      </c>
      <c r="I717" s="216">
        <v>13.7</v>
      </c>
      <c r="J717" s="217">
        <v>14.4</v>
      </c>
    </row>
    <row r="718" spans="1:10">
      <c r="A718" s="221">
        <v>41737</v>
      </c>
      <c r="B718" s="222">
        <v>0.66666666666666663</v>
      </c>
      <c r="C718" s="215">
        <v>17.600000000000001</v>
      </c>
      <c r="D718" s="216">
        <v>26.6</v>
      </c>
      <c r="E718" s="216">
        <v>35.5</v>
      </c>
      <c r="F718" s="217">
        <v>30.4</v>
      </c>
      <c r="G718" s="215">
        <v>29.7</v>
      </c>
      <c r="H718" s="216">
        <v>29.8</v>
      </c>
      <c r="I718" s="216">
        <v>14</v>
      </c>
      <c r="J718" s="217">
        <v>14.8</v>
      </c>
    </row>
    <row r="719" spans="1:10">
      <c r="A719" s="221">
        <v>41737</v>
      </c>
      <c r="B719" s="222">
        <v>0.83333333333333337</v>
      </c>
      <c r="C719" s="215">
        <v>17.5</v>
      </c>
      <c r="D719" s="216">
        <v>26.5</v>
      </c>
      <c r="E719" s="216">
        <v>35.299999999999997</v>
      </c>
      <c r="F719" s="217">
        <v>30.3</v>
      </c>
      <c r="G719" s="215">
        <v>29.7</v>
      </c>
      <c r="H719" s="216">
        <v>29.7</v>
      </c>
      <c r="I719" s="216">
        <v>14.2</v>
      </c>
      <c r="J719" s="217">
        <v>15.1</v>
      </c>
    </row>
    <row r="720" spans="1:10">
      <c r="A720" s="221">
        <v>41738</v>
      </c>
      <c r="B720" s="222">
        <v>0</v>
      </c>
      <c r="C720" s="215">
        <v>17.399999999999999</v>
      </c>
      <c r="D720" s="216">
        <v>26.9</v>
      </c>
      <c r="E720" s="216">
        <v>35.200000000000003</v>
      </c>
      <c r="F720" s="217">
        <v>30.3</v>
      </c>
      <c r="G720" s="215">
        <v>29.7</v>
      </c>
      <c r="H720" s="216">
        <v>29.7</v>
      </c>
      <c r="I720" s="216">
        <v>13.7</v>
      </c>
      <c r="J720" s="217">
        <v>14.5</v>
      </c>
    </row>
    <row r="721" spans="1:10">
      <c r="A721" s="221">
        <v>41738</v>
      </c>
      <c r="B721" s="222">
        <v>0.16666666666666666</v>
      </c>
      <c r="C721" s="215">
        <v>17.3</v>
      </c>
      <c r="D721" s="216">
        <v>27.8</v>
      </c>
      <c r="E721" s="216">
        <v>35.1</v>
      </c>
      <c r="F721" s="217">
        <v>30.2</v>
      </c>
      <c r="G721" s="215">
        <v>29.7</v>
      </c>
      <c r="H721" s="216">
        <v>29.7</v>
      </c>
      <c r="I721" s="216">
        <v>13.1</v>
      </c>
      <c r="J721" s="217">
        <v>13.8</v>
      </c>
    </row>
    <row r="722" spans="1:10">
      <c r="A722" s="221">
        <v>41738</v>
      </c>
      <c r="B722" s="222">
        <v>0.33333333333333331</v>
      </c>
      <c r="C722" s="215">
        <v>17.3</v>
      </c>
      <c r="D722" s="216">
        <v>26.8</v>
      </c>
      <c r="E722" s="216">
        <v>35.1</v>
      </c>
      <c r="F722" s="217">
        <v>30.3</v>
      </c>
      <c r="G722" s="215">
        <v>29.7</v>
      </c>
      <c r="H722" s="216">
        <v>29.7</v>
      </c>
      <c r="I722" s="216">
        <v>12.7</v>
      </c>
      <c r="J722" s="217">
        <v>13.3</v>
      </c>
    </row>
    <row r="723" spans="1:10">
      <c r="A723" s="221">
        <v>41738</v>
      </c>
      <c r="B723" s="222">
        <v>0.5</v>
      </c>
      <c r="C723" s="215">
        <v>17.3</v>
      </c>
      <c r="D723" s="216">
        <v>27.1</v>
      </c>
      <c r="E723" s="229" t="s">
        <v>8273</v>
      </c>
      <c r="F723" s="217">
        <v>30</v>
      </c>
      <c r="G723" s="215">
        <v>29.7</v>
      </c>
      <c r="H723" s="216">
        <v>29.7</v>
      </c>
      <c r="I723" s="216">
        <v>12</v>
      </c>
      <c r="J723" s="217">
        <v>12.7</v>
      </c>
    </row>
    <row r="724" spans="1:10">
      <c r="A724" s="221">
        <v>41738</v>
      </c>
      <c r="B724" s="222">
        <v>0.66666666666666663</v>
      </c>
      <c r="C724" s="215">
        <v>17.3</v>
      </c>
      <c r="D724" s="216">
        <v>26.6</v>
      </c>
      <c r="E724" s="229" t="s">
        <v>8273</v>
      </c>
      <c r="F724" s="217">
        <v>30</v>
      </c>
      <c r="G724" s="215">
        <v>29.6</v>
      </c>
      <c r="H724" s="216">
        <v>29.6</v>
      </c>
      <c r="I724" s="216">
        <v>12.9</v>
      </c>
      <c r="J724" s="217">
        <v>13.8</v>
      </c>
    </row>
    <row r="725" spans="1:10">
      <c r="A725" s="221">
        <v>41738</v>
      </c>
      <c r="B725" s="222">
        <v>0.83333333333333337</v>
      </c>
      <c r="C725" s="215">
        <v>17.100000000000001</v>
      </c>
      <c r="D725" s="216">
        <v>26.4</v>
      </c>
      <c r="E725" s="229" t="s">
        <v>8273</v>
      </c>
      <c r="F725" s="217">
        <v>30</v>
      </c>
      <c r="G725" s="215">
        <v>29.6</v>
      </c>
      <c r="H725" s="216">
        <v>29.5</v>
      </c>
      <c r="I725" s="216">
        <v>13.8</v>
      </c>
      <c r="J725" s="217">
        <v>15</v>
      </c>
    </row>
    <row r="726" spans="1:10">
      <c r="A726" s="221">
        <v>41739</v>
      </c>
      <c r="B726" s="222">
        <v>0</v>
      </c>
      <c r="C726" s="215">
        <v>17.2</v>
      </c>
      <c r="D726" s="216">
        <v>26.6</v>
      </c>
      <c r="E726" s="229" t="s">
        <v>8273</v>
      </c>
      <c r="F726" s="217">
        <v>29.9</v>
      </c>
      <c r="G726" s="215">
        <v>29.5</v>
      </c>
      <c r="H726" s="216">
        <v>29.5</v>
      </c>
      <c r="I726" s="216">
        <v>13.5</v>
      </c>
      <c r="J726" s="217">
        <v>14.5</v>
      </c>
    </row>
    <row r="727" spans="1:10">
      <c r="A727" s="221">
        <v>41739</v>
      </c>
      <c r="B727" s="222">
        <v>0.16666666666666666</v>
      </c>
      <c r="C727" s="215">
        <v>17.2</v>
      </c>
      <c r="D727" s="216">
        <v>26.5</v>
      </c>
      <c r="E727" s="229" t="s">
        <v>8273</v>
      </c>
      <c r="F727" s="217">
        <v>29.9</v>
      </c>
      <c r="G727" s="215">
        <v>29.5</v>
      </c>
      <c r="H727" s="216">
        <v>29.4</v>
      </c>
      <c r="I727" s="216">
        <v>12.7</v>
      </c>
      <c r="J727" s="217">
        <v>13.6</v>
      </c>
    </row>
    <row r="728" spans="1:10">
      <c r="A728" s="221">
        <v>41739</v>
      </c>
      <c r="B728" s="222">
        <v>0.33333333333333331</v>
      </c>
      <c r="C728" s="215">
        <v>17.2</v>
      </c>
      <c r="D728" s="216">
        <v>26.5</v>
      </c>
      <c r="E728" s="229" t="s">
        <v>8273</v>
      </c>
      <c r="F728" s="217">
        <v>29.9</v>
      </c>
      <c r="G728" s="215">
        <v>29.5</v>
      </c>
      <c r="H728" s="216">
        <v>29.5</v>
      </c>
      <c r="I728" s="216">
        <v>12.2</v>
      </c>
      <c r="J728" s="217">
        <v>13.1</v>
      </c>
    </row>
    <row r="729" spans="1:10">
      <c r="A729" s="221">
        <v>41739</v>
      </c>
      <c r="B729" s="222">
        <v>0.5</v>
      </c>
      <c r="C729" s="215">
        <v>17.7</v>
      </c>
      <c r="D729" s="216">
        <v>26.4</v>
      </c>
      <c r="E729" s="229" t="s">
        <v>8273</v>
      </c>
      <c r="F729" s="217">
        <v>29.8</v>
      </c>
      <c r="G729" s="215">
        <v>29.5</v>
      </c>
      <c r="H729" s="216">
        <v>29.4</v>
      </c>
      <c r="I729" s="216">
        <v>11.7</v>
      </c>
      <c r="J729" s="217">
        <v>12.5</v>
      </c>
    </row>
    <row r="730" spans="1:10">
      <c r="A730" s="221">
        <v>41739</v>
      </c>
      <c r="B730" s="222">
        <v>0.66666666666666663</v>
      </c>
      <c r="C730" s="215">
        <v>17.2</v>
      </c>
      <c r="D730" s="216">
        <v>27.2</v>
      </c>
      <c r="E730" s="229" t="s">
        <v>8273</v>
      </c>
      <c r="F730" s="217">
        <v>29.8</v>
      </c>
      <c r="G730" s="215">
        <v>29.4</v>
      </c>
      <c r="H730" s="216">
        <v>29.4</v>
      </c>
      <c r="I730" s="216">
        <v>12.9</v>
      </c>
      <c r="J730" s="217">
        <v>14</v>
      </c>
    </row>
    <row r="731" spans="1:10">
      <c r="A731" s="221">
        <v>41739</v>
      </c>
      <c r="B731" s="222">
        <v>0.83333333333333337</v>
      </c>
      <c r="C731" s="215">
        <v>17.2</v>
      </c>
      <c r="D731" s="216">
        <v>27</v>
      </c>
      <c r="E731" s="229" t="s">
        <v>8273</v>
      </c>
      <c r="F731" s="217">
        <v>29.7</v>
      </c>
      <c r="G731" s="215">
        <v>29.3</v>
      </c>
      <c r="H731" s="216">
        <v>29.3</v>
      </c>
      <c r="I731" s="216">
        <v>14.1</v>
      </c>
      <c r="J731" s="217">
        <v>15.4</v>
      </c>
    </row>
    <row r="732" spans="1:10">
      <c r="A732" s="221">
        <v>41740</v>
      </c>
      <c r="B732" s="222">
        <v>0</v>
      </c>
      <c r="C732" s="215">
        <v>17.100000000000001</v>
      </c>
      <c r="D732" s="216">
        <v>26.6</v>
      </c>
      <c r="E732" s="229" t="s">
        <v>8273</v>
      </c>
      <c r="F732" s="217">
        <v>29.6</v>
      </c>
      <c r="G732" s="215">
        <v>29.3</v>
      </c>
      <c r="H732" s="216">
        <v>29.2</v>
      </c>
      <c r="I732" s="216">
        <v>13.9</v>
      </c>
      <c r="J732" s="217">
        <v>15.1</v>
      </c>
    </row>
    <row r="733" spans="1:10">
      <c r="A733" s="221">
        <v>41740</v>
      </c>
      <c r="B733" s="222">
        <v>0.16666666666666666</v>
      </c>
      <c r="C733" s="215">
        <v>17</v>
      </c>
      <c r="D733" s="216">
        <v>26.5</v>
      </c>
      <c r="E733" s="229" t="s">
        <v>8273</v>
      </c>
      <c r="F733" s="217">
        <v>29.7</v>
      </c>
      <c r="G733" s="215">
        <v>29.3</v>
      </c>
      <c r="H733" s="216">
        <v>29.2</v>
      </c>
      <c r="I733" s="216">
        <v>13.4</v>
      </c>
      <c r="J733" s="217">
        <v>14.4</v>
      </c>
    </row>
    <row r="734" spans="1:10">
      <c r="A734" s="221">
        <v>41740</v>
      </c>
      <c r="B734" s="222">
        <v>0.33333333333333331</v>
      </c>
      <c r="C734" s="215">
        <v>17.2</v>
      </c>
      <c r="D734" s="216">
        <v>26.1</v>
      </c>
      <c r="E734" s="229" t="s">
        <v>8273</v>
      </c>
      <c r="F734" s="217">
        <v>29.7</v>
      </c>
      <c r="G734" s="215">
        <v>29.3</v>
      </c>
      <c r="H734" s="216">
        <v>29.2</v>
      </c>
      <c r="I734" s="216">
        <v>13.1</v>
      </c>
      <c r="J734" s="217">
        <v>14</v>
      </c>
    </row>
    <row r="735" spans="1:10">
      <c r="A735" s="221">
        <v>41740</v>
      </c>
      <c r="B735" s="222">
        <v>0.5</v>
      </c>
      <c r="C735" s="215">
        <v>17.100000000000001</v>
      </c>
      <c r="D735" s="216">
        <v>26.4</v>
      </c>
      <c r="E735" s="229" t="s">
        <v>8273</v>
      </c>
      <c r="F735" s="217">
        <v>29.6</v>
      </c>
      <c r="G735" s="215">
        <v>29.2</v>
      </c>
      <c r="H735" s="216">
        <v>29.2</v>
      </c>
      <c r="I735" s="216">
        <v>13</v>
      </c>
      <c r="J735" s="217">
        <v>13.8</v>
      </c>
    </row>
    <row r="736" spans="1:10">
      <c r="A736" s="221">
        <v>41740</v>
      </c>
      <c r="B736" s="222">
        <v>0.66666666666666663</v>
      </c>
      <c r="C736" s="215">
        <v>17.100000000000001</v>
      </c>
      <c r="D736" s="216">
        <v>26.5</v>
      </c>
      <c r="E736" s="229" t="s">
        <v>8273</v>
      </c>
      <c r="F736" s="217">
        <v>29.6</v>
      </c>
      <c r="G736" s="215">
        <v>29.2</v>
      </c>
      <c r="H736" s="216">
        <v>29.1</v>
      </c>
      <c r="I736" s="216">
        <v>13.7</v>
      </c>
      <c r="J736" s="217">
        <v>14.5</v>
      </c>
    </row>
    <row r="737" spans="1:10">
      <c r="A737" s="221">
        <v>41740</v>
      </c>
      <c r="B737" s="222">
        <v>0.83333333333333337</v>
      </c>
      <c r="C737" s="215">
        <v>17.399999999999999</v>
      </c>
      <c r="D737" s="216">
        <v>26.1</v>
      </c>
      <c r="E737" s="229" t="s">
        <v>8273</v>
      </c>
      <c r="F737" s="217">
        <v>29.5</v>
      </c>
      <c r="G737" s="215">
        <v>29.1</v>
      </c>
      <c r="H737" s="216">
        <v>29</v>
      </c>
      <c r="I737" s="216">
        <v>14.4</v>
      </c>
      <c r="J737" s="217">
        <v>15.4</v>
      </c>
    </row>
    <row r="738" spans="1:10">
      <c r="A738" s="221">
        <v>41741</v>
      </c>
      <c r="B738" s="222">
        <v>0</v>
      </c>
      <c r="C738" s="215">
        <v>17.5</v>
      </c>
      <c r="D738" s="216">
        <v>26.4</v>
      </c>
      <c r="E738" s="229" t="s">
        <v>8273</v>
      </c>
      <c r="F738" s="217">
        <v>29.5</v>
      </c>
      <c r="G738" s="215">
        <v>29</v>
      </c>
      <c r="H738" s="216">
        <v>29</v>
      </c>
      <c r="I738" s="216">
        <v>14.3</v>
      </c>
      <c r="J738" s="217">
        <v>15.2</v>
      </c>
    </row>
    <row r="739" spans="1:10">
      <c r="A739" s="221">
        <v>41741</v>
      </c>
      <c r="B739" s="222">
        <v>0.16666666666666666</v>
      </c>
      <c r="C739" s="215">
        <v>17.7</v>
      </c>
      <c r="D739" s="216">
        <v>26.7</v>
      </c>
      <c r="E739" s="229" t="s">
        <v>8273</v>
      </c>
      <c r="F739" s="217">
        <v>29.5</v>
      </c>
      <c r="G739" s="215">
        <v>29</v>
      </c>
      <c r="H739" s="216">
        <v>29</v>
      </c>
      <c r="I739" s="216">
        <v>13.8</v>
      </c>
      <c r="J739" s="217">
        <v>14.6</v>
      </c>
    </row>
    <row r="740" spans="1:10">
      <c r="A740" s="221">
        <v>41741</v>
      </c>
      <c r="B740" s="222">
        <v>0.33333333333333331</v>
      </c>
      <c r="C740" s="215">
        <v>17.3</v>
      </c>
      <c r="D740" s="216">
        <v>27</v>
      </c>
      <c r="E740" s="229" t="s">
        <v>8273</v>
      </c>
      <c r="F740" s="217">
        <v>29.5</v>
      </c>
      <c r="G740" s="215">
        <v>29</v>
      </c>
      <c r="H740" s="216">
        <v>28.9</v>
      </c>
      <c r="I740" s="216">
        <v>13.6</v>
      </c>
      <c r="J740" s="217">
        <v>14.3</v>
      </c>
    </row>
    <row r="741" spans="1:10">
      <c r="A741" s="221">
        <v>41741</v>
      </c>
      <c r="B741" s="222">
        <v>0.5</v>
      </c>
      <c r="C741" s="215">
        <v>17.3</v>
      </c>
      <c r="D741" s="216">
        <v>26.2</v>
      </c>
      <c r="E741" s="229" t="s">
        <v>8273</v>
      </c>
      <c r="F741" s="217">
        <v>29.4</v>
      </c>
      <c r="G741" s="215">
        <v>29</v>
      </c>
      <c r="H741" s="216">
        <v>28.9</v>
      </c>
      <c r="I741" s="216">
        <v>13.3</v>
      </c>
      <c r="J741" s="217">
        <v>13.9</v>
      </c>
    </row>
    <row r="742" spans="1:10">
      <c r="A742" s="221">
        <v>41741</v>
      </c>
      <c r="B742" s="222">
        <v>0.66666666666666663</v>
      </c>
      <c r="C742" s="215">
        <v>17.600000000000001</v>
      </c>
      <c r="D742" s="216">
        <v>25.8</v>
      </c>
      <c r="E742" s="229" t="s">
        <v>8273</v>
      </c>
      <c r="F742" s="217">
        <v>29.4</v>
      </c>
      <c r="G742" s="215">
        <v>28.9</v>
      </c>
      <c r="H742" s="216">
        <v>28.9</v>
      </c>
      <c r="I742" s="216">
        <v>13.7</v>
      </c>
      <c r="J742" s="217">
        <v>14.4</v>
      </c>
    </row>
    <row r="743" spans="1:10">
      <c r="A743" s="221">
        <v>41741</v>
      </c>
      <c r="B743" s="222">
        <v>0.83333333333333337</v>
      </c>
      <c r="C743" s="215">
        <v>18.600000000000001</v>
      </c>
      <c r="D743" s="216">
        <v>25.8</v>
      </c>
      <c r="E743" s="229" t="s">
        <v>8273</v>
      </c>
      <c r="F743" s="217">
        <v>29.4</v>
      </c>
      <c r="G743" s="215">
        <v>28.8</v>
      </c>
      <c r="H743" s="216">
        <v>28.8</v>
      </c>
      <c r="I743" s="216">
        <v>14.3</v>
      </c>
      <c r="J743" s="217">
        <v>15.3</v>
      </c>
    </row>
    <row r="744" spans="1:10">
      <c r="A744" s="221">
        <v>41742</v>
      </c>
      <c r="B744" s="222">
        <v>0</v>
      </c>
      <c r="C744" s="215">
        <v>19.100000000000001</v>
      </c>
      <c r="D744" s="216">
        <v>25.9</v>
      </c>
      <c r="E744" s="229" t="s">
        <v>8273</v>
      </c>
      <c r="F744" s="217">
        <v>30.2</v>
      </c>
      <c r="G744" s="215">
        <v>28.8</v>
      </c>
      <c r="H744" s="216">
        <v>28.8</v>
      </c>
      <c r="I744" s="216">
        <v>14.1</v>
      </c>
      <c r="J744" s="217">
        <v>15</v>
      </c>
    </row>
    <row r="745" spans="1:10">
      <c r="A745" s="221">
        <v>41742</v>
      </c>
      <c r="B745" s="222">
        <v>0.16666666666666666</v>
      </c>
      <c r="C745" s="215">
        <v>19</v>
      </c>
      <c r="D745" s="216">
        <v>26.1</v>
      </c>
      <c r="E745" s="229" t="s">
        <v>8273</v>
      </c>
      <c r="F745" s="217">
        <v>29.2</v>
      </c>
      <c r="G745" s="215">
        <v>28.8</v>
      </c>
      <c r="H745" s="216">
        <v>28.7</v>
      </c>
      <c r="I745" s="216">
        <v>13.7</v>
      </c>
      <c r="J745" s="217">
        <v>14.5</v>
      </c>
    </row>
    <row r="746" spans="1:10">
      <c r="A746" s="221">
        <v>41742</v>
      </c>
      <c r="B746" s="222">
        <v>0.33333333333333331</v>
      </c>
      <c r="C746" s="215">
        <v>18.600000000000001</v>
      </c>
      <c r="D746" s="216">
        <v>26.6</v>
      </c>
      <c r="E746" s="229" t="s">
        <v>8273</v>
      </c>
      <c r="F746" s="217">
        <v>29.2</v>
      </c>
      <c r="G746" s="215">
        <v>28.8</v>
      </c>
      <c r="H746" s="216">
        <v>28.7</v>
      </c>
      <c r="I746" s="216">
        <v>13.5</v>
      </c>
      <c r="J746" s="217">
        <v>14.2</v>
      </c>
    </row>
    <row r="747" spans="1:10">
      <c r="A747" s="221">
        <v>41742</v>
      </c>
      <c r="B747" s="222">
        <v>0.5</v>
      </c>
      <c r="C747" s="215">
        <v>19.100000000000001</v>
      </c>
      <c r="D747" s="216">
        <v>26.1</v>
      </c>
      <c r="E747" s="229" t="s">
        <v>8273</v>
      </c>
      <c r="F747" s="217">
        <v>29.2</v>
      </c>
      <c r="G747" s="215">
        <v>28.7</v>
      </c>
      <c r="H747" s="216">
        <v>28.7</v>
      </c>
      <c r="I747" s="216">
        <v>13.3</v>
      </c>
      <c r="J747" s="217">
        <v>14</v>
      </c>
    </row>
    <row r="748" spans="1:10">
      <c r="A748" s="221">
        <v>41742</v>
      </c>
      <c r="B748" s="222">
        <v>0.66666666666666663</v>
      </c>
      <c r="C748" s="215">
        <v>19.399999999999999</v>
      </c>
      <c r="D748" s="216">
        <v>26</v>
      </c>
      <c r="E748" s="229" t="s">
        <v>8273</v>
      </c>
      <c r="F748" s="217">
        <v>29.1</v>
      </c>
      <c r="G748" s="215">
        <v>28.6</v>
      </c>
      <c r="H748" s="216">
        <v>28.6</v>
      </c>
      <c r="I748" s="216">
        <v>14.3</v>
      </c>
      <c r="J748" s="217">
        <v>15.1</v>
      </c>
    </row>
    <row r="749" spans="1:10">
      <c r="A749" s="221">
        <v>41742</v>
      </c>
      <c r="B749" s="222">
        <v>0.83333333333333337</v>
      </c>
      <c r="C749" s="215">
        <v>19.399999999999999</v>
      </c>
      <c r="D749" s="216">
        <v>25.7</v>
      </c>
      <c r="E749" s="229" t="s">
        <v>8273</v>
      </c>
      <c r="F749" s="217">
        <v>29</v>
      </c>
      <c r="G749" s="215">
        <v>28.5</v>
      </c>
      <c r="H749" s="216">
        <v>28.5</v>
      </c>
      <c r="I749" s="216">
        <v>15</v>
      </c>
      <c r="J749" s="217">
        <v>16</v>
      </c>
    </row>
    <row r="750" spans="1:10">
      <c r="A750" s="221">
        <v>41743</v>
      </c>
      <c r="B750" s="222">
        <v>0</v>
      </c>
      <c r="C750" s="215">
        <v>19.7</v>
      </c>
      <c r="D750" s="216">
        <v>26.4</v>
      </c>
      <c r="E750" s="229" t="s">
        <v>8273</v>
      </c>
      <c r="F750" s="217">
        <v>29</v>
      </c>
      <c r="G750" s="215">
        <v>28.5</v>
      </c>
      <c r="H750" s="216">
        <v>28.5</v>
      </c>
      <c r="I750" s="216">
        <v>14.5</v>
      </c>
      <c r="J750" s="217">
        <v>15.4</v>
      </c>
    </row>
    <row r="751" spans="1:10">
      <c r="A751" s="221">
        <v>41743</v>
      </c>
      <c r="B751" s="222">
        <v>0.16666666666666666</v>
      </c>
      <c r="C751" s="215">
        <v>19.7</v>
      </c>
      <c r="D751" s="216">
        <v>26.4</v>
      </c>
      <c r="E751" s="229" t="s">
        <v>8273</v>
      </c>
      <c r="F751" s="217">
        <v>29</v>
      </c>
      <c r="G751" s="215">
        <v>28.5</v>
      </c>
      <c r="H751" s="216">
        <v>28.5</v>
      </c>
      <c r="I751" s="216">
        <v>13.6</v>
      </c>
      <c r="J751" s="217">
        <v>14.4</v>
      </c>
    </row>
    <row r="752" spans="1:10">
      <c r="A752" s="221">
        <v>41743</v>
      </c>
      <c r="B752" s="222">
        <v>0.33333333333333331</v>
      </c>
      <c r="C752" s="215">
        <v>19.8</v>
      </c>
      <c r="D752" s="216">
        <v>25.9</v>
      </c>
      <c r="E752" s="229" t="s">
        <v>8273</v>
      </c>
      <c r="F752" s="217">
        <v>29</v>
      </c>
      <c r="G752" s="215">
        <v>28.5</v>
      </c>
      <c r="H752" s="216">
        <v>28.5</v>
      </c>
      <c r="I752" s="216">
        <v>13.2</v>
      </c>
      <c r="J752" s="217">
        <v>13.9</v>
      </c>
    </row>
    <row r="753" spans="1:10">
      <c r="A753" s="221">
        <v>41743</v>
      </c>
      <c r="B753" s="222">
        <v>0.5</v>
      </c>
      <c r="C753" s="215">
        <v>19.5</v>
      </c>
      <c r="D753" s="216">
        <v>25.7</v>
      </c>
      <c r="E753" s="229" t="s">
        <v>8273</v>
      </c>
      <c r="F753" s="217">
        <v>28.9</v>
      </c>
      <c r="G753" s="215">
        <v>28.4</v>
      </c>
      <c r="H753" s="216">
        <v>28.4</v>
      </c>
      <c r="I753" s="216">
        <v>12.7</v>
      </c>
      <c r="J753" s="217">
        <v>13.4</v>
      </c>
    </row>
    <row r="754" spans="1:10">
      <c r="A754" s="221">
        <v>41743</v>
      </c>
      <c r="B754" s="222">
        <v>0.66666666666666663</v>
      </c>
      <c r="C754" s="215">
        <v>19.3</v>
      </c>
      <c r="D754" s="216">
        <v>25.9</v>
      </c>
      <c r="E754" s="229" t="s">
        <v>8273</v>
      </c>
      <c r="F754" s="217">
        <v>28.8</v>
      </c>
      <c r="G754" s="215">
        <v>28.3</v>
      </c>
      <c r="H754" s="216">
        <v>28.3</v>
      </c>
      <c r="I754" s="216">
        <v>13.9</v>
      </c>
      <c r="J754" s="217">
        <v>14.8</v>
      </c>
    </row>
    <row r="755" spans="1:10">
      <c r="A755" s="221">
        <v>41743</v>
      </c>
      <c r="B755" s="222">
        <v>0.83333333333333337</v>
      </c>
      <c r="C755" s="215">
        <v>19.5</v>
      </c>
      <c r="D755" s="216">
        <v>25.2</v>
      </c>
      <c r="E755" s="229" t="s">
        <v>8273</v>
      </c>
      <c r="F755" s="217">
        <v>28.7</v>
      </c>
      <c r="G755" s="215">
        <v>28.2</v>
      </c>
      <c r="H755" s="216">
        <v>28.2</v>
      </c>
      <c r="I755" s="216">
        <v>14.9</v>
      </c>
      <c r="J755" s="217">
        <v>16</v>
      </c>
    </row>
    <row r="756" spans="1:10">
      <c r="A756" s="221">
        <v>41744</v>
      </c>
      <c r="B756" s="222">
        <v>0</v>
      </c>
      <c r="C756" s="215">
        <v>19.899999999999999</v>
      </c>
      <c r="D756" s="216">
        <v>25.8</v>
      </c>
      <c r="E756" s="229" t="s">
        <v>8273</v>
      </c>
      <c r="F756" s="217">
        <v>28.7</v>
      </c>
      <c r="G756" s="215">
        <v>28.1</v>
      </c>
      <c r="H756" s="216">
        <v>28.2</v>
      </c>
      <c r="I756" s="216">
        <v>14.5</v>
      </c>
      <c r="J756" s="217">
        <v>15.5</v>
      </c>
    </row>
    <row r="757" spans="1:10">
      <c r="A757" s="221">
        <v>41744</v>
      </c>
      <c r="B757" s="222">
        <v>0.16666666666666666</v>
      </c>
      <c r="C757" s="215">
        <v>20.3</v>
      </c>
      <c r="D757" s="216">
        <v>26.1</v>
      </c>
      <c r="E757" s="229" t="s">
        <v>8273</v>
      </c>
      <c r="F757" s="217">
        <v>28.7</v>
      </c>
      <c r="G757" s="215">
        <v>28.1</v>
      </c>
      <c r="H757" s="216">
        <v>28.2</v>
      </c>
      <c r="I757" s="216">
        <v>13.6</v>
      </c>
      <c r="J757" s="217">
        <v>14.5</v>
      </c>
    </row>
    <row r="758" spans="1:10">
      <c r="A758" s="221">
        <v>41744</v>
      </c>
      <c r="B758" s="222">
        <v>0.33333333333333331</v>
      </c>
      <c r="C758" s="215">
        <v>20.2</v>
      </c>
      <c r="D758" s="216">
        <v>26.1</v>
      </c>
      <c r="E758" s="229" t="s">
        <v>8273</v>
      </c>
      <c r="F758" s="217">
        <v>28.7</v>
      </c>
      <c r="G758" s="215">
        <v>28.1</v>
      </c>
      <c r="H758" s="216">
        <v>28.2</v>
      </c>
      <c r="I758" s="216">
        <v>13.2</v>
      </c>
      <c r="J758" s="217">
        <v>14</v>
      </c>
    </row>
    <row r="759" spans="1:10">
      <c r="A759" s="221">
        <v>41744</v>
      </c>
      <c r="B759" s="222">
        <v>0.5</v>
      </c>
      <c r="C759" s="215">
        <v>20.100000000000001</v>
      </c>
      <c r="D759" s="216">
        <v>25.2</v>
      </c>
      <c r="E759" s="229" t="s">
        <v>8273</v>
      </c>
      <c r="F759" s="217">
        <v>28.6</v>
      </c>
      <c r="G759" s="215">
        <v>28</v>
      </c>
      <c r="H759" s="216">
        <v>28.1</v>
      </c>
      <c r="I759" s="216">
        <v>12.7</v>
      </c>
      <c r="J759" s="217">
        <v>13.5</v>
      </c>
    </row>
    <row r="760" spans="1:10">
      <c r="A760" s="221">
        <v>41744</v>
      </c>
      <c r="B760" s="222">
        <v>0.66666666666666663</v>
      </c>
      <c r="C760" s="215">
        <v>19.899999999999999</v>
      </c>
      <c r="D760" s="216">
        <v>25</v>
      </c>
      <c r="E760" s="229" t="s">
        <v>8273</v>
      </c>
      <c r="F760" s="217">
        <v>28.5</v>
      </c>
      <c r="G760" s="215">
        <v>27.9</v>
      </c>
      <c r="H760" s="216">
        <v>28</v>
      </c>
      <c r="I760" s="216">
        <v>13.9</v>
      </c>
      <c r="J760" s="217">
        <v>14.9</v>
      </c>
    </row>
    <row r="761" spans="1:10">
      <c r="A761" s="221">
        <v>41744</v>
      </c>
      <c r="B761" s="222">
        <v>0.83333333333333337</v>
      </c>
      <c r="C761" s="215">
        <v>19.600000000000001</v>
      </c>
      <c r="D761" s="216">
        <v>25.4</v>
      </c>
      <c r="E761" s="229" t="s">
        <v>8273</v>
      </c>
      <c r="F761" s="217">
        <v>28.4</v>
      </c>
      <c r="G761" s="215">
        <v>27.7</v>
      </c>
      <c r="H761" s="216">
        <v>27.9</v>
      </c>
      <c r="I761" s="216">
        <v>14.8</v>
      </c>
      <c r="J761" s="217">
        <v>16</v>
      </c>
    </row>
    <row r="762" spans="1:10">
      <c r="A762" s="221">
        <v>41745</v>
      </c>
      <c r="B762" s="222">
        <v>0</v>
      </c>
      <c r="C762" s="215">
        <v>19.100000000000001</v>
      </c>
      <c r="D762" s="216">
        <v>25.3</v>
      </c>
      <c r="E762" s="229" t="s">
        <v>8273</v>
      </c>
      <c r="F762" s="217">
        <v>28.3</v>
      </c>
      <c r="G762" s="215">
        <v>27.8</v>
      </c>
      <c r="H762" s="216">
        <v>27.9</v>
      </c>
      <c r="I762" s="216">
        <v>14.3</v>
      </c>
      <c r="J762" s="217">
        <v>15.4</v>
      </c>
    </row>
    <row r="763" spans="1:10">
      <c r="A763" s="221">
        <v>41745</v>
      </c>
      <c r="B763" s="222">
        <v>0.16666666666666666</v>
      </c>
      <c r="C763" s="215">
        <v>20.100000000000001</v>
      </c>
      <c r="D763" s="216">
        <v>25.1</v>
      </c>
      <c r="E763" s="229" t="s">
        <v>8273</v>
      </c>
      <c r="F763" s="217">
        <v>28.3</v>
      </c>
      <c r="G763" s="215">
        <v>27.7</v>
      </c>
      <c r="H763" s="216">
        <v>27.9</v>
      </c>
      <c r="I763" s="216">
        <v>13.3</v>
      </c>
      <c r="J763" s="217">
        <v>14.1</v>
      </c>
    </row>
    <row r="764" spans="1:10">
      <c r="A764" s="221">
        <v>41745</v>
      </c>
      <c r="B764" s="222">
        <v>0.33333333333333331</v>
      </c>
      <c r="C764" s="215">
        <v>19.5</v>
      </c>
      <c r="D764" s="216">
        <v>24.9</v>
      </c>
      <c r="E764" s="229" t="s">
        <v>8273</v>
      </c>
      <c r="F764" s="217">
        <v>28.3</v>
      </c>
      <c r="G764" s="215">
        <v>27.7</v>
      </c>
      <c r="H764" s="216">
        <v>27.9</v>
      </c>
      <c r="I764" s="216">
        <v>12.8</v>
      </c>
      <c r="J764" s="217">
        <v>13.6</v>
      </c>
    </row>
    <row r="765" spans="1:10">
      <c r="A765" s="221">
        <v>41745</v>
      </c>
      <c r="B765" s="222">
        <v>0.5</v>
      </c>
      <c r="C765" s="215">
        <v>19.3</v>
      </c>
      <c r="D765" s="216">
        <v>24.7</v>
      </c>
      <c r="E765" s="229" t="s">
        <v>8273</v>
      </c>
      <c r="F765" s="217">
        <v>28.2</v>
      </c>
      <c r="G765" s="215">
        <v>27.7</v>
      </c>
      <c r="H765" s="216">
        <v>27.8</v>
      </c>
      <c r="I765" s="216">
        <v>12.2</v>
      </c>
      <c r="J765" s="217">
        <v>13</v>
      </c>
    </row>
    <row r="766" spans="1:10">
      <c r="A766" s="221">
        <v>41745</v>
      </c>
      <c r="B766" s="222">
        <v>0.66666666666666663</v>
      </c>
      <c r="C766" s="215">
        <v>19</v>
      </c>
      <c r="D766" s="216">
        <v>24.6</v>
      </c>
      <c r="E766" s="229" t="s">
        <v>8273</v>
      </c>
      <c r="F766" s="217">
        <v>28.1</v>
      </c>
      <c r="G766" s="215">
        <v>27.5</v>
      </c>
      <c r="H766" s="216">
        <v>27.7</v>
      </c>
      <c r="I766" s="216">
        <v>13.5</v>
      </c>
      <c r="J766" s="217">
        <v>14.5</v>
      </c>
    </row>
    <row r="767" spans="1:10">
      <c r="A767" s="221">
        <v>41745</v>
      </c>
      <c r="B767" s="222">
        <v>0.83333333333333337</v>
      </c>
      <c r="C767" s="215">
        <v>19.100000000000001</v>
      </c>
      <c r="D767" s="216">
        <v>24.5</v>
      </c>
      <c r="E767" s="229" t="s">
        <v>8273</v>
      </c>
      <c r="F767" s="217">
        <v>28.1</v>
      </c>
      <c r="G767" s="215">
        <v>27.3</v>
      </c>
      <c r="H767" s="216">
        <v>27.6</v>
      </c>
      <c r="I767" s="216">
        <v>14.8</v>
      </c>
      <c r="J767" s="217">
        <v>16</v>
      </c>
    </row>
    <row r="768" spans="1:10">
      <c r="A768" s="221">
        <v>41746</v>
      </c>
      <c r="B768" s="222">
        <v>0</v>
      </c>
      <c r="C768" s="215">
        <v>19.2</v>
      </c>
      <c r="D768" s="216">
        <v>24.1</v>
      </c>
      <c r="E768" s="229" t="s">
        <v>8273</v>
      </c>
      <c r="F768" s="217">
        <v>28</v>
      </c>
      <c r="G768" s="215">
        <v>27.3</v>
      </c>
      <c r="H768" s="216">
        <v>27.5</v>
      </c>
      <c r="I768" s="216">
        <v>14.4</v>
      </c>
      <c r="J768" s="217">
        <v>15.5</v>
      </c>
    </row>
    <row r="769" spans="1:10">
      <c r="A769" s="221">
        <v>41746</v>
      </c>
      <c r="B769" s="222">
        <v>0.16666666666666666</v>
      </c>
      <c r="C769" s="215">
        <v>18.899999999999999</v>
      </c>
      <c r="D769" s="216">
        <v>24.8</v>
      </c>
      <c r="E769" s="229" t="s">
        <v>8273</v>
      </c>
      <c r="F769" s="217">
        <v>28</v>
      </c>
      <c r="G769" s="215">
        <v>27.2</v>
      </c>
      <c r="H769" s="216">
        <v>27.5</v>
      </c>
      <c r="I769" s="216">
        <v>13.5</v>
      </c>
      <c r="J769" s="217">
        <v>14.5</v>
      </c>
    </row>
    <row r="770" spans="1:10">
      <c r="A770" s="221">
        <v>41746</v>
      </c>
      <c r="B770" s="222">
        <v>0.33333333333333331</v>
      </c>
      <c r="C770" s="215">
        <v>19</v>
      </c>
      <c r="D770" s="216">
        <v>25</v>
      </c>
      <c r="E770" s="229" t="s">
        <v>8273</v>
      </c>
      <c r="F770" s="217">
        <v>27.9</v>
      </c>
      <c r="G770" s="215">
        <v>27.2</v>
      </c>
      <c r="H770" s="216">
        <v>27.5</v>
      </c>
      <c r="I770" s="216">
        <v>13.1</v>
      </c>
      <c r="J770" s="217">
        <v>14</v>
      </c>
    </row>
    <row r="771" spans="1:10">
      <c r="A771" s="221">
        <v>41746</v>
      </c>
      <c r="B771" s="222">
        <v>0.5</v>
      </c>
      <c r="C771" s="215">
        <v>18.7</v>
      </c>
      <c r="D771" s="216">
        <v>24.9</v>
      </c>
      <c r="E771" s="229" t="s">
        <v>8273</v>
      </c>
      <c r="F771" s="217">
        <v>27.9</v>
      </c>
      <c r="G771" s="215">
        <v>27.2</v>
      </c>
      <c r="H771" s="216">
        <v>27.5</v>
      </c>
      <c r="I771" s="216">
        <v>12.7</v>
      </c>
      <c r="J771" s="217">
        <v>13.5</v>
      </c>
    </row>
    <row r="772" spans="1:10">
      <c r="A772" s="221">
        <v>41746</v>
      </c>
      <c r="B772" s="222">
        <v>0.66666666666666663</v>
      </c>
      <c r="C772" s="215">
        <v>18.600000000000001</v>
      </c>
      <c r="D772" s="216">
        <v>24.9</v>
      </c>
      <c r="E772" s="229" t="s">
        <v>8273</v>
      </c>
      <c r="F772" s="217">
        <v>27.7</v>
      </c>
      <c r="G772" s="215">
        <v>27</v>
      </c>
      <c r="H772" s="216">
        <v>27.3</v>
      </c>
      <c r="I772" s="216">
        <v>14.1</v>
      </c>
      <c r="J772" s="217">
        <v>15.1</v>
      </c>
    </row>
    <row r="773" spans="1:10">
      <c r="A773" s="221">
        <v>41746</v>
      </c>
      <c r="B773" s="222">
        <v>0.83333333333333337</v>
      </c>
      <c r="C773" s="215">
        <v>18.5</v>
      </c>
      <c r="D773" s="216">
        <v>23.9</v>
      </c>
      <c r="E773" s="229" t="s">
        <v>8273</v>
      </c>
      <c r="F773" s="217">
        <v>27.6</v>
      </c>
      <c r="G773" s="215">
        <v>26.9</v>
      </c>
      <c r="H773" s="216">
        <v>27.2</v>
      </c>
      <c r="I773" s="216">
        <v>15.2</v>
      </c>
      <c r="J773" s="217">
        <v>16.399999999999999</v>
      </c>
    </row>
    <row r="774" spans="1:10">
      <c r="A774" s="221">
        <v>41747</v>
      </c>
      <c r="B774" s="222">
        <v>0</v>
      </c>
      <c r="C774" s="215">
        <v>18.8</v>
      </c>
      <c r="D774" s="216">
        <v>24.1</v>
      </c>
      <c r="E774" s="229" t="s">
        <v>8273</v>
      </c>
      <c r="F774" s="217">
        <v>27.6</v>
      </c>
      <c r="G774" s="215">
        <v>26.8</v>
      </c>
      <c r="H774" s="216">
        <v>27.1</v>
      </c>
      <c r="I774" s="216">
        <v>14.9</v>
      </c>
      <c r="J774" s="217">
        <v>15.9</v>
      </c>
    </row>
    <row r="775" spans="1:10">
      <c r="A775" s="221">
        <v>41747</v>
      </c>
      <c r="B775" s="222">
        <v>0.16666666666666666</v>
      </c>
      <c r="C775" s="215">
        <v>18.600000000000001</v>
      </c>
      <c r="D775" s="216">
        <v>24.4</v>
      </c>
      <c r="E775" s="229" t="s">
        <v>8273</v>
      </c>
      <c r="F775" s="217">
        <v>27.4</v>
      </c>
      <c r="G775" s="215">
        <v>26.8</v>
      </c>
      <c r="H775" s="216">
        <v>27.1</v>
      </c>
      <c r="I775" s="216">
        <v>14.1</v>
      </c>
      <c r="J775" s="217">
        <v>15.1</v>
      </c>
    </row>
    <row r="776" spans="1:10">
      <c r="A776" s="221">
        <v>41747</v>
      </c>
      <c r="B776" s="222">
        <v>0.33333333333333331</v>
      </c>
      <c r="C776" s="215">
        <v>18.8</v>
      </c>
      <c r="D776" s="216">
        <v>24.3</v>
      </c>
      <c r="E776" s="229" t="s">
        <v>8273</v>
      </c>
      <c r="F776" s="217">
        <v>27.5</v>
      </c>
      <c r="G776" s="215">
        <v>26.8</v>
      </c>
      <c r="H776" s="216">
        <v>27.1</v>
      </c>
      <c r="I776" s="216">
        <v>13.8</v>
      </c>
      <c r="J776" s="217">
        <v>14.6</v>
      </c>
    </row>
    <row r="777" spans="1:10">
      <c r="A777" s="221">
        <v>41747</v>
      </c>
      <c r="B777" s="222">
        <v>0.5</v>
      </c>
      <c r="C777" s="215">
        <v>18.7</v>
      </c>
      <c r="D777" s="216">
        <v>24.2</v>
      </c>
      <c r="E777" s="229" t="s">
        <v>8273</v>
      </c>
      <c r="F777" s="217">
        <v>27.4</v>
      </c>
      <c r="G777" s="215">
        <v>26.7</v>
      </c>
      <c r="H777" s="216">
        <v>27.1</v>
      </c>
      <c r="I777" s="216">
        <v>13.4</v>
      </c>
      <c r="J777" s="217">
        <v>14.2</v>
      </c>
    </row>
    <row r="778" spans="1:10">
      <c r="A778" s="221">
        <v>41747</v>
      </c>
      <c r="B778" s="222">
        <v>0.66666666666666663</v>
      </c>
      <c r="C778" s="215">
        <v>18.8</v>
      </c>
      <c r="D778" s="216">
        <v>24</v>
      </c>
      <c r="E778" s="229" t="s">
        <v>8273</v>
      </c>
      <c r="F778" s="217">
        <v>27.4</v>
      </c>
      <c r="G778" s="215">
        <v>26.6</v>
      </c>
      <c r="H778" s="216">
        <v>26.9</v>
      </c>
      <c r="I778" s="216">
        <v>14.4</v>
      </c>
      <c r="J778" s="217">
        <v>15.2</v>
      </c>
    </row>
    <row r="779" spans="1:10">
      <c r="A779" s="221">
        <v>41747</v>
      </c>
      <c r="B779" s="222">
        <v>0.83333333333333337</v>
      </c>
      <c r="C779" s="215">
        <v>18.399999999999999</v>
      </c>
      <c r="D779" s="216">
        <v>23.5</v>
      </c>
      <c r="E779" s="229" t="s">
        <v>8273</v>
      </c>
      <c r="F779" s="217">
        <v>27.2</v>
      </c>
      <c r="G779" s="215">
        <v>26.4</v>
      </c>
      <c r="H779" s="216">
        <v>26.8</v>
      </c>
      <c r="I779" s="216">
        <v>15.3</v>
      </c>
      <c r="J779" s="217">
        <v>16.3</v>
      </c>
    </row>
    <row r="780" spans="1:10">
      <c r="A780" s="221">
        <v>41748</v>
      </c>
      <c r="B780" s="222">
        <v>0</v>
      </c>
      <c r="C780" s="215">
        <v>18.100000000000001</v>
      </c>
      <c r="D780" s="216">
        <v>23.6</v>
      </c>
      <c r="E780" s="229" t="s">
        <v>8273</v>
      </c>
      <c r="F780" s="217">
        <v>27.2</v>
      </c>
      <c r="G780" s="215">
        <v>26.4</v>
      </c>
      <c r="H780" s="216">
        <v>26.7</v>
      </c>
      <c r="I780" s="216">
        <v>15</v>
      </c>
      <c r="J780" s="217">
        <v>15.9</v>
      </c>
    </row>
    <row r="781" spans="1:10">
      <c r="A781" s="221">
        <v>41748</v>
      </c>
      <c r="B781" s="222">
        <v>0.16666666666666666</v>
      </c>
      <c r="C781" s="215">
        <v>18.2</v>
      </c>
      <c r="D781" s="216">
        <v>23.6</v>
      </c>
      <c r="E781" s="229" t="s">
        <v>8273</v>
      </c>
      <c r="F781" s="217">
        <v>27.1</v>
      </c>
      <c r="G781" s="215">
        <v>26.3</v>
      </c>
      <c r="H781" s="216">
        <v>26.7</v>
      </c>
      <c r="I781" s="216">
        <v>14.3</v>
      </c>
      <c r="J781" s="217">
        <v>15.2</v>
      </c>
    </row>
    <row r="782" spans="1:10">
      <c r="A782" s="221">
        <v>41748</v>
      </c>
      <c r="B782" s="222">
        <v>0.33333333333333331</v>
      </c>
      <c r="C782" s="215">
        <v>18.2</v>
      </c>
      <c r="D782" s="216">
        <v>23.2</v>
      </c>
      <c r="E782" s="229" t="s">
        <v>8273</v>
      </c>
      <c r="F782" s="217">
        <v>27.1</v>
      </c>
      <c r="G782" s="215">
        <v>26.3</v>
      </c>
      <c r="H782" s="216">
        <v>26.7</v>
      </c>
      <c r="I782" s="216">
        <v>14</v>
      </c>
      <c r="J782" s="217">
        <v>14.8</v>
      </c>
    </row>
    <row r="783" spans="1:10">
      <c r="A783" s="221">
        <v>41748</v>
      </c>
      <c r="B783" s="222">
        <v>0.5</v>
      </c>
      <c r="C783" s="215">
        <v>18.100000000000001</v>
      </c>
      <c r="D783" s="216">
        <v>23.3</v>
      </c>
      <c r="E783" s="229" t="s">
        <v>8273</v>
      </c>
      <c r="F783" s="217">
        <v>27</v>
      </c>
      <c r="G783" s="215">
        <v>26.2</v>
      </c>
      <c r="H783" s="216">
        <v>26.6</v>
      </c>
      <c r="I783" s="216">
        <v>13.7</v>
      </c>
      <c r="J783" s="217">
        <v>14.5</v>
      </c>
    </row>
    <row r="784" spans="1:10">
      <c r="A784" s="221">
        <v>41748</v>
      </c>
      <c r="B784" s="222">
        <v>0.66666666666666663</v>
      </c>
      <c r="C784" s="215">
        <v>18.3</v>
      </c>
      <c r="D784" s="216">
        <v>23.1</v>
      </c>
      <c r="E784" s="229" t="s">
        <v>8273</v>
      </c>
      <c r="F784" s="217">
        <v>26.9</v>
      </c>
      <c r="G784" s="215">
        <v>26.1</v>
      </c>
      <c r="H784" s="216">
        <v>26.5</v>
      </c>
      <c r="I784" s="216">
        <v>14.6</v>
      </c>
      <c r="J784" s="217">
        <v>15.6</v>
      </c>
    </row>
    <row r="785" spans="1:10">
      <c r="A785" s="221">
        <v>41748</v>
      </c>
      <c r="B785" s="222">
        <v>0.83333333333333337</v>
      </c>
      <c r="C785" s="215">
        <v>19.3</v>
      </c>
      <c r="D785" s="216">
        <v>22.7</v>
      </c>
      <c r="E785" s="229" t="s">
        <v>8273</v>
      </c>
      <c r="F785" s="217">
        <v>26.8</v>
      </c>
      <c r="G785" s="215">
        <v>26</v>
      </c>
      <c r="H785" s="216">
        <v>26.3</v>
      </c>
      <c r="I785" s="216">
        <v>15.3</v>
      </c>
      <c r="J785" s="217">
        <v>16.399999999999999</v>
      </c>
    </row>
    <row r="786" spans="1:10">
      <c r="A786" s="221">
        <v>41749</v>
      </c>
      <c r="B786" s="222">
        <v>0</v>
      </c>
      <c r="C786" s="215">
        <v>18</v>
      </c>
      <c r="D786" s="216">
        <v>23.8</v>
      </c>
      <c r="E786" s="229" t="s">
        <v>8273</v>
      </c>
      <c r="F786" s="217">
        <v>26.7</v>
      </c>
      <c r="G786" s="215">
        <v>26</v>
      </c>
      <c r="H786" s="216">
        <v>26.3</v>
      </c>
      <c r="I786" s="216">
        <v>14.7</v>
      </c>
      <c r="J786" s="217">
        <v>15.7</v>
      </c>
    </row>
    <row r="787" spans="1:10">
      <c r="A787" s="221">
        <v>41749</v>
      </c>
      <c r="B787" s="222">
        <v>0.16666666666666666</v>
      </c>
      <c r="C787" s="215">
        <v>18.3</v>
      </c>
      <c r="D787" s="216">
        <v>23.7</v>
      </c>
      <c r="E787" s="229" t="s">
        <v>8273</v>
      </c>
      <c r="F787" s="217">
        <v>26.7</v>
      </c>
      <c r="G787" s="215">
        <v>25.9</v>
      </c>
      <c r="H787" s="216">
        <v>26.3</v>
      </c>
      <c r="I787" s="216">
        <v>14</v>
      </c>
      <c r="J787" s="217">
        <v>15.1</v>
      </c>
    </row>
    <row r="788" spans="1:10">
      <c r="A788" s="221">
        <v>41749</v>
      </c>
      <c r="B788" s="222">
        <v>0.33333333333333331</v>
      </c>
      <c r="C788" s="215">
        <v>18.100000000000001</v>
      </c>
      <c r="D788" s="216">
        <v>23.7</v>
      </c>
      <c r="E788" s="229" t="s">
        <v>8273</v>
      </c>
      <c r="F788" s="217">
        <v>26.7</v>
      </c>
      <c r="G788" s="215">
        <v>25.9</v>
      </c>
      <c r="H788" s="216">
        <v>26.3</v>
      </c>
      <c r="I788" s="216">
        <v>13.8</v>
      </c>
      <c r="J788" s="217">
        <v>14.8</v>
      </c>
    </row>
    <row r="789" spans="1:10">
      <c r="A789" s="221">
        <v>41749</v>
      </c>
      <c r="B789" s="222">
        <v>0.5</v>
      </c>
      <c r="C789" s="215">
        <v>18.5</v>
      </c>
      <c r="D789" s="216">
        <v>23.8</v>
      </c>
      <c r="E789" s="229" t="s">
        <v>8273</v>
      </c>
      <c r="F789" s="217">
        <v>26.7</v>
      </c>
      <c r="G789" s="215">
        <v>25.7</v>
      </c>
      <c r="H789" s="216">
        <v>26.2</v>
      </c>
      <c r="I789" s="216">
        <v>13.3</v>
      </c>
      <c r="J789" s="217">
        <v>14</v>
      </c>
    </row>
    <row r="790" spans="1:10">
      <c r="A790" s="221">
        <v>41749</v>
      </c>
      <c r="B790" s="222">
        <v>0.66666666666666663</v>
      </c>
      <c r="C790" s="215">
        <v>20.2</v>
      </c>
      <c r="D790" s="216">
        <v>23.9</v>
      </c>
      <c r="E790" s="229" t="s">
        <v>8273</v>
      </c>
      <c r="F790" s="217">
        <v>26.9</v>
      </c>
      <c r="G790" s="215">
        <v>25.7</v>
      </c>
      <c r="H790" s="216">
        <v>26.2</v>
      </c>
      <c r="I790" s="216">
        <v>13.2</v>
      </c>
      <c r="J790" s="217">
        <v>13.9</v>
      </c>
    </row>
    <row r="791" spans="1:10">
      <c r="A791" s="221">
        <v>41749</v>
      </c>
      <c r="B791" s="222">
        <v>0.83333333333333337</v>
      </c>
      <c r="C791" s="215">
        <v>19.899999999999999</v>
      </c>
      <c r="D791" s="216">
        <v>23.8</v>
      </c>
      <c r="E791" s="229" t="s">
        <v>8273</v>
      </c>
      <c r="F791" s="217">
        <v>26.8</v>
      </c>
      <c r="G791" s="215">
        <v>25.7</v>
      </c>
      <c r="H791" s="216">
        <v>26.2</v>
      </c>
      <c r="I791" s="216">
        <v>13.1</v>
      </c>
      <c r="J791" s="217">
        <v>13.9</v>
      </c>
    </row>
    <row r="792" spans="1:10">
      <c r="A792" s="221">
        <v>41750</v>
      </c>
      <c r="B792" s="222">
        <v>0</v>
      </c>
      <c r="C792" s="215">
        <v>19.7</v>
      </c>
      <c r="D792" s="216">
        <v>23.5</v>
      </c>
      <c r="E792" s="229" t="s">
        <v>8273</v>
      </c>
      <c r="F792" s="217">
        <v>26.9</v>
      </c>
      <c r="G792" s="215">
        <v>25.7</v>
      </c>
      <c r="H792" s="216">
        <v>26.2</v>
      </c>
      <c r="I792" s="216">
        <v>13</v>
      </c>
      <c r="J792" s="217">
        <v>13.7</v>
      </c>
    </row>
    <row r="793" spans="1:10">
      <c r="A793" s="221">
        <v>41750</v>
      </c>
      <c r="B793" s="222">
        <v>0.16666666666666666</v>
      </c>
      <c r="C793" s="215">
        <v>18.8</v>
      </c>
      <c r="D793" s="216">
        <v>23.6</v>
      </c>
      <c r="E793" s="229" t="s">
        <v>8273</v>
      </c>
      <c r="F793" s="217">
        <v>26.8</v>
      </c>
      <c r="G793" s="215">
        <v>25.7</v>
      </c>
      <c r="H793" s="216">
        <v>26.2</v>
      </c>
      <c r="I793" s="216">
        <v>12.6</v>
      </c>
      <c r="J793" s="217">
        <v>13.3</v>
      </c>
    </row>
    <row r="794" spans="1:10">
      <c r="A794" s="221">
        <v>41750</v>
      </c>
      <c r="B794" s="222">
        <v>0.33333333333333331</v>
      </c>
      <c r="C794" s="215">
        <v>18.3</v>
      </c>
      <c r="D794" s="216">
        <v>23.4</v>
      </c>
      <c r="E794" s="229" t="s">
        <v>8273</v>
      </c>
      <c r="F794" s="217">
        <v>26.8</v>
      </c>
      <c r="G794" s="215">
        <v>25.7</v>
      </c>
      <c r="H794" s="216">
        <v>26.1</v>
      </c>
      <c r="I794" s="216">
        <v>12.4</v>
      </c>
      <c r="J794" s="217">
        <v>13.1</v>
      </c>
    </row>
    <row r="795" spans="1:10">
      <c r="A795" s="221">
        <v>41750</v>
      </c>
      <c r="B795" s="222">
        <v>0.5</v>
      </c>
      <c r="C795" s="215">
        <v>18.399999999999999</v>
      </c>
      <c r="D795" s="216">
        <v>23.6</v>
      </c>
      <c r="E795" s="229" t="s">
        <v>8273</v>
      </c>
      <c r="F795" s="217">
        <v>26.7</v>
      </c>
      <c r="G795" s="215">
        <v>25.7</v>
      </c>
      <c r="H795" s="216">
        <v>26.1</v>
      </c>
      <c r="I795" s="216">
        <v>12.3</v>
      </c>
      <c r="J795" s="217">
        <v>13</v>
      </c>
    </row>
    <row r="796" spans="1:10">
      <c r="A796" s="221">
        <v>41750</v>
      </c>
      <c r="B796" s="222">
        <v>0.66666666666666663</v>
      </c>
      <c r="C796" s="215">
        <v>18.100000000000001</v>
      </c>
      <c r="D796" s="216">
        <v>23.6</v>
      </c>
      <c r="E796" s="229" t="s">
        <v>8273</v>
      </c>
      <c r="F796" s="217">
        <v>26.6</v>
      </c>
      <c r="G796" s="215">
        <v>25.6</v>
      </c>
      <c r="H796" s="216">
        <v>26.1</v>
      </c>
      <c r="I796" s="216">
        <v>13.4</v>
      </c>
      <c r="J796" s="217">
        <v>14.3</v>
      </c>
    </row>
    <row r="797" spans="1:10">
      <c r="A797" s="221">
        <v>41750</v>
      </c>
      <c r="B797" s="222">
        <v>0.83333333333333337</v>
      </c>
      <c r="C797" s="215">
        <v>18.100000000000001</v>
      </c>
      <c r="D797" s="216">
        <v>23.5</v>
      </c>
      <c r="E797" s="229" t="s">
        <v>8273</v>
      </c>
      <c r="F797" s="217">
        <v>26.5</v>
      </c>
      <c r="G797" s="215">
        <v>25.5</v>
      </c>
      <c r="H797" s="216">
        <v>25.9</v>
      </c>
      <c r="I797" s="216">
        <v>14.4</v>
      </c>
      <c r="J797" s="217">
        <v>15.6</v>
      </c>
    </row>
    <row r="798" spans="1:10">
      <c r="A798" s="221">
        <v>41751</v>
      </c>
      <c r="B798" s="222">
        <v>0</v>
      </c>
      <c r="C798" s="215">
        <v>18.100000000000001</v>
      </c>
      <c r="D798" s="216">
        <v>23.2</v>
      </c>
      <c r="E798" s="229" t="s">
        <v>8273</v>
      </c>
      <c r="F798" s="217">
        <v>26.6</v>
      </c>
      <c r="G798" s="215">
        <v>25.5</v>
      </c>
      <c r="H798" s="216">
        <v>25.9</v>
      </c>
      <c r="I798" s="216">
        <v>14.3</v>
      </c>
      <c r="J798" s="217">
        <v>15.4</v>
      </c>
    </row>
    <row r="799" spans="1:10">
      <c r="A799" s="221">
        <v>41751</v>
      </c>
      <c r="B799" s="222">
        <v>0.16666666666666666</v>
      </c>
      <c r="C799" s="215">
        <v>18</v>
      </c>
      <c r="D799" s="216">
        <v>23.1</v>
      </c>
      <c r="E799" s="229" t="s">
        <v>8273</v>
      </c>
      <c r="F799" s="217">
        <v>26.6</v>
      </c>
      <c r="G799" s="215">
        <v>25.4</v>
      </c>
      <c r="H799" s="216">
        <v>25.9</v>
      </c>
      <c r="I799" s="216">
        <v>13.9</v>
      </c>
      <c r="J799" s="217">
        <v>14.9</v>
      </c>
    </row>
    <row r="800" spans="1:10">
      <c r="A800" s="221">
        <v>41751</v>
      </c>
      <c r="B800" s="222">
        <v>0.33333333333333331</v>
      </c>
      <c r="C800" s="215">
        <v>18.100000000000001</v>
      </c>
      <c r="D800" s="216">
        <v>22.9</v>
      </c>
      <c r="E800" s="229" t="s">
        <v>8273</v>
      </c>
      <c r="F800" s="217">
        <v>26.5</v>
      </c>
      <c r="G800" s="215">
        <v>25.4</v>
      </c>
      <c r="H800" s="216">
        <v>25.9</v>
      </c>
      <c r="I800" s="216">
        <v>13.8</v>
      </c>
      <c r="J800" s="217">
        <v>14.6</v>
      </c>
    </row>
    <row r="801" spans="1:10">
      <c r="A801" s="221">
        <v>41751</v>
      </c>
      <c r="B801" s="222">
        <v>0.5</v>
      </c>
      <c r="C801" s="215">
        <v>23.2</v>
      </c>
      <c r="D801" s="216">
        <v>23.3</v>
      </c>
      <c r="E801" s="229" t="s">
        <v>8273</v>
      </c>
      <c r="F801" s="217">
        <v>26.5</v>
      </c>
      <c r="G801" s="215">
        <v>25.3</v>
      </c>
      <c r="H801" s="216">
        <v>25.9</v>
      </c>
      <c r="I801" s="216">
        <v>13.5</v>
      </c>
      <c r="J801" s="217">
        <v>14.3</v>
      </c>
    </row>
    <row r="802" spans="1:10">
      <c r="A802" s="221">
        <v>41751</v>
      </c>
      <c r="B802" s="222">
        <v>0.66666666666666663</v>
      </c>
      <c r="C802" s="215">
        <v>22</v>
      </c>
      <c r="D802" s="216">
        <v>23.7</v>
      </c>
      <c r="E802" s="229" t="s">
        <v>8273</v>
      </c>
      <c r="F802" s="217">
        <v>26.5</v>
      </c>
      <c r="G802" s="215">
        <v>25.4</v>
      </c>
      <c r="H802" s="216">
        <v>25.9</v>
      </c>
      <c r="I802" s="216">
        <v>13.9</v>
      </c>
      <c r="J802" s="217">
        <v>14.7</v>
      </c>
    </row>
    <row r="803" spans="1:10">
      <c r="A803" s="221">
        <v>41751</v>
      </c>
      <c r="B803" s="222">
        <v>0.83333333333333337</v>
      </c>
      <c r="C803" s="215">
        <v>21.3</v>
      </c>
      <c r="D803" s="216">
        <v>23.9</v>
      </c>
      <c r="E803" s="229" t="s">
        <v>8273</v>
      </c>
      <c r="F803" s="217">
        <v>26.5</v>
      </c>
      <c r="G803" s="215">
        <v>25.4</v>
      </c>
      <c r="H803" s="216">
        <v>25.8</v>
      </c>
      <c r="I803" s="216">
        <v>14.4</v>
      </c>
      <c r="J803" s="217">
        <v>15.2</v>
      </c>
    </row>
    <row r="804" spans="1:10">
      <c r="A804" s="221">
        <v>41752</v>
      </c>
      <c r="B804" s="222">
        <v>0</v>
      </c>
      <c r="C804" s="215">
        <v>21.1</v>
      </c>
      <c r="D804" s="216">
        <v>23.5</v>
      </c>
      <c r="E804" s="229" t="s">
        <v>8273</v>
      </c>
      <c r="F804" s="217">
        <v>26.5</v>
      </c>
      <c r="G804" s="215">
        <v>25.4</v>
      </c>
      <c r="H804" s="216">
        <v>25.8</v>
      </c>
      <c r="I804" s="216">
        <v>14.1</v>
      </c>
      <c r="J804" s="217">
        <v>14.9</v>
      </c>
    </row>
    <row r="805" spans="1:10">
      <c r="A805" s="221">
        <v>41752</v>
      </c>
      <c r="B805" s="222">
        <v>0.16666666666666666</v>
      </c>
      <c r="C805" s="215">
        <v>21.1</v>
      </c>
      <c r="D805" s="216">
        <v>23.6</v>
      </c>
      <c r="E805" s="229" t="s">
        <v>8273</v>
      </c>
      <c r="F805" s="217">
        <v>26.5</v>
      </c>
      <c r="G805" s="215">
        <v>25.4</v>
      </c>
      <c r="H805" s="216">
        <v>25.8</v>
      </c>
      <c r="I805" s="216">
        <v>13.5</v>
      </c>
      <c r="J805" s="217">
        <v>14.2</v>
      </c>
    </row>
    <row r="806" spans="1:10">
      <c r="A806" s="221">
        <v>41752</v>
      </c>
      <c r="B806" s="222">
        <v>0.33333333333333331</v>
      </c>
      <c r="C806" s="215">
        <v>21.1</v>
      </c>
      <c r="D806" s="216">
        <v>23.6</v>
      </c>
      <c r="E806" s="229" t="s">
        <v>8273</v>
      </c>
      <c r="F806" s="217">
        <v>26.5</v>
      </c>
      <c r="G806" s="215">
        <v>25.4</v>
      </c>
      <c r="H806" s="216">
        <v>25.8</v>
      </c>
      <c r="I806" s="216">
        <v>13.1</v>
      </c>
      <c r="J806" s="217">
        <v>13.8</v>
      </c>
    </row>
    <row r="807" spans="1:10">
      <c r="A807" s="221">
        <v>41752</v>
      </c>
      <c r="B807" s="222">
        <v>0.5</v>
      </c>
      <c r="C807" s="215">
        <v>20.7</v>
      </c>
      <c r="D807" s="216">
        <v>23.5</v>
      </c>
      <c r="E807" s="229" t="s">
        <v>8273</v>
      </c>
      <c r="F807" s="217">
        <v>26.5</v>
      </c>
      <c r="G807" s="215">
        <v>25.4</v>
      </c>
      <c r="H807" s="216">
        <v>25.8</v>
      </c>
      <c r="I807" s="216">
        <v>12.9</v>
      </c>
      <c r="J807" s="217">
        <v>13.5</v>
      </c>
    </row>
    <row r="808" spans="1:10">
      <c r="A808" s="221">
        <v>41752</v>
      </c>
      <c r="B808" s="222">
        <v>0.66666666666666663</v>
      </c>
      <c r="C808" s="215">
        <v>20.5</v>
      </c>
      <c r="D808" s="216">
        <v>23</v>
      </c>
      <c r="E808" s="229" t="s">
        <v>8273</v>
      </c>
      <c r="F808" s="217">
        <v>26.4</v>
      </c>
      <c r="G808" s="215">
        <v>25.3</v>
      </c>
      <c r="H808" s="216">
        <v>25.7</v>
      </c>
      <c r="I808" s="216">
        <v>14.2</v>
      </c>
      <c r="J808" s="217">
        <v>15.2</v>
      </c>
    </row>
    <row r="809" spans="1:10">
      <c r="A809" s="221">
        <v>41752</v>
      </c>
      <c r="B809" s="222">
        <v>0.83333333333333337</v>
      </c>
      <c r="C809" s="215">
        <v>20.2</v>
      </c>
      <c r="D809" s="216">
        <v>23</v>
      </c>
      <c r="E809" s="229" t="s">
        <v>8273</v>
      </c>
      <c r="F809" s="217">
        <v>26.3</v>
      </c>
      <c r="G809" s="215">
        <v>25.2</v>
      </c>
      <c r="H809" s="216">
        <v>25.6</v>
      </c>
      <c r="I809" s="216">
        <v>15.2</v>
      </c>
      <c r="J809" s="217">
        <v>16.100000000000001</v>
      </c>
    </row>
    <row r="810" spans="1:10">
      <c r="A810" s="221">
        <v>41753</v>
      </c>
      <c r="B810" s="222">
        <v>0</v>
      </c>
      <c r="C810" s="215">
        <v>20</v>
      </c>
      <c r="D810" s="216">
        <v>23</v>
      </c>
      <c r="E810" s="229" t="s">
        <v>8273</v>
      </c>
      <c r="F810" s="217">
        <v>26.3</v>
      </c>
      <c r="G810" s="215">
        <v>25.2</v>
      </c>
      <c r="H810" s="216">
        <v>25.6</v>
      </c>
      <c r="I810" s="216">
        <v>14.9</v>
      </c>
      <c r="J810" s="217">
        <v>15.7</v>
      </c>
    </row>
    <row r="811" spans="1:10">
      <c r="A811" s="221">
        <v>41753</v>
      </c>
      <c r="B811" s="222">
        <v>0.16666666666666666</v>
      </c>
      <c r="C811" s="215">
        <v>19.5</v>
      </c>
      <c r="D811" s="216">
        <v>23</v>
      </c>
      <c r="E811" s="229" t="s">
        <v>8273</v>
      </c>
      <c r="F811" s="217">
        <v>26.3</v>
      </c>
      <c r="G811" s="215">
        <v>25.2</v>
      </c>
      <c r="H811" s="216">
        <v>25.5</v>
      </c>
      <c r="I811" s="216">
        <v>14.3</v>
      </c>
      <c r="J811" s="217">
        <v>15</v>
      </c>
    </row>
    <row r="812" spans="1:10">
      <c r="A812" s="221">
        <v>41753</v>
      </c>
      <c r="B812" s="222">
        <v>0.33333333333333331</v>
      </c>
      <c r="C812" s="215">
        <v>20.3</v>
      </c>
      <c r="D812" s="216">
        <v>23.2</v>
      </c>
      <c r="E812" s="229" t="s">
        <v>8273</v>
      </c>
      <c r="F812" s="217">
        <v>26.2</v>
      </c>
      <c r="G812" s="215">
        <v>25.2</v>
      </c>
      <c r="H812" s="216">
        <v>25.6</v>
      </c>
      <c r="I812" s="216">
        <v>14.1</v>
      </c>
      <c r="J812" s="217">
        <v>14.7</v>
      </c>
    </row>
    <row r="813" spans="1:10">
      <c r="A813" s="221">
        <v>41753</v>
      </c>
      <c r="B813" s="222">
        <v>0.5</v>
      </c>
      <c r="C813" s="215">
        <v>20.2</v>
      </c>
      <c r="D813" s="216">
        <v>23.3</v>
      </c>
      <c r="E813" s="229" t="s">
        <v>8273</v>
      </c>
      <c r="F813" s="217">
        <v>26.2</v>
      </c>
      <c r="G813" s="215">
        <v>25.1</v>
      </c>
      <c r="H813" s="216">
        <v>25.5</v>
      </c>
      <c r="I813" s="216">
        <v>13.9</v>
      </c>
      <c r="J813" s="217">
        <v>14.6</v>
      </c>
    </row>
    <row r="814" spans="1:10">
      <c r="A814" s="221">
        <v>41753</v>
      </c>
      <c r="B814" s="222">
        <v>0.66666666666666663</v>
      </c>
      <c r="C814" s="215">
        <v>21.4</v>
      </c>
      <c r="D814" s="216">
        <v>23.5</v>
      </c>
      <c r="E814" s="229" t="s">
        <v>8273</v>
      </c>
      <c r="F814" s="217">
        <v>26.1</v>
      </c>
      <c r="G814" s="215">
        <v>25</v>
      </c>
      <c r="H814" s="216">
        <v>25.4</v>
      </c>
      <c r="I814" s="216">
        <v>14.8</v>
      </c>
      <c r="J814" s="217">
        <v>15.6</v>
      </c>
    </row>
    <row r="815" spans="1:10">
      <c r="A815" s="221">
        <v>41753</v>
      </c>
      <c r="B815" s="222">
        <v>0.83333333333333337</v>
      </c>
      <c r="C815" s="215">
        <v>25.3</v>
      </c>
      <c r="D815" s="216">
        <v>25.3</v>
      </c>
      <c r="E815" s="229" t="s">
        <v>8273</v>
      </c>
      <c r="F815" s="217">
        <v>26.2</v>
      </c>
      <c r="G815" s="215">
        <v>24.9</v>
      </c>
      <c r="H815" s="216">
        <v>27.1</v>
      </c>
      <c r="I815" s="216">
        <v>14.9</v>
      </c>
      <c r="J815" s="217">
        <v>15.6</v>
      </c>
    </row>
    <row r="816" spans="1:10">
      <c r="A816" s="221">
        <v>41754</v>
      </c>
      <c r="B816" s="222">
        <v>0</v>
      </c>
      <c r="C816" s="215">
        <v>24</v>
      </c>
      <c r="D816" s="216">
        <v>25</v>
      </c>
      <c r="E816" s="229" t="s">
        <v>8273</v>
      </c>
      <c r="F816" s="217">
        <v>26.2</v>
      </c>
      <c r="G816" s="215">
        <v>25</v>
      </c>
      <c r="H816" s="216">
        <v>26.4</v>
      </c>
      <c r="I816" s="216">
        <v>14.4</v>
      </c>
      <c r="J816" s="217">
        <v>15</v>
      </c>
    </row>
    <row r="817" spans="1:10">
      <c r="A817" s="221">
        <v>41754</v>
      </c>
      <c r="B817" s="222">
        <v>0.16666666666666666</v>
      </c>
      <c r="C817" s="215">
        <v>22.9</v>
      </c>
      <c r="D817" s="216">
        <v>24.7</v>
      </c>
      <c r="E817" s="229" t="s">
        <v>8273</v>
      </c>
      <c r="F817" s="217">
        <v>26.2</v>
      </c>
      <c r="G817" s="215">
        <v>25.1</v>
      </c>
      <c r="H817" s="216">
        <v>26.2</v>
      </c>
      <c r="I817" s="216">
        <v>13.9</v>
      </c>
      <c r="J817" s="217">
        <v>14.4</v>
      </c>
    </row>
    <row r="818" spans="1:10">
      <c r="A818" s="221">
        <v>41754</v>
      </c>
      <c r="B818" s="222">
        <v>0.33333333333333331</v>
      </c>
      <c r="C818" s="215">
        <v>22</v>
      </c>
      <c r="D818" s="216">
        <v>24.4</v>
      </c>
      <c r="E818" s="229" t="s">
        <v>8273</v>
      </c>
      <c r="F818" s="217">
        <v>26.2</v>
      </c>
      <c r="G818" s="215">
        <v>25</v>
      </c>
      <c r="H818" s="216">
        <v>26.2</v>
      </c>
      <c r="I818" s="216">
        <v>13.6</v>
      </c>
      <c r="J818" s="217">
        <v>14.1</v>
      </c>
    </row>
    <row r="819" spans="1:10">
      <c r="A819" s="221">
        <v>41754</v>
      </c>
      <c r="B819" s="222">
        <v>0.5</v>
      </c>
      <c r="C819" s="215">
        <v>21.5</v>
      </c>
      <c r="D819" s="216">
        <v>24.2</v>
      </c>
      <c r="E819" s="229" t="s">
        <v>8273</v>
      </c>
      <c r="F819" s="217">
        <v>26.2</v>
      </c>
      <c r="G819" s="215">
        <v>25</v>
      </c>
      <c r="H819" s="216">
        <v>26.1</v>
      </c>
      <c r="I819" s="216">
        <v>13.2</v>
      </c>
      <c r="J819" s="217">
        <v>13.7</v>
      </c>
    </row>
    <row r="820" spans="1:10">
      <c r="A820" s="221">
        <v>41754</v>
      </c>
      <c r="B820" s="222">
        <v>0.66666666666666663</v>
      </c>
      <c r="C820" s="215">
        <v>21.5</v>
      </c>
      <c r="D820" s="216">
        <v>21.6</v>
      </c>
      <c r="E820" s="229" t="s">
        <v>8273</v>
      </c>
      <c r="F820" s="217">
        <v>25.8</v>
      </c>
      <c r="G820" s="215">
        <v>25</v>
      </c>
      <c r="H820" s="216">
        <v>25.9</v>
      </c>
      <c r="I820" s="216">
        <v>13.8</v>
      </c>
      <c r="J820" s="217">
        <v>14.3</v>
      </c>
    </row>
    <row r="821" spans="1:10">
      <c r="A821" s="221">
        <v>41754</v>
      </c>
      <c r="B821" s="222">
        <v>0.83333333333333337</v>
      </c>
      <c r="C821" s="215">
        <v>21.2</v>
      </c>
      <c r="D821" s="216">
        <v>21.4</v>
      </c>
      <c r="E821" s="229" t="s">
        <v>8273</v>
      </c>
      <c r="F821" s="217">
        <v>25.8</v>
      </c>
      <c r="G821" s="215">
        <v>25</v>
      </c>
      <c r="H821" s="216">
        <v>25.8</v>
      </c>
      <c r="I821" s="216">
        <v>14.1</v>
      </c>
      <c r="J821" s="217">
        <v>14.7</v>
      </c>
    </row>
    <row r="822" spans="1:10">
      <c r="A822" s="221">
        <v>41755</v>
      </c>
      <c r="B822" s="222">
        <v>0</v>
      </c>
      <c r="C822" s="215">
        <v>21.1</v>
      </c>
      <c r="D822" s="216">
        <v>21.3</v>
      </c>
      <c r="E822" s="229" t="s">
        <v>8273</v>
      </c>
      <c r="F822" s="217">
        <v>25.8</v>
      </c>
      <c r="G822" s="215">
        <v>25</v>
      </c>
      <c r="H822" s="216">
        <v>25.8</v>
      </c>
      <c r="I822" s="216">
        <v>13.8</v>
      </c>
      <c r="J822" s="217">
        <v>14.3</v>
      </c>
    </row>
    <row r="823" spans="1:10">
      <c r="A823" s="221">
        <v>41755</v>
      </c>
      <c r="B823" s="222">
        <v>0.16666666666666666</v>
      </c>
      <c r="C823" s="215">
        <v>20.6</v>
      </c>
      <c r="D823" s="216">
        <v>21.3</v>
      </c>
      <c r="E823" s="229" t="s">
        <v>8273</v>
      </c>
      <c r="F823" s="217">
        <v>25.7</v>
      </c>
      <c r="G823" s="215">
        <v>25</v>
      </c>
      <c r="H823" s="216">
        <v>25.8</v>
      </c>
      <c r="I823" s="216">
        <v>13.1</v>
      </c>
      <c r="J823" s="217">
        <v>13.6</v>
      </c>
    </row>
    <row r="824" spans="1:10">
      <c r="A824" s="221">
        <v>41755</v>
      </c>
      <c r="B824" s="222">
        <v>0.33333333333333331</v>
      </c>
      <c r="C824" s="215">
        <v>20.5</v>
      </c>
      <c r="D824" s="216">
        <v>21.3</v>
      </c>
      <c r="E824" s="229" t="s">
        <v>8273</v>
      </c>
      <c r="F824" s="217">
        <v>25.8</v>
      </c>
      <c r="G824" s="215">
        <v>25</v>
      </c>
      <c r="H824" s="216">
        <v>25.8</v>
      </c>
      <c r="I824" s="216">
        <v>12.7</v>
      </c>
      <c r="J824" s="217">
        <v>13.2</v>
      </c>
    </row>
    <row r="825" spans="1:10">
      <c r="A825" s="221">
        <v>41755</v>
      </c>
      <c r="B825" s="222">
        <v>0.5</v>
      </c>
      <c r="C825" s="215">
        <v>21</v>
      </c>
      <c r="D825" s="216">
        <v>21.2</v>
      </c>
      <c r="E825" s="229" t="s">
        <v>8273</v>
      </c>
      <c r="F825" s="217">
        <v>25.7</v>
      </c>
      <c r="G825" s="215">
        <v>25</v>
      </c>
      <c r="H825" s="216">
        <v>25.7</v>
      </c>
      <c r="I825" s="216">
        <v>12.3</v>
      </c>
      <c r="J825" s="217">
        <v>12.8</v>
      </c>
    </row>
    <row r="826" spans="1:10">
      <c r="A826" s="221">
        <v>41755</v>
      </c>
      <c r="B826" s="222">
        <v>0.66666666666666663</v>
      </c>
      <c r="C826" s="215">
        <v>29.7</v>
      </c>
      <c r="D826" s="216">
        <v>21.4</v>
      </c>
      <c r="E826" s="229" t="s">
        <v>8273</v>
      </c>
      <c r="F826" s="217">
        <v>25.7</v>
      </c>
      <c r="G826" s="215">
        <v>24.9</v>
      </c>
      <c r="H826" s="216">
        <v>25.7</v>
      </c>
      <c r="I826" s="216">
        <v>13.1</v>
      </c>
      <c r="J826" s="217">
        <v>13.7</v>
      </c>
    </row>
    <row r="827" spans="1:10">
      <c r="A827" s="221">
        <v>41755</v>
      </c>
      <c r="B827" s="222">
        <v>0.83333333333333337</v>
      </c>
      <c r="C827" s="215">
        <v>42.7</v>
      </c>
      <c r="D827" s="216">
        <v>36.5</v>
      </c>
      <c r="E827" s="229" t="s">
        <v>8273</v>
      </c>
      <c r="F827" s="217">
        <v>37.1</v>
      </c>
      <c r="G827" s="215">
        <v>31</v>
      </c>
      <c r="H827" s="216">
        <v>28.2</v>
      </c>
      <c r="I827" s="216">
        <v>13.4</v>
      </c>
      <c r="J827" s="217">
        <v>13.9</v>
      </c>
    </row>
    <row r="828" spans="1:10">
      <c r="A828" s="221">
        <v>41756</v>
      </c>
      <c r="B828" s="222">
        <v>0</v>
      </c>
      <c r="C828" s="215">
        <v>42.3</v>
      </c>
      <c r="D828" s="216">
        <v>34</v>
      </c>
      <c r="E828" s="229" t="s">
        <v>8273</v>
      </c>
      <c r="F828" s="217">
        <v>30.1</v>
      </c>
      <c r="G828" s="215">
        <v>31.2</v>
      </c>
      <c r="H828" s="216">
        <v>28.8</v>
      </c>
      <c r="I828" s="216">
        <v>13.1</v>
      </c>
      <c r="J828" s="217">
        <v>13.5</v>
      </c>
    </row>
    <row r="829" spans="1:10">
      <c r="A829" s="221">
        <v>41756</v>
      </c>
      <c r="B829" s="222">
        <v>0.16666666666666666</v>
      </c>
      <c r="C829" s="215">
        <v>36.6</v>
      </c>
      <c r="D829" s="216">
        <v>32</v>
      </c>
      <c r="E829" s="229" t="s">
        <v>8273</v>
      </c>
      <c r="F829" s="217">
        <v>28.6</v>
      </c>
      <c r="G829" s="215">
        <v>30.5</v>
      </c>
      <c r="H829" s="216">
        <v>28.4</v>
      </c>
      <c r="I829" s="216">
        <v>12.6</v>
      </c>
      <c r="J829" s="217">
        <v>13</v>
      </c>
    </row>
    <row r="830" spans="1:10">
      <c r="A830" s="221">
        <v>41756</v>
      </c>
      <c r="B830" s="222">
        <v>0.33333333333333331</v>
      </c>
      <c r="C830" s="215">
        <v>31.6</v>
      </c>
      <c r="D830" s="216">
        <v>30.6</v>
      </c>
      <c r="E830" s="229" t="s">
        <v>8273</v>
      </c>
      <c r="F830" s="217">
        <v>28</v>
      </c>
      <c r="G830" s="215">
        <v>30.4</v>
      </c>
      <c r="H830" s="216">
        <v>27.9</v>
      </c>
      <c r="I830" s="216">
        <v>12.4</v>
      </c>
      <c r="J830" s="217">
        <v>12.7</v>
      </c>
    </row>
    <row r="831" spans="1:10">
      <c r="A831" s="221">
        <v>41756</v>
      </c>
      <c r="B831" s="222">
        <v>0.5</v>
      </c>
      <c r="C831" s="215">
        <v>28.7</v>
      </c>
      <c r="D831" s="216">
        <v>29.5</v>
      </c>
      <c r="E831" s="229" t="s">
        <v>8273</v>
      </c>
      <c r="F831" s="217">
        <v>27.6</v>
      </c>
      <c r="G831" s="215">
        <v>29.7</v>
      </c>
      <c r="H831" s="216">
        <v>27.5</v>
      </c>
      <c r="I831" s="216">
        <v>12</v>
      </c>
      <c r="J831" s="217">
        <v>12.4</v>
      </c>
    </row>
    <row r="832" spans="1:10">
      <c r="A832" s="221">
        <v>41756</v>
      </c>
      <c r="B832" s="222">
        <v>0.66666666666666663</v>
      </c>
      <c r="C832" s="215">
        <v>27.2</v>
      </c>
      <c r="D832" s="216">
        <v>28.6</v>
      </c>
      <c r="E832" s="229" t="s">
        <v>8273</v>
      </c>
      <c r="F832" s="217">
        <v>27.3</v>
      </c>
      <c r="G832" s="215">
        <v>29.3</v>
      </c>
      <c r="H832" s="216">
        <v>27.3</v>
      </c>
      <c r="I832" s="216">
        <v>12.7</v>
      </c>
      <c r="J832" s="217">
        <v>13.1</v>
      </c>
    </row>
    <row r="833" spans="1:10">
      <c r="A833" s="221">
        <v>41756</v>
      </c>
      <c r="B833" s="222">
        <v>0.83333333333333337</v>
      </c>
      <c r="C833" s="215">
        <v>26.3</v>
      </c>
      <c r="D833" s="216">
        <v>28.1</v>
      </c>
      <c r="E833" s="229" t="s">
        <v>8273</v>
      </c>
      <c r="F833" s="217">
        <v>27</v>
      </c>
      <c r="G833" s="215">
        <v>28.9</v>
      </c>
      <c r="H833" s="216">
        <v>27.2</v>
      </c>
      <c r="I833" s="216">
        <v>13.2</v>
      </c>
      <c r="J833" s="217">
        <v>13.6</v>
      </c>
    </row>
    <row r="834" spans="1:10">
      <c r="A834" s="221">
        <v>41757</v>
      </c>
      <c r="B834" s="222">
        <v>0</v>
      </c>
      <c r="C834" s="215">
        <v>25.5</v>
      </c>
      <c r="D834" s="216">
        <v>27.7</v>
      </c>
      <c r="E834" s="229" t="s">
        <v>8273</v>
      </c>
      <c r="F834" s="217">
        <v>26.9</v>
      </c>
      <c r="G834" s="215">
        <v>28.6</v>
      </c>
      <c r="H834" s="216">
        <v>27.1</v>
      </c>
      <c r="I834" s="216">
        <v>12.8</v>
      </c>
      <c r="J834" s="217">
        <v>13.2</v>
      </c>
    </row>
    <row r="835" spans="1:10">
      <c r="A835" s="221">
        <v>41757</v>
      </c>
      <c r="B835" s="222">
        <v>0.16666666666666666</v>
      </c>
      <c r="C835" s="215">
        <v>25.2</v>
      </c>
      <c r="D835" s="216">
        <v>27.4</v>
      </c>
      <c r="E835" s="229" t="s">
        <v>8273</v>
      </c>
      <c r="F835" s="217">
        <v>26.8</v>
      </c>
      <c r="G835" s="215">
        <v>28.5</v>
      </c>
      <c r="H835" s="216">
        <v>27.3</v>
      </c>
      <c r="I835" s="216">
        <v>12.2</v>
      </c>
      <c r="J835" s="217">
        <v>12.6</v>
      </c>
    </row>
    <row r="836" spans="1:10">
      <c r="A836" s="221">
        <v>41757</v>
      </c>
      <c r="B836" s="222">
        <v>0.33333333333333331</v>
      </c>
      <c r="C836" s="215">
        <v>24.8</v>
      </c>
      <c r="D836" s="216">
        <v>27.2</v>
      </c>
      <c r="E836" s="229" t="s">
        <v>8273</v>
      </c>
      <c r="F836" s="217">
        <v>26.7</v>
      </c>
      <c r="G836" s="215">
        <v>28.4</v>
      </c>
      <c r="H836" s="216">
        <v>27.5</v>
      </c>
      <c r="I836" s="216">
        <v>12</v>
      </c>
      <c r="J836" s="217">
        <v>12.3</v>
      </c>
    </row>
    <row r="837" spans="1:10">
      <c r="A837" s="221">
        <v>41757</v>
      </c>
      <c r="B837" s="222">
        <v>0.5</v>
      </c>
      <c r="C837" s="215">
        <v>24.4</v>
      </c>
      <c r="D837" s="216">
        <v>26.9</v>
      </c>
      <c r="E837" s="229" t="s">
        <v>8273</v>
      </c>
      <c r="F837" s="217">
        <v>26.6</v>
      </c>
      <c r="G837" s="215">
        <v>28.2</v>
      </c>
      <c r="H837" s="216">
        <v>27.6</v>
      </c>
      <c r="I837" s="216">
        <v>11.9</v>
      </c>
      <c r="J837" s="217">
        <v>12.3</v>
      </c>
    </row>
    <row r="838" spans="1:10">
      <c r="A838" s="221">
        <v>41757</v>
      </c>
      <c r="B838" s="222">
        <v>0.66666666666666663</v>
      </c>
      <c r="C838" s="215">
        <v>24.6</v>
      </c>
      <c r="D838" s="216">
        <v>29.2</v>
      </c>
      <c r="E838" s="229" t="s">
        <v>8273</v>
      </c>
      <c r="F838" s="217">
        <v>26.5</v>
      </c>
      <c r="G838" s="215">
        <v>28.1</v>
      </c>
      <c r="H838" s="216">
        <v>27.6</v>
      </c>
      <c r="I838" s="216">
        <v>12.5</v>
      </c>
      <c r="J838" s="217">
        <v>12.9</v>
      </c>
    </row>
    <row r="839" spans="1:10">
      <c r="A839" s="221">
        <v>41757</v>
      </c>
      <c r="B839" s="222">
        <v>0.83333333333333337</v>
      </c>
      <c r="C839" s="215">
        <v>24.2</v>
      </c>
      <c r="D839" s="216">
        <v>27.9</v>
      </c>
      <c r="E839" s="229" t="s">
        <v>8273</v>
      </c>
      <c r="F839" s="217">
        <v>26.5</v>
      </c>
      <c r="G839" s="215">
        <v>28</v>
      </c>
      <c r="H839" s="216">
        <v>27.6</v>
      </c>
      <c r="I839" s="216">
        <v>12.9</v>
      </c>
      <c r="J839" s="217">
        <v>13.4</v>
      </c>
    </row>
    <row r="840" spans="1:10">
      <c r="A840" s="221">
        <v>41758</v>
      </c>
      <c r="B840" s="222">
        <v>0</v>
      </c>
      <c r="C840" s="215">
        <v>23.9</v>
      </c>
      <c r="D840" s="216">
        <v>27.1</v>
      </c>
      <c r="E840" s="229" t="s">
        <v>8273</v>
      </c>
      <c r="F840" s="217">
        <v>26.4</v>
      </c>
      <c r="G840" s="215">
        <v>27.9</v>
      </c>
      <c r="H840" s="216">
        <v>27.6</v>
      </c>
      <c r="I840" s="216">
        <v>12.8</v>
      </c>
      <c r="J840" s="217">
        <v>13.2</v>
      </c>
    </row>
    <row r="841" spans="1:10">
      <c r="A841" s="221">
        <v>41758</v>
      </c>
      <c r="B841" s="222">
        <v>0.16666666666666666</v>
      </c>
      <c r="C841" s="215">
        <v>23.8</v>
      </c>
      <c r="D841" s="216">
        <v>26.9</v>
      </c>
      <c r="E841" s="229" t="s">
        <v>8273</v>
      </c>
      <c r="F841" s="217">
        <v>26.4</v>
      </c>
      <c r="G841" s="215">
        <v>27.8</v>
      </c>
      <c r="H841" s="216">
        <v>27.6</v>
      </c>
      <c r="I841" s="216">
        <v>12.3</v>
      </c>
      <c r="J841" s="217">
        <v>12.7</v>
      </c>
    </row>
    <row r="842" spans="1:10">
      <c r="A842" s="221">
        <v>41758</v>
      </c>
      <c r="B842" s="222">
        <v>0.33333333333333331</v>
      </c>
      <c r="C842" s="215">
        <v>23.5</v>
      </c>
      <c r="D842" s="216">
        <v>26.7</v>
      </c>
      <c r="E842" s="229" t="s">
        <v>8273</v>
      </c>
      <c r="F842" s="217">
        <v>26.3</v>
      </c>
      <c r="G842" s="215">
        <v>27.8</v>
      </c>
      <c r="H842" s="216">
        <v>27.6</v>
      </c>
      <c r="I842" s="216">
        <v>12</v>
      </c>
      <c r="J842" s="217">
        <v>12.4</v>
      </c>
    </row>
    <row r="843" spans="1:10">
      <c r="A843" s="221">
        <v>41758</v>
      </c>
      <c r="B843" s="222">
        <v>0.5</v>
      </c>
      <c r="C843" s="215">
        <v>23.5</v>
      </c>
      <c r="D843" s="216">
        <v>26.6</v>
      </c>
      <c r="E843" s="229" t="s">
        <v>8273</v>
      </c>
      <c r="F843" s="217">
        <v>26.3</v>
      </c>
      <c r="G843" s="215">
        <v>27.7</v>
      </c>
      <c r="H843" s="216">
        <v>27.6</v>
      </c>
      <c r="I843" s="216">
        <v>11.9</v>
      </c>
      <c r="J843" s="217">
        <v>12.4</v>
      </c>
    </row>
    <row r="844" spans="1:10">
      <c r="A844" s="221">
        <v>41758</v>
      </c>
      <c r="B844" s="222">
        <v>0.66666666666666663</v>
      </c>
      <c r="C844" s="215">
        <v>23.3</v>
      </c>
      <c r="D844" s="216">
        <v>26.3</v>
      </c>
      <c r="E844" s="229" t="s">
        <v>8273</v>
      </c>
      <c r="F844" s="217">
        <v>26.2</v>
      </c>
      <c r="G844" s="215">
        <v>27.7</v>
      </c>
      <c r="H844" s="216">
        <v>27.6</v>
      </c>
      <c r="I844" s="216">
        <v>12.8</v>
      </c>
      <c r="J844" s="217">
        <v>13.3</v>
      </c>
    </row>
    <row r="845" spans="1:10">
      <c r="A845" s="221">
        <v>41758</v>
      </c>
      <c r="B845" s="222">
        <v>0.83333333333333337</v>
      </c>
      <c r="C845" s="215">
        <v>23.1</v>
      </c>
      <c r="D845" s="216">
        <v>26.2</v>
      </c>
      <c r="E845" s="229" t="s">
        <v>8273</v>
      </c>
      <c r="F845" s="217">
        <v>26.2</v>
      </c>
      <c r="G845" s="215">
        <v>27.6</v>
      </c>
      <c r="H845" s="216">
        <v>27.5</v>
      </c>
      <c r="I845" s="216">
        <v>13.5</v>
      </c>
      <c r="J845" s="217">
        <v>13.9</v>
      </c>
    </row>
    <row r="846" spans="1:10">
      <c r="A846" s="221">
        <v>41759</v>
      </c>
      <c r="B846" s="222">
        <v>0</v>
      </c>
      <c r="C846" s="215">
        <v>23</v>
      </c>
      <c r="D846" s="216">
        <v>26.1</v>
      </c>
      <c r="E846" s="229" t="s">
        <v>8273</v>
      </c>
      <c r="F846" s="217">
        <v>26.2</v>
      </c>
      <c r="G846" s="215">
        <v>27.6</v>
      </c>
      <c r="H846" s="216">
        <v>27.5</v>
      </c>
      <c r="I846" s="216">
        <v>13.4</v>
      </c>
      <c r="J846" s="217">
        <v>13.8</v>
      </c>
    </row>
    <row r="847" spans="1:10">
      <c r="A847" s="221">
        <v>41759</v>
      </c>
      <c r="B847" s="222">
        <v>0.16666666666666666</v>
      </c>
      <c r="C847" s="215">
        <v>22.8</v>
      </c>
      <c r="D847" s="216">
        <v>26</v>
      </c>
      <c r="E847" s="229" t="s">
        <v>8273</v>
      </c>
      <c r="F847" s="217">
        <v>26.1</v>
      </c>
      <c r="G847" s="215">
        <v>27.5</v>
      </c>
      <c r="H847" s="216">
        <v>27.5</v>
      </c>
      <c r="I847" s="216">
        <v>13.1</v>
      </c>
      <c r="J847" s="217">
        <v>13.5</v>
      </c>
    </row>
    <row r="848" spans="1:10">
      <c r="A848" s="221">
        <v>41759</v>
      </c>
      <c r="B848" s="222">
        <v>0.33333333333333331</v>
      </c>
      <c r="C848" s="215">
        <v>23</v>
      </c>
      <c r="D848" s="216">
        <v>26</v>
      </c>
      <c r="E848" s="229" t="s">
        <v>8273</v>
      </c>
      <c r="F848" s="217">
        <v>26.1</v>
      </c>
      <c r="G848" s="215">
        <v>27.5</v>
      </c>
      <c r="H848" s="216">
        <v>27.5</v>
      </c>
      <c r="I848" s="216">
        <v>13</v>
      </c>
      <c r="J848" s="217">
        <v>13.3</v>
      </c>
    </row>
    <row r="849" spans="1:10">
      <c r="A849" s="221">
        <v>41759</v>
      </c>
      <c r="B849" s="222">
        <v>0.5</v>
      </c>
      <c r="C849" s="215">
        <v>22.8</v>
      </c>
      <c r="D849" s="216">
        <v>25.9</v>
      </c>
      <c r="E849" s="229" t="s">
        <v>8273</v>
      </c>
      <c r="F849" s="217">
        <v>26.1</v>
      </c>
      <c r="G849" s="215">
        <v>27.4</v>
      </c>
      <c r="H849" s="216">
        <v>27.5</v>
      </c>
      <c r="I849" s="216">
        <v>12.8</v>
      </c>
      <c r="J849" s="217">
        <v>13.2</v>
      </c>
    </row>
    <row r="850" spans="1:10">
      <c r="A850" s="221">
        <v>41759</v>
      </c>
      <c r="B850" s="222">
        <v>0.66666666666666663</v>
      </c>
      <c r="C850" s="215">
        <v>22.8</v>
      </c>
      <c r="D850" s="216">
        <v>25.8</v>
      </c>
      <c r="E850" s="229" t="s">
        <v>8273</v>
      </c>
      <c r="F850" s="217">
        <v>26.1</v>
      </c>
      <c r="G850" s="215">
        <v>27.4</v>
      </c>
      <c r="H850" s="216">
        <v>27.5</v>
      </c>
      <c r="I850" s="216">
        <v>13.4</v>
      </c>
      <c r="J850" s="217">
        <v>13.8</v>
      </c>
    </row>
    <row r="851" spans="1:10">
      <c r="A851" s="221">
        <v>41759</v>
      </c>
      <c r="B851" s="222">
        <v>0.83333333333333337</v>
      </c>
      <c r="C851" s="215">
        <v>22.4</v>
      </c>
      <c r="D851" s="216">
        <v>25.7</v>
      </c>
      <c r="E851" s="229" t="s">
        <v>8273</v>
      </c>
      <c r="F851" s="217">
        <v>26.1</v>
      </c>
      <c r="G851" s="215">
        <v>27.4</v>
      </c>
      <c r="H851" s="216">
        <v>27.4</v>
      </c>
      <c r="I851" s="216">
        <v>14</v>
      </c>
      <c r="J851" s="217">
        <v>14.5</v>
      </c>
    </row>
    <row r="852" spans="1:10">
      <c r="A852" s="221">
        <v>41760</v>
      </c>
      <c r="B852" s="222">
        <v>0</v>
      </c>
      <c r="C852" s="215">
        <v>22</v>
      </c>
      <c r="D852" s="216">
        <v>25.6</v>
      </c>
      <c r="E852" s="229" t="s">
        <v>8273</v>
      </c>
      <c r="F852" s="217">
        <v>26.1</v>
      </c>
      <c r="G852" s="215">
        <v>27.3</v>
      </c>
      <c r="H852" s="216">
        <v>27.4</v>
      </c>
      <c r="I852" s="216">
        <v>13.8</v>
      </c>
      <c r="J852" s="217">
        <v>14.3</v>
      </c>
    </row>
    <row r="853" spans="1:10">
      <c r="A853" s="221">
        <v>41760</v>
      </c>
      <c r="B853" s="222">
        <v>0.16666666666666666</v>
      </c>
      <c r="C853" s="215">
        <v>22</v>
      </c>
      <c r="D853" s="216">
        <v>25.6</v>
      </c>
      <c r="E853" s="229" t="s">
        <v>8273</v>
      </c>
      <c r="F853" s="217">
        <v>26.1</v>
      </c>
      <c r="G853" s="215">
        <v>27.3</v>
      </c>
      <c r="H853" s="216">
        <v>27.4</v>
      </c>
      <c r="I853" s="216">
        <v>13.5</v>
      </c>
      <c r="J853" s="217">
        <v>13.9</v>
      </c>
    </row>
    <row r="854" spans="1:10">
      <c r="A854" s="221">
        <v>41760</v>
      </c>
      <c r="B854" s="222">
        <v>0.33333333333333331</v>
      </c>
      <c r="C854" s="215">
        <v>22</v>
      </c>
      <c r="D854" s="216">
        <v>25.6</v>
      </c>
      <c r="E854" s="229" t="s">
        <v>8273</v>
      </c>
      <c r="F854" s="217">
        <v>26.1</v>
      </c>
      <c r="G854" s="215">
        <v>27.3</v>
      </c>
      <c r="H854" s="216">
        <v>27.4</v>
      </c>
      <c r="I854" s="216">
        <v>13.3</v>
      </c>
      <c r="J854" s="217">
        <v>13.7</v>
      </c>
    </row>
    <row r="855" spans="1:10">
      <c r="A855" s="221">
        <v>41760</v>
      </c>
      <c r="B855" s="222">
        <v>0.5</v>
      </c>
      <c r="C855" s="215">
        <v>21.9</v>
      </c>
      <c r="D855" s="216">
        <v>25.5</v>
      </c>
      <c r="E855" s="229" t="s">
        <v>8273</v>
      </c>
      <c r="F855" s="217">
        <v>26.1</v>
      </c>
      <c r="G855" s="215">
        <v>27.3</v>
      </c>
      <c r="H855" s="216">
        <v>27.4</v>
      </c>
      <c r="I855" s="216">
        <v>13.3</v>
      </c>
      <c r="J855" s="217">
        <v>13.7</v>
      </c>
    </row>
    <row r="856" spans="1:10">
      <c r="A856" s="221">
        <v>41760</v>
      </c>
      <c r="B856" s="222">
        <v>0.66666666666666663</v>
      </c>
      <c r="C856" s="215">
        <v>21.7</v>
      </c>
      <c r="D856" s="216">
        <v>25.4</v>
      </c>
      <c r="E856" s="229" t="s">
        <v>8273</v>
      </c>
      <c r="F856" s="217">
        <v>26.3</v>
      </c>
      <c r="G856" s="215">
        <v>27.2</v>
      </c>
      <c r="H856" s="216">
        <v>27.4</v>
      </c>
      <c r="I856" s="216">
        <v>13.9</v>
      </c>
      <c r="J856" s="217">
        <v>14.3</v>
      </c>
    </row>
    <row r="857" spans="1:10">
      <c r="A857" s="221">
        <v>41760</v>
      </c>
      <c r="B857" s="222">
        <v>0.83333333333333337</v>
      </c>
      <c r="C857" s="215">
        <v>21.6</v>
      </c>
      <c r="D857" s="216">
        <v>25.3</v>
      </c>
      <c r="E857" s="229" t="s">
        <v>8273</v>
      </c>
      <c r="F857" s="217">
        <v>25.8</v>
      </c>
      <c r="G857" s="215">
        <v>27.2</v>
      </c>
      <c r="H857" s="216">
        <v>27.3</v>
      </c>
      <c r="I857" s="216">
        <v>14.1</v>
      </c>
      <c r="J857" s="217">
        <v>14.5</v>
      </c>
    </row>
    <row r="858" spans="1:10">
      <c r="A858" s="221">
        <v>41761</v>
      </c>
      <c r="B858" s="222">
        <v>0</v>
      </c>
      <c r="C858" s="215">
        <v>21.5</v>
      </c>
      <c r="D858" s="216">
        <v>25.3</v>
      </c>
      <c r="E858" s="229" t="s">
        <v>8273</v>
      </c>
      <c r="F858" s="217">
        <v>25.8</v>
      </c>
      <c r="G858" s="215">
        <v>27.1</v>
      </c>
      <c r="H858" s="216">
        <v>27.3</v>
      </c>
      <c r="I858" s="216">
        <v>13.8</v>
      </c>
      <c r="J858" s="217">
        <v>14</v>
      </c>
    </row>
    <row r="859" spans="1:10">
      <c r="A859" s="221">
        <v>41761</v>
      </c>
      <c r="B859" s="222">
        <v>0.16666666666666666</v>
      </c>
      <c r="C859" s="215">
        <v>21.5</v>
      </c>
      <c r="D859" s="216">
        <v>25.3</v>
      </c>
      <c r="E859" s="229" t="s">
        <v>8273</v>
      </c>
      <c r="F859" s="217">
        <v>25.7</v>
      </c>
      <c r="G859" s="215">
        <v>27.1</v>
      </c>
      <c r="H859" s="216">
        <v>27.3</v>
      </c>
      <c r="I859" s="216">
        <v>13.3</v>
      </c>
      <c r="J859" s="217">
        <v>13.6</v>
      </c>
    </row>
    <row r="860" spans="1:10">
      <c r="A860" s="221">
        <v>41761</v>
      </c>
      <c r="B860" s="222">
        <v>0.33333333333333331</v>
      </c>
      <c r="C860" s="215">
        <v>21.6</v>
      </c>
      <c r="D860" s="216">
        <v>25.2</v>
      </c>
      <c r="E860" s="229" t="s">
        <v>8273</v>
      </c>
      <c r="F860" s="217">
        <v>25.8</v>
      </c>
      <c r="G860" s="215">
        <v>27.1</v>
      </c>
      <c r="H860" s="216">
        <v>27.3</v>
      </c>
      <c r="I860" s="216">
        <v>13.1</v>
      </c>
      <c r="J860" s="217">
        <v>13.3</v>
      </c>
    </row>
    <row r="861" spans="1:10">
      <c r="A861" s="221">
        <v>41761</v>
      </c>
      <c r="B861" s="222">
        <v>0.5</v>
      </c>
      <c r="C861" s="215">
        <v>21.5</v>
      </c>
      <c r="D861" s="216">
        <v>25.2</v>
      </c>
      <c r="E861" s="229" t="s">
        <v>8273</v>
      </c>
      <c r="F861" s="217">
        <v>26</v>
      </c>
      <c r="G861" s="215">
        <v>27</v>
      </c>
      <c r="H861" s="216">
        <v>27.3</v>
      </c>
      <c r="I861" s="216">
        <v>12.8</v>
      </c>
      <c r="J861" s="217">
        <v>13.1</v>
      </c>
    </row>
    <row r="862" spans="1:10">
      <c r="A862" s="221">
        <v>41761</v>
      </c>
      <c r="B862" s="222">
        <v>0.66666666666666663</v>
      </c>
      <c r="C862" s="215">
        <v>21.4</v>
      </c>
      <c r="D862" s="216">
        <v>25.1</v>
      </c>
      <c r="E862" s="229" t="s">
        <v>8273</v>
      </c>
      <c r="F862" s="217">
        <v>26.4</v>
      </c>
      <c r="G862" s="215">
        <v>27</v>
      </c>
      <c r="H862" s="216">
        <v>27.3</v>
      </c>
      <c r="I862" s="216">
        <v>13.4</v>
      </c>
      <c r="J862" s="217">
        <v>13.7</v>
      </c>
    </row>
    <row r="863" spans="1:10">
      <c r="A863" s="221">
        <v>41761</v>
      </c>
      <c r="B863" s="222">
        <v>0.83333333333333337</v>
      </c>
      <c r="C863" s="215">
        <v>21.3</v>
      </c>
      <c r="D863" s="216">
        <v>25</v>
      </c>
      <c r="E863" s="229" t="s">
        <v>8273</v>
      </c>
      <c r="F863" s="217">
        <v>26.6</v>
      </c>
      <c r="G863" s="215">
        <v>27</v>
      </c>
      <c r="H863" s="216">
        <v>27.2</v>
      </c>
      <c r="I863" s="216">
        <v>13.8</v>
      </c>
      <c r="J863" s="217">
        <v>14.1</v>
      </c>
    </row>
    <row r="864" spans="1:10">
      <c r="A864" s="221">
        <v>41762</v>
      </c>
      <c r="B864" s="222">
        <v>0</v>
      </c>
      <c r="C864" s="215">
        <v>21.2</v>
      </c>
      <c r="D864" s="216">
        <v>25</v>
      </c>
      <c r="E864" s="229" t="s">
        <v>8273</v>
      </c>
      <c r="F864" s="217">
        <v>26.7</v>
      </c>
      <c r="G864" s="215">
        <v>27</v>
      </c>
      <c r="H864" s="216">
        <v>27.2</v>
      </c>
      <c r="I864" s="216">
        <v>13.6</v>
      </c>
      <c r="J864" s="217">
        <v>13.8</v>
      </c>
    </row>
    <row r="865" spans="1:10">
      <c r="A865" s="221">
        <v>41762</v>
      </c>
      <c r="B865" s="222">
        <v>0.16666666666666666</v>
      </c>
      <c r="C865" s="215">
        <v>21.2</v>
      </c>
      <c r="D865" s="216">
        <v>25</v>
      </c>
      <c r="E865" s="229" t="s">
        <v>8273</v>
      </c>
      <c r="F865" s="217">
        <v>26.7</v>
      </c>
      <c r="G865" s="215">
        <v>27</v>
      </c>
      <c r="H865" s="216">
        <v>27.2</v>
      </c>
      <c r="I865" s="216">
        <v>13.3</v>
      </c>
      <c r="J865" s="217">
        <v>13.5</v>
      </c>
    </row>
    <row r="866" spans="1:10">
      <c r="A866" s="221">
        <v>41762</v>
      </c>
      <c r="B866" s="222">
        <v>0.33333333333333331</v>
      </c>
      <c r="C866" s="215">
        <v>21.1</v>
      </c>
      <c r="D866" s="216">
        <v>25</v>
      </c>
      <c r="E866" s="229" t="s">
        <v>8273</v>
      </c>
      <c r="F866" s="217">
        <v>26.6</v>
      </c>
      <c r="G866" s="215">
        <v>26.9</v>
      </c>
      <c r="H866" s="216">
        <v>27.2</v>
      </c>
      <c r="I866" s="216">
        <v>13.1</v>
      </c>
      <c r="J866" s="217">
        <v>13.4</v>
      </c>
    </row>
    <row r="867" spans="1:10">
      <c r="A867" s="221">
        <v>41762</v>
      </c>
      <c r="B867" s="222">
        <v>0.5</v>
      </c>
      <c r="C867" s="215">
        <v>21.1</v>
      </c>
      <c r="D867" s="216">
        <v>24.9</v>
      </c>
      <c r="E867" s="229" t="s">
        <v>8273</v>
      </c>
      <c r="F867" s="217">
        <v>26.6</v>
      </c>
      <c r="G867" s="215">
        <v>26.9</v>
      </c>
      <c r="H867" s="216">
        <v>27.2</v>
      </c>
      <c r="I867" s="216">
        <v>13</v>
      </c>
      <c r="J867" s="217">
        <v>13.3</v>
      </c>
    </row>
    <row r="868" spans="1:10">
      <c r="A868" s="221">
        <v>41762</v>
      </c>
      <c r="B868" s="222">
        <v>0.66666666666666663</v>
      </c>
      <c r="C868" s="215">
        <v>21.2</v>
      </c>
      <c r="D868" s="216">
        <v>24.8</v>
      </c>
      <c r="E868" s="229" t="s">
        <v>8273</v>
      </c>
      <c r="F868" s="217">
        <v>26.6</v>
      </c>
      <c r="G868" s="215">
        <v>26.9</v>
      </c>
      <c r="H868" s="216">
        <v>27.1</v>
      </c>
      <c r="I868" s="216">
        <v>13.5</v>
      </c>
      <c r="J868" s="217">
        <v>13.8</v>
      </c>
    </row>
    <row r="869" spans="1:10">
      <c r="A869" s="221">
        <v>41762</v>
      </c>
      <c r="B869" s="222">
        <v>0.83333333333333337</v>
      </c>
      <c r="C869" s="215">
        <v>21.1</v>
      </c>
      <c r="D869" s="216">
        <v>24.7</v>
      </c>
      <c r="E869" s="229" t="s">
        <v>8273</v>
      </c>
      <c r="F869" s="217">
        <v>26.6</v>
      </c>
      <c r="G869" s="215">
        <v>26.8</v>
      </c>
      <c r="H869" s="216">
        <v>27</v>
      </c>
      <c r="I869" s="216">
        <v>13.9</v>
      </c>
      <c r="J869" s="217">
        <v>14.3</v>
      </c>
    </row>
    <row r="870" spans="1:10">
      <c r="A870" s="221">
        <v>41763</v>
      </c>
      <c r="B870" s="222">
        <v>0</v>
      </c>
      <c r="C870" s="215">
        <v>20.8</v>
      </c>
      <c r="D870" s="216">
        <v>24.7</v>
      </c>
      <c r="E870" s="229" t="s">
        <v>8273</v>
      </c>
      <c r="F870" s="217">
        <v>26.6</v>
      </c>
      <c r="G870" s="215">
        <v>26.8</v>
      </c>
      <c r="H870" s="216">
        <v>27</v>
      </c>
      <c r="I870" s="216">
        <v>13.6</v>
      </c>
      <c r="J870" s="217">
        <v>13.9</v>
      </c>
    </row>
    <row r="871" spans="1:10">
      <c r="A871" s="221">
        <v>41763</v>
      </c>
      <c r="B871" s="222">
        <v>0.16666666666666666</v>
      </c>
      <c r="C871" s="215">
        <v>20.7</v>
      </c>
      <c r="D871" s="216">
        <v>24.5</v>
      </c>
      <c r="E871" s="229" t="s">
        <v>8273</v>
      </c>
      <c r="F871" s="217">
        <v>26.5</v>
      </c>
      <c r="G871" s="215">
        <v>26.8</v>
      </c>
      <c r="H871" s="216">
        <v>27</v>
      </c>
      <c r="I871" s="216">
        <v>12.9</v>
      </c>
      <c r="J871" s="217">
        <v>13.3</v>
      </c>
    </row>
    <row r="872" spans="1:10">
      <c r="A872" s="221">
        <v>41763</v>
      </c>
      <c r="B872" s="222">
        <v>0.33333333333333331</v>
      </c>
      <c r="C872" s="215">
        <v>20.7</v>
      </c>
      <c r="D872" s="216">
        <v>24.5</v>
      </c>
      <c r="E872" s="229" t="s">
        <v>8273</v>
      </c>
      <c r="F872" s="217">
        <v>26.6</v>
      </c>
      <c r="G872" s="215">
        <v>26.8</v>
      </c>
      <c r="H872" s="216">
        <v>27</v>
      </c>
      <c r="I872" s="216">
        <v>12.5</v>
      </c>
      <c r="J872" s="217">
        <v>12.8</v>
      </c>
    </row>
    <row r="873" spans="1:10">
      <c r="A873" s="221">
        <v>41763</v>
      </c>
      <c r="B873" s="222">
        <v>0.5</v>
      </c>
      <c r="C873" s="215">
        <v>20.6</v>
      </c>
      <c r="D873" s="216">
        <v>24.4</v>
      </c>
      <c r="E873" s="229" t="s">
        <v>8273</v>
      </c>
      <c r="F873" s="217">
        <v>26.5</v>
      </c>
      <c r="G873" s="215">
        <v>26.7</v>
      </c>
      <c r="H873" s="216">
        <v>27</v>
      </c>
      <c r="I873" s="216">
        <v>12.1</v>
      </c>
      <c r="J873" s="217">
        <v>12.4</v>
      </c>
    </row>
    <row r="874" spans="1:10">
      <c r="A874" s="221">
        <v>41763</v>
      </c>
      <c r="B874" s="222">
        <v>0.66666666666666663</v>
      </c>
      <c r="C874" s="215">
        <v>20.5</v>
      </c>
      <c r="D874" s="216">
        <v>24.2</v>
      </c>
      <c r="E874" s="229" t="s">
        <v>8273</v>
      </c>
      <c r="F874" s="217">
        <v>26.5</v>
      </c>
      <c r="G874" s="215">
        <v>26.7</v>
      </c>
      <c r="H874" s="216">
        <v>26.9</v>
      </c>
      <c r="I874" s="216">
        <v>13.5</v>
      </c>
      <c r="J874" s="217">
        <v>13.7</v>
      </c>
    </row>
    <row r="875" spans="1:10">
      <c r="A875" s="221">
        <v>41763</v>
      </c>
      <c r="B875" s="222">
        <v>0.83333333333333337</v>
      </c>
      <c r="C875" s="215">
        <v>20.5</v>
      </c>
      <c r="D875" s="216">
        <v>24.2</v>
      </c>
      <c r="E875" s="229" t="s">
        <v>8273</v>
      </c>
      <c r="F875" s="217">
        <v>26.5</v>
      </c>
      <c r="G875" s="215">
        <v>26.7</v>
      </c>
      <c r="H875" s="216">
        <v>26.9</v>
      </c>
      <c r="I875" s="216">
        <v>14.6</v>
      </c>
      <c r="J875" s="217">
        <v>15.2</v>
      </c>
    </row>
    <row r="876" spans="1:10">
      <c r="A876" s="221">
        <v>41764</v>
      </c>
      <c r="B876" s="222">
        <v>0</v>
      </c>
      <c r="C876" s="215">
        <v>20.7</v>
      </c>
      <c r="D876" s="216">
        <v>24.2</v>
      </c>
      <c r="E876" s="229" t="s">
        <v>8273</v>
      </c>
      <c r="F876" s="217">
        <v>26.5</v>
      </c>
      <c r="G876" s="215">
        <v>26.6</v>
      </c>
      <c r="H876" s="216">
        <v>26.8</v>
      </c>
      <c r="I876" s="216">
        <v>14.2</v>
      </c>
      <c r="J876" s="217">
        <v>14.8</v>
      </c>
    </row>
    <row r="877" spans="1:10">
      <c r="A877" s="221">
        <v>41764</v>
      </c>
      <c r="B877" s="222">
        <v>0.16666666666666666</v>
      </c>
      <c r="C877" s="215">
        <v>20.6</v>
      </c>
      <c r="D877" s="216">
        <v>24.1</v>
      </c>
      <c r="E877" s="229" t="s">
        <v>8273</v>
      </c>
      <c r="F877" s="217">
        <v>26.5</v>
      </c>
      <c r="G877" s="215">
        <v>26.6</v>
      </c>
      <c r="H877" s="216">
        <v>26.8</v>
      </c>
      <c r="I877" s="216">
        <v>13.3</v>
      </c>
      <c r="J877" s="217">
        <v>13.8</v>
      </c>
    </row>
    <row r="878" spans="1:10">
      <c r="A878" s="221">
        <v>41764</v>
      </c>
      <c r="B878" s="222">
        <v>0.33333333333333331</v>
      </c>
      <c r="C878" s="215">
        <v>20.5</v>
      </c>
      <c r="D878" s="216">
        <v>24.1</v>
      </c>
      <c r="E878" s="229" t="s">
        <v>8273</v>
      </c>
      <c r="F878" s="217">
        <v>26.5</v>
      </c>
      <c r="G878" s="215">
        <v>26.6</v>
      </c>
      <c r="H878" s="216">
        <v>26.9</v>
      </c>
      <c r="I878" s="216">
        <v>12.8</v>
      </c>
      <c r="J878" s="217">
        <v>13.3</v>
      </c>
    </row>
    <row r="879" spans="1:10">
      <c r="A879" s="221">
        <v>41764</v>
      </c>
      <c r="B879" s="222">
        <v>0.5</v>
      </c>
      <c r="C879" s="215">
        <v>20.5</v>
      </c>
      <c r="D879" s="216">
        <v>24</v>
      </c>
      <c r="E879" s="229" t="s">
        <v>8273</v>
      </c>
      <c r="F879" s="217">
        <v>26.4</v>
      </c>
      <c r="G879" s="215">
        <v>26.6</v>
      </c>
      <c r="H879" s="216">
        <v>26.8</v>
      </c>
      <c r="I879" s="216">
        <v>12.5</v>
      </c>
      <c r="J879" s="217">
        <v>13</v>
      </c>
    </row>
    <row r="880" spans="1:10">
      <c r="A880" s="221">
        <v>41764</v>
      </c>
      <c r="B880" s="222">
        <v>0.66666666666666663</v>
      </c>
      <c r="C880" s="215">
        <v>20.399999999999999</v>
      </c>
      <c r="D880" s="216">
        <v>23.8</v>
      </c>
      <c r="E880" s="229" t="s">
        <v>8273</v>
      </c>
      <c r="F880" s="217">
        <v>26.4</v>
      </c>
      <c r="G880" s="215">
        <v>26.5</v>
      </c>
      <c r="H880" s="216">
        <v>26.7</v>
      </c>
      <c r="I880" s="216">
        <v>14.3</v>
      </c>
      <c r="J880" s="217">
        <v>14.8</v>
      </c>
    </row>
    <row r="881" spans="1:10">
      <c r="A881" s="221">
        <v>41764</v>
      </c>
      <c r="B881" s="222">
        <v>0.83333333333333337</v>
      </c>
      <c r="C881" s="215">
        <v>20.3</v>
      </c>
      <c r="D881" s="216">
        <v>23.7</v>
      </c>
      <c r="E881" s="229" t="s">
        <v>8273</v>
      </c>
      <c r="F881" s="217">
        <v>26.3</v>
      </c>
      <c r="G881" s="215">
        <v>26.4</v>
      </c>
      <c r="H881" s="216">
        <v>26.7</v>
      </c>
      <c r="I881" s="216">
        <v>15.6</v>
      </c>
      <c r="J881" s="217">
        <v>16.399999999999999</v>
      </c>
    </row>
    <row r="882" spans="1:10">
      <c r="A882" s="221">
        <v>41765</v>
      </c>
      <c r="B882" s="222">
        <v>0</v>
      </c>
      <c r="C882" s="215">
        <v>20.2</v>
      </c>
      <c r="D882" s="216">
        <v>23.6</v>
      </c>
      <c r="E882" s="229" t="s">
        <v>8273</v>
      </c>
      <c r="F882" s="217">
        <v>26.3</v>
      </c>
      <c r="G882" s="215">
        <v>26.4</v>
      </c>
      <c r="H882" s="216">
        <v>26.6</v>
      </c>
      <c r="I882" s="216">
        <v>15.3</v>
      </c>
      <c r="J882" s="217">
        <v>16.100000000000001</v>
      </c>
    </row>
    <row r="883" spans="1:10">
      <c r="A883" s="221">
        <v>41765</v>
      </c>
      <c r="B883" s="222">
        <v>0.16666666666666666</v>
      </c>
      <c r="C883" s="215">
        <v>20.2</v>
      </c>
      <c r="D883" s="216">
        <v>23.6</v>
      </c>
      <c r="E883" s="229" t="s">
        <v>8273</v>
      </c>
      <c r="F883" s="217">
        <v>26.3</v>
      </c>
      <c r="G883" s="215">
        <v>26.4</v>
      </c>
      <c r="H883" s="216">
        <v>26.6</v>
      </c>
      <c r="I883" s="216">
        <v>14.6</v>
      </c>
      <c r="J883" s="217">
        <v>15.3</v>
      </c>
    </row>
    <row r="884" spans="1:10">
      <c r="A884" s="221">
        <v>41765</v>
      </c>
      <c r="B884" s="222">
        <v>0.33333333333333331</v>
      </c>
      <c r="C884" s="215">
        <v>20.100000000000001</v>
      </c>
      <c r="D884" s="216">
        <v>23.6</v>
      </c>
      <c r="E884" s="229" t="s">
        <v>8273</v>
      </c>
      <c r="F884" s="217">
        <v>26.3</v>
      </c>
      <c r="G884" s="215">
        <v>26.3</v>
      </c>
      <c r="H884" s="216">
        <v>26.6</v>
      </c>
      <c r="I884" s="216">
        <v>14.3</v>
      </c>
      <c r="J884" s="217">
        <v>15</v>
      </c>
    </row>
    <row r="885" spans="1:10">
      <c r="A885" s="221">
        <v>41765</v>
      </c>
      <c r="B885" s="222">
        <v>0.5</v>
      </c>
      <c r="C885" s="215">
        <v>20.100000000000001</v>
      </c>
      <c r="D885" s="216">
        <v>23.5</v>
      </c>
      <c r="E885" s="229" t="s">
        <v>8273</v>
      </c>
      <c r="F885" s="217">
        <v>26.3</v>
      </c>
      <c r="G885" s="215">
        <v>26.3</v>
      </c>
      <c r="H885" s="216">
        <v>26.6</v>
      </c>
      <c r="I885" s="216">
        <v>14.2</v>
      </c>
      <c r="J885" s="217">
        <v>14.8</v>
      </c>
    </row>
    <row r="886" spans="1:10">
      <c r="A886" s="221">
        <v>41765</v>
      </c>
      <c r="B886" s="222">
        <v>0.66666666666666663</v>
      </c>
      <c r="C886" s="215">
        <v>19.899999999999999</v>
      </c>
      <c r="D886" s="216">
        <v>23.3</v>
      </c>
      <c r="E886" s="229" t="s">
        <v>8273</v>
      </c>
      <c r="F886" s="217">
        <v>26.2</v>
      </c>
      <c r="G886" s="215">
        <v>26.2</v>
      </c>
      <c r="H886" s="216">
        <v>26.5</v>
      </c>
      <c r="I886" s="216">
        <v>15.2</v>
      </c>
      <c r="J886" s="217">
        <v>15.8</v>
      </c>
    </row>
    <row r="887" spans="1:10">
      <c r="A887" s="221">
        <v>41765</v>
      </c>
      <c r="B887" s="222">
        <v>0.83333333333333337</v>
      </c>
      <c r="C887" s="215">
        <v>19.8</v>
      </c>
      <c r="D887" s="216">
        <v>23.2</v>
      </c>
      <c r="E887" s="229" t="s">
        <v>8273</v>
      </c>
      <c r="F887" s="217">
        <v>26.2</v>
      </c>
      <c r="G887" s="215">
        <v>26.2</v>
      </c>
      <c r="H887" s="216">
        <v>26.5</v>
      </c>
      <c r="I887" s="216">
        <v>15.7</v>
      </c>
      <c r="J887" s="217">
        <v>16.2</v>
      </c>
    </row>
    <row r="888" spans="1:10">
      <c r="A888" s="221">
        <v>41766</v>
      </c>
      <c r="B888" s="222">
        <v>0</v>
      </c>
      <c r="C888" s="215">
        <v>19.8</v>
      </c>
      <c r="D888" s="216">
        <v>23.2</v>
      </c>
      <c r="E888" s="229" t="s">
        <v>8273</v>
      </c>
      <c r="F888" s="217">
        <v>26.2</v>
      </c>
      <c r="G888" s="215">
        <v>26.2</v>
      </c>
      <c r="H888" s="216">
        <v>26.5</v>
      </c>
      <c r="I888" s="216">
        <v>15.6</v>
      </c>
      <c r="J888" s="217">
        <v>16.100000000000001</v>
      </c>
    </row>
    <row r="889" spans="1:10">
      <c r="A889" s="221">
        <v>41766</v>
      </c>
      <c r="B889" s="222">
        <v>0.16666666666666666</v>
      </c>
      <c r="C889" s="215">
        <v>19.8</v>
      </c>
      <c r="D889" s="216">
        <v>23.2</v>
      </c>
      <c r="E889" s="229" t="s">
        <v>8273</v>
      </c>
      <c r="F889" s="217">
        <v>26.2</v>
      </c>
      <c r="G889" s="215">
        <v>26.1</v>
      </c>
      <c r="H889" s="216">
        <v>26.5</v>
      </c>
      <c r="I889" s="216">
        <v>15.2</v>
      </c>
      <c r="J889" s="217">
        <v>15.7</v>
      </c>
    </row>
    <row r="890" spans="1:10">
      <c r="A890" s="221">
        <v>41766</v>
      </c>
      <c r="B890" s="222">
        <v>0.33333333333333331</v>
      </c>
      <c r="C890" s="215">
        <v>19.8</v>
      </c>
      <c r="D890" s="216">
        <v>23.2</v>
      </c>
      <c r="E890" s="229" t="s">
        <v>8273</v>
      </c>
      <c r="F890" s="217">
        <v>26.2</v>
      </c>
      <c r="G890" s="215">
        <v>26.1</v>
      </c>
      <c r="H890" s="216">
        <v>26.5</v>
      </c>
      <c r="I890" s="216">
        <v>15</v>
      </c>
      <c r="J890" s="217">
        <v>15.5</v>
      </c>
    </row>
    <row r="891" spans="1:10">
      <c r="A891" s="221">
        <v>41766</v>
      </c>
      <c r="B891" s="222">
        <v>0.5</v>
      </c>
      <c r="C891" s="215">
        <v>19.7</v>
      </c>
      <c r="D891" s="216">
        <v>23.1</v>
      </c>
      <c r="E891" s="229" t="s">
        <v>8273</v>
      </c>
      <c r="F891" s="217">
        <v>26.1</v>
      </c>
      <c r="G891" s="215">
        <v>26.1</v>
      </c>
      <c r="H891" s="216">
        <v>26.4</v>
      </c>
      <c r="I891" s="216">
        <v>14.7</v>
      </c>
      <c r="J891" s="217">
        <v>15.2</v>
      </c>
    </row>
    <row r="892" spans="1:10">
      <c r="A892" s="221">
        <v>41766</v>
      </c>
      <c r="B892" s="222">
        <v>0.66666666666666663</v>
      </c>
      <c r="C892" s="215">
        <v>19.600000000000001</v>
      </c>
      <c r="D892" s="216">
        <v>23</v>
      </c>
      <c r="E892" s="229" t="s">
        <v>8273</v>
      </c>
      <c r="F892" s="217">
        <v>26.2</v>
      </c>
      <c r="G892" s="215">
        <v>26.1</v>
      </c>
      <c r="H892" s="216">
        <v>26.4</v>
      </c>
      <c r="I892" s="216">
        <v>15.3</v>
      </c>
      <c r="J892" s="217">
        <v>15.7</v>
      </c>
    </row>
    <row r="893" spans="1:10">
      <c r="A893" s="221">
        <v>41766</v>
      </c>
      <c r="B893" s="222">
        <v>0.83333333333333337</v>
      </c>
      <c r="C893" s="215">
        <v>19.5</v>
      </c>
      <c r="D893" s="216">
        <v>22.9</v>
      </c>
      <c r="E893" s="229" t="s">
        <v>8273</v>
      </c>
      <c r="F893" s="217">
        <v>26.1</v>
      </c>
      <c r="G893" s="215">
        <v>26</v>
      </c>
      <c r="H893" s="216">
        <v>26.3</v>
      </c>
      <c r="I893" s="216">
        <v>15.9</v>
      </c>
      <c r="J893" s="217">
        <v>16.399999999999999</v>
      </c>
    </row>
    <row r="894" spans="1:10">
      <c r="A894" s="221">
        <v>41767</v>
      </c>
      <c r="B894" s="222">
        <v>0</v>
      </c>
      <c r="C894" s="215">
        <v>19.399999999999999</v>
      </c>
      <c r="D894" s="216">
        <v>22.9</v>
      </c>
      <c r="E894" s="229" t="s">
        <v>8273</v>
      </c>
      <c r="F894" s="217">
        <v>26</v>
      </c>
      <c r="G894" s="215">
        <v>26</v>
      </c>
      <c r="H894" s="216">
        <v>26.3</v>
      </c>
      <c r="I894" s="216">
        <v>15.7</v>
      </c>
      <c r="J894" s="217">
        <v>16.2</v>
      </c>
    </row>
    <row r="895" spans="1:10">
      <c r="A895" s="221">
        <v>41767</v>
      </c>
      <c r="B895" s="222">
        <v>0.16666666666666666</v>
      </c>
      <c r="C895" s="215">
        <v>19.5</v>
      </c>
      <c r="D895" s="216">
        <v>23</v>
      </c>
      <c r="E895" s="229" t="s">
        <v>8273</v>
      </c>
      <c r="F895" s="217">
        <v>26</v>
      </c>
      <c r="G895" s="215">
        <v>25.9</v>
      </c>
      <c r="H895" s="216">
        <v>26.3</v>
      </c>
      <c r="I895" s="216">
        <v>15</v>
      </c>
      <c r="J895" s="217">
        <v>15.5</v>
      </c>
    </row>
    <row r="896" spans="1:10">
      <c r="A896" s="221">
        <v>41767</v>
      </c>
      <c r="B896" s="222">
        <v>0.33333333333333331</v>
      </c>
      <c r="C896" s="215">
        <v>19.3</v>
      </c>
      <c r="D896" s="216">
        <v>22.9</v>
      </c>
      <c r="E896" s="229" t="s">
        <v>8273</v>
      </c>
      <c r="F896" s="217">
        <v>26</v>
      </c>
      <c r="G896" s="215">
        <v>25.9</v>
      </c>
      <c r="H896" s="216">
        <v>26.3</v>
      </c>
      <c r="I896" s="216">
        <v>14.7</v>
      </c>
      <c r="J896" s="217">
        <v>15.2</v>
      </c>
    </row>
    <row r="897" spans="1:10">
      <c r="A897" s="221">
        <v>41767</v>
      </c>
      <c r="B897" s="222">
        <v>0.5</v>
      </c>
      <c r="C897" s="215">
        <v>19.100000000000001</v>
      </c>
      <c r="D897" s="216">
        <v>22.8</v>
      </c>
      <c r="E897" s="229" t="s">
        <v>8273</v>
      </c>
      <c r="F897" s="217">
        <v>26</v>
      </c>
      <c r="G897" s="215">
        <v>25.9</v>
      </c>
      <c r="H897" s="216">
        <v>26.3</v>
      </c>
      <c r="I897" s="216">
        <v>14.5</v>
      </c>
      <c r="J897" s="217">
        <v>15</v>
      </c>
    </row>
    <row r="898" spans="1:10">
      <c r="A898" s="221">
        <v>41767</v>
      </c>
      <c r="B898" s="222">
        <v>0.66666666666666663</v>
      </c>
      <c r="C898" s="215">
        <v>19.100000000000001</v>
      </c>
      <c r="D898" s="216">
        <v>22.7</v>
      </c>
      <c r="E898" s="229" t="s">
        <v>8273</v>
      </c>
      <c r="F898" s="217">
        <v>26</v>
      </c>
      <c r="G898" s="215">
        <v>25.8</v>
      </c>
      <c r="H898" s="216">
        <v>26.2</v>
      </c>
      <c r="I898" s="216">
        <v>15.6</v>
      </c>
      <c r="J898" s="217">
        <v>16.100000000000001</v>
      </c>
    </row>
    <row r="899" spans="1:10">
      <c r="A899" s="221">
        <v>41767</v>
      </c>
      <c r="B899" s="222">
        <v>0.83333333333333337</v>
      </c>
      <c r="C899" s="215">
        <v>18.8</v>
      </c>
      <c r="D899" s="216">
        <v>22.6</v>
      </c>
      <c r="E899" s="229" t="s">
        <v>8273</v>
      </c>
      <c r="F899" s="217">
        <v>25.8</v>
      </c>
      <c r="G899" s="215">
        <v>25.8</v>
      </c>
      <c r="H899" s="216">
        <v>26.1</v>
      </c>
      <c r="I899" s="216">
        <v>16.600000000000001</v>
      </c>
      <c r="J899" s="217">
        <v>17.399999999999999</v>
      </c>
    </row>
    <row r="900" spans="1:10">
      <c r="A900" s="221">
        <v>41768</v>
      </c>
      <c r="B900" s="222">
        <v>0</v>
      </c>
      <c r="C900" s="215">
        <v>18.8</v>
      </c>
      <c r="D900" s="216">
        <v>22.6</v>
      </c>
      <c r="E900" s="229" t="s">
        <v>8273</v>
      </c>
      <c r="F900" s="217">
        <v>25.9</v>
      </c>
      <c r="G900" s="215">
        <v>25.7</v>
      </c>
      <c r="H900" s="216">
        <v>26.1</v>
      </c>
      <c r="I900" s="216">
        <v>16.2</v>
      </c>
      <c r="J900" s="217">
        <v>17.100000000000001</v>
      </c>
    </row>
    <row r="901" spans="1:10">
      <c r="A901" s="221">
        <v>41768</v>
      </c>
      <c r="B901" s="222">
        <v>0.16666666666666666</v>
      </c>
      <c r="C901" s="215">
        <v>18.8</v>
      </c>
      <c r="D901" s="216">
        <v>22.6</v>
      </c>
      <c r="E901" s="229" t="s">
        <v>8273</v>
      </c>
      <c r="F901" s="217">
        <v>25.8</v>
      </c>
      <c r="G901" s="215">
        <v>25.7</v>
      </c>
      <c r="H901" s="216">
        <v>26.1</v>
      </c>
      <c r="I901" s="216">
        <v>15.5</v>
      </c>
      <c r="J901" s="217">
        <v>16.3</v>
      </c>
    </row>
    <row r="902" spans="1:10">
      <c r="A902" s="221">
        <v>41768</v>
      </c>
      <c r="B902" s="222">
        <v>0.33333333333333331</v>
      </c>
      <c r="C902" s="215">
        <v>18.8</v>
      </c>
      <c r="D902" s="216">
        <v>22.6</v>
      </c>
      <c r="E902" s="229" t="s">
        <v>8273</v>
      </c>
      <c r="F902" s="217">
        <v>25.8</v>
      </c>
      <c r="G902" s="215">
        <v>25.7</v>
      </c>
      <c r="H902" s="216">
        <v>26.1</v>
      </c>
      <c r="I902" s="216">
        <v>15.1</v>
      </c>
      <c r="J902" s="217">
        <v>15.9</v>
      </c>
    </row>
    <row r="903" spans="1:10">
      <c r="A903" s="221">
        <v>41768</v>
      </c>
      <c r="B903" s="222">
        <v>0.5</v>
      </c>
      <c r="C903" s="215">
        <v>18.7</v>
      </c>
      <c r="D903" s="216">
        <v>22.5</v>
      </c>
      <c r="E903" s="229" t="s">
        <v>8273</v>
      </c>
      <c r="F903" s="217">
        <v>25.8</v>
      </c>
      <c r="G903" s="215">
        <v>25.6</v>
      </c>
      <c r="H903" s="216">
        <v>26</v>
      </c>
      <c r="I903" s="216">
        <v>14.9</v>
      </c>
      <c r="J903" s="217">
        <v>15.6</v>
      </c>
    </row>
    <row r="904" spans="1:10">
      <c r="A904" s="221">
        <v>41768</v>
      </c>
      <c r="B904" s="222">
        <v>0.66666666666666663</v>
      </c>
      <c r="C904" s="215">
        <v>18.5</v>
      </c>
      <c r="D904" s="216">
        <v>22.4</v>
      </c>
      <c r="E904" s="229" t="s">
        <v>8273</v>
      </c>
      <c r="F904" s="217">
        <v>25.7</v>
      </c>
      <c r="G904" s="215">
        <v>25.6</v>
      </c>
      <c r="H904" s="216">
        <v>26</v>
      </c>
      <c r="I904" s="216">
        <v>15.5</v>
      </c>
      <c r="J904" s="217">
        <v>16.2</v>
      </c>
    </row>
    <row r="905" spans="1:10">
      <c r="A905" s="221">
        <v>41768</v>
      </c>
      <c r="B905" s="222">
        <v>0.83333333333333337</v>
      </c>
      <c r="C905" s="215">
        <v>18.5</v>
      </c>
      <c r="D905" s="216">
        <v>22.3</v>
      </c>
      <c r="E905" s="229" t="s">
        <v>8273</v>
      </c>
      <c r="F905" s="217">
        <v>25.7</v>
      </c>
      <c r="G905" s="215">
        <v>25.5</v>
      </c>
      <c r="H905" s="216">
        <v>25.9</v>
      </c>
      <c r="I905" s="216">
        <v>16.2</v>
      </c>
      <c r="J905" s="217">
        <v>16.8</v>
      </c>
    </row>
    <row r="906" spans="1:10">
      <c r="A906" s="221">
        <v>41769</v>
      </c>
      <c r="B906" s="222">
        <v>0</v>
      </c>
      <c r="C906" s="215">
        <v>18.399999999999999</v>
      </c>
      <c r="D906" s="216">
        <v>22.3</v>
      </c>
      <c r="E906" s="229" t="s">
        <v>8273</v>
      </c>
      <c r="F906" s="217">
        <v>25.7</v>
      </c>
      <c r="G906" s="215">
        <v>25.5</v>
      </c>
      <c r="H906" s="216">
        <v>25.9</v>
      </c>
      <c r="I906" s="216">
        <v>16</v>
      </c>
      <c r="J906" s="217">
        <v>16.600000000000001</v>
      </c>
    </row>
    <row r="907" spans="1:10">
      <c r="A907" s="221">
        <v>41769</v>
      </c>
      <c r="B907" s="222">
        <v>0.16666666666666666</v>
      </c>
      <c r="C907" s="215">
        <v>18.399999999999999</v>
      </c>
      <c r="D907" s="216">
        <v>22.3</v>
      </c>
      <c r="E907" s="229" t="s">
        <v>8273</v>
      </c>
      <c r="F907" s="217">
        <v>25.7</v>
      </c>
      <c r="G907" s="215">
        <v>25.5</v>
      </c>
      <c r="H907" s="216">
        <v>25.9</v>
      </c>
      <c r="I907" s="216">
        <v>15.6</v>
      </c>
      <c r="J907" s="217">
        <v>16.100000000000001</v>
      </c>
    </row>
    <row r="908" spans="1:10">
      <c r="A908" s="221">
        <v>41769</v>
      </c>
      <c r="B908" s="222">
        <v>0.33333333333333331</v>
      </c>
      <c r="C908" s="215">
        <v>18.399999999999999</v>
      </c>
      <c r="D908" s="216">
        <v>22.3</v>
      </c>
      <c r="E908" s="229" t="s">
        <v>8273</v>
      </c>
      <c r="F908" s="217">
        <v>25.7</v>
      </c>
      <c r="G908" s="215">
        <v>25.4</v>
      </c>
      <c r="H908" s="216">
        <v>25.9</v>
      </c>
      <c r="I908" s="216">
        <v>15.2</v>
      </c>
      <c r="J908" s="217">
        <v>15.7</v>
      </c>
    </row>
    <row r="909" spans="1:10">
      <c r="A909" s="221">
        <v>41769</v>
      </c>
      <c r="B909" s="222">
        <v>0.5</v>
      </c>
      <c r="C909" s="215">
        <v>18.399999999999999</v>
      </c>
      <c r="D909" s="216">
        <v>22.2</v>
      </c>
      <c r="E909" s="229" t="s">
        <v>8273</v>
      </c>
      <c r="F909" s="217">
        <v>25.6</v>
      </c>
      <c r="G909" s="215">
        <v>25.4</v>
      </c>
      <c r="H909" s="216">
        <v>25.9</v>
      </c>
      <c r="I909" s="216">
        <v>14.9</v>
      </c>
      <c r="J909" s="217">
        <v>15.5</v>
      </c>
    </row>
    <row r="910" spans="1:10">
      <c r="A910" s="221">
        <v>41769</v>
      </c>
      <c r="B910" s="222">
        <v>0.66666666666666663</v>
      </c>
      <c r="C910" s="215">
        <v>18.2</v>
      </c>
      <c r="D910" s="216">
        <v>22.1</v>
      </c>
      <c r="E910" s="229" t="s">
        <v>8273</v>
      </c>
      <c r="F910" s="217">
        <v>25.5</v>
      </c>
      <c r="G910" s="215">
        <v>25.3</v>
      </c>
      <c r="H910" s="216">
        <v>25.7</v>
      </c>
      <c r="I910" s="216">
        <v>16.3</v>
      </c>
      <c r="J910" s="217">
        <v>16.7</v>
      </c>
    </row>
    <row r="911" spans="1:10">
      <c r="A911" s="221">
        <v>41769</v>
      </c>
      <c r="B911" s="222">
        <v>0.83333333333333337</v>
      </c>
      <c r="C911" s="215">
        <v>18.100000000000001</v>
      </c>
      <c r="D911" s="216">
        <v>22</v>
      </c>
      <c r="E911" s="229" t="s">
        <v>8273</v>
      </c>
      <c r="F911" s="217">
        <v>26.5</v>
      </c>
      <c r="G911" s="215">
        <v>25.3</v>
      </c>
      <c r="H911" s="216">
        <v>25.7</v>
      </c>
      <c r="I911" s="216">
        <v>17.2</v>
      </c>
      <c r="J911" s="217">
        <v>17.8</v>
      </c>
    </row>
    <row r="912" spans="1:10">
      <c r="A912" s="221">
        <v>41770</v>
      </c>
      <c r="B912" s="222">
        <v>0</v>
      </c>
      <c r="C912" s="215">
        <v>18.100000000000001</v>
      </c>
      <c r="D912" s="216">
        <v>22</v>
      </c>
      <c r="E912" s="229" t="s">
        <v>8273</v>
      </c>
      <c r="F912" s="217">
        <v>25.9</v>
      </c>
      <c r="G912" s="215">
        <v>25.2</v>
      </c>
      <c r="H912" s="216">
        <v>25.6</v>
      </c>
      <c r="I912" s="216">
        <v>16.899999999999999</v>
      </c>
      <c r="J912" s="217">
        <v>17.5</v>
      </c>
    </row>
    <row r="913" spans="1:10">
      <c r="A913" s="221">
        <v>41770</v>
      </c>
      <c r="B913" s="222">
        <v>0.16666666666666666</v>
      </c>
      <c r="C913" s="215">
        <v>18</v>
      </c>
      <c r="D913" s="216">
        <v>22</v>
      </c>
      <c r="E913" s="229" t="s">
        <v>8273</v>
      </c>
      <c r="F913" s="217">
        <v>26.1</v>
      </c>
      <c r="G913" s="215">
        <v>25.2</v>
      </c>
      <c r="H913" s="216">
        <v>25.6</v>
      </c>
      <c r="I913" s="216">
        <v>16.3</v>
      </c>
      <c r="J913" s="217">
        <v>16.899999999999999</v>
      </c>
    </row>
    <row r="914" spans="1:10">
      <c r="A914" s="221">
        <v>41770</v>
      </c>
      <c r="B914" s="222">
        <v>0.33333333333333331</v>
      </c>
      <c r="C914" s="215">
        <v>18.2</v>
      </c>
      <c r="D914" s="216">
        <v>22</v>
      </c>
      <c r="E914" s="229" t="s">
        <v>8273</v>
      </c>
      <c r="F914" s="217">
        <v>26.3</v>
      </c>
      <c r="G914" s="215">
        <v>25.1</v>
      </c>
      <c r="H914" s="216">
        <v>25.6</v>
      </c>
      <c r="I914" s="216">
        <v>16.100000000000001</v>
      </c>
      <c r="J914" s="217">
        <v>16.600000000000001</v>
      </c>
    </row>
    <row r="915" spans="1:10">
      <c r="A915" s="221">
        <v>41770</v>
      </c>
      <c r="B915" s="222">
        <v>0.5</v>
      </c>
      <c r="C915" s="215">
        <v>18</v>
      </c>
      <c r="D915" s="216">
        <v>22</v>
      </c>
      <c r="E915" s="229" t="s">
        <v>8273</v>
      </c>
      <c r="F915" s="217">
        <v>26.2</v>
      </c>
      <c r="G915" s="215">
        <v>25.1</v>
      </c>
      <c r="H915" s="216">
        <v>25.6</v>
      </c>
      <c r="I915" s="216">
        <v>15.5</v>
      </c>
      <c r="J915" s="217">
        <v>16</v>
      </c>
    </row>
    <row r="916" spans="1:10">
      <c r="A916" s="221">
        <v>41770</v>
      </c>
      <c r="B916" s="222">
        <v>0.66666666666666663</v>
      </c>
      <c r="C916" s="215">
        <v>17.899999999999999</v>
      </c>
      <c r="D916" s="216">
        <v>21.8</v>
      </c>
      <c r="E916" s="229" t="s">
        <v>8273</v>
      </c>
      <c r="F916" s="217">
        <v>26.1</v>
      </c>
      <c r="G916" s="215">
        <v>25.1</v>
      </c>
      <c r="H916" s="216">
        <v>25.6</v>
      </c>
      <c r="I916" s="216">
        <v>16</v>
      </c>
      <c r="J916" s="217">
        <v>16.399999999999999</v>
      </c>
    </row>
    <row r="917" spans="1:10">
      <c r="A917" s="221">
        <v>41770</v>
      </c>
      <c r="B917" s="222">
        <v>0.83333333333333337</v>
      </c>
      <c r="C917" s="215">
        <v>17.899999999999999</v>
      </c>
      <c r="D917" s="216">
        <v>21.8</v>
      </c>
      <c r="E917" s="229" t="s">
        <v>8273</v>
      </c>
      <c r="F917" s="217">
        <v>26.1</v>
      </c>
      <c r="G917" s="215">
        <v>25</v>
      </c>
      <c r="H917" s="216">
        <v>25.5</v>
      </c>
      <c r="I917" s="216">
        <v>16.3</v>
      </c>
      <c r="J917" s="217">
        <v>16.7</v>
      </c>
    </row>
    <row r="918" spans="1:10">
      <c r="A918" s="221">
        <v>41771</v>
      </c>
      <c r="B918" s="222">
        <v>0</v>
      </c>
      <c r="C918" s="215">
        <v>17.8</v>
      </c>
      <c r="D918" s="216">
        <v>21.8</v>
      </c>
      <c r="E918" s="229" t="s">
        <v>8273</v>
      </c>
      <c r="F918" s="217">
        <v>26</v>
      </c>
      <c r="G918" s="215">
        <v>25</v>
      </c>
      <c r="H918" s="216">
        <v>25.4</v>
      </c>
      <c r="I918" s="216">
        <v>15.7</v>
      </c>
      <c r="J918" s="217">
        <v>16.100000000000001</v>
      </c>
    </row>
    <row r="919" spans="1:10">
      <c r="A919" s="221">
        <v>41771</v>
      </c>
      <c r="B919" s="222">
        <v>0.16666666666666666</v>
      </c>
      <c r="C919" s="215">
        <v>17.8</v>
      </c>
      <c r="D919" s="216">
        <v>21.8</v>
      </c>
      <c r="E919" s="229" t="s">
        <v>8273</v>
      </c>
      <c r="F919" s="217">
        <v>26</v>
      </c>
      <c r="G919" s="215">
        <v>25</v>
      </c>
      <c r="H919" s="216">
        <v>25.4</v>
      </c>
      <c r="I919" s="216">
        <v>14.9</v>
      </c>
      <c r="J919" s="217">
        <v>15.4</v>
      </c>
    </row>
    <row r="920" spans="1:10">
      <c r="A920" s="221">
        <v>41771</v>
      </c>
      <c r="B920" s="222">
        <v>0.33333333333333331</v>
      </c>
      <c r="C920" s="215">
        <v>17.7</v>
      </c>
      <c r="D920" s="216">
        <v>21.7</v>
      </c>
      <c r="E920" s="229" t="s">
        <v>8273</v>
      </c>
      <c r="F920" s="217">
        <v>26.2</v>
      </c>
      <c r="G920" s="215">
        <v>24.9</v>
      </c>
      <c r="H920" s="216">
        <v>25.4</v>
      </c>
      <c r="I920" s="216">
        <v>14.5</v>
      </c>
      <c r="J920" s="217">
        <v>15</v>
      </c>
    </row>
    <row r="921" spans="1:10">
      <c r="A921" s="221">
        <v>41771</v>
      </c>
      <c r="B921" s="222">
        <v>0.5</v>
      </c>
      <c r="C921" s="215">
        <v>17.5</v>
      </c>
      <c r="D921" s="216">
        <v>21.6</v>
      </c>
      <c r="E921" s="229" t="s">
        <v>8273</v>
      </c>
      <c r="F921" s="217">
        <v>26.5</v>
      </c>
      <c r="G921" s="215">
        <v>24.9</v>
      </c>
      <c r="H921" s="216">
        <v>25.4</v>
      </c>
      <c r="I921" s="216">
        <v>14.4</v>
      </c>
      <c r="J921" s="217">
        <v>14.8</v>
      </c>
    </row>
    <row r="922" spans="1:10">
      <c r="A922" s="221">
        <v>41771</v>
      </c>
      <c r="B922" s="222">
        <v>0.66666666666666663</v>
      </c>
      <c r="C922" s="215">
        <v>17.5</v>
      </c>
      <c r="D922" s="216">
        <v>21.6</v>
      </c>
      <c r="E922" s="229" t="s">
        <v>8273</v>
      </c>
      <c r="F922" s="217">
        <v>25.8</v>
      </c>
      <c r="G922" s="215">
        <v>24.8</v>
      </c>
      <c r="H922" s="216">
        <v>25.3</v>
      </c>
      <c r="I922" s="216">
        <v>15.3</v>
      </c>
      <c r="J922" s="217">
        <v>15.7</v>
      </c>
    </row>
    <row r="923" spans="1:10">
      <c r="A923" s="221">
        <v>41771</v>
      </c>
      <c r="B923" s="222">
        <v>0.83333333333333337</v>
      </c>
      <c r="C923" s="215">
        <v>17.399999999999999</v>
      </c>
      <c r="D923" s="216">
        <v>21.5</v>
      </c>
      <c r="E923" s="229" t="s">
        <v>8273</v>
      </c>
      <c r="F923" s="217">
        <v>25.8</v>
      </c>
      <c r="G923" s="215">
        <v>24.7</v>
      </c>
      <c r="H923" s="216">
        <v>25.2</v>
      </c>
      <c r="I923" s="216">
        <v>15.2</v>
      </c>
      <c r="J923" s="217">
        <v>15.6</v>
      </c>
    </row>
    <row r="924" spans="1:10">
      <c r="A924" s="221">
        <v>41772</v>
      </c>
      <c r="B924" s="222">
        <v>0</v>
      </c>
      <c r="C924" s="215">
        <v>17.5</v>
      </c>
      <c r="D924" s="216">
        <v>21.6</v>
      </c>
      <c r="E924" s="229" t="s">
        <v>8273</v>
      </c>
      <c r="F924" s="217">
        <v>25.9</v>
      </c>
      <c r="G924" s="215">
        <v>24.6</v>
      </c>
      <c r="H924" s="216">
        <v>25.2</v>
      </c>
      <c r="I924" s="216">
        <v>14.7</v>
      </c>
      <c r="J924" s="217">
        <v>15.1</v>
      </c>
    </row>
    <row r="925" spans="1:10">
      <c r="A925" s="221">
        <v>41772</v>
      </c>
      <c r="B925" s="222">
        <v>0.16666666666666666</v>
      </c>
      <c r="C925" s="215">
        <v>17.399999999999999</v>
      </c>
      <c r="D925" s="216">
        <v>21.5</v>
      </c>
      <c r="E925" s="229" t="s">
        <v>8273</v>
      </c>
      <c r="F925" s="217">
        <v>25.9</v>
      </c>
      <c r="G925" s="215">
        <v>24.6</v>
      </c>
      <c r="H925" s="216">
        <v>25.2</v>
      </c>
      <c r="I925" s="216">
        <v>14.1</v>
      </c>
      <c r="J925" s="217">
        <v>14.5</v>
      </c>
    </row>
    <row r="926" spans="1:10">
      <c r="A926" s="221">
        <v>41772</v>
      </c>
      <c r="B926" s="222">
        <v>0.33333333333333331</v>
      </c>
      <c r="C926" s="215">
        <v>17.399999999999999</v>
      </c>
      <c r="D926" s="216">
        <v>21.5</v>
      </c>
      <c r="E926" s="229" t="s">
        <v>8273</v>
      </c>
      <c r="F926" s="217">
        <v>25.8</v>
      </c>
      <c r="G926" s="215">
        <v>24.6</v>
      </c>
      <c r="H926" s="216">
        <v>25.2</v>
      </c>
      <c r="I926" s="216">
        <v>13.7</v>
      </c>
      <c r="J926" s="217">
        <v>14.1</v>
      </c>
    </row>
    <row r="927" spans="1:10">
      <c r="A927" s="221">
        <v>41772</v>
      </c>
      <c r="B927" s="222">
        <v>0.5</v>
      </c>
      <c r="C927" s="215">
        <v>17.3</v>
      </c>
      <c r="D927" s="216">
        <v>21.5</v>
      </c>
      <c r="E927" s="229" t="s">
        <v>8273</v>
      </c>
      <c r="F927" s="217">
        <v>25.8</v>
      </c>
      <c r="G927" s="215">
        <v>24.6</v>
      </c>
      <c r="H927" s="216">
        <v>25.2</v>
      </c>
      <c r="I927" s="216">
        <v>13.4</v>
      </c>
      <c r="J927" s="217">
        <v>13.6</v>
      </c>
    </row>
    <row r="928" spans="1:10">
      <c r="A928" s="221">
        <v>41772</v>
      </c>
      <c r="B928" s="222">
        <v>0.66666666666666663</v>
      </c>
      <c r="C928" s="215">
        <v>17.3</v>
      </c>
      <c r="D928" s="216">
        <v>21.4</v>
      </c>
      <c r="E928" s="229" t="s">
        <v>8273</v>
      </c>
      <c r="F928" s="217">
        <v>25.7</v>
      </c>
      <c r="G928" s="215">
        <v>24.6</v>
      </c>
      <c r="H928" s="216">
        <v>25.1</v>
      </c>
      <c r="I928" s="216">
        <v>14.3</v>
      </c>
      <c r="J928" s="217">
        <v>14.6</v>
      </c>
    </row>
    <row r="929" spans="1:10">
      <c r="A929" s="221">
        <v>41772</v>
      </c>
      <c r="B929" s="222">
        <v>0.83333333333333337</v>
      </c>
      <c r="C929" s="215">
        <v>17.2</v>
      </c>
      <c r="D929" s="216">
        <v>21.3</v>
      </c>
      <c r="E929" s="229" t="s">
        <v>8273</v>
      </c>
      <c r="F929" s="217">
        <v>25.6</v>
      </c>
      <c r="G929" s="215">
        <v>24.5</v>
      </c>
      <c r="H929" s="216">
        <v>25</v>
      </c>
      <c r="I929" s="216">
        <v>15.1</v>
      </c>
      <c r="J929" s="217">
        <v>15.6</v>
      </c>
    </row>
    <row r="930" spans="1:10">
      <c r="A930" s="221">
        <v>41773</v>
      </c>
      <c r="B930" s="222">
        <v>0</v>
      </c>
      <c r="C930" s="215">
        <v>17.100000000000001</v>
      </c>
      <c r="D930" s="216">
        <v>21.3</v>
      </c>
      <c r="E930" s="229" t="s">
        <v>8273</v>
      </c>
      <c r="F930" s="217">
        <v>25.6</v>
      </c>
      <c r="G930" s="215">
        <v>24.4</v>
      </c>
      <c r="H930" s="216">
        <v>25</v>
      </c>
      <c r="I930" s="216">
        <v>14.5</v>
      </c>
      <c r="J930" s="217">
        <v>15.1</v>
      </c>
    </row>
    <row r="931" spans="1:10">
      <c r="A931" s="221">
        <v>41773</v>
      </c>
      <c r="B931" s="222">
        <v>0.16666666666666666</v>
      </c>
      <c r="C931" s="215">
        <v>17</v>
      </c>
      <c r="D931" s="216">
        <v>21.3</v>
      </c>
      <c r="E931" s="229" t="s">
        <v>8273</v>
      </c>
      <c r="F931" s="217">
        <v>25.6</v>
      </c>
      <c r="G931" s="215">
        <v>24.4</v>
      </c>
      <c r="H931" s="216">
        <v>24.9</v>
      </c>
      <c r="I931" s="216">
        <v>13.6</v>
      </c>
      <c r="J931" s="217">
        <v>14.1</v>
      </c>
    </row>
    <row r="932" spans="1:10">
      <c r="A932" s="221">
        <v>41773</v>
      </c>
      <c r="B932" s="222">
        <v>0.33333333333333331</v>
      </c>
      <c r="C932" s="215">
        <v>17.100000000000001</v>
      </c>
      <c r="D932" s="216">
        <v>21.3</v>
      </c>
      <c r="E932" s="229" t="s">
        <v>8273</v>
      </c>
      <c r="F932" s="217">
        <v>25.6</v>
      </c>
      <c r="G932" s="215">
        <v>24.4</v>
      </c>
      <c r="H932" s="216">
        <v>24.9</v>
      </c>
      <c r="I932" s="216">
        <v>13.2</v>
      </c>
      <c r="J932" s="217">
        <v>13.7</v>
      </c>
    </row>
    <row r="933" spans="1:10">
      <c r="A933" s="221">
        <v>41773</v>
      </c>
      <c r="B933" s="222">
        <v>0.5</v>
      </c>
      <c r="C933" s="215">
        <v>17</v>
      </c>
      <c r="D933" s="216">
        <v>21.2</v>
      </c>
      <c r="E933" s="229" t="s">
        <v>8273</v>
      </c>
      <c r="F933" s="217">
        <v>25.6</v>
      </c>
      <c r="G933" s="215">
        <v>24.3</v>
      </c>
      <c r="H933" s="216">
        <v>24.8</v>
      </c>
      <c r="I933" s="216">
        <v>13.3</v>
      </c>
      <c r="J933" s="217">
        <v>13.6</v>
      </c>
    </row>
    <row r="934" spans="1:10">
      <c r="A934" s="221">
        <v>41773</v>
      </c>
      <c r="B934" s="222">
        <v>0.66666666666666663</v>
      </c>
      <c r="C934" s="215">
        <v>16.899999999999999</v>
      </c>
      <c r="D934" s="216">
        <v>21.1</v>
      </c>
      <c r="E934" s="229" t="s">
        <v>8273</v>
      </c>
      <c r="F934" s="217">
        <v>25.5</v>
      </c>
      <c r="G934" s="215">
        <v>24.2</v>
      </c>
      <c r="H934" s="216">
        <v>24.7</v>
      </c>
      <c r="I934" s="216">
        <v>14.6</v>
      </c>
      <c r="J934" s="217">
        <v>15</v>
      </c>
    </row>
    <row r="935" spans="1:10">
      <c r="A935" s="221">
        <v>41773</v>
      </c>
      <c r="B935" s="222">
        <v>0.83333333333333337</v>
      </c>
      <c r="C935" s="215">
        <v>16.8</v>
      </c>
      <c r="D935" s="216">
        <v>21</v>
      </c>
      <c r="E935" s="229" t="s">
        <v>8273</v>
      </c>
      <c r="F935" s="217">
        <v>25.4</v>
      </c>
      <c r="G935" s="215">
        <v>24.1</v>
      </c>
      <c r="H935" s="216">
        <v>24.6</v>
      </c>
      <c r="I935" s="216">
        <v>15.4</v>
      </c>
      <c r="J935" s="217">
        <v>16</v>
      </c>
    </row>
    <row r="936" spans="1:10">
      <c r="A936" s="221">
        <v>41774</v>
      </c>
      <c r="B936" s="222">
        <v>0</v>
      </c>
      <c r="C936" s="215">
        <v>16.7</v>
      </c>
      <c r="D936" s="216">
        <v>21</v>
      </c>
      <c r="E936" s="229" t="s">
        <v>8273</v>
      </c>
      <c r="F936" s="217">
        <v>25.4</v>
      </c>
      <c r="G936" s="215">
        <v>24.1</v>
      </c>
      <c r="H936" s="216">
        <v>24.6</v>
      </c>
      <c r="I936" s="216">
        <v>15</v>
      </c>
      <c r="J936" s="217">
        <v>15.6</v>
      </c>
    </row>
    <row r="937" spans="1:10">
      <c r="A937" s="221">
        <v>41774</v>
      </c>
      <c r="B937" s="222">
        <v>0.16666666666666666</v>
      </c>
      <c r="C937" s="215">
        <v>16.600000000000001</v>
      </c>
      <c r="D937" s="216">
        <v>21</v>
      </c>
      <c r="E937" s="229" t="s">
        <v>8273</v>
      </c>
      <c r="F937" s="217">
        <v>25.4</v>
      </c>
      <c r="G937" s="215">
        <v>24.1</v>
      </c>
      <c r="H937" s="216">
        <v>24.6</v>
      </c>
      <c r="I937" s="216">
        <v>14</v>
      </c>
      <c r="J937" s="217">
        <v>14.6</v>
      </c>
    </row>
    <row r="938" spans="1:10">
      <c r="A938" s="221">
        <v>41774</v>
      </c>
      <c r="B938" s="222">
        <v>0.33333333333333331</v>
      </c>
      <c r="C938" s="215">
        <v>16.7</v>
      </c>
      <c r="D938" s="216">
        <v>21</v>
      </c>
      <c r="E938" s="229" t="s">
        <v>8273</v>
      </c>
      <c r="F938" s="217">
        <v>25.4</v>
      </c>
      <c r="G938" s="215">
        <v>24</v>
      </c>
      <c r="H938" s="216">
        <v>24.6</v>
      </c>
      <c r="I938" s="216">
        <v>13.5</v>
      </c>
      <c r="J938" s="217">
        <v>14.1</v>
      </c>
    </row>
    <row r="939" spans="1:10">
      <c r="A939" s="221">
        <v>41774</v>
      </c>
      <c r="B939" s="222">
        <v>0.5</v>
      </c>
      <c r="C939" s="215">
        <v>16.7</v>
      </c>
      <c r="D939" s="216">
        <v>20.8</v>
      </c>
      <c r="E939" s="229" t="s">
        <v>8273</v>
      </c>
      <c r="F939" s="217">
        <v>25.4</v>
      </c>
      <c r="G939" s="215">
        <v>24</v>
      </c>
      <c r="H939" s="216">
        <v>24.5</v>
      </c>
      <c r="I939" s="216">
        <v>13.4</v>
      </c>
      <c r="J939" s="217">
        <v>13.8</v>
      </c>
    </row>
    <row r="940" spans="1:10">
      <c r="A940" s="221">
        <v>41774</v>
      </c>
      <c r="B940" s="222">
        <v>0.66666666666666663</v>
      </c>
      <c r="C940" s="215">
        <v>16.600000000000001</v>
      </c>
      <c r="D940" s="216">
        <v>20.7</v>
      </c>
      <c r="E940" s="229" t="s">
        <v>8273</v>
      </c>
      <c r="F940" s="217">
        <v>25.3</v>
      </c>
      <c r="G940" s="215">
        <v>23.9</v>
      </c>
      <c r="H940" s="216">
        <v>24.3</v>
      </c>
      <c r="I940" s="216">
        <v>15.3</v>
      </c>
      <c r="J940" s="217">
        <v>15.7</v>
      </c>
    </row>
    <row r="941" spans="1:10">
      <c r="A941" s="221">
        <v>41774</v>
      </c>
      <c r="B941" s="222">
        <v>0.83333333333333337</v>
      </c>
      <c r="C941" s="215">
        <v>16.600000000000001</v>
      </c>
      <c r="D941" s="216">
        <v>20.6</v>
      </c>
      <c r="E941" s="229" t="s">
        <v>8273</v>
      </c>
      <c r="F941" s="217">
        <v>25.2</v>
      </c>
      <c r="G941" s="215">
        <v>23.8</v>
      </c>
      <c r="H941" s="216">
        <v>24.2</v>
      </c>
      <c r="I941" s="216">
        <v>16.7</v>
      </c>
      <c r="J941" s="217">
        <v>17.600000000000001</v>
      </c>
    </row>
    <row r="942" spans="1:10">
      <c r="A942" s="221">
        <v>41775</v>
      </c>
      <c r="B942" s="222">
        <v>0</v>
      </c>
      <c r="C942" s="215">
        <v>16.399999999999999</v>
      </c>
      <c r="D942" s="216">
        <v>20.5</v>
      </c>
      <c r="E942" s="229" t="s">
        <v>8273</v>
      </c>
      <c r="F942" s="217">
        <v>25.1</v>
      </c>
      <c r="G942" s="215">
        <v>23.8</v>
      </c>
      <c r="H942" s="216">
        <v>24.2</v>
      </c>
      <c r="I942" s="216">
        <v>16.2</v>
      </c>
      <c r="J942" s="217">
        <v>17.100000000000001</v>
      </c>
    </row>
    <row r="943" spans="1:10">
      <c r="A943" s="221">
        <v>41775</v>
      </c>
      <c r="B943" s="222">
        <v>0.16666666666666666</v>
      </c>
      <c r="C943" s="215">
        <v>16.3</v>
      </c>
      <c r="D943" s="216">
        <v>20.5</v>
      </c>
      <c r="E943" s="229" t="s">
        <v>8273</v>
      </c>
      <c r="F943" s="217">
        <v>25.1</v>
      </c>
      <c r="G943" s="215">
        <v>23.7</v>
      </c>
      <c r="H943" s="216">
        <v>24.1</v>
      </c>
      <c r="I943" s="216">
        <v>15</v>
      </c>
      <c r="J943" s="217">
        <v>15.9</v>
      </c>
    </row>
    <row r="944" spans="1:10">
      <c r="A944" s="221">
        <v>41775</v>
      </c>
      <c r="B944" s="222">
        <v>0.33333333333333331</v>
      </c>
      <c r="C944" s="215">
        <v>16.3</v>
      </c>
      <c r="D944" s="216">
        <v>20.5</v>
      </c>
      <c r="E944" s="229" t="s">
        <v>8273</v>
      </c>
      <c r="F944" s="217">
        <v>25.1</v>
      </c>
      <c r="G944" s="215">
        <v>23.7</v>
      </c>
      <c r="H944" s="216">
        <v>24.1</v>
      </c>
      <c r="I944" s="216">
        <v>14.4</v>
      </c>
      <c r="J944" s="217">
        <v>15.2</v>
      </c>
    </row>
    <row r="945" spans="1:10">
      <c r="A945" s="221">
        <v>41775</v>
      </c>
      <c r="B945" s="222">
        <v>0.5</v>
      </c>
      <c r="C945" s="215">
        <v>16.3</v>
      </c>
      <c r="D945" s="216">
        <v>20.399999999999999</v>
      </c>
      <c r="E945" s="229" t="s">
        <v>8273</v>
      </c>
      <c r="F945" s="217">
        <v>25.1</v>
      </c>
      <c r="G945" s="215">
        <v>23.6</v>
      </c>
      <c r="H945" s="216">
        <v>24</v>
      </c>
      <c r="I945" s="216">
        <v>13.9</v>
      </c>
      <c r="J945" s="217">
        <v>14.6</v>
      </c>
    </row>
    <row r="946" spans="1:10">
      <c r="A946" s="221">
        <v>41775</v>
      </c>
      <c r="B946" s="222">
        <v>0.66666666666666663</v>
      </c>
      <c r="C946" s="215">
        <v>16.3</v>
      </c>
      <c r="D946" s="216">
        <v>20.2</v>
      </c>
      <c r="E946" s="229" t="s">
        <v>8273</v>
      </c>
      <c r="F946" s="217">
        <v>25</v>
      </c>
      <c r="G946" s="215">
        <v>23.5</v>
      </c>
      <c r="H946" s="216">
        <v>23.9</v>
      </c>
      <c r="I946" s="216">
        <v>15.9</v>
      </c>
      <c r="J946" s="217">
        <v>16.399999999999999</v>
      </c>
    </row>
    <row r="947" spans="1:10">
      <c r="A947" s="221">
        <v>41775</v>
      </c>
      <c r="B947" s="222">
        <v>0.83333333333333337</v>
      </c>
      <c r="C947" s="215">
        <v>16.2</v>
      </c>
      <c r="D947" s="216">
        <v>20.100000000000001</v>
      </c>
      <c r="E947" s="229" t="s">
        <v>8273</v>
      </c>
      <c r="F947" s="217">
        <v>24.9</v>
      </c>
      <c r="G947" s="215">
        <v>23.4</v>
      </c>
      <c r="H947" s="216">
        <v>23.7</v>
      </c>
      <c r="I947" s="216">
        <v>17.3</v>
      </c>
      <c r="J947" s="217">
        <v>18.3</v>
      </c>
    </row>
    <row r="948" spans="1:10">
      <c r="A948" s="221">
        <v>41776</v>
      </c>
      <c r="B948" s="222">
        <v>0</v>
      </c>
      <c r="C948" s="215">
        <v>16.100000000000001</v>
      </c>
      <c r="D948" s="216">
        <v>20.100000000000001</v>
      </c>
      <c r="E948" s="229" t="s">
        <v>8273</v>
      </c>
      <c r="F948" s="217">
        <v>24.9</v>
      </c>
      <c r="G948" s="215">
        <v>23.4</v>
      </c>
      <c r="H948" s="216">
        <v>23.7</v>
      </c>
      <c r="I948" s="216">
        <v>16.8</v>
      </c>
      <c r="J948" s="217">
        <v>17.899999999999999</v>
      </c>
    </row>
    <row r="949" spans="1:10">
      <c r="A949" s="221">
        <v>41776</v>
      </c>
      <c r="B949" s="222">
        <v>0.16666666666666666</v>
      </c>
      <c r="C949" s="215">
        <v>15.9</v>
      </c>
      <c r="D949" s="216">
        <v>20.100000000000001</v>
      </c>
      <c r="E949" s="229" t="s">
        <v>8273</v>
      </c>
      <c r="F949" s="217">
        <v>24.8</v>
      </c>
      <c r="G949" s="215">
        <v>23.3</v>
      </c>
      <c r="H949" s="216">
        <v>23.7</v>
      </c>
      <c r="I949" s="216">
        <v>15.8</v>
      </c>
      <c r="J949" s="217">
        <v>16.8</v>
      </c>
    </row>
    <row r="950" spans="1:10">
      <c r="A950" s="221">
        <v>41776</v>
      </c>
      <c r="B950" s="222">
        <v>0.33333333333333331</v>
      </c>
      <c r="C950" s="215">
        <v>15.9</v>
      </c>
      <c r="D950" s="216">
        <v>20</v>
      </c>
      <c r="E950" s="229" t="s">
        <v>8273</v>
      </c>
      <c r="F950" s="217">
        <v>24.8</v>
      </c>
      <c r="G950" s="215">
        <v>23.3</v>
      </c>
      <c r="H950" s="216">
        <v>23.7</v>
      </c>
      <c r="I950" s="216">
        <v>15.3</v>
      </c>
      <c r="J950" s="217">
        <v>16.2</v>
      </c>
    </row>
    <row r="951" spans="1:10">
      <c r="A951" s="221">
        <v>41776</v>
      </c>
      <c r="B951" s="222">
        <v>0.5</v>
      </c>
      <c r="C951" s="215">
        <v>16</v>
      </c>
      <c r="D951" s="216">
        <v>19.899999999999999</v>
      </c>
      <c r="E951" s="229" t="s">
        <v>8273</v>
      </c>
      <c r="F951" s="217">
        <v>24.8</v>
      </c>
      <c r="G951" s="215">
        <v>23.2</v>
      </c>
      <c r="H951" s="216">
        <v>23.6</v>
      </c>
      <c r="I951" s="216">
        <v>15</v>
      </c>
      <c r="J951" s="217">
        <v>15.6</v>
      </c>
    </row>
    <row r="952" spans="1:10">
      <c r="A952" s="221">
        <v>41776</v>
      </c>
      <c r="B952" s="222">
        <v>0.66666666666666663</v>
      </c>
      <c r="C952" s="215">
        <v>15.9</v>
      </c>
      <c r="D952" s="216">
        <v>19.7</v>
      </c>
      <c r="E952" s="229" t="s">
        <v>8273</v>
      </c>
      <c r="F952" s="217">
        <v>24.7</v>
      </c>
      <c r="G952" s="215">
        <v>23.1</v>
      </c>
      <c r="H952" s="216">
        <v>23.4</v>
      </c>
      <c r="I952" s="216">
        <v>16.899999999999999</v>
      </c>
      <c r="J952" s="217">
        <v>17.5</v>
      </c>
    </row>
    <row r="953" spans="1:10">
      <c r="A953" s="221">
        <v>41776</v>
      </c>
      <c r="B953" s="222">
        <v>0.83333333333333337</v>
      </c>
      <c r="C953" s="215">
        <v>15.9</v>
      </c>
      <c r="D953" s="216">
        <v>19.600000000000001</v>
      </c>
      <c r="E953" s="229" t="s">
        <v>8273</v>
      </c>
      <c r="F953" s="217">
        <v>24.6</v>
      </c>
      <c r="G953" s="215">
        <v>23</v>
      </c>
      <c r="H953" s="216">
        <v>23.3</v>
      </c>
      <c r="I953" s="216">
        <v>18.2</v>
      </c>
      <c r="J953" s="217">
        <v>19.3</v>
      </c>
    </row>
    <row r="954" spans="1:10">
      <c r="A954" s="221">
        <v>41777</v>
      </c>
      <c r="B954" s="222">
        <v>0</v>
      </c>
      <c r="C954" s="215">
        <v>15.7</v>
      </c>
      <c r="D954" s="216">
        <v>19.600000000000001</v>
      </c>
      <c r="E954" s="229" t="s">
        <v>8273</v>
      </c>
      <c r="F954" s="217">
        <v>24.6</v>
      </c>
      <c r="G954" s="215">
        <v>23</v>
      </c>
      <c r="H954" s="216">
        <v>23.3</v>
      </c>
      <c r="I954" s="216">
        <v>17.600000000000001</v>
      </c>
      <c r="J954" s="217">
        <v>18.8</v>
      </c>
    </row>
    <row r="955" spans="1:10">
      <c r="A955" s="221">
        <v>41777</v>
      </c>
      <c r="B955" s="222">
        <v>0.16666666666666666</v>
      </c>
      <c r="C955" s="215">
        <v>15.6</v>
      </c>
      <c r="D955" s="216">
        <v>19.600000000000001</v>
      </c>
      <c r="E955" s="229" t="s">
        <v>8273</v>
      </c>
      <c r="F955" s="217">
        <v>24.6</v>
      </c>
      <c r="G955" s="215">
        <v>22.9</v>
      </c>
      <c r="H955" s="216">
        <v>23.3</v>
      </c>
      <c r="I955" s="216">
        <v>16.399999999999999</v>
      </c>
      <c r="J955" s="217">
        <v>17.399999999999999</v>
      </c>
    </row>
    <row r="956" spans="1:10">
      <c r="A956" s="221">
        <v>41777</v>
      </c>
      <c r="B956" s="222">
        <v>0.33333333333333331</v>
      </c>
      <c r="C956" s="215">
        <v>15.6</v>
      </c>
      <c r="D956" s="216">
        <v>19.600000000000001</v>
      </c>
      <c r="E956" s="229" t="s">
        <v>8273</v>
      </c>
      <c r="F956" s="217">
        <v>24.6</v>
      </c>
      <c r="G956" s="215">
        <v>22.9</v>
      </c>
      <c r="H956" s="216">
        <v>23.3</v>
      </c>
      <c r="I956" s="216">
        <v>15.8</v>
      </c>
      <c r="J956" s="217">
        <v>16.7</v>
      </c>
    </row>
    <row r="957" spans="1:10">
      <c r="A957" s="221">
        <v>41777</v>
      </c>
      <c r="B957" s="222">
        <v>0.5</v>
      </c>
      <c r="C957" s="215">
        <v>15.7</v>
      </c>
      <c r="D957" s="216">
        <v>19.5</v>
      </c>
      <c r="E957" s="229" t="s">
        <v>8273</v>
      </c>
      <c r="F957" s="217">
        <v>24.6</v>
      </c>
      <c r="G957" s="215">
        <v>22.8</v>
      </c>
      <c r="H957" s="216">
        <v>23.2</v>
      </c>
      <c r="I957" s="216">
        <v>15.5</v>
      </c>
      <c r="J957" s="217">
        <v>16.3</v>
      </c>
    </row>
    <row r="958" spans="1:10">
      <c r="A958" s="221">
        <v>41777</v>
      </c>
      <c r="B958" s="222">
        <v>0.66666666666666663</v>
      </c>
      <c r="C958" s="215">
        <v>15.7</v>
      </c>
      <c r="D958" s="216">
        <v>19.3</v>
      </c>
      <c r="E958" s="229" t="s">
        <v>8273</v>
      </c>
      <c r="F958" s="217">
        <v>24.5</v>
      </c>
      <c r="G958" s="215">
        <v>22.7</v>
      </c>
      <c r="H958" s="216">
        <v>23</v>
      </c>
      <c r="I958" s="216">
        <v>17.7</v>
      </c>
      <c r="J958" s="217">
        <v>18.399999999999999</v>
      </c>
    </row>
    <row r="959" spans="1:10">
      <c r="A959" s="221">
        <v>41777</v>
      </c>
      <c r="B959" s="222">
        <v>0.83333333333333337</v>
      </c>
      <c r="C959" s="215">
        <v>15.6</v>
      </c>
      <c r="D959" s="216">
        <v>19.2</v>
      </c>
      <c r="E959" s="229" t="s">
        <v>8273</v>
      </c>
      <c r="F959" s="217">
        <v>24.3</v>
      </c>
      <c r="G959" s="215">
        <v>22.6</v>
      </c>
      <c r="H959" s="216">
        <v>22.9</v>
      </c>
      <c r="I959" s="216">
        <v>19.2</v>
      </c>
      <c r="J959" s="217">
        <v>20.2</v>
      </c>
    </row>
    <row r="960" spans="1:10">
      <c r="A960" s="221">
        <v>41778</v>
      </c>
      <c r="B960" s="222">
        <v>0</v>
      </c>
      <c r="C960" s="215">
        <v>15.5</v>
      </c>
      <c r="D960" s="216">
        <v>19.100000000000001</v>
      </c>
      <c r="E960" s="229" t="s">
        <v>8273</v>
      </c>
      <c r="F960" s="217">
        <v>24.3</v>
      </c>
      <c r="G960" s="215">
        <v>22.6</v>
      </c>
      <c r="H960" s="216">
        <v>22.8</v>
      </c>
      <c r="I960" s="216">
        <v>18.5</v>
      </c>
      <c r="J960" s="217">
        <v>19.5</v>
      </c>
    </row>
    <row r="961" spans="1:10">
      <c r="A961" s="221">
        <v>41778</v>
      </c>
      <c r="B961" s="222">
        <v>0.16666666666666666</v>
      </c>
      <c r="C961" s="215">
        <v>15.4</v>
      </c>
      <c r="D961" s="216">
        <v>19.100000000000001</v>
      </c>
      <c r="E961" s="229" t="s">
        <v>8273</v>
      </c>
      <c r="F961" s="217">
        <v>24.3</v>
      </c>
      <c r="G961" s="215">
        <v>22.5</v>
      </c>
      <c r="H961" s="216">
        <v>22.8</v>
      </c>
      <c r="I961" s="216">
        <v>17.399999999999999</v>
      </c>
      <c r="J961" s="217">
        <v>18.399999999999999</v>
      </c>
    </row>
    <row r="962" spans="1:10">
      <c r="A962" s="221">
        <v>41778</v>
      </c>
      <c r="B962" s="222">
        <v>0.33333333333333331</v>
      </c>
      <c r="C962" s="215">
        <v>15.3</v>
      </c>
      <c r="D962" s="216">
        <v>19</v>
      </c>
      <c r="E962" s="229" t="s">
        <v>8273</v>
      </c>
      <c r="F962" s="217">
        <v>24.3</v>
      </c>
      <c r="G962" s="215">
        <v>22.5</v>
      </c>
      <c r="H962" s="216">
        <v>22.8</v>
      </c>
      <c r="I962" s="216">
        <v>16.899999999999999</v>
      </c>
      <c r="J962" s="217">
        <v>17.899999999999999</v>
      </c>
    </row>
    <row r="963" spans="1:10">
      <c r="A963" s="221">
        <v>41778</v>
      </c>
      <c r="B963" s="222">
        <v>0.5</v>
      </c>
      <c r="C963" s="215">
        <v>15.4</v>
      </c>
      <c r="D963" s="216">
        <v>18.7</v>
      </c>
      <c r="E963" s="229" t="s">
        <v>8273</v>
      </c>
      <c r="F963" s="217">
        <v>24.2</v>
      </c>
      <c r="G963" s="215">
        <v>22.3</v>
      </c>
      <c r="H963" s="216">
        <v>22.6</v>
      </c>
      <c r="I963" s="216">
        <v>16.8</v>
      </c>
      <c r="J963" s="217">
        <v>17.600000000000001</v>
      </c>
    </row>
    <row r="964" spans="1:10">
      <c r="A964" s="221">
        <v>41778</v>
      </c>
      <c r="B964" s="222">
        <v>0.66666666666666663</v>
      </c>
      <c r="C964" s="215">
        <v>15.4</v>
      </c>
      <c r="D964" s="216">
        <v>18.5</v>
      </c>
      <c r="E964" s="229" t="s">
        <v>8273</v>
      </c>
      <c r="F964" s="217">
        <v>24.2</v>
      </c>
      <c r="G964" s="215">
        <v>22.3</v>
      </c>
      <c r="H964" s="216">
        <v>22.5</v>
      </c>
      <c r="I964" s="216">
        <v>18.600000000000001</v>
      </c>
      <c r="J964" s="217">
        <v>19.5</v>
      </c>
    </row>
    <row r="965" spans="1:10">
      <c r="A965" s="221">
        <v>41778</v>
      </c>
      <c r="B965" s="222">
        <v>0.83333333333333337</v>
      </c>
      <c r="C965" s="215">
        <v>15.3</v>
      </c>
      <c r="D965" s="216">
        <v>18.399999999999999</v>
      </c>
      <c r="E965" s="229" t="s">
        <v>8273</v>
      </c>
      <c r="F965" s="217">
        <v>24</v>
      </c>
      <c r="G965" s="215">
        <v>22.2</v>
      </c>
      <c r="H965" s="216">
        <v>22.4</v>
      </c>
      <c r="I965" s="216">
        <v>19.7</v>
      </c>
      <c r="J965" s="217">
        <v>20.6</v>
      </c>
    </row>
    <row r="966" spans="1:10">
      <c r="A966" s="221">
        <v>41779</v>
      </c>
      <c r="B966" s="222">
        <v>0</v>
      </c>
      <c r="C966" s="215">
        <v>15.2</v>
      </c>
      <c r="D966" s="216">
        <v>18.399999999999999</v>
      </c>
      <c r="E966" s="229" t="s">
        <v>8273</v>
      </c>
      <c r="F966" s="217">
        <v>24.1</v>
      </c>
      <c r="G966" s="215">
        <v>22.1</v>
      </c>
      <c r="H966" s="216">
        <v>22.3</v>
      </c>
      <c r="I966" s="216">
        <v>18.899999999999999</v>
      </c>
      <c r="J966" s="217">
        <v>19.8</v>
      </c>
    </row>
    <row r="967" spans="1:10">
      <c r="A967" s="221">
        <v>41779</v>
      </c>
      <c r="B967" s="222">
        <v>0.16666666666666666</v>
      </c>
      <c r="C967" s="215">
        <v>15.1</v>
      </c>
      <c r="D967" s="216">
        <v>18.399999999999999</v>
      </c>
      <c r="E967" s="229" t="s">
        <v>8273</v>
      </c>
      <c r="F967" s="217">
        <v>24</v>
      </c>
      <c r="G967" s="215">
        <v>22.1</v>
      </c>
      <c r="H967" s="216">
        <v>22.3</v>
      </c>
      <c r="I967" s="216">
        <v>18.100000000000001</v>
      </c>
      <c r="J967" s="217">
        <v>18.899999999999999</v>
      </c>
    </row>
    <row r="968" spans="1:10">
      <c r="A968" s="221">
        <v>41779</v>
      </c>
      <c r="B968" s="222">
        <v>0.33333333333333331</v>
      </c>
      <c r="C968" s="215">
        <v>15.2</v>
      </c>
      <c r="D968" s="216">
        <v>18.3</v>
      </c>
      <c r="E968" s="229" t="s">
        <v>8273</v>
      </c>
      <c r="F968" s="217">
        <v>24.1</v>
      </c>
      <c r="G968" s="215">
        <v>22</v>
      </c>
      <c r="H968" s="216">
        <v>22.3</v>
      </c>
      <c r="I968" s="216">
        <v>17.7</v>
      </c>
      <c r="J968" s="217">
        <v>18.5</v>
      </c>
    </row>
    <row r="969" spans="1:10">
      <c r="A969" s="221">
        <v>41779</v>
      </c>
      <c r="B969" s="222">
        <v>0.5</v>
      </c>
      <c r="C969" s="215">
        <v>15.1</v>
      </c>
      <c r="D969" s="216">
        <v>18.2</v>
      </c>
      <c r="E969" s="229" t="s">
        <v>8273</v>
      </c>
      <c r="F969" s="217">
        <v>24</v>
      </c>
      <c r="G969" s="215">
        <v>21.9</v>
      </c>
      <c r="H969" s="216">
        <v>22.2</v>
      </c>
      <c r="I969" s="216">
        <v>17.600000000000001</v>
      </c>
      <c r="J969" s="217">
        <v>18.3</v>
      </c>
    </row>
    <row r="970" spans="1:10">
      <c r="A970" s="221">
        <v>41779</v>
      </c>
      <c r="B970" s="222">
        <v>0.66666666666666663</v>
      </c>
      <c r="C970" s="215">
        <v>15.2</v>
      </c>
      <c r="D970" s="216">
        <v>18.100000000000001</v>
      </c>
      <c r="E970" s="229" t="s">
        <v>8273</v>
      </c>
      <c r="F970" s="217">
        <v>23.9</v>
      </c>
      <c r="G970" s="215">
        <v>21.8</v>
      </c>
      <c r="H970" s="216">
        <v>22.1</v>
      </c>
      <c r="I970" s="216">
        <v>19</v>
      </c>
      <c r="J970" s="217">
        <v>19.600000000000001</v>
      </c>
    </row>
    <row r="971" spans="1:10">
      <c r="A971" s="221">
        <v>41779</v>
      </c>
      <c r="B971" s="222">
        <v>0.83333333333333337</v>
      </c>
      <c r="C971" s="215">
        <v>15.1</v>
      </c>
      <c r="D971" s="216">
        <v>18.100000000000001</v>
      </c>
      <c r="E971" s="229" t="s">
        <v>8273</v>
      </c>
      <c r="F971" s="217">
        <v>23.9</v>
      </c>
      <c r="G971" s="215">
        <v>21.8</v>
      </c>
      <c r="H971" s="216">
        <v>21.9</v>
      </c>
      <c r="I971" s="216">
        <v>19.600000000000001</v>
      </c>
      <c r="J971" s="217">
        <v>20.3</v>
      </c>
    </row>
    <row r="972" spans="1:10">
      <c r="A972" s="221">
        <v>41780</v>
      </c>
      <c r="B972" s="222">
        <v>0</v>
      </c>
      <c r="C972" s="215">
        <v>14.9</v>
      </c>
      <c r="D972" s="216">
        <v>18</v>
      </c>
      <c r="E972" s="229" t="s">
        <v>8273</v>
      </c>
      <c r="F972" s="217">
        <v>23.8</v>
      </c>
      <c r="G972" s="215">
        <v>21.7</v>
      </c>
      <c r="H972" s="216">
        <v>21.9</v>
      </c>
      <c r="I972" s="216">
        <v>19</v>
      </c>
      <c r="J972" s="217">
        <v>19.600000000000001</v>
      </c>
    </row>
    <row r="973" spans="1:10">
      <c r="A973" s="221">
        <v>41780</v>
      </c>
      <c r="B973" s="222">
        <v>0.16666666666666666</v>
      </c>
      <c r="C973" s="215">
        <v>14.9</v>
      </c>
      <c r="D973" s="216">
        <v>18</v>
      </c>
      <c r="E973" s="229" t="s">
        <v>8273</v>
      </c>
      <c r="F973" s="217">
        <v>23.9</v>
      </c>
      <c r="G973" s="215">
        <v>21.7</v>
      </c>
      <c r="H973" s="216">
        <v>21.9</v>
      </c>
      <c r="I973" s="216">
        <v>18.3</v>
      </c>
      <c r="J973" s="217">
        <v>19</v>
      </c>
    </row>
    <row r="974" spans="1:10">
      <c r="A974" s="221">
        <v>41780</v>
      </c>
      <c r="B974" s="222">
        <v>0.33333333333333331</v>
      </c>
      <c r="C974" s="215">
        <v>14.8</v>
      </c>
      <c r="D974" s="216">
        <v>17.899999999999999</v>
      </c>
      <c r="E974" s="229" t="s">
        <v>8273</v>
      </c>
      <c r="F974" s="217">
        <v>23.8</v>
      </c>
      <c r="G974" s="215">
        <v>21.7</v>
      </c>
      <c r="H974" s="216">
        <v>21.9</v>
      </c>
      <c r="I974" s="216">
        <v>18</v>
      </c>
      <c r="J974" s="217">
        <v>18.7</v>
      </c>
    </row>
    <row r="975" spans="1:10">
      <c r="A975" s="221">
        <v>41780</v>
      </c>
      <c r="B975" s="222">
        <v>0.5</v>
      </c>
      <c r="C975" s="215">
        <v>15</v>
      </c>
      <c r="D975" s="216">
        <v>17.8</v>
      </c>
      <c r="E975" s="229" t="s">
        <v>8273</v>
      </c>
      <c r="F975" s="217">
        <v>23.8</v>
      </c>
      <c r="G975" s="215">
        <v>21.6</v>
      </c>
      <c r="H975" s="216">
        <v>21.8</v>
      </c>
      <c r="I975" s="216">
        <v>17.899999999999999</v>
      </c>
      <c r="J975" s="217">
        <v>18.600000000000001</v>
      </c>
    </row>
    <row r="976" spans="1:10">
      <c r="A976" s="221">
        <v>41780</v>
      </c>
      <c r="B976" s="222">
        <v>0.66666666666666663</v>
      </c>
      <c r="C976" s="215">
        <v>15</v>
      </c>
      <c r="D976" s="216">
        <v>17.7</v>
      </c>
      <c r="E976" s="229" t="s">
        <v>8273</v>
      </c>
      <c r="F976" s="217">
        <v>23.7</v>
      </c>
      <c r="G976" s="215">
        <v>21.5</v>
      </c>
      <c r="H976" s="216">
        <v>21.7</v>
      </c>
      <c r="I976" s="216">
        <v>18.899999999999999</v>
      </c>
      <c r="J976" s="217">
        <v>19.600000000000001</v>
      </c>
    </row>
    <row r="977" spans="1:10">
      <c r="A977" s="221">
        <v>41780</v>
      </c>
      <c r="B977" s="222">
        <v>0.83333333333333337</v>
      </c>
      <c r="C977" s="215">
        <v>14.9</v>
      </c>
      <c r="D977" s="216">
        <v>18</v>
      </c>
      <c r="E977" s="229" t="s">
        <v>8273</v>
      </c>
      <c r="F977" s="217">
        <v>23.8</v>
      </c>
      <c r="G977" s="215">
        <v>21.4</v>
      </c>
      <c r="H977" s="216">
        <v>21.6</v>
      </c>
      <c r="I977" s="216">
        <v>19.100000000000001</v>
      </c>
      <c r="J977" s="217">
        <v>19.8</v>
      </c>
    </row>
    <row r="978" spans="1:10">
      <c r="A978" s="221">
        <v>41781</v>
      </c>
      <c r="B978" s="222">
        <v>0</v>
      </c>
      <c r="C978" s="215">
        <v>14.9</v>
      </c>
      <c r="D978" s="216">
        <v>17.899999999999999</v>
      </c>
      <c r="E978" s="229" t="s">
        <v>8273</v>
      </c>
      <c r="F978" s="217">
        <v>23.8</v>
      </c>
      <c r="G978" s="215">
        <v>21.4</v>
      </c>
      <c r="H978" s="216">
        <v>21.6</v>
      </c>
      <c r="I978" s="216">
        <v>18.3</v>
      </c>
      <c r="J978" s="217">
        <v>19</v>
      </c>
    </row>
    <row r="979" spans="1:10">
      <c r="A979" s="221">
        <v>41781</v>
      </c>
      <c r="B979" s="222">
        <v>0.16666666666666666</v>
      </c>
      <c r="C979" s="215">
        <v>14.9</v>
      </c>
      <c r="D979" s="216">
        <v>17.899999999999999</v>
      </c>
      <c r="E979" s="229" t="s">
        <v>8273</v>
      </c>
      <c r="F979" s="217">
        <v>23.8</v>
      </c>
      <c r="G979" s="215">
        <v>21.4</v>
      </c>
      <c r="H979" s="216">
        <v>21.6</v>
      </c>
      <c r="I979" s="216">
        <v>17.600000000000001</v>
      </c>
      <c r="J979" s="217">
        <v>18.3</v>
      </c>
    </row>
    <row r="980" spans="1:10">
      <c r="A980" s="221">
        <v>41781</v>
      </c>
      <c r="B980" s="222">
        <v>0.33333333333333331</v>
      </c>
      <c r="C980" s="215">
        <v>14.9</v>
      </c>
      <c r="D980" s="216">
        <v>17.8</v>
      </c>
      <c r="E980" s="229" t="s">
        <v>8273</v>
      </c>
      <c r="F980" s="217">
        <v>23.8</v>
      </c>
      <c r="G980" s="215">
        <v>21.4</v>
      </c>
      <c r="H980" s="216">
        <v>21.6</v>
      </c>
      <c r="I980" s="216">
        <v>17.3</v>
      </c>
      <c r="J980" s="217">
        <v>18</v>
      </c>
    </row>
    <row r="981" spans="1:10">
      <c r="A981" s="221">
        <v>41781</v>
      </c>
      <c r="B981" s="222">
        <v>0.5</v>
      </c>
      <c r="C981" s="215">
        <v>14.9</v>
      </c>
      <c r="D981" s="216">
        <v>17.7</v>
      </c>
      <c r="E981" s="229" t="s">
        <v>8273</v>
      </c>
      <c r="F981" s="217">
        <v>23.8</v>
      </c>
      <c r="G981" s="215">
        <v>21.3</v>
      </c>
      <c r="H981" s="216">
        <v>21.5</v>
      </c>
      <c r="I981" s="216">
        <v>17.600000000000001</v>
      </c>
      <c r="J981" s="217">
        <v>18.100000000000001</v>
      </c>
    </row>
    <row r="982" spans="1:10">
      <c r="A982" s="221">
        <v>41781</v>
      </c>
      <c r="B982" s="222">
        <v>0.66666666666666663</v>
      </c>
      <c r="C982" s="215">
        <v>14.9</v>
      </c>
      <c r="D982" s="216">
        <v>17.600000000000001</v>
      </c>
      <c r="E982" s="229" t="s">
        <v>8273</v>
      </c>
      <c r="F982" s="217">
        <v>23.7</v>
      </c>
      <c r="G982" s="215">
        <v>21.2</v>
      </c>
      <c r="H982" s="216">
        <v>21.4</v>
      </c>
      <c r="I982" s="216">
        <v>19.3</v>
      </c>
      <c r="J982" s="217">
        <v>19.7</v>
      </c>
    </row>
    <row r="983" spans="1:10">
      <c r="A983" s="221">
        <v>41781</v>
      </c>
      <c r="B983" s="222">
        <v>0.83333333333333337</v>
      </c>
      <c r="C983" s="215">
        <v>14.9</v>
      </c>
      <c r="D983" s="216">
        <v>17.5</v>
      </c>
      <c r="E983" s="229" t="s">
        <v>8273</v>
      </c>
      <c r="F983" s="217">
        <v>23.6</v>
      </c>
      <c r="G983" s="215">
        <v>21.2</v>
      </c>
      <c r="H983" s="216">
        <v>21.3</v>
      </c>
      <c r="I983" s="216">
        <v>20</v>
      </c>
      <c r="J983" s="217">
        <v>20.6</v>
      </c>
    </row>
    <row r="984" spans="1:10">
      <c r="A984" s="221">
        <v>41782</v>
      </c>
      <c r="B984" s="222">
        <v>0</v>
      </c>
      <c r="C984" s="215">
        <v>14.7</v>
      </c>
      <c r="D984" s="216">
        <v>17.5</v>
      </c>
      <c r="E984" s="229" t="s">
        <v>8273</v>
      </c>
      <c r="F984" s="217">
        <v>23.6</v>
      </c>
      <c r="G984" s="215">
        <v>21.2</v>
      </c>
      <c r="H984" s="216">
        <v>21.3</v>
      </c>
      <c r="I984" s="216">
        <v>19.100000000000001</v>
      </c>
      <c r="J984" s="217">
        <v>19.8</v>
      </c>
    </row>
    <row r="985" spans="1:10">
      <c r="A985" s="221">
        <v>41782</v>
      </c>
      <c r="B985" s="222">
        <v>0.16666666666666666</v>
      </c>
      <c r="C985" s="215">
        <v>14.7</v>
      </c>
      <c r="D985" s="216">
        <v>17.600000000000001</v>
      </c>
      <c r="E985" s="229" t="s">
        <v>8273</v>
      </c>
      <c r="F985" s="217">
        <v>23.6</v>
      </c>
      <c r="G985" s="215">
        <v>21.1</v>
      </c>
      <c r="H985" s="216">
        <v>21.3</v>
      </c>
      <c r="I985" s="216">
        <v>17.8</v>
      </c>
      <c r="J985" s="217">
        <v>18.399999999999999</v>
      </c>
    </row>
    <row r="986" spans="1:10">
      <c r="A986" s="221">
        <v>41782</v>
      </c>
      <c r="B986" s="222">
        <v>0.33333333333333331</v>
      </c>
      <c r="C986" s="215">
        <v>14.6</v>
      </c>
      <c r="D986" s="216">
        <v>17.5</v>
      </c>
      <c r="E986" s="229" t="s">
        <v>8273</v>
      </c>
      <c r="F986" s="217">
        <v>23.6</v>
      </c>
      <c r="G986" s="215">
        <v>21.1</v>
      </c>
      <c r="H986" s="216">
        <v>21.3</v>
      </c>
      <c r="I986" s="216">
        <v>17.2</v>
      </c>
      <c r="J986" s="217">
        <v>17.8</v>
      </c>
    </row>
    <row r="987" spans="1:10">
      <c r="A987" s="221">
        <v>41782</v>
      </c>
      <c r="B987" s="222">
        <v>0.5</v>
      </c>
      <c r="C987" s="215">
        <v>14.6</v>
      </c>
      <c r="D987" s="216">
        <v>17.399999999999999</v>
      </c>
      <c r="E987" s="229" t="s">
        <v>8273</v>
      </c>
      <c r="F987" s="217">
        <v>23.5</v>
      </c>
      <c r="G987" s="215">
        <v>21</v>
      </c>
      <c r="H987" s="216">
        <v>21.2</v>
      </c>
      <c r="I987" s="216">
        <v>16.7</v>
      </c>
      <c r="J987" s="217">
        <v>17.3</v>
      </c>
    </row>
    <row r="988" spans="1:10">
      <c r="A988" s="221">
        <v>41782</v>
      </c>
      <c r="B988" s="222">
        <v>0.66666666666666663</v>
      </c>
      <c r="C988" s="215">
        <v>14.6</v>
      </c>
      <c r="D988" s="216">
        <v>17.5</v>
      </c>
      <c r="E988" s="229" t="s">
        <v>8273</v>
      </c>
      <c r="F988" s="217">
        <v>23.5</v>
      </c>
      <c r="G988" s="215">
        <v>20.8</v>
      </c>
      <c r="H988" s="216">
        <v>21.1</v>
      </c>
      <c r="I988" s="216">
        <v>17.100000000000001</v>
      </c>
      <c r="J988" s="217">
        <v>17.600000000000001</v>
      </c>
    </row>
    <row r="989" spans="1:10">
      <c r="A989" s="221">
        <v>41782</v>
      </c>
      <c r="B989" s="222">
        <v>0.83333333333333337</v>
      </c>
      <c r="C989" s="215">
        <v>14.5</v>
      </c>
      <c r="D989" s="216">
        <v>17.5</v>
      </c>
      <c r="E989" s="229" t="s">
        <v>8273</v>
      </c>
      <c r="F989" s="217">
        <v>23.5</v>
      </c>
      <c r="G989" s="215">
        <v>20.9</v>
      </c>
      <c r="H989" s="216">
        <v>21.1</v>
      </c>
      <c r="I989" s="216">
        <v>16.600000000000001</v>
      </c>
      <c r="J989" s="217">
        <v>17.100000000000001</v>
      </c>
    </row>
    <row r="990" spans="1:10">
      <c r="A990" s="221">
        <v>41783</v>
      </c>
      <c r="B990" s="222">
        <v>0</v>
      </c>
      <c r="C990" s="215">
        <v>14.4</v>
      </c>
      <c r="D990" s="216">
        <v>17.5</v>
      </c>
      <c r="E990" s="229" t="s">
        <v>8273</v>
      </c>
      <c r="F990" s="217">
        <v>23.6</v>
      </c>
      <c r="G990" s="215">
        <v>20.9</v>
      </c>
      <c r="H990" s="216">
        <v>21.1</v>
      </c>
      <c r="I990" s="216">
        <v>16</v>
      </c>
      <c r="J990" s="217">
        <v>16.5</v>
      </c>
    </row>
    <row r="991" spans="1:10">
      <c r="A991" s="221">
        <v>41783</v>
      </c>
      <c r="B991" s="222">
        <v>0.16666666666666666</v>
      </c>
      <c r="C991" s="215">
        <v>14.3</v>
      </c>
      <c r="D991" s="216">
        <v>17.5</v>
      </c>
      <c r="E991" s="229" t="s">
        <v>8273</v>
      </c>
      <c r="F991" s="217">
        <v>23.5</v>
      </c>
      <c r="G991" s="215">
        <v>20.8</v>
      </c>
      <c r="H991" s="216">
        <v>21.1</v>
      </c>
      <c r="I991" s="216">
        <v>15.1</v>
      </c>
      <c r="J991" s="217">
        <v>15.5</v>
      </c>
    </row>
    <row r="992" spans="1:10">
      <c r="A992" s="221">
        <v>41783</v>
      </c>
      <c r="B992" s="222">
        <v>0.33333333333333331</v>
      </c>
      <c r="C992" s="215">
        <v>14.3</v>
      </c>
      <c r="D992" s="216">
        <v>17.5</v>
      </c>
      <c r="E992" s="229" t="s">
        <v>8273</v>
      </c>
      <c r="F992" s="217">
        <v>23.5</v>
      </c>
      <c r="G992" s="215">
        <v>20.8</v>
      </c>
      <c r="H992" s="216">
        <v>21</v>
      </c>
      <c r="I992" s="216">
        <v>14.6</v>
      </c>
      <c r="J992" s="217">
        <v>15.1</v>
      </c>
    </row>
    <row r="993" spans="1:10">
      <c r="A993" s="221">
        <v>41783</v>
      </c>
      <c r="B993" s="222">
        <v>0.5</v>
      </c>
      <c r="C993" s="215">
        <v>14.5</v>
      </c>
      <c r="D993" s="216">
        <v>17.399999999999999</v>
      </c>
      <c r="E993" s="229" t="s">
        <v>8273</v>
      </c>
      <c r="F993" s="217">
        <v>23.5</v>
      </c>
      <c r="G993" s="215">
        <v>20.8</v>
      </c>
      <c r="H993" s="216">
        <v>21</v>
      </c>
      <c r="I993" s="216">
        <v>14.7</v>
      </c>
      <c r="J993" s="217">
        <v>15</v>
      </c>
    </row>
    <row r="994" spans="1:10">
      <c r="A994" s="221">
        <v>41783</v>
      </c>
      <c r="B994" s="222">
        <v>0.66666666666666663</v>
      </c>
      <c r="C994" s="215">
        <v>14.6</v>
      </c>
      <c r="D994" s="216">
        <v>17.3</v>
      </c>
      <c r="E994" s="229" t="s">
        <v>8273</v>
      </c>
      <c r="F994" s="217">
        <v>23.4</v>
      </c>
      <c r="G994" s="215">
        <v>20.7</v>
      </c>
      <c r="H994" s="216">
        <v>21</v>
      </c>
      <c r="I994" s="216">
        <v>16.399999999999999</v>
      </c>
      <c r="J994" s="217">
        <v>16.899999999999999</v>
      </c>
    </row>
    <row r="995" spans="1:10">
      <c r="A995" s="221">
        <v>41783</v>
      </c>
      <c r="B995" s="222">
        <v>0.83333333333333337</v>
      </c>
      <c r="C995" s="215">
        <v>14.6</v>
      </c>
      <c r="D995" s="216">
        <v>17.3</v>
      </c>
      <c r="E995" s="229" t="s">
        <v>8273</v>
      </c>
      <c r="F995" s="217">
        <v>23.4</v>
      </c>
      <c r="G995" s="215">
        <v>20.7</v>
      </c>
      <c r="H995" s="216">
        <v>20.9</v>
      </c>
      <c r="I995" s="216">
        <v>17.399999999999999</v>
      </c>
      <c r="J995" s="217">
        <v>18.100000000000001</v>
      </c>
    </row>
    <row r="996" spans="1:10">
      <c r="A996" s="221">
        <v>41784</v>
      </c>
      <c r="B996" s="222">
        <v>0</v>
      </c>
      <c r="C996" s="215">
        <v>14.5</v>
      </c>
      <c r="D996" s="216">
        <v>17.3</v>
      </c>
      <c r="E996" s="229" t="s">
        <v>8273</v>
      </c>
      <c r="F996" s="217">
        <v>23.4</v>
      </c>
      <c r="G996" s="215">
        <v>20.7</v>
      </c>
      <c r="H996" s="216">
        <v>20.9</v>
      </c>
      <c r="I996" s="216">
        <v>17.2</v>
      </c>
      <c r="J996" s="217">
        <v>17.899999999999999</v>
      </c>
    </row>
    <row r="997" spans="1:10">
      <c r="A997" s="221">
        <v>41784</v>
      </c>
      <c r="B997" s="222">
        <v>0.16666666666666666</v>
      </c>
      <c r="C997" s="215">
        <v>14.5</v>
      </c>
      <c r="D997" s="216">
        <v>17.3</v>
      </c>
      <c r="E997" s="229" t="s">
        <v>8273</v>
      </c>
      <c r="F997" s="217">
        <v>23.4</v>
      </c>
      <c r="G997" s="215">
        <v>20.6</v>
      </c>
      <c r="H997" s="216">
        <v>20.8</v>
      </c>
      <c r="I997" s="216">
        <v>16.600000000000001</v>
      </c>
      <c r="J997" s="217">
        <v>17.2</v>
      </c>
    </row>
    <row r="998" spans="1:10">
      <c r="A998" s="221">
        <v>41784</v>
      </c>
      <c r="B998" s="222">
        <v>0.33333333333333331</v>
      </c>
      <c r="C998" s="215">
        <v>14.4</v>
      </c>
      <c r="D998" s="216">
        <v>17.3</v>
      </c>
      <c r="E998" s="229" t="s">
        <v>8273</v>
      </c>
      <c r="F998" s="217">
        <v>23.4</v>
      </c>
      <c r="G998" s="215">
        <v>20.6</v>
      </c>
      <c r="H998" s="216">
        <v>20.8</v>
      </c>
      <c r="I998" s="216">
        <v>16.3</v>
      </c>
      <c r="J998" s="217">
        <v>16.8</v>
      </c>
    </row>
    <row r="999" spans="1:10">
      <c r="A999" s="221">
        <v>41784</v>
      </c>
      <c r="B999" s="222">
        <v>0.5</v>
      </c>
      <c r="C999" s="215">
        <v>14.5</v>
      </c>
      <c r="D999" s="216">
        <v>17.2</v>
      </c>
      <c r="E999" s="229" t="s">
        <v>8273</v>
      </c>
      <c r="F999" s="217">
        <v>23.4</v>
      </c>
      <c r="G999" s="215">
        <v>20.6</v>
      </c>
      <c r="H999" s="216">
        <v>20.8</v>
      </c>
      <c r="I999" s="216">
        <v>16.100000000000001</v>
      </c>
      <c r="J999" s="217">
        <v>16.600000000000001</v>
      </c>
    </row>
    <row r="1000" spans="1:10">
      <c r="A1000" s="221">
        <v>41784</v>
      </c>
      <c r="B1000" s="222">
        <v>0.66666666666666663</v>
      </c>
      <c r="C1000" s="215">
        <v>14.6</v>
      </c>
      <c r="D1000" s="216">
        <v>17.100000000000001</v>
      </c>
      <c r="E1000" s="229" t="s">
        <v>8273</v>
      </c>
      <c r="F1000" s="217">
        <v>23.3</v>
      </c>
      <c r="G1000" s="215">
        <v>20.5</v>
      </c>
      <c r="H1000" s="216">
        <v>20.7</v>
      </c>
      <c r="I1000" s="216">
        <v>17.600000000000001</v>
      </c>
      <c r="J1000" s="217">
        <v>18.2</v>
      </c>
    </row>
    <row r="1001" spans="1:10">
      <c r="A1001" s="221">
        <v>41784</v>
      </c>
      <c r="B1001" s="222">
        <v>0.83333333333333337</v>
      </c>
      <c r="C1001" s="215">
        <v>35.200000000000003</v>
      </c>
      <c r="D1001" s="216">
        <v>29.8</v>
      </c>
      <c r="E1001" s="229" t="s">
        <v>8273</v>
      </c>
      <c r="F1001" s="217">
        <v>40.9</v>
      </c>
      <c r="G1001" s="215">
        <v>20.5</v>
      </c>
      <c r="H1001" s="216">
        <v>20.7</v>
      </c>
      <c r="I1001" s="216">
        <v>18.7</v>
      </c>
      <c r="J1001" s="217">
        <v>19.399999999999999</v>
      </c>
    </row>
    <row r="1002" spans="1:10">
      <c r="A1002" s="221">
        <v>41785</v>
      </c>
      <c r="B1002" s="222">
        <v>0</v>
      </c>
      <c r="C1002" s="215">
        <v>34.5</v>
      </c>
      <c r="D1002" s="216">
        <v>31.9</v>
      </c>
      <c r="E1002" s="229" t="s">
        <v>8273</v>
      </c>
      <c r="F1002" s="217">
        <v>36.6</v>
      </c>
      <c r="G1002" s="215">
        <v>23.8</v>
      </c>
      <c r="H1002" s="216">
        <v>23.1</v>
      </c>
      <c r="I1002" s="216">
        <v>17.7</v>
      </c>
      <c r="J1002" s="217">
        <v>18</v>
      </c>
    </row>
    <row r="1003" spans="1:10">
      <c r="A1003" s="221">
        <v>41785</v>
      </c>
      <c r="B1003" s="222">
        <v>0.16666666666666666</v>
      </c>
      <c r="C1003" s="215">
        <v>29.1</v>
      </c>
      <c r="D1003" s="216">
        <v>31.9</v>
      </c>
      <c r="E1003" s="229" t="s">
        <v>8273</v>
      </c>
      <c r="F1003" s="217">
        <v>33.200000000000003</v>
      </c>
      <c r="G1003" s="215">
        <v>24.1</v>
      </c>
      <c r="H1003" s="216">
        <v>23.2</v>
      </c>
      <c r="I1003" s="216">
        <v>16.899999999999999</v>
      </c>
      <c r="J1003" s="217">
        <v>17.3</v>
      </c>
    </row>
    <row r="1004" spans="1:10">
      <c r="A1004" s="221">
        <v>41785</v>
      </c>
      <c r="B1004" s="222">
        <v>0.33333333333333331</v>
      </c>
      <c r="C1004" s="215">
        <v>27.5</v>
      </c>
      <c r="D1004" s="216">
        <v>33.5</v>
      </c>
      <c r="E1004" s="229" t="s">
        <v>8273</v>
      </c>
      <c r="F1004" s="217">
        <v>32</v>
      </c>
      <c r="G1004" s="215">
        <v>24.1</v>
      </c>
      <c r="H1004" s="216">
        <v>23.2</v>
      </c>
      <c r="I1004" s="216">
        <v>16.600000000000001</v>
      </c>
      <c r="J1004" s="217">
        <v>17</v>
      </c>
    </row>
    <row r="1005" spans="1:10">
      <c r="A1005" s="221">
        <v>41785</v>
      </c>
      <c r="B1005" s="222">
        <v>0.5</v>
      </c>
      <c r="C1005" s="215">
        <v>37.200000000000003</v>
      </c>
      <c r="D1005" s="216">
        <v>34.299999999999997</v>
      </c>
      <c r="E1005" s="229" t="s">
        <v>8273</v>
      </c>
      <c r="F1005" s="217">
        <v>38.9</v>
      </c>
      <c r="G1005" s="215">
        <v>24.3</v>
      </c>
      <c r="H1005" s="216">
        <v>23.5</v>
      </c>
      <c r="I1005" s="216">
        <v>15.8</v>
      </c>
      <c r="J1005" s="217">
        <v>16.2</v>
      </c>
    </row>
    <row r="1006" spans="1:10">
      <c r="A1006" s="221">
        <v>41785</v>
      </c>
      <c r="B1006" s="222">
        <v>0.66666666666666663</v>
      </c>
      <c r="C1006" s="215">
        <v>37.700000000000003</v>
      </c>
      <c r="D1006" s="216">
        <v>34.200000000000003</v>
      </c>
      <c r="E1006" s="229" t="s">
        <v>8273</v>
      </c>
      <c r="F1006" s="217">
        <v>34.5</v>
      </c>
      <c r="G1006" s="215">
        <v>24.7</v>
      </c>
      <c r="H1006" s="216">
        <v>23.8</v>
      </c>
      <c r="I1006" s="216">
        <v>15.7</v>
      </c>
      <c r="J1006" s="217">
        <v>16.100000000000001</v>
      </c>
    </row>
    <row r="1007" spans="1:10">
      <c r="A1007" s="221">
        <v>41785</v>
      </c>
      <c r="B1007" s="222">
        <v>0.83333333333333337</v>
      </c>
      <c r="C1007" s="215">
        <v>37.299999999999997</v>
      </c>
      <c r="D1007" s="216">
        <v>33.799999999999997</v>
      </c>
      <c r="E1007" s="229" t="s">
        <v>8273</v>
      </c>
      <c r="F1007" s="217">
        <v>32.1</v>
      </c>
      <c r="G1007" s="215">
        <v>25</v>
      </c>
      <c r="H1007" s="216">
        <v>24.1</v>
      </c>
      <c r="I1007" s="216">
        <v>15.9</v>
      </c>
      <c r="J1007" s="217">
        <v>16.3</v>
      </c>
    </row>
    <row r="1008" spans="1:10">
      <c r="A1008" s="221">
        <v>41786</v>
      </c>
      <c r="B1008" s="222">
        <v>0</v>
      </c>
      <c r="C1008" s="215">
        <v>30.5</v>
      </c>
      <c r="D1008" s="216">
        <v>33.5</v>
      </c>
      <c r="E1008" s="229" t="s">
        <v>8273</v>
      </c>
      <c r="F1008" s="217">
        <v>31.4</v>
      </c>
      <c r="G1008" s="215">
        <v>25.2</v>
      </c>
      <c r="H1008" s="216">
        <v>24.4</v>
      </c>
      <c r="I1008" s="216">
        <v>15.6</v>
      </c>
      <c r="J1008" s="217">
        <v>16.100000000000001</v>
      </c>
    </row>
    <row r="1009" spans="1:10">
      <c r="A1009" s="221">
        <v>41786</v>
      </c>
      <c r="B1009" s="222">
        <v>0.16666666666666666</v>
      </c>
      <c r="C1009" s="215">
        <v>29.1</v>
      </c>
      <c r="D1009" s="216">
        <v>33.1</v>
      </c>
      <c r="E1009" s="229" t="s">
        <v>8273</v>
      </c>
      <c r="F1009" s="217">
        <v>30.8</v>
      </c>
      <c r="G1009" s="215">
        <v>25.3</v>
      </c>
      <c r="H1009" s="216">
        <v>24.6</v>
      </c>
      <c r="I1009" s="216">
        <v>15</v>
      </c>
      <c r="J1009" s="217">
        <v>15.4</v>
      </c>
    </row>
    <row r="1010" spans="1:10">
      <c r="A1010" s="221">
        <v>41786</v>
      </c>
      <c r="B1010" s="222">
        <v>0.33333333333333331</v>
      </c>
      <c r="C1010" s="215">
        <v>28</v>
      </c>
      <c r="D1010" s="216">
        <v>32.700000000000003</v>
      </c>
      <c r="E1010" s="229" t="s">
        <v>8273</v>
      </c>
      <c r="F1010" s="217">
        <v>30.4</v>
      </c>
      <c r="G1010" s="215">
        <v>25.3</v>
      </c>
      <c r="H1010" s="216">
        <v>24.7</v>
      </c>
      <c r="I1010" s="216">
        <v>14.7</v>
      </c>
      <c r="J1010" s="217">
        <v>15.1</v>
      </c>
    </row>
    <row r="1011" spans="1:10">
      <c r="A1011" s="221">
        <v>41786</v>
      </c>
      <c r="B1011" s="222">
        <v>0.5</v>
      </c>
      <c r="C1011" s="215">
        <v>26.9</v>
      </c>
      <c r="D1011" s="216">
        <v>31.9</v>
      </c>
      <c r="E1011" s="229" t="s">
        <v>8273</v>
      </c>
      <c r="F1011" s="217">
        <v>29.9</v>
      </c>
      <c r="G1011" s="215">
        <v>25.4</v>
      </c>
      <c r="H1011" s="216">
        <v>24.8</v>
      </c>
      <c r="I1011" s="216">
        <v>14.7</v>
      </c>
      <c r="J1011" s="217">
        <v>15</v>
      </c>
    </row>
    <row r="1012" spans="1:10">
      <c r="A1012" s="221">
        <v>41786</v>
      </c>
      <c r="B1012" s="222">
        <v>0.66666666666666663</v>
      </c>
      <c r="C1012" s="215">
        <v>26.1</v>
      </c>
      <c r="D1012" s="216">
        <v>31.2</v>
      </c>
      <c r="E1012" s="229" t="s">
        <v>8273</v>
      </c>
      <c r="F1012" s="217">
        <v>29.4</v>
      </c>
      <c r="G1012" s="215">
        <v>25.4</v>
      </c>
      <c r="H1012" s="216">
        <v>24.8</v>
      </c>
      <c r="I1012" s="216">
        <v>16</v>
      </c>
      <c r="J1012" s="217">
        <v>16.2</v>
      </c>
    </row>
    <row r="1013" spans="1:10">
      <c r="A1013" s="221">
        <v>41786</v>
      </c>
      <c r="B1013" s="222">
        <v>0.83333333333333337</v>
      </c>
      <c r="C1013" s="215">
        <v>25.4</v>
      </c>
      <c r="D1013" s="216">
        <v>30.5</v>
      </c>
      <c r="E1013" s="229" t="s">
        <v>8273</v>
      </c>
      <c r="F1013" s="217">
        <v>29.1</v>
      </c>
      <c r="G1013" s="215">
        <v>25.3</v>
      </c>
      <c r="H1013" s="216">
        <v>24.8</v>
      </c>
      <c r="I1013" s="216">
        <v>16.899999999999999</v>
      </c>
      <c r="J1013" s="217">
        <v>17.3</v>
      </c>
    </row>
    <row r="1014" spans="1:10">
      <c r="A1014" s="221">
        <v>41787</v>
      </c>
      <c r="B1014" s="222">
        <v>0</v>
      </c>
      <c r="C1014" s="215">
        <v>24.9</v>
      </c>
      <c r="D1014" s="216">
        <v>30</v>
      </c>
      <c r="E1014" s="229" t="s">
        <v>8273</v>
      </c>
      <c r="F1014" s="217">
        <v>28.9</v>
      </c>
      <c r="G1014" s="215">
        <v>25.3</v>
      </c>
      <c r="H1014" s="216">
        <v>24.9</v>
      </c>
      <c r="I1014" s="216">
        <v>16.600000000000001</v>
      </c>
      <c r="J1014" s="217">
        <v>17.2</v>
      </c>
    </row>
    <row r="1015" spans="1:10">
      <c r="A1015" s="221">
        <v>41787</v>
      </c>
      <c r="B1015" s="222">
        <v>0.16666666666666666</v>
      </c>
      <c r="C1015" s="215">
        <v>24.4</v>
      </c>
      <c r="D1015" s="216">
        <v>29.6</v>
      </c>
      <c r="E1015" s="229" t="s">
        <v>8273</v>
      </c>
      <c r="F1015" s="217">
        <v>28.7</v>
      </c>
      <c r="G1015" s="215">
        <v>25.2</v>
      </c>
      <c r="H1015" s="216">
        <v>25</v>
      </c>
      <c r="I1015" s="216">
        <v>15.7</v>
      </c>
      <c r="J1015" s="217">
        <v>16.3</v>
      </c>
    </row>
    <row r="1016" spans="1:10">
      <c r="A1016" s="221">
        <v>41787</v>
      </c>
      <c r="B1016" s="222">
        <v>0.33333333333333331</v>
      </c>
      <c r="C1016" s="215">
        <v>24.2</v>
      </c>
      <c r="D1016" s="216">
        <v>29.2</v>
      </c>
      <c r="E1016" s="229" t="s">
        <v>8273</v>
      </c>
      <c r="F1016" s="217">
        <v>28.6</v>
      </c>
      <c r="G1016" s="215">
        <v>25.2</v>
      </c>
      <c r="H1016" s="216">
        <v>25</v>
      </c>
      <c r="I1016" s="216">
        <v>15.2</v>
      </c>
      <c r="J1016" s="217">
        <v>15.8</v>
      </c>
    </row>
    <row r="1017" spans="1:10">
      <c r="A1017" s="221">
        <v>41787</v>
      </c>
      <c r="B1017" s="222">
        <v>0.5</v>
      </c>
      <c r="C1017" s="215">
        <v>23.7</v>
      </c>
      <c r="D1017" s="216">
        <v>28.6</v>
      </c>
      <c r="E1017" s="229" t="s">
        <v>8273</v>
      </c>
      <c r="F1017" s="217">
        <v>28.4</v>
      </c>
      <c r="G1017" s="215">
        <v>25.2</v>
      </c>
      <c r="H1017" s="216">
        <v>25</v>
      </c>
      <c r="I1017" s="216">
        <v>14.8</v>
      </c>
      <c r="J1017" s="217">
        <v>15.4</v>
      </c>
    </row>
    <row r="1018" spans="1:10">
      <c r="A1018" s="221">
        <v>41787</v>
      </c>
      <c r="B1018" s="222">
        <v>0.66666666666666663</v>
      </c>
      <c r="C1018" s="215">
        <v>23.3</v>
      </c>
      <c r="D1018" s="216">
        <v>28.2</v>
      </c>
      <c r="E1018" s="229" t="s">
        <v>8273</v>
      </c>
      <c r="F1018" s="217">
        <v>28.1</v>
      </c>
      <c r="G1018" s="215">
        <v>25.1</v>
      </c>
      <c r="H1018" s="216">
        <v>25</v>
      </c>
      <c r="I1018" s="216">
        <v>16.399999999999999</v>
      </c>
      <c r="J1018" s="217">
        <v>16.8</v>
      </c>
    </row>
    <row r="1019" spans="1:10">
      <c r="A1019" s="221">
        <v>41787</v>
      </c>
      <c r="B1019" s="222">
        <v>0.83333333333333337</v>
      </c>
      <c r="C1019" s="215">
        <v>23.1</v>
      </c>
      <c r="D1019" s="216">
        <v>28.2</v>
      </c>
      <c r="E1019" s="229" t="s">
        <v>8273</v>
      </c>
      <c r="F1019" s="217">
        <v>27.9</v>
      </c>
      <c r="G1019" s="215">
        <v>25.1</v>
      </c>
      <c r="H1019" s="216">
        <v>25.1</v>
      </c>
      <c r="I1019" s="216">
        <v>16.899999999999999</v>
      </c>
      <c r="J1019" s="217">
        <v>17.3</v>
      </c>
    </row>
    <row r="1020" spans="1:10">
      <c r="A1020" s="221">
        <v>41788</v>
      </c>
      <c r="B1020" s="222">
        <v>0</v>
      </c>
      <c r="C1020" s="215">
        <v>22.9</v>
      </c>
      <c r="D1020" s="216">
        <v>27.8</v>
      </c>
      <c r="E1020" s="229" t="s">
        <v>8273</v>
      </c>
      <c r="F1020" s="217">
        <v>27.9</v>
      </c>
      <c r="G1020" s="215">
        <v>25</v>
      </c>
      <c r="H1020" s="216">
        <v>25.1</v>
      </c>
      <c r="I1020" s="216">
        <v>16.3</v>
      </c>
      <c r="J1020" s="217">
        <v>16.600000000000001</v>
      </c>
    </row>
    <row r="1021" spans="1:10">
      <c r="A1021" s="221">
        <v>41788</v>
      </c>
      <c r="B1021" s="222">
        <v>0.16666666666666666</v>
      </c>
      <c r="C1021" s="215">
        <v>22.8</v>
      </c>
      <c r="D1021" s="216">
        <v>27.5</v>
      </c>
      <c r="E1021" s="229" t="s">
        <v>8273</v>
      </c>
      <c r="F1021" s="217">
        <v>27.8</v>
      </c>
      <c r="G1021" s="215">
        <v>25</v>
      </c>
      <c r="H1021" s="216">
        <v>25.1</v>
      </c>
      <c r="I1021" s="216">
        <v>15.6</v>
      </c>
      <c r="J1021" s="217">
        <v>15.9</v>
      </c>
    </row>
    <row r="1022" spans="1:10">
      <c r="A1022" s="221">
        <v>41788</v>
      </c>
      <c r="B1022" s="222">
        <v>0.33333333333333331</v>
      </c>
      <c r="C1022" s="215">
        <v>22.6</v>
      </c>
      <c r="D1022" s="216">
        <v>27.4</v>
      </c>
      <c r="E1022" s="229" t="s">
        <v>8273</v>
      </c>
      <c r="F1022" s="217">
        <v>27.6</v>
      </c>
      <c r="G1022" s="215">
        <v>24.9</v>
      </c>
      <c r="H1022" s="216">
        <v>25.1</v>
      </c>
      <c r="I1022" s="216">
        <v>15.4</v>
      </c>
      <c r="J1022" s="217">
        <v>15.7</v>
      </c>
    </row>
    <row r="1023" spans="1:10">
      <c r="A1023" s="221">
        <v>41788</v>
      </c>
      <c r="B1023" s="222">
        <v>0.5</v>
      </c>
      <c r="C1023" s="215">
        <v>22.4</v>
      </c>
      <c r="D1023" s="216">
        <v>27.1</v>
      </c>
      <c r="E1023" s="229" t="s">
        <v>8273</v>
      </c>
      <c r="F1023" s="217">
        <v>27.4</v>
      </c>
      <c r="G1023" s="215">
        <v>24.9</v>
      </c>
      <c r="H1023" s="216">
        <v>25.2</v>
      </c>
      <c r="I1023" s="216">
        <v>15.1</v>
      </c>
      <c r="J1023" s="217">
        <v>15.4</v>
      </c>
    </row>
    <row r="1024" spans="1:10">
      <c r="A1024" s="221">
        <v>41788</v>
      </c>
      <c r="B1024" s="222">
        <v>0.66666666666666663</v>
      </c>
      <c r="C1024" s="215">
        <v>22.1</v>
      </c>
      <c r="D1024" s="216">
        <v>26.9</v>
      </c>
      <c r="E1024" s="229" t="s">
        <v>8273</v>
      </c>
      <c r="F1024" s="217">
        <v>27.2</v>
      </c>
      <c r="G1024" s="215">
        <v>24.8</v>
      </c>
      <c r="H1024" s="216">
        <v>25.2</v>
      </c>
      <c r="I1024" s="216">
        <v>15.9</v>
      </c>
      <c r="J1024" s="217">
        <v>16.3</v>
      </c>
    </row>
    <row r="1025" spans="1:10">
      <c r="A1025" s="221">
        <v>41788</v>
      </c>
      <c r="B1025" s="222">
        <v>0.83333333333333337</v>
      </c>
      <c r="C1025" s="215">
        <v>22</v>
      </c>
      <c r="D1025" s="216">
        <v>26.7</v>
      </c>
      <c r="E1025" s="229" t="s">
        <v>8273</v>
      </c>
      <c r="F1025" s="217">
        <v>27</v>
      </c>
      <c r="G1025" s="215">
        <v>24.8</v>
      </c>
      <c r="H1025" s="216">
        <v>25.1</v>
      </c>
      <c r="I1025" s="216">
        <v>16.8</v>
      </c>
      <c r="J1025" s="217">
        <v>17.2</v>
      </c>
    </row>
    <row r="1026" spans="1:10">
      <c r="A1026" s="221">
        <v>41789</v>
      </c>
      <c r="B1026" s="222">
        <v>0</v>
      </c>
      <c r="C1026" s="215">
        <v>21.9</v>
      </c>
      <c r="D1026" s="216">
        <v>26.6</v>
      </c>
      <c r="E1026" s="229" t="s">
        <v>8273</v>
      </c>
      <c r="F1026" s="217">
        <v>26.9</v>
      </c>
      <c r="G1026" s="215">
        <v>24.8</v>
      </c>
      <c r="H1026" s="216">
        <v>25.2</v>
      </c>
      <c r="I1026" s="216">
        <v>16.5</v>
      </c>
      <c r="J1026" s="217">
        <v>16.899999999999999</v>
      </c>
    </row>
    <row r="1027" spans="1:10">
      <c r="A1027" s="221">
        <v>41789</v>
      </c>
      <c r="B1027" s="222">
        <v>0.16666666666666666</v>
      </c>
      <c r="C1027" s="215">
        <v>21.8</v>
      </c>
      <c r="D1027" s="216">
        <v>26.5</v>
      </c>
      <c r="E1027" s="229" t="s">
        <v>8273</v>
      </c>
      <c r="F1027" s="217">
        <v>26.8</v>
      </c>
      <c r="G1027" s="215">
        <v>24.7</v>
      </c>
      <c r="H1027" s="216">
        <v>25.2</v>
      </c>
      <c r="I1027" s="216">
        <v>15.8</v>
      </c>
      <c r="J1027" s="217">
        <v>16.2</v>
      </c>
    </row>
    <row r="1028" spans="1:10">
      <c r="A1028" s="221">
        <v>41789</v>
      </c>
      <c r="B1028" s="222">
        <v>0.33333333333333331</v>
      </c>
      <c r="C1028" s="215">
        <v>21.8</v>
      </c>
      <c r="D1028" s="216">
        <v>26.4</v>
      </c>
      <c r="E1028" s="229" t="s">
        <v>8273</v>
      </c>
      <c r="F1028" s="217">
        <v>26.7</v>
      </c>
      <c r="G1028" s="215">
        <v>24.7</v>
      </c>
      <c r="H1028" s="216">
        <v>25.2</v>
      </c>
      <c r="I1028" s="216">
        <v>15.5</v>
      </c>
      <c r="J1028" s="217">
        <v>15.9</v>
      </c>
    </row>
    <row r="1029" spans="1:10">
      <c r="A1029" s="221">
        <v>41789</v>
      </c>
      <c r="B1029" s="222">
        <v>0.5</v>
      </c>
      <c r="C1029" s="215">
        <v>21.6</v>
      </c>
      <c r="D1029" s="216">
        <v>26.2</v>
      </c>
      <c r="E1029" s="229" t="s">
        <v>8273</v>
      </c>
      <c r="F1029" s="217">
        <v>26.8</v>
      </c>
      <c r="G1029" s="215">
        <v>24.6</v>
      </c>
      <c r="H1029" s="216">
        <v>25.2</v>
      </c>
      <c r="I1029" s="216">
        <v>15.4</v>
      </c>
      <c r="J1029" s="217">
        <v>15.8</v>
      </c>
    </row>
    <row r="1030" spans="1:10">
      <c r="A1030" s="221">
        <v>41789</v>
      </c>
      <c r="B1030" s="222">
        <v>0.66666666666666663</v>
      </c>
      <c r="C1030" s="215">
        <v>21.3</v>
      </c>
      <c r="D1030" s="216">
        <v>26.1</v>
      </c>
      <c r="E1030" s="229" t="s">
        <v>8273</v>
      </c>
      <c r="F1030" s="217">
        <v>26.5</v>
      </c>
      <c r="G1030" s="215">
        <v>24.6</v>
      </c>
      <c r="H1030" s="216">
        <v>25.2</v>
      </c>
      <c r="I1030" s="216">
        <v>16.100000000000001</v>
      </c>
      <c r="J1030" s="217">
        <v>16.399999999999999</v>
      </c>
    </row>
    <row r="1031" spans="1:10">
      <c r="A1031" s="221">
        <v>41789</v>
      </c>
      <c r="B1031" s="222">
        <v>0.83333333333333337</v>
      </c>
      <c r="C1031" s="215">
        <v>21.3</v>
      </c>
      <c r="D1031" s="216">
        <v>26</v>
      </c>
      <c r="E1031" s="229" t="s">
        <v>8273</v>
      </c>
      <c r="F1031" s="217">
        <v>26.4</v>
      </c>
      <c r="G1031" s="215">
        <v>24.6</v>
      </c>
      <c r="H1031" s="216">
        <v>25.2</v>
      </c>
      <c r="I1031" s="216">
        <v>16.8</v>
      </c>
      <c r="J1031" s="217">
        <v>17.2</v>
      </c>
    </row>
    <row r="1032" spans="1:10">
      <c r="A1032" s="221">
        <v>41790</v>
      </c>
      <c r="B1032" s="222">
        <v>0</v>
      </c>
      <c r="C1032" s="215">
        <v>21.2</v>
      </c>
      <c r="D1032" s="216">
        <v>25.9</v>
      </c>
      <c r="E1032" s="229" t="s">
        <v>8273</v>
      </c>
      <c r="F1032" s="217">
        <v>26.3</v>
      </c>
      <c r="G1032" s="215">
        <v>24.5</v>
      </c>
      <c r="H1032" s="216">
        <v>25.2</v>
      </c>
      <c r="I1032" s="216">
        <v>16.399999999999999</v>
      </c>
      <c r="J1032" s="217">
        <v>16.600000000000001</v>
      </c>
    </row>
    <row r="1033" spans="1:10">
      <c r="A1033" s="221">
        <v>41790</v>
      </c>
      <c r="B1033" s="222">
        <v>0.16666666666666666</v>
      </c>
      <c r="C1033" s="215">
        <v>21</v>
      </c>
      <c r="D1033" s="216">
        <v>25.8</v>
      </c>
      <c r="E1033" s="229" t="s">
        <v>8273</v>
      </c>
      <c r="F1033" s="217">
        <v>26.3</v>
      </c>
      <c r="G1033" s="215">
        <v>24.5</v>
      </c>
      <c r="H1033" s="216">
        <v>25.2</v>
      </c>
      <c r="I1033" s="216">
        <v>15.8</v>
      </c>
      <c r="J1033" s="217">
        <v>16.100000000000001</v>
      </c>
    </row>
    <row r="1034" spans="1:10">
      <c r="A1034" s="221">
        <v>41790</v>
      </c>
      <c r="B1034" s="222">
        <v>0.33333333333333331</v>
      </c>
      <c r="C1034" s="215">
        <v>20.9</v>
      </c>
      <c r="D1034" s="216">
        <v>25.7</v>
      </c>
      <c r="E1034" s="229" t="s">
        <v>8273</v>
      </c>
      <c r="F1034" s="217">
        <v>26.2</v>
      </c>
      <c r="G1034" s="215">
        <v>24.5</v>
      </c>
      <c r="H1034" s="216">
        <v>25.2</v>
      </c>
      <c r="I1034" s="216">
        <v>15.5</v>
      </c>
      <c r="J1034" s="217">
        <v>15.8</v>
      </c>
    </row>
    <row r="1035" spans="1:10">
      <c r="A1035" s="221">
        <v>41790</v>
      </c>
      <c r="B1035" s="222">
        <v>0.5</v>
      </c>
      <c r="C1035" s="215">
        <v>20.8</v>
      </c>
      <c r="D1035" s="216">
        <v>25.6</v>
      </c>
      <c r="E1035" s="229" t="s">
        <v>8273</v>
      </c>
      <c r="F1035" s="217">
        <v>26.1</v>
      </c>
      <c r="G1035" s="215">
        <v>24.5</v>
      </c>
      <c r="H1035" s="216">
        <v>25.2</v>
      </c>
      <c r="I1035" s="216">
        <v>15.2</v>
      </c>
      <c r="J1035" s="217">
        <v>15.5</v>
      </c>
    </row>
    <row r="1036" spans="1:10">
      <c r="A1036" s="221">
        <v>41790</v>
      </c>
      <c r="B1036" s="222">
        <v>0.66666666666666663</v>
      </c>
      <c r="C1036" s="215">
        <v>20.7</v>
      </c>
      <c r="D1036" s="216">
        <v>25.4</v>
      </c>
      <c r="E1036" s="229" t="s">
        <v>8273</v>
      </c>
      <c r="F1036" s="217">
        <v>26.1</v>
      </c>
      <c r="G1036" s="215">
        <v>24.4</v>
      </c>
      <c r="H1036" s="216">
        <v>25.2</v>
      </c>
      <c r="I1036" s="216">
        <v>16.100000000000001</v>
      </c>
      <c r="J1036" s="217">
        <v>16.399999999999999</v>
      </c>
    </row>
    <row r="1037" spans="1:10">
      <c r="A1037" s="221">
        <v>41790</v>
      </c>
      <c r="B1037" s="222">
        <v>0.83333333333333337</v>
      </c>
      <c r="C1037" s="215">
        <v>20.5</v>
      </c>
      <c r="D1037" s="216">
        <v>25.3</v>
      </c>
      <c r="E1037" s="229" t="s">
        <v>8273</v>
      </c>
      <c r="F1037" s="217">
        <v>25.9</v>
      </c>
      <c r="G1037" s="215">
        <v>24.4</v>
      </c>
      <c r="H1037" s="216">
        <v>25.1</v>
      </c>
      <c r="I1037" s="216">
        <v>17</v>
      </c>
      <c r="J1037" s="217">
        <v>17.3</v>
      </c>
    </row>
    <row r="1038" spans="1:10">
      <c r="A1038" s="221">
        <v>41791</v>
      </c>
      <c r="B1038" s="222">
        <v>0</v>
      </c>
      <c r="C1038" s="215">
        <v>20.3</v>
      </c>
      <c r="D1038" s="216">
        <v>25.2</v>
      </c>
      <c r="E1038" s="229" t="s">
        <v>8273</v>
      </c>
      <c r="F1038" s="217">
        <v>25.9</v>
      </c>
      <c r="G1038" s="215">
        <v>24.4</v>
      </c>
      <c r="H1038" s="216">
        <v>25.1</v>
      </c>
      <c r="I1038" s="216">
        <v>16.899999999999999</v>
      </c>
      <c r="J1038" s="217">
        <v>17.100000000000001</v>
      </c>
    </row>
    <row r="1039" spans="1:10">
      <c r="A1039" s="221">
        <v>41791</v>
      </c>
      <c r="B1039" s="222">
        <v>0.16666666666666666</v>
      </c>
      <c r="C1039" s="215">
        <v>20.2</v>
      </c>
      <c r="D1039" s="216">
        <v>25.1</v>
      </c>
      <c r="E1039" s="229" t="s">
        <v>8273</v>
      </c>
      <c r="F1039" s="217">
        <v>25.9</v>
      </c>
      <c r="G1039" s="215">
        <v>24.3</v>
      </c>
      <c r="H1039" s="216">
        <v>25.1</v>
      </c>
      <c r="I1039" s="216">
        <v>16.3</v>
      </c>
      <c r="J1039" s="217">
        <v>16.600000000000001</v>
      </c>
    </row>
    <row r="1040" spans="1:10">
      <c r="A1040" s="221">
        <v>41791</v>
      </c>
      <c r="B1040" s="222">
        <v>0.33333333333333331</v>
      </c>
      <c r="C1040" s="215">
        <v>20.2</v>
      </c>
      <c r="D1040" s="216">
        <v>25</v>
      </c>
      <c r="E1040" s="229" t="s">
        <v>8273</v>
      </c>
      <c r="F1040" s="217">
        <v>26</v>
      </c>
      <c r="G1040" s="215">
        <v>24.3</v>
      </c>
      <c r="H1040" s="216">
        <v>25.1</v>
      </c>
      <c r="I1040" s="216">
        <v>16</v>
      </c>
      <c r="J1040" s="217">
        <v>16.3</v>
      </c>
    </row>
    <row r="1041" spans="1:10">
      <c r="A1041" s="221">
        <v>41791</v>
      </c>
      <c r="B1041" s="222">
        <v>0.5</v>
      </c>
      <c r="C1041" s="215">
        <v>20</v>
      </c>
      <c r="D1041" s="216">
        <v>24.9</v>
      </c>
      <c r="E1041" s="229" t="s">
        <v>8273</v>
      </c>
      <c r="F1041" s="217">
        <v>26</v>
      </c>
      <c r="G1041" s="215">
        <v>24.3</v>
      </c>
      <c r="H1041" s="216">
        <v>25.1</v>
      </c>
      <c r="I1041" s="216">
        <v>16</v>
      </c>
      <c r="J1041" s="217">
        <v>16.2</v>
      </c>
    </row>
    <row r="1042" spans="1:10">
      <c r="A1042" s="221">
        <v>41791</v>
      </c>
      <c r="B1042" s="222">
        <v>0.66666666666666663</v>
      </c>
      <c r="C1042" s="215">
        <v>20</v>
      </c>
      <c r="D1042" s="216">
        <v>24.7</v>
      </c>
      <c r="E1042" s="229" t="s">
        <v>8273</v>
      </c>
      <c r="F1042" s="217">
        <v>25.8</v>
      </c>
      <c r="G1042" s="215">
        <v>24.2</v>
      </c>
      <c r="H1042" s="216">
        <v>25.1</v>
      </c>
      <c r="I1042" s="216">
        <v>17.399999999999999</v>
      </c>
      <c r="J1042" s="217">
        <v>17.5</v>
      </c>
    </row>
    <row r="1043" spans="1:10">
      <c r="A1043" s="221">
        <v>41791</v>
      </c>
      <c r="B1043" s="222">
        <v>0.83333333333333337</v>
      </c>
      <c r="C1043" s="215">
        <v>19.7</v>
      </c>
      <c r="D1043" s="216">
        <v>24.6</v>
      </c>
      <c r="E1043" s="229" t="s">
        <v>8273</v>
      </c>
      <c r="F1043" s="217">
        <v>25.6</v>
      </c>
      <c r="G1043" s="215">
        <v>24.2</v>
      </c>
      <c r="H1043" s="216">
        <v>25</v>
      </c>
      <c r="I1043" s="216">
        <v>18.5</v>
      </c>
      <c r="J1043" s="217">
        <v>18.7</v>
      </c>
    </row>
    <row r="1044" spans="1:10">
      <c r="A1044" s="221">
        <v>41792</v>
      </c>
      <c r="B1044" s="222">
        <v>0</v>
      </c>
      <c r="C1044" s="215">
        <v>19.600000000000001</v>
      </c>
      <c r="D1044" s="216">
        <v>24.5</v>
      </c>
      <c r="E1044" s="229" t="s">
        <v>8273</v>
      </c>
      <c r="F1044" s="217">
        <v>25.6</v>
      </c>
      <c r="G1044" s="215">
        <v>24.2</v>
      </c>
      <c r="H1044" s="216">
        <v>25</v>
      </c>
      <c r="I1044" s="216">
        <v>18</v>
      </c>
      <c r="J1044" s="217">
        <v>18.5</v>
      </c>
    </row>
    <row r="1045" spans="1:10">
      <c r="A1045" s="221">
        <v>41792</v>
      </c>
      <c r="B1045" s="222">
        <v>0.16666666666666666</v>
      </c>
      <c r="C1045" s="215">
        <v>19.5</v>
      </c>
      <c r="D1045" s="216">
        <v>24.5</v>
      </c>
      <c r="E1045" s="229" t="s">
        <v>8273</v>
      </c>
      <c r="F1045" s="217">
        <v>25.6</v>
      </c>
      <c r="G1045" s="215">
        <v>24.2</v>
      </c>
      <c r="H1045" s="216">
        <v>25</v>
      </c>
      <c r="I1045" s="216">
        <v>17.100000000000001</v>
      </c>
      <c r="J1045" s="217">
        <v>17.600000000000001</v>
      </c>
    </row>
    <row r="1046" spans="1:10">
      <c r="A1046" s="221">
        <v>41792</v>
      </c>
      <c r="B1046" s="222">
        <v>0.33333333333333331</v>
      </c>
      <c r="C1046" s="215">
        <v>19.399999999999999</v>
      </c>
      <c r="D1046" s="216">
        <v>24.4</v>
      </c>
      <c r="E1046" s="229" t="s">
        <v>8273</v>
      </c>
      <c r="F1046" s="217">
        <v>25.6</v>
      </c>
      <c r="G1046" s="215">
        <v>24.1</v>
      </c>
      <c r="H1046" s="216">
        <v>25</v>
      </c>
      <c r="I1046" s="216">
        <v>16.7</v>
      </c>
      <c r="J1046" s="217">
        <v>17.100000000000001</v>
      </c>
    </row>
    <row r="1047" spans="1:10">
      <c r="A1047" s="221">
        <v>41792</v>
      </c>
      <c r="B1047" s="222">
        <v>0.5</v>
      </c>
      <c r="C1047" s="215">
        <v>19.100000000000001</v>
      </c>
      <c r="D1047" s="216">
        <v>24.2</v>
      </c>
      <c r="E1047" s="229" t="s">
        <v>8273</v>
      </c>
      <c r="F1047" s="217">
        <v>25.5</v>
      </c>
      <c r="G1047" s="215">
        <v>24.1</v>
      </c>
      <c r="H1047" s="216">
        <v>25</v>
      </c>
      <c r="I1047" s="216">
        <v>16.2</v>
      </c>
      <c r="J1047" s="217">
        <v>16.600000000000001</v>
      </c>
    </row>
    <row r="1048" spans="1:10">
      <c r="A1048" s="221">
        <v>41792</v>
      </c>
      <c r="B1048" s="222">
        <v>0.66666666666666663</v>
      </c>
      <c r="C1048" s="215">
        <v>19.2</v>
      </c>
      <c r="D1048" s="216">
        <v>24</v>
      </c>
      <c r="E1048" s="229" t="s">
        <v>8273</v>
      </c>
      <c r="F1048" s="217">
        <v>25.5</v>
      </c>
      <c r="G1048" s="215">
        <v>24.1</v>
      </c>
      <c r="H1048" s="216">
        <v>25</v>
      </c>
      <c r="I1048" s="216">
        <v>17.7</v>
      </c>
      <c r="J1048" s="217">
        <v>18</v>
      </c>
    </row>
    <row r="1049" spans="1:10">
      <c r="A1049" s="221">
        <v>41792</v>
      </c>
      <c r="B1049" s="222">
        <v>0.83333333333333337</v>
      </c>
      <c r="C1049" s="215">
        <v>19</v>
      </c>
      <c r="D1049" s="216">
        <v>23.9</v>
      </c>
      <c r="E1049" s="229" t="s">
        <v>8273</v>
      </c>
      <c r="F1049" s="217">
        <v>25.5</v>
      </c>
      <c r="G1049" s="215">
        <v>24</v>
      </c>
      <c r="H1049" s="216">
        <v>24.9</v>
      </c>
      <c r="I1049" s="216">
        <v>18.899999999999999</v>
      </c>
      <c r="J1049" s="217">
        <v>19.3</v>
      </c>
    </row>
    <row r="1050" spans="1:10">
      <c r="A1050" s="221">
        <v>41793</v>
      </c>
      <c r="B1050" s="222">
        <v>0</v>
      </c>
      <c r="C1050" s="215">
        <v>18.8</v>
      </c>
      <c r="D1050" s="216">
        <v>23.8</v>
      </c>
      <c r="E1050" s="229" t="s">
        <v>8273</v>
      </c>
      <c r="F1050" s="217">
        <v>25.4</v>
      </c>
      <c r="G1050" s="215">
        <v>24</v>
      </c>
      <c r="H1050" s="216">
        <v>24.9</v>
      </c>
      <c r="I1050" s="216">
        <v>18.5</v>
      </c>
      <c r="J1050" s="217">
        <v>19.100000000000001</v>
      </c>
    </row>
    <row r="1051" spans="1:10">
      <c r="A1051" s="221">
        <v>41793</v>
      </c>
      <c r="B1051" s="222">
        <v>0.16666666666666666</v>
      </c>
      <c r="C1051" s="215">
        <v>18.8</v>
      </c>
      <c r="D1051" s="216">
        <v>23.8</v>
      </c>
      <c r="E1051" s="229" t="s">
        <v>8273</v>
      </c>
      <c r="F1051" s="217">
        <v>25.4</v>
      </c>
      <c r="G1051" s="215">
        <v>24</v>
      </c>
      <c r="H1051" s="216">
        <v>24.9</v>
      </c>
      <c r="I1051" s="216">
        <v>17.7</v>
      </c>
      <c r="J1051" s="217">
        <v>18.3</v>
      </c>
    </row>
    <row r="1052" spans="1:10">
      <c r="A1052" s="221">
        <v>41793</v>
      </c>
      <c r="B1052" s="222">
        <v>0.33333333333333331</v>
      </c>
      <c r="C1052" s="215">
        <v>18.600000000000001</v>
      </c>
      <c r="D1052" s="216">
        <v>23.7</v>
      </c>
      <c r="E1052" s="229" t="s">
        <v>8273</v>
      </c>
      <c r="F1052" s="217">
        <v>25.3</v>
      </c>
      <c r="G1052" s="215">
        <v>24</v>
      </c>
      <c r="H1052" s="216">
        <v>24.9</v>
      </c>
      <c r="I1052" s="216">
        <v>17.3</v>
      </c>
      <c r="J1052" s="217">
        <v>17.899999999999999</v>
      </c>
    </row>
    <row r="1053" spans="1:10">
      <c r="A1053" s="221">
        <v>41793</v>
      </c>
      <c r="B1053" s="222">
        <v>0.5</v>
      </c>
      <c r="C1053" s="215">
        <v>18.600000000000001</v>
      </c>
      <c r="D1053" s="216">
        <v>23.5</v>
      </c>
      <c r="E1053" s="229" t="s">
        <v>8273</v>
      </c>
      <c r="F1053" s="217">
        <v>25.3</v>
      </c>
      <c r="G1053" s="215">
        <v>23.9</v>
      </c>
      <c r="H1053" s="216">
        <v>24.9</v>
      </c>
      <c r="I1053" s="216">
        <v>17.100000000000001</v>
      </c>
      <c r="J1053" s="217">
        <v>17.5</v>
      </c>
    </row>
    <row r="1054" spans="1:10">
      <c r="A1054" s="221">
        <v>41793</v>
      </c>
      <c r="B1054" s="222">
        <v>0.66666666666666663</v>
      </c>
      <c r="C1054" s="215">
        <v>18.5</v>
      </c>
      <c r="D1054" s="216">
        <v>23.3</v>
      </c>
      <c r="E1054" s="229" t="s">
        <v>8273</v>
      </c>
      <c r="F1054" s="217">
        <v>25.2</v>
      </c>
      <c r="G1054" s="215">
        <v>23.9</v>
      </c>
      <c r="H1054" s="216">
        <v>24.8</v>
      </c>
      <c r="I1054" s="216">
        <v>18.399999999999999</v>
      </c>
      <c r="J1054" s="217">
        <v>18.7</v>
      </c>
    </row>
    <row r="1055" spans="1:10">
      <c r="A1055" s="221">
        <v>41793</v>
      </c>
      <c r="B1055" s="222">
        <v>0.83333333333333337</v>
      </c>
      <c r="C1055" s="215">
        <v>18.3</v>
      </c>
      <c r="D1055" s="216">
        <v>23.2</v>
      </c>
      <c r="E1055" s="229" t="s">
        <v>8273</v>
      </c>
      <c r="F1055" s="217">
        <v>25.2</v>
      </c>
      <c r="G1055" s="215">
        <v>23.8</v>
      </c>
      <c r="H1055" s="216">
        <v>24.8</v>
      </c>
      <c r="I1055" s="216">
        <v>19.100000000000001</v>
      </c>
      <c r="J1055" s="217">
        <v>19.5</v>
      </c>
    </row>
    <row r="1056" spans="1:10">
      <c r="A1056" s="221">
        <v>41794</v>
      </c>
      <c r="B1056" s="222">
        <v>0</v>
      </c>
      <c r="C1056" s="215">
        <v>18.2</v>
      </c>
      <c r="D1056" s="216">
        <v>23.2</v>
      </c>
      <c r="E1056" s="229" t="s">
        <v>8273</v>
      </c>
      <c r="F1056" s="217">
        <v>25.1</v>
      </c>
      <c r="G1056" s="215">
        <v>23.8</v>
      </c>
      <c r="H1056" s="216">
        <v>24.8</v>
      </c>
      <c r="I1056" s="216">
        <v>18.7</v>
      </c>
      <c r="J1056" s="217">
        <v>19.2</v>
      </c>
    </row>
    <row r="1057" spans="1:10">
      <c r="A1057" s="221">
        <v>41794</v>
      </c>
      <c r="B1057" s="222">
        <v>0.16666666666666666</v>
      </c>
      <c r="C1057" s="215">
        <v>18.3</v>
      </c>
      <c r="D1057" s="216">
        <v>23.1</v>
      </c>
      <c r="E1057" s="229" t="s">
        <v>8273</v>
      </c>
      <c r="F1057" s="217">
        <v>25.2</v>
      </c>
      <c r="G1057" s="215">
        <v>23.8</v>
      </c>
      <c r="H1057" s="216">
        <v>24.8</v>
      </c>
      <c r="I1057" s="216">
        <v>17.7</v>
      </c>
      <c r="J1057" s="217">
        <v>18.3</v>
      </c>
    </row>
    <row r="1058" spans="1:10">
      <c r="A1058" s="221">
        <v>41794</v>
      </c>
      <c r="B1058" s="222">
        <v>0.33333333333333331</v>
      </c>
      <c r="C1058" s="215">
        <v>18.100000000000001</v>
      </c>
      <c r="D1058" s="216">
        <v>23</v>
      </c>
      <c r="E1058" s="229" t="s">
        <v>8273</v>
      </c>
      <c r="F1058" s="217">
        <v>25.2</v>
      </c>
      <c r="G1058" s="215">
        <v>23.8</v>
      </c>
      <c r="H1058" s="216">
        <v>24.8</v>
      </c>
      <c r="I1058" s="216">
        <v>17.399999999999999</v>
      </c>
      <c r="J1058" s="217">
        <v>18</v>
      </c>
    </row>
    <row r="1059" spans="1:10">
      <c r="A1059" s="221">
        <v>41794</v>
      </c>
      <c r="B1059" s="222">
        <v>0.5</v>
      </c>
      <c r="C1059" s="215">
        <v>18.100000000000001</v>
      </c>
      <c r="D1059" s="216">
        <v>22.9</v>
      </c>
      <c r="E1059" s="229" t="s">
        <v>8273</v>
      </c>
      <c r="F1059" s="217">
        <v>25.1</v>
      </c>
      <c r="G1059" s="215">
        <v>23.7</v>
      </c>
      <c r="H1059" s="216">
        <v>24.8</v>
      </c>
      <c r="I1059" s="216">
        <v>16.8</v>
      </c>
      <c r="J1059" s="217">
        <v>17.3</v>
      </c>
    </row>
    <row r="1060" spans="1:10">
      <c r="A1060" s="221">
        <v>41794</v>
      </c>
      <c r="B1060" s="222">
        <v>0.66666666666666663</v>
      </c>
      <c r="C1060" s="215">
        <v>18</v>
      </c>
      <c r="D1060" s="216">
        <v>22.8</v>
      </c>
      <c r="E1060" s="229" t="s">
        <v>8273</v>
      </c>
      <c r="F1060" s="217">
        <v>25.3</v>
      </c>
      <c r="G1060" s="215">
        <v>23.7</v>
      </c>
      <c r="H1060" s="216">
        <v>24.8</v>
      </c>
      <c r="I1060" s="216">
        <v>16.8</v>
      </c>
      <c r="J1060" s="217">
        <v>17.3</v>
      </c>
    </row>
    <row r="1061" spans="1:10">
      <c r="A1061" s="221">
        <v>41794</v>
      </c>
      <c r="B1061" s="222">
        <v>0.83333333333333337</v>
      </c>
      <c r="C1061" s="215">
        <v>17.899999999999999</v>
      </c>
      <c r="D1061" s="216">
        <v>22.6</v>
      </c>
      <c r="E1061" s="229" t="s">
        <v>8273</v>
      </c>
      <c r="F1061" s="217">
        <v>25</v>
      </c>
      <c r="G1061" s="215">
        <v>23.6</v>
      </c>
      <c r="H1061" s="216">
        <v>24.7</v>
      </c>
      <c r="I1061" s="216">
        <v>17.3</v>
      </c>
      <c r="J1061" s="217">
        <v>17.8</v>
      </c>
    </row>
    <row r="1062" spans="1:10">
      <c r="A1062" s="221">
        <v>41795</v>
      </c>
      <c r="B1062" s="222">
        <v>0</v>
      </c>
      <c r="C1062" s="215">
        <v>17.600000000000001</v>
      </c>
      <c r="D1062" s="216">
        <v>22.5</v>
      </c>
      <c r="E1062" s="229" t="s">
        <v>8273</v>
      </c>
      <c r="F1062" s="217">
        <v>25</v>
      </c>
      <c r="G1062" s="215">
        <v>23.6</v>
      </c>
      <c r="H1062" s="216">
        <v>24.7</v>
      </c>
      <c r="I1062" s="216">
        <v>16.8</v>
      </c>
      <c r="J1062" s="217">
        <v>17.399999999999999</v>
      </c>
    </row>
    <row r="1063" spans="1:10">
      <c r="A1063" s="221">
        <v>41795</v>
      </c>
      <c r="B1063" s="222">
        <v>0.16666666666666666</v>
      </c>
      <c r="C1063" s="215">
        <v>17.600000000000001</v>
      </c>
      <c r="D1063" s="216">
        <v>22.5</v>
      </c>
      <c r="E1063" s="229" t="s">
        <v>8273</v>
      </c>
      <c r="F1063" s="217">
        <v>25</v>
      </c>
      <c r="G1063" s="215">
        <v>23.6</v>
      </c>
      <c r="H1063" s="216">
        <v>24.7</v>
      </c>
      <c r="I1063" s="216">
        <v>15.9</v>
      </c>
      <c r="J1063" s="217">
        <v>16.5</v>
      </c>
    </row>
    <row r="1064" spans="1:10">
      <c r="A1064" s="221">
        <v>41795</v>
      </c>
      <c r="B1064" s="222">
        <v>0.33333333333333331</v>
      </c>
      <c r="C1064" s="215">
        <v>17.600000000000001</v>
      </c>
      <c r="D1064" s="216">
        <v>22.4</v>
      </c>
      <c r="E1064" s="229" t="s">
        <v>8273</v>
      </c>
      <c r="F1064" s="217">
        <v>24.9</v>
      </c>
      <c r="G1064" s="215">
        <v>23.6</v>
      </c>
      <c r="H1064" s="216">
        <v>24.7</v>
      </c>
      <c r="I1064" s="216">
        <v>15.4</v>
      </c>
      <c r="J1064" s="217">
        <v>16</v>
      </c>
    </row>
    <row r="1065" spans="1:10">
      <c r="A1065" s="221">
        <v>41795</v>
      </c>
      <c r="B1065" s="222">
        <v>0.5</v>
      </c>
      <c r="C1065" s="215">
        <v>17.600000000000001</v>
      </c>
      <c r="D1065" s="216">
        <v>22.2</v>
      </c>
      <c r="E1065" s="229" t="s">
        <v>8273</v>
      </c>
      <c r="F1065" s="217">
        <v>25</v>
      </c>
      <c r="G1065" s="215">
        <v>23.5</v>
      </c>
      <c r="H1065" s="216">
        <v>24.7</v>
      </c>
      <c r="I1065" s="216">
        <v>15.3</v>
      </c>
      <c r="J1065" s="217">
        <v>15.7</v>
      </c>
    </row>
    <row r="1066" spans="1:10">
      <c r="A1066" s="221">
        <v>41795</v>
      </c>
      <c r="B1066" s="222">
        <v>0.66666666666666663</v>
      </c>
      <c r="C1066" s="215">
        <v>17.5</v>
      </c>
      <c r="D1066" s="216">
        <v>22</v>
      </c>
      <c r="E1066" s="229" t="s">
        <v>8273</v>
      </c>
      <c r="F1066" s="217">
        <v>24.9</v>
      </c>
      <c r="G1066" s="215">
        <v>23.5</v>
      </c>
      <c r="H1066" s="216">
        <v>24.6</v>
      </c>
      <c r="I1066" s="216">
        <v>17.399999999999999</v>
      </c>
      <c r="J1066" s="217">
        <v>17.899999999999999</v>
      </c>
    </row>
    <row r="1067" spans="1:10">
      <c r="A1067" s="221">
        <v>41795</v>
      </c>
      <c r="B1067" s="222">
        <v>0.83333333333333337</v>
      </c>
      <c r="C1067" s="215">
        <v>17.399999999999999</v>
      </c>
      <c r="D1067" s="216">
        <v>21.9</v>
      </c>
      <c r="E1067" s="229" t="s">
        <v>8273</v>
      </c>
      <c r="F1067" s="217">
        <v>24.8</v>
      </c>
      <c r="G1067" s="215">
        <v>23.5</v>
      </c>
      <c r="H1067" s="216">
        <v>24.6</v>
      </c>
      <c r="I1067" s="216">
        <v>19.3</v>
      </c>
      <c r="J1067" s="217">
        <v>20</v>
      </c>
    </row>
    <row r="1068" spans="1:10">
      <c r="A1068" s="221">
        <v>41796</v>
      </c>
      <c r="B1068" s="222">
        <v>0</v>
      </c>
      <c r="C1068" s="215">
        <v>17.3</v>
      </c>
      <c r="D1068" s="216">
        <v>21.8</v>
      </c>
      <c r="E1068" s="229" t="s">
        <v>8273</v>
      </c>
      <c r="F1068" s="217">
        <v>24.8</v>
      </c>
      <c r="G1068" s="215">
        <v>23.4</v>
      </c>
      <c r="H1068" s="216">
        <v>24.6</v>
      </c>
      <c r="I1068" s="216">
        <v>19.2</v>
      </c>
      <c r="J1068" s="217">
        <v>20.100000000000001</v>
      </c>
    </row>
    <row r="1069" spans="1:10">
      <c r="A1069" s="221">
        <v>41796</v>
      </c>
      <c r="B1069" s="222">
        <v>0.16666666666666666</v>
      </c>
      <c r="C1069" s="215">
        <v>17.2</v>
      </c>
      <c r="D1069" s="216">
        <v>21.7</v>
      </c>
      <c r="E1069" s="229" t="s">
        <v>8273</v>
      </c>
      <c r="F1069" s="217">
        <v>24.9</v>
      </c>
      <c r="G1069" s="215">
        <v>23.4</v>
      </c>
      <c r="H1069" s="216">
        <v>24.5</v>
      </c>
      <c r="I1069" s="216">
        <v>18.3</v>
      </c>
      <c r="J1069" s="217">
        <v>19.2</v>
      </c>
    </row>
    <row r="1070" spans="1:10">
      <c r="A1070" s="221">
        <v>41796</v>
      </c>
      <c r="B1070" s="222">
        <v>0.33333333333333331</v>
      </c>
      <c r="C1070" s="215">
        <v>17</v>
      </c>
      <c r="D1070" s="216">
        <v>21.6</v>
      </c>
      <c r="E1070" s="229" t="s">
        <v>8273</v>
      </c>
      <c r="F1070" s="217">
        <v>24.8</v>
      </c>
      <c r="G1070" s="215">
        <v>23.4</v>
      </c>
      <c r="H1070" s="216">
        <v>24.5</v>
      </c>
      <c r="I1070" s="216">
        <v>17.899999999999999</v>
      </c>
      <c r="J1070" s="217">
        <v>18.7</v>
      </c>
    </row>
    <row r="1071" spans="1:10">
      <c r="A1071" s="221">
        <v>41796</v>
      </c>
      <c r="B1071" s="222">
        <v>0.5</v>
      </c>
      <c r="C1071" s="215">
        <v>17</v>
      </c>
      <c r="D1071" s="216">
        <v>21.3</v>
      </c>
      <c r="E1071" s="229" t="s">
        <v>8273</v>
      </c>
      <c r="F1071" s="217">
        <v>24.8</v>
      </c>
      <c r="G1071" s="215">
        <v>23.3</v>
      </c>
      <c r="H1071" s="216">
        <v>24.5</v>
      </c>
      <c r="I1071" s="216">
        <v>17.8</v>
      </c>
      <c r="J1071" s="217">
        <v>18.5</v>
      </c>
    </row>
    <row r="1072" spans="1:10">
      <c r="A1072" s="221">
        <v>41796</v>
      </c>
      <c r="B1072" s="222">
        <v>0.66666666666666663</v>
      </c>
      <c r="C1072" s="215">
        <v>17</v>
      </c>
      <c r="D1072" s="216">
        <v>21.1</v>
      </c>
      <c r="E1072" s="229" t="s">
        <v>8273</v>
      </c>
      <c r="F1072" s="217">
        <v>24.7</v>
      </c>
      <c r="G1072" s="215">
        <v>23.3</v>
      </c>
      <c r="H1072" s="216">
        <v>24.5</v>
      </c>
      <c r="I1072" s="216">
        <v>19.8</v>
      </c>
      <c r="J1072" s="217">
        <v>20.399999999999999</v>
      </c>
    </row>
    <row r="1073" spans="1:10">
      <c r="A1073" s="221">
        <v>41796</v>
      </c>
      <c r="B1073" s="222">
        <v>0.83333333333333337</v>
      </c>
      <c r="C1073" s="215">
        <v>16.8</v>
      </c>
      <c r="D1073" s="216">
        <v>21</v>
      </c>
      <c r="E1073" s="229" t="s">
        <v>8273</v>
      </c>
      <c r="F1073" s="217">
        <v>24.7</v>
      </c>
      <c r="G1073" s="215">
        <v>23.2</v>
      </c>
      <c r="H1073" s="216">
        <v>24.4</v>
      </c>
      <c r="I1073" s="216">
        <v>21</v>
      </c>
      <c r="J1073" s="217">
        <v>21.7</v>
      </c>
    </row>
    <row r="1074" spans="1:10">
      <c r="A1074" s="221">
        <v>41797</v>
      </c>
      <c r="B1074" s="222">
        <v>0</v>
      </c>
      <c r="C1074" s="215">
        <v>16.7</v>
      </c>
      <c r="D1074" s="216">
        <v>20.9</v>
      </c>
      <c r="E1074" s="229" t="s">
        <v>8273</v>
      </c>
      <c r="F1074" s="217">
        <v>24.7</v>
      </c>
      <c r="G1074" s="215">
        <v>23.2</v>
      </c>
      <c r="H1074" s="216">
        <v>24.4</v>
      </c>
      <c r="I1074" s="216">
        <v>20.399999999999999</v>
      </c>
      <c r="J1074" s="217">
        <v>21.1</v>
      </c>
    </row>
    <row r="1075" spans="1:10">
      <c r="A1075" s="221">
        <v>41797</v>
      </c>
      <c r="B1075" s="222">
        <v>0.16666666666666666</v>
      </c>
      <c r="C1075" s="215">
        <v>16.7</v>
      </c>
      <c r="D1075" s="216">
        <v>20.7</v>
      </c>
      <c r="E1075" s="229" t="s">
        <v>8273</v>
      </c>
      <c r="F1075" s="217">
        <v>24.7</v>
      </c>
      <c r="G1075" s="215">
        <v>23.1</v>
      </c>
      <c r="H1075" s="216">
        <v>24.4</v>
      </c>
      <c r="I1075" s="216">
        <v>19.5</v>
      </c>
      <c r="J1075" s="217">
        <v>20.2</v>
      </c>
    </row>
    <row r="1076" spans="1:10">
      <c r="A1076" s="221">
        <v>41797</v>
      </c>
      <c r="B1076" s="222">
        <v>0.33333333333333331</v>
      </c>
      <c r="C1076" s="215">
        <v>16.5</v>
      </c>
      <c r="D1076" s="216">
        <v>20.6</v>
      </c>
      <c r="E1076" s="229" t="s">
        <v>8273</v>
      </c>
      <c r="F1076" s="217">
        <v>24.6</v>
      </c>
      <c r="G1076" s="215">
        <v>23.1</v>
      </c>
      <c r="H1076" s="216">
        <v>24.3</v>
      </c>
      <c r="I1076" s="216">
        <v>19.2</v>
      </c>
      <c r="J1076" s="217">
        <v>19.8</v>
      </c>
    </row>
    <row r="1077" spans="1:10">
      <c r="A1077" s="221">
        <v>41797</v>
      </c>
      <c r="B1077" s="222">
        <v>0.5</v>
      </c>
      <c r="C1077" s="215">
        <v>16.5</v>
      </c>
      <c r="D1077" s="216">
        <v>20.399999999999999</v>
      </c>
      <c r="E1077" s="229" t="s">
        <v>8273</v>
      </c>
      <c r="F1077" s="217">
        <v>24.6</v>
      </c>
      <c r="G1077" s="215">
        <v>23</v>
      </c>
      <c r="H1077" s="216">
        <v>24.3</v>
      </c>
      <c r="I1077" s="216">
        <v>18.899999999999999</v>
      </c>
      <c r="J1077" s="217">
        <v>19.5</v>
      </c>
    </row>
    <row r="1078" spans="1:10">
      <c r="A1078" s="221">
        <v>41797</v>
      </c>
      <c r="B1078" s="222">
        <v>0.66666666666666663</v>
      </c>
      <c r="C1078" s="215">
        <v>16.5</v>
      </c>
      <c r="D1078" s="216">
        <v>20.100000000000001</v>
      </c>
      <c r="E1078" s="229" t="s">
        <v>8273</v>
      </c>
      <c r="F1078" s="217">
        <v>24.6</v>
      </c>
      <c r="G1078" s="215">
        <v>22.9</v>
      </c>
      <c r="H1078" s="216">
        <v>24.3</v>
      </c>
      <c r="I1078" s="216">
        <v>21</v>
      </c>
      <c r="J1078" s="217">
        <v>21.6</v>
      </c>
    </row>
    <row r="1079" spans="1:10">
      <c r="A1079" s="221">
        <v>41797</v>
      </c>
      <c r="B1079" s="222">
        <v>0.83333333333333337</v>
      </c>
      <c r="C1079" s="215">
        <v>16.399999999999999</v>
      </c>
      <c r="D1079" s="216">
        <v>20</v>
      </c>
      <c r="E1079" s="229" t="s">
        <v>8273</v>
      </c>
      <c r="F1079" s="217">
        <v>24.5</v>
      </c>
      <c r="G1079" s="215">
        <v>22.9</v>
      </c>
      <c r="H1079" s="216">
        <v>24.2</v>
      </c>
      <c r="I1079" s="216">
        <v>22.7</v>
      </c>
      <c r="J1079" s="217">
        <v>23.4</v>
      </c>
    </row>
    <row r="1080" spans="1:10">
      <c r="A1080" s="221">
        <v>41798</v>
      </c>
      <c r="B1080" s="222">
        <v>0</v>
      </c>
      <c r="C1080" s="215">
        <v>16.3</v>
      </c>
      <c r="D1080" s="216">
        <v>19.899999999999999</v>
      </c>
      <c r="E1080" s="229" t="s">
        <v>8273</v>
      </c>
      <c r="F1080" s="217">
        <v>24.5</v>
      </c>
      <c r="G1080" s="215">
        <v>22.8</v>
      </c>
      <c r="H1080" s="216">
        <v>24.2</v>
      </c>
      <c r="I1080" s="216">
        <v>22.3</v>
      </c>
      <c r="J1080" s="217">
        <v>23.1</v>
      </c>
    </row>
    <row r="1081" spans="1:10">
      <c r="A1081" s="221">
        <v>41798</v>
      </c>
      <c r="B1081" s="222">
        <v>0.16666666666666666</v>
      </c>
      <c r="C1081" s="215">
        <v>16.3</v>
      </c>
      <c r="D1081" s="216">
        <v>19.8</v>
      </c>
      <c r="E1081" s="229" t="s">
        <v>8273</v>
      </c>
      <c r="F1081" s="217">
        <v>24.5</v>
      </c>
      <c r="G1081" s="215">
        <v>22.8</v>
      </c>
      <c r="H1081" s="216">
        <v>24.2</v>
      </c>
      <c r="I1081" s="216">
        <v>21.2</v>
      </c>
      <c r="J1081" s="217">
        <v>22</v>
      </c>
    </row>
    <row r="1082" spans="1:10">
      <c r="A1082" s="221">
        <v>41798</v>
      </c>
      <c r="B1082" s="222">
        <v>0.33333333333333331</v>
      </c>
      <c r="C1082" s="215">
        <v>16.2</v>
      </c>
      <c r="D1082" s="216">
        <v>19.7</v>
      </c>
      <c r="E1082" s="229" t="s">
        <v>8273</v>
      </c>
      <c r="F1082" s="217">
        <v>24.5</v>
      </c>
      <c r="G1082" s="215">
        <v>22.7</v>
      </c>
      <c r="H1082" s="216">
        <v>24.2</v>
      </c>
      <c r="I1082" s="216">
        <v>20.7</v>
      </c>
      <c r="J1082" s="217">
        <v>21.5</v>
      </c>
    </row>
    <row r="1083" spans="1:10">
      <c r="A1083" s="221">
        <v>41798</v>
      </c>
      <c r="B1083" s="222">
        <v>0.5</v>
      </c>
      <c r="C1083" s="215">
        <v>16.2</v>
      </c>
      <c r="D1083" s="216">
        <v>19.399999999999999</v>
      </c>
      <c r="E1083" s="229" t="s">
        <v>8273</v>
      </c>
      <c r="F1083" s="217">
        <v>24.5</v>
      </c>
      <c r="G1083" s="215">
        <v>22.6</v>
      </c>
      <c r="H1083" s="216">
        <v>24.1</v>
      </c>
      <c r="I1083" s="216">
        <v>20.5</v>
      </c>
      <c r="J1083" s="217">
        <v>21.1</v>
      </c>
    </row>
    <row r="1084" spans="1:10">
      <c r="A1084" s="221">
        <v>41798</v>
      </c>
      <c r="B1084" s="222">
        <v>0.66666666666666663</v>
      </c>
      <c r="C1084" s="215">
        <v>16.2</v>
      </c>
      <c r="D1084" s="216">
        <v>19.2</v>
      </c>
      <c r="E1084" s="229" t="s">
        <v>8273</v>
      </c>
      <c r="F1084" s="217">
        <v>24.4</v>
      </c>
      <c r="G1084" s="215">
        <v>22.6</v>
      </c>
      <c r="H1084" s="216">
        <v>24.1</v>
      </c>
      <c r="I1084" s="216">
        <v>22.6</v>
      </c>
      <c r="J1084" s="217">
        <v>23.1</v>
      </c>
    </row>
    <row r="1085" spans="1:10">
      <c r="A1085" s="221">
        <v>41798</v>
      </c>
      <c r="B1085" s="222">
        <v>0.83333333333333337</v>
      </c>
      <c r="C1085" s="215">
        <v>16.2</v>
      </c>
      <c r="D1085" s="216">
        <v>19.100000000000001</v>
      </c>
      <c r="E1085" s="229" t="s">
        <v>8273</v>
      </c>
      <c r="F1085" s="217">
        <v>24.4</v>
      </c>
      <c r="G1085" s="215">
        <v>22.5</v>
      </c>
      <c r="H1085" s="216">
        <v>24</v>
      </c>
      <c r="I1085" s="216">
        <v>24.3</v>
      </c>
      <c r="J1085" s="217">
        <v>25</v>
      </c>
    </row>
    <row r="1086" spans="1:10">
      <c r="A1086" s="221">
        <v>41799</v>
      </c>
      <c r="B1086" s="222">
        <v>0</v>
      </c>
      <c r="C1086" s="215">
        <v>16</v>
      </c>
      <c r="D1086" s="216">
        <v>19.100000000000001</v>
      </c>
      <c r="E1086" s="229" t="s">
        <v>8273</v>
      </c>
      <c r="F1086" s="217">
        <v>24.4</v>
      </c>
      <c r="G1086" s="215">
        <v>22.5</v>
      </c>
      <c r="H1086" s="216">
        <v>24</v>
      </c>
      <c r="I1086" s="216">
        <v>23.8</v>
      </c>
      <c r="J1086" s="217">
        <v>24.7</v>
      </c>
    </row>
    <row r="1087" spans="1:10">
      <c r="A1087" s="221">
        <v>41799</v>
      </c>
      <c r="B1087" s="222">
        <v>0.16666666666666666</v>
      </c>
      <c r="C1087" s="215">
        <v>16</v>
      </c>
      <c r="D1087" s="216">
        <v>19</v>
      </c>
      <c r="E1087" s="229" t="s">
        <v>8273</v>
      </c>
      <c r="F1087" s="217">
        <v>24.4</v>
      </c>
      <c r="G1087" s="215">
        <v>22.4</v>
      </c>
      <c r="H1087" s="216">
        <v>24</v>
      </c>
      <c r="I1087" s="216">
        <v>22.6</v>
      </c>
      <c r="J1087" s="217">
        <v>23.3</v>
      </c>
    </row>
    <row r="1088" spans="1:10">
      <c r="A1088" s="221">
        <v>41799</v>
      </c>
      <c r="B1088" s="222">
        <v>0.33333333333333331</v>
      </c>
      <c r="C1088" s="215">
        <v>15.9</v>
      </c>
      <c r="D1088" s="216">
        <v>18.899999999999999</v>
      </c>
      <c r="E1088" s="229" t="s">
        <v>8273</v>
      </c>
      <c r="F1088" s="217">
        <v>24.4</v>
      </c>
      <c r="G1088" s="215">
        <v>22.4</v>
      </c>
      <c r="H1088" s="216">
        <v>24</v>
      </c>
      <c r="I1088" s="216">
        <v>22</v>
      </c>
      <c r="J1088" s="217">
        <v>22.7</v>
      </c>
    </row>
    <row r="1089" spans="1:10">
      <c r="A1089" s="221">
        <v>41799</v>
      </c>
      <c r="B1089" s="222">
        <v>0.5</v>
      </c>
      <c r="C1089" s="215">
        <v>15.9</v>
      </c>
      <c r="D1089" s="216">
        <v>18.7</v>
      </c>
      <c r="E1089" s="229" t="s">
        <v>8273</v>
      </c>
      <c r="F1089" s="217">
        <v>24.4</v>
      </c>
      <c r="G1089" s="215">
        <v>22.3</v>
      </c>
      <c r="H1089" s="216">
        <v>24</v>
      </c>
      <c r="I1089" s="216">
        <v>21.4</v>
      </c>
      <c r="J1089" s="217">
        <v>22.1</v>
      </c>
    </row>
    <row r="1090" spans="1:10">
      <c r="A1090" s="221">
        <v>41799</v>
      </c>
      <c r="B1090" s="222">
        <v>0.66666666666666663</v>
      </c>
      <c r="C1090" s="215">
        <v>15.9</v>
      </c>
      <c r="D1090" s="216">
        <v>18.600000000000001</v>
      </c>
      <c r="E1090" s="229" t="s">
        <v>8273</v>
      </c>
      <c r="F1090" s="217">
        <v>24.4</v>
      </c>
      <c r="G1090" s="215">
        <v>22.2</v>
      </c>
      <c r="H1090" s="216">
        <v>23.9</v>
      </c>
      <c r="I1090" s="216">
        <v>22.4</v>
      </c>
      <c r="J1090" s="217">
        <v>23.1</v>
      </c>
    </row>
    <row r="1091" spans="1:10">
      <c r="A1091" s="221">
        <v>41799</v>
      </c>
      <c r="B1091" s="222">
        <v>0.83333333333333337</v>
      </c>
      <c r="C1091" s="215">
        <v>15.9</v>
      </c>
      <c r="D1091" s="216">
        <v>18.5</v>
      </c>
      <c r="E1091" s="229" t="s">
        <v>8273</v>
      </c>
      <c r="F1091" s="217">
        <v>24.4</v>
      </c>
      <c r="G1091" s="215">
        <v>22.1</v>
      </c>
      <c r="H1091" s="216">
        <v>23.8</v>
      </c>
      <c r="I1091" s="216">
        <v>23.2</v>
      </c>
      <c r="J1091" s="217">
        <v>24</v>
      </c>
    </row>
    <row r="1092" spans="1:10">
      <c r="A1092" s="221">
        <v>41800</v>
      </c>
      <c r="B1092" s="222">
        <v>0</v>
      </c>
      <c r="C1092" s="215">
        <v>15.8</v>
      </c>
      <c r="D1092" s="216">
        <v>18.5</v>
      </c>
      <c r="E1092" s="229" t="s">
        <v>8273</v>
      </c>
      <c r="F1092" s="217">
        <v>24.4</v>
      </c>
      <c r="G1092" s="215">
        <v>22.1</v>
      </c>
      <c r="H1092" s="216">
        <v>23.8</v>
      </c>
      <c r="I1092" s="216">
        <v>22.8</v>
      </c>
      <c r="J1092" s="217">
        <v>23.5</v>
      </c>
    </row>
    <row r="1093" spans="1:10">
      <c r="A1093" s="221">
        <v>41800</v>
      </c>
      <c r="B1093" s="222">
        <v>0.16666666666666666</v>
      </c>
      <c r="C1093" s="215">
        <v>15.7</v>
      </c>
      <c r="D1093" s="216">
        <v>18.5</v>
      </c>
      <c r="E1093" s="229" t="s">
        <v>8273</v>
      </c>
      <c r="F1093" s="217">
        <v>24.3</v>
      </c>
      <c r="G1093" s="215">
        <v>22</v>
      </c>
      <c r="H1093" s="216">
        <v>23.7</v>
      </c>
      <c r="I1093" s="216">
        <v>22</v>
      </c>
      <c r="J1093" s="217">
        <v>22.7</v>
      </c>
    </row>
    <row r="1094" spans="1:10">
      <c r="A1094" s="221">
        <v>41800</v>
      </c>
      <c r="B1094" s="222">
        <v>0.33333333333333331</v>
      </c>
      <c r="C1094" s="215">
        <v>15.6</v>
      </c>
      <c r="D1094" s="216">
        <v>18.399999999999999</v>
      </c>
      <c r="E1094" s="229" t="s">
        <v>8273</v>
      </c>
      <c r="F1094" s="217">
        <v>24.4</v>
      </c>
      <c r="G1094" s="215">
        <v>22</v>
      </c>
      <c r="H1094" s="216">
        <v>23.7</v>
      </c>
      <c r="I1094" s="216">
        <v>21.6</v>
      </c>
      <c r="J1094" s="217">
        <v>22.3</v>
      </c>
    </row>
    <row r="1095" spans="1:10">
      <c r="A1095" s="221">
        <v>41800</v>
      </c>
      <c r="B1095" s="222">
        <v>0.5</v>
      </c>
      <c r="C1095" s="215">
        <v>15.7</v>
      </c>
      <c r="D1095" s="216">
        <v>18.3</v>
      </c>
      <c r="E1095" s="229" t="s">
        <v>8273</v>
      </c>
      <c r="F1095" s="217">
        <v>24.4</v>
      </c>
      <c r="G1095" s="215">
        <v>21.9</v>
      </c>
      <c r="H1095" s="216">
        <v>23.7</v>
      </c>
      <c r="I1095" s="216">
        <v>21.1</v>
      </c>
      <c r="J1095" s="217">
        <v>21.8</v>
      </c>
    </row>
    <row r="1096" spans="1:10">
      <c r="A1096" s="221">
        <v>41800</v>
      </c>
      <c r="B1096" s="222">
        <v>0.66666666666666663</v>
      </c>
      <c r="C1096" s="215">
        <v>15.7</v>
      </c>
      <c r="D1096" s="216">
        <v>18.2</v>
      </c>
      <c r="E1096" s="229" t="s">
        <v>8273</v>
      </c>
      <c r="F1096" s="217">
        <v>24.3</v>
      </c>
      <c r="G1096" s="215">
        <v>21.8</v>
      </c>
      <c r="H1096" s="216">
        <v>23.7</v>
      </c>
      <c r="I1096" s="216">
        <v>22.1</v>
      </c>
      <c r="J1096" s="217">
        <v>22.7</v>
      </c>
    </row>
    <row r="1097" spans="1:10">
      <c r="A1097" s="221">
        <v>41800</v>
      </c>
      <c r="B1097" s="222">
        <v>0.83333333333333337</v>
      </c>
      <c r="C1097" s="215">
        <v>15.7</v>
      </c>
      <c r="D1097" s="216">
        <v>18.2</v>
      </c>
      <c r="E1097" s="229" t="s">
        <v>8273</v>
      </c>
      <c r="F1097" s="217">
        <v>24.3</v>
      </c>
      <c r="G1097" s="215">
        <v>21.8</v>
      </c>
      <c r="H1097" s="216">
        <v>23.6</v>
      </c>
      <c r="I1097" s="216">
        <v>23.4</v>
      </c>
      <c r="J1097" s="217">
        <v>24.2</v>
      </c>
    </row>
    <row r="1098" spans="1:10">
      <c r="A1098" s="221">
        <v>41801</v>
      </c>
      <c r="B1098" s="222">
        <v>0</v>
      </c>
      <c r="C1098" s="215">
        <v>15.6</v>
      </c>
      <c r="D1098" s="216">
        <v>18.100000000000001</v>
      </c>
      <c r="E1098" s="229" t="s">
        <v>8273</v>
      </c>
      <c r="F1098" s="217">
        <v>24.3</v>
      </c>
      <c r="G1098" s="215">
        <v>21.7</v>
      </c>
      <c r="H1098" s="216">
        <v>23.6</v>
      </c>
      <c r="I1098" s="216">
        <v>23</v>
      </c>
      <c r="J1098" s="217">
        <v>23.9</v>
      </c>
    </row>
    <row r="1099" spans="1:10">
      <c r="A1099" s="221">
        <v>41801</v>
      </c>
      <c r="B1099" s="222">
        <v>0.16666666666666666</v>
      </c>
      <c r="C1099" s="215">
        <v>15.6</v>
      </c>
      <c r="D1099" s="216">
        <v>18.100000000000001</v>
      </c>
      <c r="E1099" s="229" t="s">
        <v>8273</v>
      </c>
      <c r="F1099" s="217">
        <v>24.3</v>
      </c>
      <c r="G1099" s="215">
        <v>21.6</v>
      </c>
      <c r="H1099" s="216">
        <v>23.6</v>
      </c>
      <c r="I1099" s="216">
        <v>22.3</v>
      </c>
      <c r="J1099" s="217">
        <v>23.1</v>
      </c>
    </row>
    <row r="1100" spans="1:10">
      <c r="A1100" s="221">
        <v>41801</v>
      </c>
      <c r="B1100" s="222">
        <v>0.33333333333333331</v>
      </c>
      <c r="C1100" s="215">
        <v>15.6</v>
      </c>
      <c r="D1100" s="216">
        <v>18.100000000000001</v>
      </c>
      <c r="E1100" s="229" t="s">
        <v>8273</v>
      </c>
      <c r="F1100" s="217">
        <v>24.3</v>
      </c>
      <c r="G1100" s="215">
        <v>21.6</v>
      </c>
      <c r="H1100" s="216">
        <v>23.5</v>
      </c>
      <c r="I1100" s="216">
        <v>22</v>
      </c>
      <c r="J1100" s="217">
        <v>22.7</v>
      </c>
    </row>
    <row r="1101" spans="1:10">
      <c r="A1101" s="221">
        <v>41801</v>
      </c>
      <c r="B1101" s="222">
        <v>0.5</v>
      </c>
      <c r="C1101" s="215">
        <v>15.6</v>
      </c>
      <c r="D1101" s="216">
        <v>17.899999999999999</v>
      </c>
      <c r="E1101" s="229" t="s">
        <v>8273</v>
      </c>
      <c r="F1101" s="217">
        <v>24.3</v>
      </c>
      <c r="G1101" s="215">
        <v>21.5</v>
      </c>
      <c r="H1101" s="216">
        <v>23.5</v>
      </c>
      <c r="I1101" s="216">
        <v>21.9</v>
      </c>
      <c r="J1101" s="217">
        <v>22.5</v>
      </c>
    </row>
    <row r="1102" spans="1:10">
      <c r="A1102" s="221">
        <v>41801</v>
      </c>
      <c r="B1102" s="222">
        <v>0.66666666666666663</v>
      </c>
      <c r="C1102" s="215">
        <v>15.6</v>
      </c>
      <c r="D1102" s="216">
        <v>17.8</v>
      </c>
      <c r="E1102" s="229" t="s">
        <v>8273</v>
      </c>
      <c r="F1102" s="217">
        <v>24.3</v>
      </c>
      <c r="G1102" s="215">
        <v>21.5</v>
      </c>
      <c r="H1102" s="216">
        <v>23.4</v>
      </c>
      <c r="I1102" s="216">
        <v>24</v>
      </c>
      <c r="J1102" s="217">
        <v>24.5</v>
      </c>
    </row>
    <row r="1103" spans="1:10">
      <c r="A1103" s="221">
        <v>41801</v>
      </c>
      <c r="B1103" s="222">
        <v>0.83333333333333337</v>
      </c>
      <c r="C1103" s="215">
        <v>15.8</v>
      </c>
      <c r="D1103" s="216">
        <v>17.8</v>
      </c>
      <c r="E1103" s="229" t="s">
        <v>8273</v>
      </c>
      <c r="F1103" s="217">
        <v>24.3</v>
      </c>
      <c r="G1103" s="215">
        <v>21.5</v>
      </c>
      <c r="H1103" s="216">
        <v>23.4</v>
      </c>
      <c r="I1103" s="216">
        <v>25.4</v>
      </c>
      <c r="J1103" s="217">
        <v>26.1</v>
      </c>
    </row>
    <row r="1104" spans="1:10">
      <c r="A1104" s="221">
        <v>41802</v>
      </c>
      <c r="B1104" s="222">
        <v>0</v>
      </c>
      <c r="C1104" s="215">
        <v>15.5</v>
      </c>
      <c r="D1104" s="216">
        <v>17.8</v>
      </c>
      <c r="E1104" s="229" t="s">
        <v>8273</v>
      </c>
      <c r="F1104" s="217">
        <v>24.3</v>
      </c>
      <c r="G1104" s="215">
        <v>21.4</v>
      </c>
      <c r="H1104" s="216">
        <v>23.4</v>
      </c>
      <c r="I1104" s="216">
        <v>24.8</v>
      </c>
      <c r="J1104" s="217">
        <v>25.6</v>
      </c>
    </row>
    <row r="1105" spans="1:10">
      <c r="A1105" s="221">
        <v>41802</v>
      </c>
      <c r="B1105" s="222">
        <v>0.16666666666666666</v>
      </c>
      <c r="C1105" s="215">
        <v>15.6</v>
      </c>
      <c r="D1105" s="216">
        <v>17.899999999999999</v>
      </c>
      <c r="E1105" s="229" t="s">
        <v>8273</v>
      </c>
      <c r="F1105" s="217">
        <v>24.3</v>
      </c>
      <c r="G1105" s="215">
        <v>21.3</v>
      </c>
      <c r="H1105" s="216">
        <v>23.3</v>
      </c>
      <c r="I1105" s="216">
        <v>23.6</v>
      </c>
      <c r="J1105" s="217">
        <v>24.4</v>
      </c>
    </row>
    <row r="1106" spans="1:10">
      <c r="A1106" s="221">
        <v>41802</v>
      </c>
      <c r="B1106" s="222">
        <v>0.33333333333333331</v>
      </c>
      <c r="C1106" s="215">
        <v>15.5</v>
      </c>
      <c r="D1106" s="216">
        <v>17.8</v>
      </c>
      <c r="E1106" s="229" t="s">
        <v>8273</v>
      </c>
      <c r="F1106" s="217">
        <v>24.3</v>
      </c>
      <c r="G1106" s="215">
        <v>21.3</v>
      </c>
      <c r="H1106" s="216">
        <v>23.3</v>
      </c>
      <c r="I1106" s="216">
        <v>23</v>
      </c>
      <c r="J1106" s="217">
        <v>23.8</v>
      </c>
    </row>
    <row r="1107" spans="1:10">
      <c r="A1107" s="221">
        <v>41802</v>
      </c>
      <c r="B1107" s="222">
        <v>0.5</v>
      </c>
      <c r="C1107" s="215">
        <v>15.6</v>
      </c>
      <c r="D1107" s="216">
        <v>17.600000000000001</v>
      </c>
      <c r="E1107" s="229" t="s">
        <v>8273</v>
      </c>
      <c r="F1107" s="217">
        <v>24.3</v>
      </c>
      <c r="G1107" s="215">
        <v>21.2</v>
      </c>
      <c r="H1107" s="216">
        <v>23.2</v>
      </c>
      <c r="I1107" s="216">
        <v>22.8</v>
      </c>
      <c r="J1107" s="217">
        <v>23.4</v>
      </c>
    </row>
    <row r="1108" spans="1:10">
      <c r="A1108" s="221">
        <v>41802</v>
      </c>
      <c r="B1108" s="222">
        <v>0.66666666666666663</v>
      </c>
      <c r="C1108" s="215">
        <v>15.8</v>
      </c>
      <c r="D1108" s="216">
        <v>17.600000000000001</v>
      </c>
      <c r="E1108" s="229" t="s">
        <v>8273</v>
      </c>
      <c r="F1108" s="217">
        <v>24.3</v>
      </c>
      <c r="G1108" s="215">
        <v>21.2</v>
      </c>
      <c r="H1108" s="216">
        <v>23.2</v>
      </c>
      <c r="I1108" s="216">
        <v>25</v>
      </c>
      <c r="J1108" s="217">
        <v>25.4</v>
      </c>
    </row>
    <row r="1109" spans="1:10">
      <c r="A1109" s="221">
        <v>41802</v>
      </c>
      <c r="B1109" s="222">
        <v>0.83333333333333337</v>
      </c>
      <c r="C1109" s="215">
        <v>15.8</v>
      </c>
      <c r="D1109" s="216">
        <v>17.600000000000001</v>
      </c>
      <c r="E1109" s="229" t="s">
        <v>8273</v>
      </c>
      <c r="F1109" s="217">
        <v>24.3</v>
      </c>
      <c r="G1109" s="215">
        <v>21.2</v>
      </c>
      <c r="H1109" s="216">
        <v>23.2</v>
      </c>
      <c r="I1109" s="216">
        <v>26.6</v>
      </c>
      <c r="J1109" s="217">
        <v>27.3</v>
      </c>
    </row>
    <row r="1110" spans="1:10">
      <c r="A1110" s="221">
        <v>41803</v>
      </c>
      <c r="B1110" s="222">
        <v>0</v>
      </c>
      <c r="C1110" s="215">
        <v>15.7</v>
      </c>
      <c r="D1110" s="216">
        <v>17.7</v>
      </c>
      <c r="E1110" s="229" t="s">
        <v>8273</v>
      </c>
      <c r="F1110" s="217">
        <v>24.3</v>
      </c>
      <c r="G1110" s="215">
        <v>21.1</v>
      </c>
      <c r="H1110" s="216">
        <v>23.1</v>
      </c>
      <c r="I1110" s="216">
        <v>26</v>
      </c>
      <c r="J1110" s="217">
        <v>26.8</v>
      </c>
    </row>
    <row r="1111" spans="1:10">
      <c r="A1111" s="221">
        <v>41803</v>
      </c>
      <c r="B1111" s="222">
        <v>0.16666666666666666</v>
      </c>
      <c r="C1111" s="215">
        <v>15.6</v>
      </c>
      <c r="D1111" s="216">
        <v>17.7</v>
      </c>
      <c r="E1111" s="229" t="s">
        <v>8273</v>
      </c>
      <c r="F1111" s="217">
        <v>24.3</v>
      </c>
      <c r="G1111" s="215">
        <v>21.1</v>
      </c>
      <c r="H1111" s="216">
        <v>23.1</v>
      </c>
      <c r="I1111" s="216">
        <v>24.8</v>
      </c>
      <c r="J1111" s="217">
        <v>25.5</v>
      </c>
    </row>
    <row r="1112" spans="1:10">
      <c r="A1112" s="221">
        <v>41803</v>
      </c>
      <c r="B1112" s="222">
        <v>0.33333333333333331</v>
      </c>
      <c r="C1112" s="215">
        <v>15.5</v>
      </c>
      <c r="D1112" s="216">
        <v>17.600000000000001</v>
      </c>
      <c r="E1112" s="229" t="s">
        <v>8273</v>
      </c>
      <c r="F1112" s="217">
        <v>24.3</v>
      </c>
      <c r="G1112" s="215">
        <v>21</v>
      </c>
      <c r="H1112" s="216">
        <v>23</v>
      </c>
      <c r="I1112" s="216">
        <v>24.2</v>
      </c>
      <c r="J1112" s="217">
        <v>24.9</v>
      </c>
    </row>
    <row r="1113" spans="1:10">
      <c r="A1113" s="221">
        <v>41803</v>
      </c>
      <c r="B1113" s="222">
        <v>0.5</v>
      </c>
      <c r="C1113" s="215">
        <v>15.6</v>
      </c>
      <c r="D1113" s="216">
        <v>17.399999999999999</v>
      </c>
      <c r="E1113" s="229" t="s">
        <v>8273</v>
      </c>
      <c r="F1113" s="217">
        <v>24.3</v>
      </c>
      <c r="G1113" s="215">
        <v>21</v>
      </c>
      <c r="H1113" s="216">
        <v>23</v>
      </c>
      <c r="I1113" s="216">
        <v>23.9</v>
      </c>
      <c r="J1113" s="217">
        <v>24.4</v>
      </c>
    </row>
    <row r="1114" spans="1:10">
      <c r="A1114" s="221">
        <v>41803</v>
      </c>
      <c r="B1114" s="222">
        <v>0.66666666666666663</v>
      </c>
      <c r="C1114" s="215">
        <v>15.6</v>
      </c>
      <c r="D1114" s="216">
        <v>17.399999999999999</v>
      </c>
      <c r="E1114" s="229" t="s">
        <v>8273</v>
      </c>
      <c r="F1114" s="217">
        <v>24.3</v>
      </c>
      <c r="G1114" s="215">
        <v>20.9</v>
      </c>
      <c r="H1114" s="216">
        <v>23</v>
      </c>
      <c r="I1114" s="216">
        <v>25.7</v>
      </c>
      <c r="J1114" s="217">
        <v>26</v>
      </c>
    </row>
    <row r="1115" spans="1:10">
      <c r="A1115" s="221">
        <v>41803</v>
      </c>
      <c r="B1115" s="222">
        <v>0.83333333333333337</v>
      </c>
      <c r="C1115" s="215">
        <v>15.7</v>
      </c>
      <c r="D1115" s="216">
        <v>17.399999999999999</v>
      </c>
      <c r="E1115" s="229" t="s">
        <v>8273</v>
      </c>
      <c r="F1115" s="217">
        <v>24.3</v>
      </c>
      <c r="G1115" s="215">
        <v>20.9</v>
      </c>
      <c r="H1115" s="216">
        <v>23</v>
      </c>
      <c r="I1115" s="216">
        <v>26.6</v>
      </c>
      <c r="J1115" s="217">
        <v>27</v>
      </c>
    </row>
    <row r="1116" spans="1:10">
      <c r="A1116" s="221">
        <v>41804</v>
      </c>
      <c r="B1116" s="222">
        <v>0</v>
      </c>
      <c r="C1116" s="215">
        <v>15.6</v>
      </c>
      <c r="D1116" s="216">
        <v>17.5</v>
      </c>
      <c r="E1116" s="229" t="s">
        <v>8273</v>
      </c>
      <c r="F1116" s="217">
        <v>24.3</v>
      </c>
      <c r="G1116" s="215">
        <v>20.9</v>
      </c>
      <c r="H1116" s="216">
        <v>22.9</v>
      </c>
      <c r="I1116" s="216">
        <v>26</v>
      </c>
      <c r="J1116" s="217">
        <v>26.5</v>
      </c>
    </row>
    <row r="1117" spans="1:10">
      <c r="A1117" s="221">
        <v>41804</v>
      </c>
      <c r="B1117" s="222">
        <v>0.16666666666666666</v>
      </c>
      <c r="C1117" s="215">
        <v>15.4</v>
      </c>
      <c r="D1117" s="216">
        <v>17.5</v>
      </c>
      <c r="E1117" s="229" t="s">
        <v>8273</v>
      </c>
      <c r="F1117" s="217">
        <v>24.2</v>
      </c>
      <c r="G1117" s="215">
        <v>20.8</v>
      </c>
      <c r="H1117" s="216">
        <v>22.8</v>
      </c>
      <c r="I1117" s="216">
        <v>24.8</v>
      </c>
      <c r="J1117" s="217">
        <v>25.2</v>
      </c>
    </row>
    <row r="1118" spans="1:10">
      <c r="A1118" s="221">
        <v>41804</v>
      </c>
      <c r="B1118" s="222">
        <v>0.33333333333333331</v>
      </c>
      <c r="C1118" s="215">
        <v>15.3</v>
      </c>
      <c r="D1118" s="216">
        <v>17.399999999999999</v>
      </c>
      <c r="E1118" s="229" t="s">
        <v>8273</v>
      </c>
      <c r="F1118" s="217">
        <v>24.2</v>
      </c>
      <c r="G1118" s="215">
        <v>20.8</v>
      </c>
      <c r="H1118" s="216">
        <v>22.8</v>
      </c>
      <c r="I1118" s="216">
        <v>24.1</v>
      </c>
      <c r="J1118" s="217">
        <v>24.5</v>
      </c>
    </row>
    <row r="1119" spans="1:10">
      <c r="A1119" s="221">
        <v>41804</v>
      </c>
      <c r="B1119" s="222">
        <v>0.5</v>
      </c>
      <c r="C1119" s="215">
        <v>15.5</v>
      </c>
      <c r="D1119" s="216">
        <v>17.3</v>
      </c>
      <c r="E1119" s="229" t="s">
        <v>8273</v>
      </c>
      <c r="F1119" s="217">
        <v>24.3</v>
      </c>
      <c r="G1119" s="215">
        <v>20.7</v>
      </c>
      <c r="H1119" s="216">
        <v>22.8</v>
      </c>
      <c r="I1119" s="216">
        <v>23.3</v>
      </c>
      <c r="J1119" s="217">
        <v>23.5</v>
      </c>
    </row>
    <row r="1120" spans="1:10">
      <c r="A1120" s="221">
        <v>41804</v>
      </c>
      <c r="B1120" s="222">
        <v>0.66666666666666663</v>
      </c>
      <c r="C1120" s="215">
        <v>15.6</v>
      </c>
      <c r="D1120" s="216">
        <v>17.3</v>
      </c>
      <c r="E1120" s="229" t="s">
        <v>8273</v>
      </c>
      <c r="F1120" s="217">
        <v>24.3</v>
      </c>
      <c r="G1120" s="215">
        <v>20.7</v>
      </c>
      <c r="H1120" s="216">
        <v>22.7</v>
      </c>
      <c r="I1120" s="216">
        <v>24.7</v>
      </c>
      <c r="J1120" s="217">
        <v>24.9</v>
      </c>
    </row>
    <row r="1121" spans="1:10">
      <c r="A1121" s="221">
        <v>41804</v>
      </c>
      <c r="B1121" s="222">
        <v>0.83333333333333337</v>
      </c>
      <c r="C1121" s="215">
        <v>15.5</v>
      </c>
      <c r="D1121" s="216">
        <v>17.3</v>
      </c>
      <c r="E1121" s="229" t="s">
        <v>8273</v>
      </c>
      <c r="F1121" s="217">
        <v>24.3</v>
      </c>
      <c r="G1121" s="215">
        <v>20.7</v>
      </c>
      <c r="H1121" s="216">
        <v>22.7</v>
      </c>
      <c r="I1121" s="216">
        <v>25.7</v>
      </c>
      <c r="J1121" s="217">
        <v>26</v>
      </c>
    </row>
    <row r="1122" spans="1:10">
      <c r="A1122" s="221">
        <v>41805</v>
      </c>
      <c r="B1122" s="222">
        <v>0</v>
      </c>
      <c r="C1122" s="215">
        <v>15.4</v>
      </c>
      <c r="D1122" s="216">
        <v>17.3</v>
      </c>
      <c r="E1122" s="229" t="s">
        <v>8273</v>
      </c>
      <c r="F1122" s="217">
        <v>24.2</v>
      </c>
      <c r="G1122" s="215">
        <v>20.6</v>
      </c>
      <c r="H1122" s="216">
        <v>22.7</v>
      </c>
      <c r="I1122" s="216">
        <v>24.9</v>
      </c>
      <c r="J1122" s="217">
        <v>25.4</v>
      </c>
    </row>
    <row r="1123" spans="1:10">
      <c r="A1123" s="221">
        <v>41805</v>
      </c>
      <c r="B1123" s="222">
        <v>0.16666666666666666</v>
      </c>
      <c r="C1123" s="215">
        <v>15.3</v>
      </c>
      <c r="D1123" s="216">
        <v>17.3</v>
      </c>
      <c r="E1123" s="229" t="s">
        <v>8273</v>
      </c>
      <c r="F1123" s="217">
        <v>24.3</v>
      </c>
      <c r="G1123" s="215">
        <v>20.5</v>
      </c>
      <c r="H1123" s="216">
        <v>22.6</v>
      </c>
      <c r="I1123" s="216">
        <v>23.7</v>
      </c>
      <c r="J1123" s="217">
        <v>24.1</v>
      </c>
    </row>
    <row r="1124" spans="1:10">
      <c r="A1124" s="221">
        <v>41805</v>
      </c>
      <c r="B1124" s="222">
        <v>0.33333333333333331</v>
      </c>
      <c r="C1124" s="215">
        <v>15.3</v>
      </c>
      <c r="D1124" s="216">
        <v>17.3</v>
      </c>
      <c r="E1124" s="229" t="s">
        <v>8273</v>
      </c>
      <c r="F1124" s="217">
        <v>24.2</v>
      </c>
      <c r="G1124" s="215">
        <v>20.5</v>
      </c>
      <c r="H1124" s="216">
        <v>22.6</v>
      </c>
      <c r="I1124" s="216">
        <v>23</v>
      </c>
      <c r="J1124" s="217">
        <v>23.5</v>
      </c>
    </row>
    <row r="1125" spans="1:10">
      <c r="A1125" s="221">
        <v>41805</v>
      </c>
      <c r="B1125" s="222">
        <v>0.5</v>
      </c>
      <c r="C1125" s="215">
        <v>15.3</v>
      </c>
      <c r="D1125" s="216">
        <v>17.2</v>
      </c>
      <c r="E1125" s="229" t="s">
        <v>8273</v>
      </c>
      <c r="F1125" s="217">
        <v>24.2</v>
      </c>
      <c r="G1125" s="215">
        <v>20.399999999999999</v>
      </c>
      <c r="H1125" s="216">
        <v>22.5</v>
      </c>
      <c r="I1125" s="216">
        <v>22.6</v>
      </c>
      <c r="J1125" s="217">
        <v>22.7</v>
      </c>
    </row>
    <row r="1126" spans="1:10">
      <c r="A1126" s="221">
        <v>41805</v>
      </c>
      <c r="B1126" s="222">
        <v>0.66666666666666663</v>
      </c>
      <c r="C1126" s="215">
        <v>15.4</v>
      </c>
      <c r="D1126" s="216">
        <v>17.100000000000001</v>
      </c>
      <c r="E1126" s="229" t="s">
        <v>8273</v>
      </c>
      <c r="F1126" s="217">
        <v>24.2</v>
      </c>
      <c r="G1126" s="215">
        <v>20.399999999999999</v>
      </c>
      <c r="H1126" s="216">
        <v>22.5</v>
      </c>
      <c r="I1126" s="216">
        <v>24.1</v>
      </c>
      <c r="J1126" s="217">
        <v>24.2</v>
      </c>
    </row>
    <row r="1127" spans="1:10">
      <c r="A1127" s="221">
        <v>41805</v>
      </c>
      <c r="B1127" s="222">
        <v>0.83333333333333337</v>
      </c>
      <c r="C1127" s="215">
        <v>15.4</v>
      </c>
      <c r="D1127" s="216">
        <v>17.2</v>
      </c>
      <c r="E1127" s="229" t="s">
        <v>8273</v>
      </c>
      <c r="F1127" s="217">
        <v>24.2</v>
      </c>
      <c r="G1127" s="215">
        <v>20.399999999999999</v>
      </c>
      <c r="H1127" s="216">
        <v>22.4</v>
      </c>
      <c r="I1127" s="216">
        <v>25.1</v>
      </c>
      <c r="J1127" s="217">
        <v>25.4</v>
      </c>
    </row>
    <row r="1128" spans="1:10">
      <c r="A1128" s="221">
        <v>41806</v>
      </c>
      <c r="B1128" s="222">
        <v>0</v>
      </c>
      <c r="C1128" s="215">
        <v>15.3</v>
      </c>
      <c r="D1128" s="216">
        <v>17.2</v>
      </c>
      <c r="E1128" s="229" t="s">
        <v>8273</v>
      </c>
      <c r="F1128" s="217">
        <v>24.2</v>
      </c>
      <c r="G1128" s="215">
        <v>20.399999999999999</v>
      </c>
      <c r="H1128" s="216">
        <v>22.4</v>
      </c>
      <c r="I1128" s="216">
        <v>24.2</v>
      </c>
      <c r="J1128" s="217">
        <v>24.6</v>
      </c>
    </row>
    <row r="1129" spans="1:10">
      <c r="A1129" s="221">
        <v>41806</v>
      </c>
      <c r="B1129" s="222">
        <v>0.16666666666666666</v>
      </c>
      <c r="C1129" s="215">
        <v>15.2</v>
      </c>
      <c r="D1129" s="216">
        <v>17.2</v>
      </c>
      <c r="E1129" s="229" t="s">
        <v>8273</v>
      </c>
      <c r="F1129" s="217">
        <v>24.2</v>
      </c>
      <c r="G1129" s="215">
        <v>20.3</v>
      </c>
      <c r="H1129" s="216">
        <v>22.4</v>
      </c>
      <c r="I1129" s="216">
        <v>22.9</v>
      </c>
      <c r="J1129" s="217">
        <v>23.3</v>
      </c>
    </row>
    <row r="1130" spans="1:10">
      <c r="A1130" s="221">
        <v>41806</v>
      </c>
      <c r="B1130" s="222">
        <v>0.33333333333333331</v>
      </c>
      <c r="C1130" s="215">
        <v>15.1</v>
      </c>
      <c r="D1130" s="216">
        <v>17.2</v>
      </c>
      <c r="E1130" s="229" t="s">
        <v>8273</v>
      </c>
      <c r="F1130" s="217">
        <v>24.2</v>
      </c>
      <c r="G1130" s="215">
        <v>20.3</v>
      </c>
      <c r="H1130" s="216">
        <v>22.3</v>
      </c>
      <c r="I1130" s="216">
        <v>22.4</v>
      </c>
      <c r="J1130" s="217">
        <v>22.7</v>
      </c>
    </row>
    <row r="1131" spans="1:10">
      <c r="A1131" s="221">
        <v>41806</v>
      </c>
      <c r="B1131" s="222">
        <v>0.5</v>
      </c>
      <c r="C1131" s="215">
        <v>15.2</v>
      </c>
      <c r="D1131" s="216">
        <v>17.100000000000001</v>
      </c>
      <c r="E1131" s="229" t="s">
        <v>8273</v>
      </c>
      <c r="F1131" s="217">
        <v>24.2</v>
      </c>
      <c r="G1131" s="215">
        <v>20.3</v>
      </c>
      <c r="H1131" s="216">
        <v>22.2</v>
      </c>
      <c r="I1131" s="216">
        <v>21.9</v>
      </c>
      <c r="J1131" s="217">
        <v>22.2</v>
      </c>
    </row>
    <row r="1132" spans="1:10">
      <c r="A1132" s="221">
        <v>41806</v>
      </c>
      <c r="B1132" s="222">
        <v>0.66666666666666663</v>
      </c>
      <c r="C1132" s="215">
        <v>15.3</v>
      </c>
      <c r="D1132" s="216">
        <v>17</v>
      </c>
      <c r="E1132" s="229" t="s">
        <v>8273</v>
      </c>
      <c r="F1132" s="217">
        <v>24.1</v>
      </c>
      <c r="G1132" s="215">
        <v>20.2</v>
      </c>
      <c r="H1132" s="216">
        <v>22.2</v>
      </c>
      <c r="I1132" s="216">
        <v>23.4</v>
      </c>
      <c r="J1132" s="217">
        <v>23.7</v>
      </c>
    </row>
    <row r="1133" spans="1:10">
      <c r="A1133" s="221">
        <v>41806</v>
      </c>
      <c r="B1133" s="222">
        <v>0.83333333333333337</v>
      </c>
      <c r="C1133" s="215">
        <v>15.3</v>
      </c>
      <c r="D1133" s="216">
        <v>17</v>
      </c>
      <c r="E1133" s="229" t="s">
        <v>8273</v>
      </c>
      <c r="F1133" s="217">
        <v>24.1</v>
      </c>
      <c r="G1133" s="215">
        <v>20.2</v>
      </c>
      <c r="H1133" s="216">
        <v>22.2</v>
      </c>
      <c r="I1133" s="216">
        <v>23.9</v>
      </c>
      <c r="J1133" s="217">
        <v>24.2</v>
      </c>
    </row>
    <row r="1134" spans="1:10">
      <c r="A1134" s="221">
        <v>41807</v>
      </c>
      <c r="B1134" s="222">
        <v>0</v>
      </c>
      <c r="C1134" s="215">
        <v>15.1</v>
      </c>
      <c r="D1134" s="216">
        <v>17.100000000000001</v>
      </c>
      <c r="E1134" s="229" t="s">
        <v>8273</v>
      </c>
      <c r="F1134" s="217">
        <v>24.1</v>
      </c>
      <c r="G1134" s="215">
        <v>20.2</v>
      </c>
      <c r="H1134" s="216">
        <v>22.1</v>
      </c>
      <c r="I1134" s="216">
        <v>23.4</v>
      </c>
      <c r="J1134" s="217">
        <v>23.7</v>
      </c>
    </row>
    <row r="1135" spans="1:10">
      <c r="A1135" s="221">
        <v>41807</v>
      </c>
      <c r="B1135" s="222">
        <v>0.16666666666666666</v>
      </c>
      <c r="C1135" s="215">
        <v>15.1</v>
      </c>
      <c r="D1135" s="216">
        <v>17.100000000000001</v>
      </c>
      <c r="E1135" s="229" t="s">
        <v>8273</v>
      </c>
      <c r="F1135" s="217">
        <v>24.1</v>
      </c>
      <c r="G1135" s="215">
        <v>20.100000000000001</v>
      </c>
      <c r="H1135" s="216">
        <v>22.1</v>
      </c>
      <c r="I1135" s="216">
        <v>22.4</v>
      </c>
      <c r="J1135" s="217">
        <v>22.7</v>
      </c>
    </row>
    <row r="1136" spans="1:10">
      <c r="A1136" s="221">
        <v>41807</v>
      </c>
      <c r="B1136" s="222">
        <v>0.33333333333333331</v>
      </c>
      <c r="C1136" s="215">
        <v>15.1</v>
      </c>
      <c r="D1136" s="216">
        <v>17.100000000000001</v>
      </c>
      <c r="E1136" s="229" t="s">
        <v>8273</v>
      </c>
      <c r="F1136" s="217">
        <v>24.1</v>
      </c>
      <c r="G1136" s="215">
        <v>20.100000000000001</v>
      </c>
      <c r="H1136" s="216">
        <v>22.1</v>
      </c>
      <c r="I1136" s="216">
        <v>21.9</v>
      </c>
      <c r="J1136" s="217">
        <v>22.2</v>
      </c>
    </row>
    <row r="1137" spans="1:10">
      <c r="A1137" s="221">
        <v>41807</v>
      </c>
      <c r="B1137" s="222">
        <v>0.5</v>
      </c>
      <c r="C1137" s="215">
        <v>15.2</v>
      </c>
      <c r="D1137" s="216">
        <v>16.899999999999999</v>
      </c>
      <c r="E1137" s="229" t="s">
        <v>8273</v>
      </c>
      <c r="F1137" s="217">
        <v>24.1</v>
      </c>
      <c r="G1137" s="215">
        <v>20</v>
      </c>
      <c r="H1137" s="216">
        <v>22</v>
      </c>
      <c r="I1137" s="216">
        <v>21.6</v>
      </c>
      <c r="J1137" s="217">
        <v>21.7</v>
      </c>
    </row>
    <row r="1138" spans="1:10">
      <c r="A1138" s="221">
        <v>41807</v>
      </c>
      <c r="B1138" s="222">
        <v>0.66666666666666663</v>
      </c>
      <c r="C1138" s="215">
        <v>15.4</v>
      </c>
      <c r="D1138" s="216">
        <v>16.899999999999999</v>
      </c>
      <c r="E1138" s="229" t="s">
        <v>8273</v>
      </c>
      <c r="F1138" s="217">
        <v>24.1</v>
      </c>
      <c r="G1138" s="215">
        <v>20</v>
      </c>
      <c r="H1138" s="216">
        <v>21.9</v>
      </c>
      <c r="I1138" s="216">
        <v>23.7</v>
      </c>
      <c r="J1138" s="217">
        <v>23.7</v>
      </c>
    </row>
    <row r="1139" spans="1:10">
      <c r="A1139" s="221">
        <v>41807</v>
      </c>
      <c r="B1139" s="222">
        <v>0.83333333333333337</v>
      </c>
      <c r="C1139" s="215">
        <v>15.3</v>
      </c>
      <c r="D1139" s="216">
        <v>17</v>
      </c>
      <c r="E1139" s="229" t="s">
        <v>8273</v>
      </c>
      <c r="F1139" s="217">
        <v>24</v>
      </c>
      <c r="G1139" s="215">
        <v>20</v>
      </c>
      <c r="H1139" s="216">
        <v>21.9</v>
      </c>
      <c r="I1139" s="216">
        <v>25</v>
      </c>
      <c r="J1139" s="217">
        <v>25.2</v>
      </c>
    </row>
    <row r="1140" spans="1:10">
      <c r="A1140" s="221">
        <v>41808</v>
      </c>
      <c r="B1140" s="222">
        <v>0</v>
      </c>
      <c r="C1140" s="215">
        <v>15.3</v>
      </c>
      <c r="D1140" s="216">
        <v>17</v>
      </c>
      <c r="E1140" s="229" t="s">
        <v>8273</v>
      </c>
      <c r="F1140" s="217">
        <v>24.1</v>
      </c>
      <c r="G1140" s="215">
        <v>20</v>
      </c>
      <c r="H1140" s="216">
        <v>21.9</v>
      </c>
      <c r="I1140" s="216">
        <v>24.4</v>
      </c>
      <c r="J1140" s="217">
        <v>24.7</v>
      </c>
    </row>
    <row r="1141" spans="1:10">
      <c r="A1141" s="221">
        <v>41808</v>
      </c>
      <c r="B1141" s="222">
        <v>0.16666666666666666</v>
      </c>
      <c r="C1141" s="215">
        <v>15.1</v>
      </c>
      <c r="D1141" s="216">
        <v>17</v>
      </c>
      <c r="E1141" s="229" t="s">
        <v>8273</v>
      </c>
      <c r="F1141" s="217">
        <v>24</v>
      </c>
      <c r="G1141" s="215">
        <v>20</v>
      </c>
      <c r="H1141" s="216">
        <v>21.8</v>
      </c>
      <c r="I1141" s="216">
        <v>23</v>
      </c>
      <c r="J1141" s="217">
        <v>23.3</v>
      </c>
    </row>
    <row r="1142" spans="1:10">
      <c r="A1142" s="221">
        <v>41808</v>
      </c>
      <c r="B1142" s="222">
        <v>0.33333333333333331</v>
      </c>
      <c r="C1142" s="215">
        <v>15.1</v>
      </c>
      <c r="D1142" s="216">
        <v>17</v>
      </c>
      <c r="E1142" s="229" t="s">
        <v>8273</v>
      </c>
      <c r="F1142" s="217">
        <v>24</v>
      </c>
      <c r="G1142" s="215">
        <v>20</v>
      </c>
      <c r="H1142" s="216">
        <v>21.8</v>
      </c>
      <c r="I1142" s="216">
        <v>22.3</v>
      </c>
      <c r="J1142" s="217">
        <v>22.6</v>
      </c>
    </row>
    <row r="1143" spans="1:10">
      <c r="A1143" s="221">
        <v>41808</v>
      </c>
      <c r="B1143" s="222">
        <v>0.5</v>
      </c>
      <c r="C1143" s="218">
        <v>15.1</v>
      </c>
      <c r="D1143" s="219">
        <v>3.8</v>
      </c>
      <c r="E1143" s="234" t="s">
        <v>8273</v>
      </c>
      <c r="F1143" s="220">
        <v>24.1</v>
      </c>
      <c r="G1143" s="218">
        <v>20</v>
      </c>
      <c r="H1143" s="219">
        <v>21.8</v>
      </c>
      <c r="I1143" s="219">
        <v>21.9</v>
      </c>
      <c r="J1143" s="220">
        <v>22</v>
      </c>
    </row>
    <row r="1144" spans="1:10">
      <c r="A1144" s="221"/>
      <c r="B1144" s="222"/>
    </row>
    <row r="1145" spans="1:10">
      <c r="A1145" s="221"/>
      <c r="B1145" s="222"/>
    </row>
    <row r="1146" spans="1:10">
      <c r="A1146" s="221"/>
      <c r="B1146" s="222"/>
    </row>
    <row r="1147" spans="1:10">
      <c r="A1147" s="221"/>
      <c r="B1147" s="222"/>
    </row>
  </sheetData>
  <mergeCells count="2">
    <mergeCell ref="C1:F1"/>
    <mergeCell ref="G1:J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Views>
    <sheetView topLeftCell="K1" zoomScaleNormal="100" workbookViewId="0">
      <selection activeCell="W11" sqref="W11"/>
    </sheetView>
  </sheetViews>
  <sheetFormatPr baseColWidth="10" defaultRowHeight="12.75"/>
  <cols>
    <col min="1" max="1" width="11.7109375" style="235" customWidth="1"/>
    <col min="2" max="2" width="10.140625" style="235" bestFit="1" customWidth="1"/>
    <col min="3" max="4" width="3" style="235" bestFit="1" customWidth="1"/>
    <col min="5" max="5" width="8.85546875" style="235" bestFit="1" customWidth="1"/>
    <col min="6" max="6" width="11.140625" style="235" bestFit="1" customWidth="1"/>
    <col min="7" max="7" width="6.28515625" style="235" bestFit="1" customWidth="1"/>
    <col min="8" max="8" width="4.140625" style="235" bestFit="1" customWidth="1"/>
    <col min="9" max="9" width="6.5703125" style="235" bestFit="1" customWidth="1"/>
    <col min="10" max="10" width="12" style="235" bestFit="1" customWidth="1"/>
    <col min="11" max="11" width="4.140625" style="235" bestFit="1" customWidth="1"/>
    <col min="12" max="12" width="12" style="235" bestFit="1" customWidth="1"/>
    <col min="13" max="13" width="14.28515625" style="235" bestFit="1" customWidth="1"/>
    <col min="14" max="14" width="11.140625" style="235" bestFit="1" customWidth="1"/>
    <col min="15" max="15" width="7.42578125" style="235" bestFit="1" customWidth="1"/>
    <col min="16" max="16" width="14.42578125" style="235" bestFit="1" customWidth="1"/>
    <col min="17" max="17" width="11.28515625" style="235" bestFit="1" customWidth="1"/>
    <col min="18" max="18" width="10.42578125" style="235" bestFit="1" customWidth="1"/>
    <col min="19" max="19" width="13" style="199" bestFit="1" customWidth="1"/>
    <col min="20" max="20" width="11.42578125" style="199"/>
    <col min="21" max="21" width="12.42578125" style="235" customWidth="1"/>
    <col min="22" max="22" width="11.85546875" style="235" customWidth="1"/>
    <col min="23" max="23" width="11.42578125" style="199"/>
    <col min="24" max="24" width="15.85546875" style="199" bestFit="1" customWidth="1"/>
    <col min="25" max="16384" width="11.42578125" style="199"/>
  </cols>
  <sheetData>
    <row r="1" spans="1:25" ht="15.75">
      <c r="C1" s="246"/>
      <c r="D1" s="246"/>
      <c r="E1" s="246"/>
      <c r="F1" s="246"/>
      <c r="G1" s="246"/>
      <c r="H1" s="374" t="s">
        <v>8309</v>
      </c>
      <c r="I1" s="372"/>
      <c r="J1" s="373"/>
      <c r="K1" s="371" t="s">
        <v>8308</v>
      </c>
      <c r="L1" s="372"/>
      <c r="M1" s="372"/>
      <c r="N1" s="372"/>
      <c r="O1" s="372"/>
      <c r="P1" s="372"/>
      <c r="Q1" s="372"/>
      <c r="R1" s="373"/>
      <c r="S1" s="376" t="s">
        <v>8371</v>
      </c>
      <c r="T1" s="377"/>
      <c r="U1" s="378" t="s">
        <v>8307</v>
      </c>
      <c r="V1" s="378"/>
      <c r="W1" s="379"/>
      <c r="X1" s="352"/>
    </row>
    <row r="2" spans="1:25">
      <c r="A2" s="245" t="s">
        <v>8306</v>
      </c>
      <c r="B2" s="245" t="s">
        <v>213</v>
      </c>
      <c r="C2" s="245" t="s">
        <v>22</v>
      </c>
      <c r="D2" s="245" t="s">
        <v>21</v>
      </c>
      <c r="E2" s="245" t="s">
        <v>8305</v>
      </c>
      <c r="F2" s="245" t="s">
        <v>8304</v>
      </c>
      <c r="G2" s="245" t="s">
        <v>8303</v>
      </c>
      <c r="H2" s="245" t="s">
        <v>8301</v>
      </c>
      <c r="I2" s="245" t="s">
        <v>8302</v>
      </c>
      <c r="J2" s="343" t="s">
        <v>8367</v>
      </c>
      <c r="K2" s="348" t="s">
        <v>8301</v>
      </c>
      <c r="L2" s="245" t="s">
        <v>8364</v>
      </c>
      <c r="M2" s="340" t="s">
        <v>8300</v>
      </c>
      <c r="N2" s="340" t="s">
        <v>8299</v>
      </c>
      <c r="O2" s="245" t="s">
        <v>8366</v>
      </c>
      <c r="P2" s="340" t="s">
        <v>8298</v>
      </c>
      <c r="Q2" s="340" t="s">
        <v>8297</v>
      </c>
      <c r="R2" s="349" t="s">
        <v>8365</v>
      </c>
      <c r="S2" s="346" t="s">
        <v>8369</v>
      </c>
      <c r="T2" s="340" t="s">
        <v>8370</v>
      </c>
      <c r="U2" s="244" t="s">
        <v>8296</v>
      </c>
      <c r="V2" s="244" t="s">
        <v>8295</v>
      </c>
      <c r="W2" s="351" t="s">
        <v>8372</v>
      </c>
      <c r="X2" s="353" t="s">
        <v>8373</v>
      </c>
      <c r="Y2" s="354" t="s">
        <v>8374</v>
      </c>
    </row>
    <row r="3" spans="1:25">
      <c r="A3" s="241" t="s">
        <v>8294</v>
      </c>
      <c r="B3" s="242">
        <v>41611</v>
      </c>
      <c r="C3" s="355">
        <v>15</v>
      </c>
      <c r="D3" s="355">
        <v>45</v>
      </c>
      <c r="E3" s="241" t="s">
        <v>8363</v>
      </c>
      <c r="F3" s="240" t="s">
        <v>7852</v>
      </c>
      <c r="G3" s="240" t="s">
        <v>21</v>
      </c>
      <c r="H3" s="240">
        <v>27</v>
      </c>
      <c r="I3" s="326">
        <v>898</v>
      </c>
      <c r="J3" s="344">
        <f>I3*L3</f>
        <v>126.03508771929823</v>
      </c>
      <c r="K3" s="350">
        <v>6</v>
      </c>
      <c r="L3" s="326">
        <f>R3/O3</f>
        <v>0.14035087719298245</v>
      </c>
      <c r="M3" s="380">
        <v>114</v>
      </c>
      <c r="N3" s="381"/>
      <c r="O3" s="342">
        <f t="shared" ref="O3:O10" si="0">M3+N3</f>
        <v>114</v>
      </c>
      <c r="P3" s="380">
        <v>16</v>
      </c>
      <c r="Q3" s="382"/>
      <c r="R3" s="344">
        <f t="shared" ref="R3:R10" si="1">P3+Q3</f>
        <v>16</v>
      </c>
      <c r="S3" s="347">
        <f t="shared" ref="S3:S26" si="2">(R3+J3)/100</f>
        <v>1.4203508771929825</v>
      </c>
      <c r="T3" s="345">
        <f>4.48*S3^(-0.25)</f>
        <v>4.1037330604406046</v>
      </c>
      <c r="U3" s="375">
        <v>3.1726000000000001</v>
      </c>
      <c r="V3" s="375"/>
      <c r="W3" s="239">
        <f>(U3*P3)</f>
        <v>50.761600000000001</v>
      </c>
      <c r="X3" s="239">
        <f>W3/R3</f>
        <v>3.1726000000000001</v>
      </c>
      <c r="Y3" s="239">
        <f>X3/T3</f>
        <v>0.77310096764904301</v>
      </c>
    </row>
    <row r="4" spans="1:25">
      <c r="A4" s="241" t="s">
        <v>8294</v>
      </c>
      <c r="B4" s="242">
        <v>41611</v>
      </c>
      <c r="C4" s="355">
        <v>15</v>
      </c>
      <c r="D4" s="355">
        <v>43</v>
      </c>
      <c r="E4" s="241" t="s">
        <v>8363</v>
      </c>
      <c r="F4" s="240" t="s">
        <v>8286</v>
      </c>
      <c r="G4" s="240" t="s">
        <v>21</v>
      </c>
      <c r="H4" s="240">
        <v>28</v>
      </c>
      <c r="I4" s="326">
        <v>1035</v>
      </c>
      <c r="J4" s="344">
        <f t="shared" ref="J4:J26" si="3">I4*L4</f>
        <v>130.73684210526315</v>
      </c>
      <c r="K4" s="350">
        <v>7</v>
      </c>
      <c r="L4" s="326">
        <f t="shared" ref="L4:L26" si="4">R4/O4</f>
        <v>0.12631578947368421</v>
      </c>
      <c r="M4" s="387">
        <v>190</v>
      </c>
      <c r="N4" s="388"/>
      <c r="O4" s="342">
        <f t="shared" si="0"/>
        <v>190</v>
      </c>
      <c r="P4" s="380">
        <v>24</v>
      </c>
      <c r="Q4" s="382"/>
      <c r="R4" s="344">
        <f t="shared" si="1"/>
        <v>24</v>
      </c>
      <c r="S4" s="347">
        <f t="shared" si="2"/>
        <v>1.5473684210526315</v>
      </c>
      <c r="T4" s="345">
        <f t="shared" ref="T4:T26" si="5">4.48*S4^(-0.25)</f>
        <v>4.0167942033359472</v>
      </c>
      <c r="U4" s="375">
        <v>2.9403000000000001</v>
      </c>
      <c r="V4" s="375"/>
      <c r="W4" s="239">
        <f t="shared" ref="W4:W10" si="6">(U4*P4)</f>
        <v>70.5672</v>
      </c>
      <c r="X4" s="239">
        <f t="shared" ref="X4:X26" si="7">W4/R4</f>
        <v>2.9403000000000001</v>
      </c>
      <c r="Y4" s="239">
        <f t="shared" ref="Y4:Y26" si="8">X4/T4</f>
        <v>0.73200165384576621</v>
      </c>
    </row>
    <row r="5" spans="1:25">
      <c r="A5" s="241" t="s">
        <v>8294</v>
      </c>
      <c r="B5" s="242">
        <v>41611</v>
      </c>
      <c r="C5" s="355">
        <v>16</v>
      </c>
      <c r="D5" s="355">
        <v>18</v>
      </c>
      <c r="E5" s="241" t="s">
        <v>8363</v>
      </c>
      <c r="F5" s="240" t="s">
        <v>7852</v>
      </c>
      <c r="G5" s="240" t="s">
        <v>21</v>
      </c>
      <c r="H5" s="240">
        <v>28</v>
      </c>
      <c r="I5" s="326">
        <v>820</v>
      </c>
      <c r="J5" s="344">
        <f t="shared" si="3"/>
        <v>111.1864406779661</v>
      </c>
      <c r="K5" s="350">
        <v>7</v>
      </c>
      <c r="L5" s="326">
        <f t="shared" si="4"/>
        <v>0.13559322033898305</v>
      </c>
      <c r="M5" s="383">
        <v>236</v>
      </c>
      <c r="N5" s="384"/>
      <c r="O5" s="342">
        <f t="shared" si="0"/>
        <v>236</v>
      </c>
      <c r="P5" s="380">
        <v>32</v>
      </c>
      <c r="Q5" s="382"/>
      <c r="R5" s="344">
        <f t="shared" si="1"/>
        <v>32</v>
      </c>
      <c r="S5" s="347">
        <f t="shared" si="2"/>
        <v>1.4318644067796611</v>
      </c>
      <c r="T5" s="345">
        <f t="shared" si="5"/>
        <v>4.0954586046985177</v>
      </c>
      <c r="U5" s="375">
        <v>3.0116000000000001</v>
      </c>
      <c r="V5" s="375"/>
      <c r="W5" s="239">
        <f t="shared" si="6"/>
        <v>96.371200000000002</v>
      </c>
      <c r="X5" s="239">
        <f t="shared" si="7"/>
        <v>3.0116000000000001</v>
      </c>
      <c r="Y5" s="239">
        <f t="shared" si="8"/>
        <v>0.73535110244917135</v>
      </c>
    </row>
    <row r="6" spans="1:25">
      <c r="A6" s="241" t="s">
        <v>8294</v>
      </c>
      <c r="B6" s="242">
        <v>41611</v>
      </c>
      <c r="C6" s="355">
        <v>16</v>
      </c>
      <c r="D6" s="355">
        <v>35</v>
      </c>
      <c r="E6" s="241" t="s">
        <v>8363</v>
      </c>
      <c r="F6" s="240" t="s">
        <v>8286</v>
      </c>
      <c r="G6" s="240" t="s">
        <v>21</v>
      </c>
      <c r="H6" s="240">
        <v>30</v>
      </c>
      <c r="I6" s="326">
        <v>790</v>
      </c>
      <c r="J6" s="344">
        <f t="shared" si="3"/>
        <v>119.41860465116278</v>
      </c>
      <c r="K6" s="350">
        <v>8</v>
      </c>
      <c r="L6" s="326">
        <f t="shared" si="4"/>
        <v>0.15116279069767441</v>
      </c>
      <c r="M6" s="383">
        <v>258</v>
      </c>
      <c r="N6" s="384"/>
      <c r="O6" s="342">
        <f t="shared" si="0"/>
        <v>258</v>
      </c>
      <c r="P6" s="380">
        <v>39</v>
      </c>
      <c r="Q6" s="382"/>
      <c r="R6" s="344">
        <f t="shared" si="1"/>
        <v>39</v>
      </c>
      <c r="S6" s="347">
        <f t="shared" si="2"/>
        <v>1.5841860465116278</v>
      </c>
      <c r="T6" s="345">
        <f t="shared" si="5"/>
        <v>3.9932497033563781</v>
      </c>
      <c r="U6" s="375">
        <v>2.3898999999999999</v>
      </c>
      <c r="V6" s="375"/>
      <c r="W6" s="239">
        <f t="shared" si="6"/>
        <v>93.206099999999992</v>
      </c>
      <c r="X6" s="239">
        <f t="shared" si="7"/>
        <v>2.3898999999999999</v>
      </c>
      <c r="Y6" s="239">
        <f t="shared" si="8"/>
        <v>0.59848498780110293</v>
      </c>
    </row>
    <row r="7" spans="1:25">
      <c r="A7" s="241" t="s">
        <v>8293</v>
      </c>
      <c r="B7" s="242">
        <v>41667</v>
      </c>
      <c r="C7" s="355">
        <v>15</v>
      </c>
      <c r="D7" s="355">
        <v>45</v>
      </c>
      <c r="E7" s="241" t="s">
        <v>8363</v>
      </c>
      <c r="F7" s="240" t="s">
        <v>7852</v>
      </c>
      <c r="G7" s="240" t="s">
        <v>21</v>
      </c>
      <c r="H7" s="240">
        <v>28</v>
      </c>
      <c r="I7" s="326">
        <v>730</v>
      </c>
      <c r="J7" s="344">
        <f t="shared" si="3"/>
        <v>113.76623376623377</v>
      </c>
      <c r="K7" s="350">
        <v>7</v>
      </c>
      <c r="L7" s="326">
        <f t="shared" si="4"/>
        <v>0.15584415584415584</v>
      </c>
      <c r="M7" s="383">
        <v>231</v>
      </c>
      <c r="N7" s="384"/>
      <c r="O7" s="342">
        <f t="shared" si="0"/>
        <v>231</v>
      </c>
      <c r="P7" s="380">
        <v>36</v>
      </c>
      <c r="Q7" s="382"/>
      <c r="R7" s="344">
        <f t="shared" si="1"/>
        <v>36</v>
      </c>
      <c r="S7" s="347">
        <f t="shared" si="2"/>
        <v>1.4976623376623377</v>
      </c>
      <c r="T7" s="345">
        <f t="shared" si="5"/>
        <v>4.0497157104245467</v>
      </c>
      <c r="U7" s="375">
        <v>2.6255000000000002</v>
      </c>
      <c r="V7" s="375"/>
      <c r="W7" s="239">
        <f t="shared" si="6"/>
        <v>94.518000000000001</v>
      </c>
      <c r="X7" s="239">
        <f t="shared" si="7"/>
        <v>2.6255000000000002</v>
      </c>
      <c r="Y7" s="239">
        <f t="shared" si="8"/>
        <v>0.64831711353011479</v>
      </c>
    </row>
    <row r="8" spans="1:25">
      <c r="A8" s="241" t="s">
        <v>8293</v>
      </c>
      <c r="B8" s="242">
        <v>41667</v>
      </c>
      <c r="C8" s="355">
        <v>15</v>
      </c>
      <c r="D8" s="355">
        <v>43</v>
      </c>
      <c r="E8" s="241" t="s">
        <v>8363</v>
      </c>
      <c r="F8" s="240" t="s">
        <v>8286</v>
      </c>
      <c r="G8" s="240" t="s">
        <v>21</v>
      </c>
      <c r="H8" s="240">
        <v>27</v>
      </c>
      <c r="I8" s="326">
        <v>841</v>
      </c>
      <c r="J8" s="344">
        <f t="shared" si="3"/>
        <v>140.16666666666666</v>
      </c>
      <c r="K8" s="350">
        <v>6</v>
      </c>
      <c r="L8" s="326">
        <f t="shared" si="4"/>
        <v>0.16666666666666666</v>
      </c>
      <c r="M8" s="383">
        <v>264</v>
      </c>
      <c r="N8" s="384"/>
      <c r="O8" s="342">
        <f t="shared" si="0"/>
        <v>264</v>
      </c>
      <c r="P8" s="380">
        <v>44</v>
      </c>
      <c r="Q8" s="382"/>
      <c r="R8" s="344">
        <f t="shared" si="1"/>
        <v>44</v>
      </c>
      <c r="S8" s="347">
        <f t="shared" si="2"/>
        <v>1.8416666666666666</v>
      </c>
      <c r="T8" s="345">
        <f t="shared" si="5"/>
        <v>3.8456987145323245</v>
      </c>
      <c r="U8" s="375">
        <v>2.3965000000000001</v>
      </c>
      <c r="V8" s="375"/>
      <c r="W8" s="239">
        <f t="shared" si="6"/>
        <v>105.446</v>
      </c>
      <c r="X8" s="239">
        <f t="shared" si="7"/>
        <v>2.3965000000000001</v>
      </c>
      <c r="Y8" s="239">
        <f t="shared" si="8"/>
        <v>0.6231637415962884</v>
      </c>
    </row>
    <row r="9" spans="1:25">
      <c r="A9" s="241" t="s">
        <v>8293</v>
      </c>
      <c r="B9" s="242">
        <v>41667</v>
      </c>
      <c r="C9" s="355">
        <v>16</v>
      </c>
      <c r="D9" s="355">
        <v>18</v>
      </c>
      <c r="E9" s="241" t="s">
        <v>8363</v>
      </c>
      <c r="F9" s="240" t="s">
        <v>7852</v>
      </c>
      <c r="G9" s="240" t="s">
        <v>21</v>
      </c>
      <c r="H9" s="240">
        <v>28</v>
      </c>
      <c r="I9" s="326">
        <v>719</v>
      </c>
      <c r="J9" s="344">
        <f t="shared" si="3"/>
        <v>111.91981132075472</v>
      </c>
      <c r="K9" s="350">
        <v>7</v>
      </c>
      <c r="L9" s="326">
        <f t="shared" si="4"/>
        <v>0.15566037735849056</v>
      </c>
      <c r="M9" s="383">
        <v>212</v>
      </c>
      <c r="N9" s="384"/>
      <c r="O9" s="342">
        <f t="shared" si="0"/>
        <v>212</v>
      </c>
      <c r="P9" s="380">
        <v>33</v>
      </c>
      <c r="Q9" s="382"/>
      <c r="R9" s="344">
        <f t="shared" si="1"/>
        <v>33</v>
      </c>
      <c r="S9" s="347">
        <f t="shared" si="2"/>
        <v>1.4491981132075471</v>
      </c>
      <c r="T9" s="345">
        <f t="shared" si="5"/>
        <v>4.0831569517751305</v>
      </c>
      <c r="U9" s="375">
        <v>2.8205</v>
      </c>
      <c r="V9" s="375"/>
      <c r="W9" s="239">
        <f t="shared" si="6"/>
        <v>93.076499999999996</v>
      </c>
      <c r="X9" s="239">
        <f t="shared" si="7"/>
        <v>2.8205</v>
      </c>
      <c r="Y9" s="239">
        <f t="shared" si="8"/>
        <v>0.69076453178558395</v>
      </c>
    </row>
    <row r="10" spans="1:25">
      <c r="A10" s="241" t="s">
        <v>8293</v>
      </c>
      <c r="B10" s="242">
        <v>41667</v>
      </c>
      <c r="C10" s="355">
        <v>16</v>
      </c>
      <c r="D10" s="355">
        <v>35</v>
      </c>
      <c r="E10" s="241" t="s">
        <v>8363</v>
      </c>
      <c r="F10" s="240" t="s">
        <v>8286</v>
      </c>
      <c r="G10" s="240" t="s">
        <v>21</v>
      </c>
      <c r="H10" s="240">
        <v>28</v>
      </c>
      <c r="I10" s="326">
        <v>698</v>
      </c>
      <c r="J10" s="344">
        <f t="shared" si="3"/>
        <v>123.94392523364485</v>
      </c>
      <c r="K10" s="350">
        <v>7</v>
      </c>
      <c r="L10" s="326">
        <f t="shared" si="4"/>
        <v>0.17757009345794392</v>
      </c>
      <c r="M10" s="385">
        <v>214</v>
      </c>
      <c r="N10" s="386"/>
      <c r="O10" s="342">
        <f t="shared" si="0"/>
        <v>214</v>
      </c>
      <c r="P10" s="380">
        <v>38</v>
      </c>
      <c r="Q10" s="382"/>
      <c r="R10" s="344">
        <f t="shared" si="1"/>
        <v>38</v>
      </c>
      <c r="S10" s="347">
        <f t="shared" si="2"/>
        <v>1.6194392523364485</v>
      </c>
      <c r="T10" s="345">
        <f t="shared" si="5"/>
        <v>3.9713379745968327</v>
      </c>
      <c r="U10" s="375">
        <v>2.3212999999999999</v>
      </c>
      <c r="V10" s="375"/>
      <c r="W10" s="239">
        <f t="shared" si="6"/>
        <v>88.209400000000002</v>
      </c>
      <c r="X10" s="239">
        <f t="shared" si="7"/>
        <v>2.3212999999999999</v>
      </c>
      <c r="Y10" s="239">
        <f t="shared" si="8"/>
        <v>0.58451333400694927</v>
      </c>
    </row>
    <row r="11" spans="1:25">
      <c r="A11" s="241" t="s">
        <v>8291</v>
      </c>
      <c r="B11" s="242">
        <v>41729</v>
      </c>
      <c r="C11" s="355">
        <v>4</v>
      </c>
      <c r="D11" s="355">
        <v>60</v>
      </c>
      <c r="E11" s="241" t="s">
        <v>8289</v>
      </c>
      <c r="F11" s="240" t="s">
        <v>7852</v>
      </c>
      <c r="G11" s="240" t="s">
        <v>8292</v>
      </c>
      <c r="H11" s="240">
        <v>29</v>
      </c>
      <c r="I11" s="326">
        <v>1388</v>
      </c>
      <c r="J11" s="344">
        <f t="shared" si="3"/>
        <v>211.21739130434784</v>
      </c>
      <c r="K11" s="350">
        <v>7</v>
      </c>
      <c r="L11" s="326">
        <f t="shared" si="4"/>
        <v>0.15217391304347827</v>
      </c>
      <c r="M11" s="326">
        <v>68</v>
      </c>
      <c r="N11" s="342">
        <v>116</v>
      </c>
      <c r="O11" s="342">
        <f>M11+N11</f>
        <v>184</v>
      </c>
      <c r="P11" s="341">
        <v>8</v>
      </c>
      <c r="Q11" s="341">
        <v>20</v>
      </c>
      <c r="R11" s="344">
        <f>P11+Q11</f>
        <v>28</v>
      </c>
      <c r="S11" s="347">
        <f t="shared" si="2"/>
        <v>2.3921739130434783</v>
      </c>
      <c r="T11" s="345">
        <f t="shared" si="5"/>
        <v>3.602299571999025</v>
      </c>
      <c r="U11" s="239">
        <v>6.7093999999999996</v>
      </c>
      <c r="V11" s="239">
        <v>3.8719000000000001</v>
      </c>
      <c r="W11" s="239">
        <f>(U11*P11)+(V11*Q11)</f>
        <v>131.11320000000001</v>
      </c>
      <c r="X11" s="239">
        <f t="shared" si="7"/>
        <v>4.6826142857142861</v>
      </c>
      <c r="Y11" s="239">
        <f t="shared" si="8"/>
        <v>1.2998958560006051</v>
      </c>
    </row>
    <row r="12" spans="1:25">
      <c r="A12" s="241" t="s">
        <v>8291</v>
      </c>
      <c r="B12" s="242">
        <v>41729</v>
      </c>
      <c r="C12" s="355">
        <v>6</v>
      </c>
      <c r="D12" s="355">
        <v>29</v>
      </c>
      <c r="E12" s="241" t="s">
        <v>8287</v>
      </c>
      <c r="F12" s="240" t="s">
        <v>7852</v>
      </c>
      <c r="G12" s="240" t="s">
        <v>8292</v>
      </c>
      <c r="H12" s="240">
        <v>23</v>
      </c>
      <c r="I12" s="326">
        <v>3160</v>
      </c>
      <c r="J12" s="344">
        <f t="shared" si="3"/>
        <v>499.83914209115278</v>
      </c>
      <c r="K12" s="350">
        <v>5</v>
      </c>
      <c r="L12" s="326">
        <f t="shared" si="4"/>
        <v>0.1581769436997319</v>
      </c>
      <c r="M12" s="240">
        <v>198</v>
      </c>
      <c r="N12" s="341">
        <v>548</v>
      </c>
      <c r="O12" s="342">
        <f t="shared" ref="O12:O26" si="9">M12+N12</f>
        <v>746</v>
      </c>
      <c r="P12" s="240">
        <v>24</v>
      </c>
      <c r="Q12" s="240">
        <v>94</v>
      </c>
      <c r="R12" s="344">
        <f t="shared" ref="R12:R26" si="10">P12+Q12</f>
        <v>118</v>
      </c>
      <c r="S12" s="347">
        <f t="shared" si="2"/>
        <v>6.1783914209115274</v>
      </c>
      <c r="T12" s="345">
        <f t="shared" si="5"/>
        <v>2.8415752360855415</v>
      </c>
      <c r="U12" s="239">
        <v>4.8937999999999997</v>
      </c>
      <c r="V12" s="239">
        <v>2.2906</v>
      </c>
      <c r="W12" s="239">
        <f t="shared" ref="W12:W26" si="11">(U12*P12)+(V12*Q12)</f>
        <v>332.76760000000002</v>
      </c>
      <c r="X12" s="239">
        <f t="shared" si="7"/>
        <v>2.820064406779661</v>
      </c>
      <c r="Y12" s="239">
        <f t="shared" si="8"/>
        <v>0.99242996313005838</v>
      </c>
    </row>
    <row r="13" spans="1:25">
      <c r="A13" s="241" t="s">
        <v>8291</v>
      </c>
      <c r="B13" s="242">
        <v>41729</v>
      </c>
      <c r="C13" s="355">
        <v>12</v>
      </c>
      <c r="D13" s="355">
        <v>47</v>
      </c>
      <c r="E13" s="241" t="s">
        <v>8287</v>
      </c>
      <c r="F13" s="240" t="s">
        <v>7852</v>
      </c>
      <c r="G13" s="240" t="s">
        <v>8292</v>
      </c>
      <c r="H13" s="240">
        <v>29</v>
      </c>
      <c r="I13" s="326">
        <v>2416</v>
      </c>
      <c r="J13" s="344">
        <f t="shared" si="3"/>
        <v>370.13927576601668</v>
      </c>
      <c r="K13" s="350">
        <v>7</v>
      </c>
      <c r="L13" s="326">
        <f t="shared" si="4"/>
        <v>0.15320334261838439</v>
      </c>
      <c r="M13" s="240">
        <v>196</v>
      </c>
      <c r="N13" s="240">
        <v>522</v>
      </c>
      <c r="O13" s="342">
        <f t="shared" si="9"/>
        <v>718</v>
      </c>
      <c r="P13" s="240">
        <v>24</v>
      </c>
      <c r="Q13" s="240">
        <v>86</v>
      </c>
      <c r="R13" s="344">
        <f t="shared" si="10"/>
        <v>110</v>
      </c>
      <c r="S13" s="347">
        <f t="shared" si="2"/>
        <v>4.8013927576601665</v>
      </c>
      <c r="T13" s="345">
        <f t="shared" si="5"/>
        <v>3.0264688322322764</v>
      </c>
      <c r="U13" s="239">
        <v>3.9815999999999998</v>
      </c>
      <c r="V13" s="239">
        <v>2.0945999999999998</v>
      </c>
      <c r="W13" s="239">
        <f t="shared" si="11"/>
        <v>275.69399999999996</v>
      </c>
      <c r="X13" s="239">
        <f t="shared" si="7"/>
        <v>2.5063090909090904</v>
      </c>
      <c r="Y13" s="239">
        <f t="shared" si="8"/>
        <v>0.82812982054088291</v>
      </c>
    </row>
    <row r="14" spans="1:25">
      <c r="A14" s="241" t="s">
        <v>8291</v>
      </c>
      <c r="B14" s="242">
        <v>41729</v>
      </c>
      <c r="C14" s="355">
        <v>14</v>
      </c>
      <c r="D14" s="355">
        <v>7</v>
      </c>
      <c r="E14" s="241" t="s">
        <v>8289</v>
      </c>
      <c r="F14" s="240" t="s">
        <v>7852</v>
      </c>
      <c r="G14" s="240" t="s">
        <v>8292</v>
      </c>
      <c r="H14" s="240">
        <v>31</v>
      </c>
      <c r="I14" s="326">
        <v>2962</v>
      </c>
      <c r="J14" s="344">
        <f t="shared" si="3"/>
        <v>416.10351201478744</v>
      </c>
      <c r="K14" s="350">
        <v>7</v>
      </c>
      <c r="L14" s="326">
        <f t="shared" si="4"/>
        <v>0.14048059149722736</v>
      </c>
      <c r="M14" s="240">
        <v>340</v>
      </c>
      <c r="N14" s="240">
        <v>742</v>
      </c>
      <c r="O14" s="342">
        <f t="shared" si="9"/>
        <v>1082</v>
      </c>
      <c r="P14" s="240">
        <v>40</v>
      </c>
      <c r="Q14" s="240">
        <v>112</v>
      </c>
      <c r="R14" s="344">
        <f t="shared" si="10"/>
        <v>152</v>
      </c>
      <c r="S14" s="347">
        <f t="shared" si="2"/>
        <v>5.6810351201478735</v>
      </c>
      <c r="T14" s="345">
        <f t="shared" si="5"/>
        <v>2.9018245157560396</v>
      </c>
      <c r="U14" s="239">
        <v>5.1454000000000004</v>
      </c>
      <c r="V14" s="239">
        <v>2.9554</v>
      </c>
      <c r="W14" s="239">
        <f t="shared" si="11"/>
        <v>536.82079999999996</v>
      </c>
      <c r="X14" s="239">
        <f t="shared" si="7"/>
        <v>3.5317157894736839</v>
      </c>
      <c r="Y14" s="239">
        <f t="shared" si="8"/>
        <v>1.2170673210242462</v>
      </c>
    </row>
    <row r="15" spans="1:25">
      <c r="A15" s="241" t="s">
        <v>8291</v>
      </c>
      <c r="B15" s="242">
        <v>41729</v>
      </c>
      <c r="C15" s="355">
        <v>4</v>
      </c>
      <c r="D15" s="355">
        <v>30</v>
      </c>
      <c r="E15" s="241" t="s">
        <v>8287</v>
      </c>
      <c r="F15" s="240" t="s">
        <v>8286</v>
      </c>
      <c r="G15" s="240" t="s">
        <v>8290</v>
      </c>
      <c r="H15" s="240">
        <v>28</v>
      </c>
      <c r="I15" s="326">
        <v>3814</v>
      </c>
      <c r="J15" s="344">
        <f t="shared" si="3"/>
        <v>674.29834254143645</v>
      </c>
      <c r="K15" s="350">
        <v>7</v>
      </c>
      <c r="L15" s="326">
        <f t="shared" si="4"/>
        <v>0.17679558011049723</v>
      </c>
      <c r="M15" s="240">
        <v>274</v>
      </c>
      <c r="N15" s="240">
        <v>450</v>
      </c>
      <c r="O15" s="342">
        <f t="shared" si="9"/>
        <v>724</v>
      </c>
      <c r="P15" s="240">
        <v>36</v>
      </c>
      <c r="Q15" s="240">
        <v>92</v>
      </c>
      <c r="R15" s="344">
        <f t="shared" si="10"/>
        <v>128</v>
      </c>
      <c r="S15" s="347">
        <f t="shared" si="2"/>
        <v>8.022983425414365</v>
      </c>
      <c r="T15" s="345">
        <f t="shared" si="5"/>
        <v>2.6619141218913898</v>
      </c>
      <c r="U15" s="239">
        <v>2.3963999999999999</v>
      </c>
      <c r="V15" s="239">
        <v>1.8104</v>
      </c>
      <c r="W15" s="239">
        <f t="shared" si="11"/>
        <v>252.8272</v>
      </c>
      <c r="X15" s="239">
        <f t="shared" si="7"/>
        <v>1.9752125</v>
      </c>
      <c r="Y15" s="239">
        <f t="shared" si="8"/>
        <v>0.74202713143748511</v>
      </c>
    </row>
    <row r="16" spans="1:25">
      <c r="A16" s="241" t="s">
        <v>8291</v>
      </c>
      <c r="B16" s="242">
        <v>41729</v>
      </c>
      <c r="C16" s="355">
        <v>7</v>
      </c>
      <c r="D16" s="355">
        <v>46</v>
      </c>
      <c r="E16" s="241" t="s">
        <v>8289</v>
      </c>
      <c r="F16" s="240" t="s">
        <v>8286</v>
      </c>
      <c r="G16" s="240" t="s">
        <v>8290</v>
      </c>
      <c r="H16" s="240">
        <v>30</v>
      </c>
      <c r="I16" s="326">
        <v>3852</v>
      </c>
      <c r="J16" s="344">
        <f t="shared" si="3"/>
        <v>512.19672131147536</v>
      </c>
      <c r="K16" s="350">
        <v>7</v>
      </c>
      <c r="L16" s="326">
        <f t="shared" si="4"/>
        <v>0.13296903460837886</v>
      </c>
      <c r="M16" s="240">
        <v>360</v>
      </c>
      <c r="N16" s="240">
        <v>738</v>
      </c>
      <c r="O16" s="342">
        <f t="shared" si="9"/>
        <v>1098</v>
      </c>
      <c r="P16" s="240">
        <v>40</v>
      </c>
      <c r="Q16" s="240">
        <v>106</v>
      </c>
      <c r="R16" s="344">
        <f t="shared" si="10"/>
        <v>146</v>
      </c>
      <c r="S16" s="347">
        <f t="shared" si="2"/>
        <v>6.581967213114754</v>
      </c>
      <c r="T16" s="345">
        <f t="shared" si="5"/>
        <v>2.7969782251703941</v>
      </c>
      <c r="U16" s="239">
        <v>4.1993999999999998</v>
      </c>
      <c r="V16" s="239">
        <v>2.6126999999999998</v>
      </c>
      <c r="W16" s="239">
        <f t="shared" si="11"/>
        <v>444.92219999999998</v>
      </c>
      <c r="X16" s="239">
        <f t="shared" si="7"/>
        <v>3.0474123287671233</v>
      </c>
      <c r="Y16" s="239">
        <f t="shared" si="8"/>
        <v>1.0895373804997972</v>
      </c>
    </row>
    <row r="17" spans="1:25">
      <c r="A17" s="241" t="s">
        <v>8291</v>
      </c>
      <c r="B17" s="242">
        <v>41729</v>
      </c>
      <c r="C17" s="355">
        <v>13</v>
      </c>
      <c r="D17" s="355">
        <v>10</v>
      </c>
      <c r="E17" s="241" t="s">
        <v>8289</v>
      </c>
      <c r="F17" s="240" t="s">
        <v>8286</v>
      </c>
      <c r="G17" s="240" t="s">
        <v>8290</v>
      </c>
      <c r="H17" s="240">
        <v>31</v>
      </c>
      <c r="I17" s="326">
        <v>3198</v>
      </c>
      <c r="J17" s="344">
        <f t="shared" si="3"/>
        <v>466.57750759878417</v>
      </c>
      <c r="K17" s="350">
        <v>7</v>
      </c>
      <c r="L17" s="326">
        <f t="shared" si="4"/>
        <v>0.1458966565349544</v>
      </c>
      <c r="M17" s="240">
        <v>246</v>
      </c>
      <c r="N17" s="240">
        <v>412</v>
      </c>
      <c r="O17" s="342">
        <f t="shared" si="9"/>
        <v>658</v>
      </c>
      <c r="P17" s="240">
        <v>32</v>
      </c>
      <c r="Q17" s="240">
        <v>64</v>
      </c>
      <c r="R17" s="344">
        <f t="shared" si="10"/>
        <v>96</v>
      </c>
      <c r="S17" s="347">
        <f t="shared" si="2"/>
        <v>5.6257750759878427</v>
      </c>
      <c r="T17" s="345">
        <f t="shared" si="5"/>
        <v>2.9089243217279726</v>
      </c>
      <c r="U17" s="243">
        <v>2.6732999999999998</v>
      </c>
      <c r="V17" s="243">
        <v>3.92</v>
      </c>
      <c r="W17" s="239">
        <f t="shared" si="11"/>
        <v>336.42559999999997</v>
      </c>
      <c r="X17" s="239">
        <f t="shared" si="7"/>
        <v>3.5044333333333331</v>
      </c>
      <c r="Y17" s="239">
        <f t="shared" si="8"/>
        <v>1.2047179457909079</v>
      </c>
    </row>
    <row r="18" spans="1:25">
      <c r="A18" s="241" t="s">
        <v>8291</v>
      </c>
      <c r="B18" s="242">
        <v>41729</v>
      </c>
      <c r="C18" s="355">
        <v>15</v>
      </c>
      <c r="D18" s="355">
        <v>54</v>
      </c>
      <c r="E18" s="241" t="s">
        <v>8287</v>
      </c>
      <c r="F18" s="240" t="s">
        <v>8286</v>
      </c>
      <c r="G18" s="240" t="s">
        <v>8290</v>
      </c>
      <c r="H18" s="240">
        <v>28</v>
      </c>
      <c r="I18" s="326">
        <v>3776</v>
      </c>
      <c r="J18" s="344">
        <f t="shared" si="3"/>
        <v>526.58503401360542</v>
      </c>
      <c r="K18" s="350">
        <v>7</v>
      </c>
      <c r="L18" s="326">
        <f t="shared" si="4"/>
        <v>0.13945578231292516</v>
      </c>
      <c r="M18" s="240">
        <v>200</v>
      </c>
      <c r="N18" s="240">
        <v>388</v>
      </c>
      <c r="O18" s="342">
        <f t="shared" si="9"/>
        <v>588</v>
      </c>
      <c r="P18" s="240">
        <v>20</v>
      </c>
      <c r="Q18" s="240">
        <v>62</v>
      </c>
      <c r="R18" s="344">
        <f t="shared" si="10"/>
        <v>82</v>
      </c>
      <c r="S18" s="347">
        <f t="shared" si="2"/>
        <v>6.0858503401360542</v>
      </c>
      <c r="T18" s="345">
        <f t="shared" si="5"/>
        <v>2.8523163864632721</v>
      </c>
      <c r="U18" s="239">
        <v>3.8163999999999998</v>
      </c>
      <c r="V18" s="239">
        <v>1.9544999999999999</v>
      </c>
      <c r="W18" s="239">
        <f t="shared" si="11"/>
        <v>197.50700000000001</v>
      </c>
      <c r="X18" s="239">
        <f t="shared" si="7"/>
        <v>2.4086219512195122</v>
      </c>
      <c r="Y18" s="239">
        <f t="shared" si="8"/>
        <v>0.84444417269084282</v>
      </c>
    </row>
    <row r="19" spans="1:25">
      <c r="A19" s="241" t="s">
        <v>8288</v>
      </c>
      <c r="B19" s="242">
        <v>41761</v>
      </c>
      <c r="C19" s="355">
        <v>4</v>
      </c>
      <c r="D19" s="355">
        <v>60</v>
      </c>
      <c r="E19" s="241" t="s">
        <v>8289</v>
      </c>
      <c r="F19" s="240" t="s">
        <v>7852</v>
      </c>
      <c r="G19" s="240" t="s">
        <v>21</v>
      </c>
      <c r="H19" s="240">
        <v>29</v>
      </c>
      <c r="I19" s="326">
        <v>2962</v>
      </c>
      <c r="J19" s="344">
        <f t="shared" si="3"/>
        <v>617.08333333333337</v>
      </c>
      <c r="K19" s="350">
        <v>8</v>
      </c>
      <c r="L19" s="326">
        <f t="shared" si="4"/>
        <v>0.20833333333333334</v>
      </c>
      <c r="M19" s="240">
        <v>90</v>
      </c>
      <c r="N19" s="240">
        <v>630</v>
      </c>
      <c r="O19" s="342">
        <f t="shared" si="9"/>
        <v>720</v>
      </c>
      <c r="P19" s="240">
        <v>10</v>
      </c>
      <c r="Q19" s="240">
        <v>140</v>
      </c>
      <c r="R19" s="344">
        <f t="shared" si="10"/>
        <v>150</v>
      </c>
      <c r="S19" s="347">
        <f t="shared" si="2"/>
        <v>7.6708333333333334</v>
      </c>
      <c r="T19" s="345">
        <f t="shared" si="5"/>
        <v>2.6919524063227827</v>
      </c>
      <c r="U19" s="239">
        <v>4.4863999999999997</v>
      </c>
      <c r="V19" s="239">
        <v>2.1612</v>
      </c>
      <c r="W19" s="239">
        <f t="shared" si="11"/>
        <v>347.43199999999996</v>
      </c>
      <c r="X19" s="239">
        <f t="shared" si="7"/>
        <v>2.3162133333333332</v>
      </c>
      <c r="Y19" s="239">
        <f>X19/T19</f>
        <v>0.86042135362165983</v>
      </c>
    </row>
    <row r="20" spans="1:25">
      <c r="A20" s="241" t="s">
        <v>8288</v>
      </c>
      <c r="B20" s="242">
        <v>41761</v>
      </c>
      <c r="C20" s="355">
        <v>6</v>
      </c>
      <c r="D20" s="355">
        <v>29</v>
      </c>
      <c r="E20" s="241" t="s">
        <v>8287</v>
      </c>
      <c r="F20" s="240" t="s">
        <v>7852</v>
      </c>
      <c r="G20" s="240" t="s">
        <v>21</v>
      </c>
      <c r="H20" s="240">
        <v>28</v>
      </c>
      <c r="I20" s="326">
        <v>3994</v>
      </c>
      <c r="J20" s="344">
        <f t="shared" si="3"/>
        <v>801.76951672862458</v>
      </c>
      <c r="K20" s="350">
        <v>5</v>
      </c>
      <c r="L20" s="326">
        <f t="shared" si="4"/>
        <v>0.20074349442379183</v>
      </c>
      <c r="M20" s="240">
        <v>94</v>
      </c>
      <c r="N20" s="240">
        <v>982</v>
      </c>
      <c r="O20" s="342">
        <f t="shared" si="9"/>
        <v>1076</v>
      </c>
      <c r="P20" s="240">
        <v>10</v>
      </c>
      <c r="Q20" s="240">
        <v>206</v>
      </c>
      <c r="R20" s="344">
        <f t="shared" si="10"/>
        <v>216</v>
      </c>
      <c r="S20" s="347">
        <f t="shared" si="2"/>
        <v>10.177695167286245</v>
      </c>
      <c r="T20" s="345">
        <f t="shared" si="5"/>
        <v>2.50822016006255</v>
      </c>
      <c r="U20" s="239">
        <v>3.2214999999999998</v>
      </c>
      <c r="V20" s="239">
        <v>1.6575</v>
      </c>
      <c r="W20" s="239">
        <f t="shared" si="11"/>
        <v>373.65999999999997</v>
      </c>
      <c r="X20" s="239">
        <f t="shared" si="7"/>
        <v>1.7299074074074072</v>
      </c>
      <c r="Y20" s="239">
        <f t="shared" si="8"/>
        <v>0.6896952009843772</v>
      </c>
    </row>
    <row r="21" spans="1:25">
      <c r="A21" s="241" t="s">
        <v>8288</v>
      </c>
      <c r="B21" s="242">
        <v>41761</v>
      </c>
      <c r="C21" s="355">
        <v>12</v>
      </c>
      <c r="D21" s="355">
        <v>47</v>
      </c>
      <c r="E21" s="241" t="s">
        <v>8287</v>
      </c>
      <c r="F21" s="240" t="s">
        <v>7852</v>
      </c>
      <c r="G21" s="240" t="s">
        <v>21</v>
      </c>
      <c r="H21" s="240">
        <v>29</v>
      </c>
      <c r="I21" s="326">
        <v>3476</v>
      </c>
      <c r="J21" s="344">
        <f t="shared" si="3"/>
        <v>804.62962962962968</v>
      </c>
      <c r="K21" s="350">
        <v>7</v>
      </c>
      <c r="L21" s="326">
        <f t="shared" si="4"/>
        <v>0.23148148148148148</v>
      </c>
      <c r="M21" s="240">
        <v>20</v>
      </c>
      <c r="N21" s="240">
        <v>520</v>
      </c>
      <c r="O21" s="342">
        <f t="shared" si="9"/>
        <v>540</v>
      </c>
      <c r="P21" s="240">
        <v>3</v>
      </c>
      <c r="Q21" s="240">
        <v>122</v>
      </c>
      <c r="R21" s="344">
        <f t="shared" si="10"/>
        <v>125</v>
      </c>
      <c r="S21" s="347">
        <f t="shared" si="2"/>
        <v>9.2962962962962976</v>
      </c>
      <c r="T21" s="345">
        <f t="shared" si="5"/>
        <v>2.5656683965961187</v>
      </c>
      <c r="U21" s="239">
        <v>2.2955999999999999</v>
      </c>
      <c r="V21" s="239">
        <v>1.3686</v>
      </c>
      <c r="W21" s="239">
        <f t="shared" si="11"/>
        <v>173.85599999999999</v>
      </c>
      <c r="X21" s="239">
        <f t="shared" si="7"/>
        <v>1.3908479999999999</v>
      </c>
      <c r="Y21" s="239">
        <f t="shared" si="8"/>
        <v>0.5420996734594552</v>
      </c>
    </row>
    <row r="22" spans="1:25">
      <c r="A22" s="241" t="s">
        <v>8288</v>
      </c>
      <c r="B22" s="242">
        <v>41761</v>
      </c>
      <c r="C22" s="355">
        <v>14</v>
      </c>
      <c r="D22" s="355">
        <v>7</v>
      </c>
      <c r="E22" s="241" t="s">
        <v>8289</v>
      </c>
      <c r="F22" s="240" t="s">
        <v>7852</v>
      </c>
      <c r="G22" s="240" t="s">
        <v>21</v>
      </c>
      <c r="H22" s="240">
        <v>30</v>
      </c>
      <c r="I22" s="326">
        <v>5132</v>
      </c>
      <c r="J22" s="344">
        <f t="shared" si="3"/>
        <v>1001.021978021978</v>
      </c>
      <c r="K22" s="350">
        <v>6</v>
      </c>
      <c r="L22" s="326">
        <f t="shared" si="4"/>
        <v>0.19505494505494506</v>
      </c>
      <c r="M22" s="240">
        <v>84</v>
      </c>
      <c r="N22" s="240">
        <v>644</v>
      </c>
      <c r="O22" s="342">
        <f t="shared" si="9"/>
        <v>728</v>
      </c>
      <c r="P22" s="240">
        <v>10</v>
      </c>
      <c r="Q22" s="240">
        <v>132</v>
      </c>
      <c r="R22" s="344">
        <f t="shared" si="10"/>
        <v>142</v>
      </c>
      <c r="S22" s="347">
        <f t="shared" si="2"/>
        <v>11.430219780219781</v>
      </c>
      <c r="T22" s="345">
        <f t="shared" si="5"/>
        <v>2.4364885158976106</v>
      </c>
      <c r="U22" s="239">
        <v>3.5118</v>
      </c>
      <c r="V22" s="239">
        <v>1.7937000000000001</v>
      </c>
      <c r="W22" s="239">
        <f t="shared" si="11"/>
        <v>271.88640000000004</v>
      </c>
      <c r="X22" s="239">
        <f t="shared" si="7"/>
        <v>1.9146929577464791</v>
      </c>
      <c r="Y22" s="239">
        <f t="shared" si="8"/>
        <v>0.78584115839392732</v>
      </c>
    </row>
    <row r="23" spans="1:25">
      <c r="A23" s="241" t="s">
        <v>8288</v>
      </c>
      <c r="B23" s="242">
        <v>41761</v>
      </c>
      <c r="C23" s="355">
        <v>4</v>
      </c>
      <c r="D23" s="355">
        <v>30</v>
      </c>
      <c r="E23" s="241" t="s">
        <v>8287</v>
      </c>
      <c r="F23" s="240" t="s">
        <v>8286</v>
      </c>
      <c r="G23" s="240" t="s">
        <v>21</v>
      </c>
      <c r="H23" s="240">
        <v>29</v>
      </c>
      <c r="I23" s="326">
        <v>4164</v>
      </c>
      <c r="J23" s="344">
        <f t="shared" si="3"/>
        <v>871.53488372093022</v>
      </c>
      <c r="K23" s="350">
        <v>6</v>
      </c>
      <c r="L23" s="326">
        <f t="shared" si="4"/>
        <v>0.20930232558139536</v>
      </c>
      <c r="M23" s="240">
        <v>40</v>
      </c>
      <c r="N23" s="240">
        <v>906</v>
      </c>
      <c r="O23" s="342">
        <f t="shared" si="9"/>
        <v>946</v>
      </c>
      <c r="P23" s="240">
        <v>4</v>
      </c>
      <c r="Q23" s="240">
        <v>194</v>
      </c>
      <c r="R23" s="344">
        <f t="shared" si="10"/>
        <v>198</v>
      </c>
      <c r="S23" s="347">
        <f t="shared" si="2"/>
        <v>10.695348837209304</v>
      </c>
      <c r="T23" s="345">
        <f t="shared" si="5"/>
        <v>2.4773038380571601</v>
      </c>
      <c r="U23" s="239">
        <v>3.2730999999999999</v>
      </c>
      <c r="V23" s="239">
        <v>1.4704999999999999</v>
      </c>
      <c r="W23" s="239">
        <f t="shared" si="11"/>
        <v>298.36939999999998</v>
      </c>
      <c r="X23" s="239">
        <f t="shared" si="7"/>
        <v>1.5069161616161615</v>
      </c>
      <c r="Y23" s="239">
        <f t="shared" si="8"/>
        <v>0.60828879302829852</v>
      </c>
    </row>
    <row r="24" spans="1:25">
      <c r="A24" s="241" t="s">
        <v>8288</v>
      </c>
      <c r="B24" s="242">
        <v>41761</v>
      </c>
      <c r="C24" s="355">
        <v>7</v>
      </c>
      <c r="D24" s="355">
        <v>46</v>
      </c>
      <c r="E24" s="241" t="s">
        <v>8289</v>
      </c>
      <c r="F24" s="240" t="s">
        <v>8286</v>
      </c>
      <c r="G24" s="240" t="s">
        <v>21</v>
      </c>
      <c r="H24" s="240">
        <v>28</v>
      </c>
      <c r="I24" s="326">
        <v>4646</v>
      </c>
      <c r="J24" s="344">
        <f t="shared" si="3"/>
        <v>875.5025125628141</v>
      </c>
      <c r="K24" s="350">
        <v>6</v>
      </c>
      <c r="L24" s="326">
        <f t="shared" si="4"/>
        <v>0.18844221105527639</v>
      </c>
      <c r="M24" s="240">
        <v>86</v>
      </c>
      <c r="N24" s="240">
        <v>710</v>
      </c>
      <c r="O24" s="342">
        <f t="shared" si="9"/>
        <v>796</v>
      </c>
      <c r="P24" s="240">
        <v>8</v>
      </c>
      <c r="Q24" s="240">
        <v>142</v>
      </c>
      <c r="R24" s="344">
        <f t="shared" si="10"/>
        <v>150</v>
      </c>
      <c r="S24" s="347">
        <f t="shared" si="2"/>
        <v>10.255025125628141</v>
      </c>
      <c r="T24" s="345">
        <f t="shared" si="5"/>
        <v>2.5034783028535732</v>
      </c>
      <c r="U24" s="239">
        <v>3.4508999999999999</v>
      </c>
      <c r="V24" s="239">
        <v>1.62</v>
      </c>
      <c r="W24" s="239">
        <f t="shared" si="11"/>
        <v>257.6472</v>
      </c>
      <c r="X24" s="239">
        <f t="shared" si="7"/>
        <v>1.7176480000000001</v>
      </c>
      <c r="Y24" s="239">
        <f t="shared" si="8"/>
        <v>0.6861046081534441</v>
      </c>
    </row>
    <row r="25" spans="1:25">
      <c r="A25" s="241" t="s">
        <v>8288</v>
      </c>
      <c r="B25" s="242">
        <v>41761</v>
      </c>
      <c r="C25" s="355">
        <v>13</v>
      </c>
      <c r="D25" s="355">
        <v>10</v>
      </c>
      <c r="E25" s="241" t="s">
        <v>8289</v>
      </c>
      <c r="F25" s="240" t="s">
        <v>8286</v>
      </c>
      <c r="G25" s="240" t="s">
        <v>21</v>
      </c>
      <c r="H25" s="240">
        <v>27</v>
      </c>
      <c r="I25" s="326">
        <v>4426</v>
      </c>
      <c r="J25" s="344">
        <f t="shared" si="3"/>
        <v>845.51267056530207</v>
      </c>
      <c r="K25" s="350">
        <v>7</v>
      </c>
      <c r="L25" s="326">
        <f t="shared" si="4"/>
        <v>0.19103313840155944</v>
      </c>
      <c r="M25" s="240">
        <v>80</v>
      </c>
      <c r="N25" s="240">
        <v>946</v>
      </c>
      <c r="O25" s="342">
        <f t="shared" si="9"/>
        <v>1026</v>
      </c>
      <c r="P25" s="240">
        <v>8</v>
      </c>
      <c r="Q25" s="240">
        <v>188</v>
      </c>
      <c r="R25" s="344">
        <f t="shared" si="10"/>
        <v>196</v>
      </c>
      <c r="S25" s="347">
        <f t="shared" si="2"/>
        <v>10.415126705653019</v>
      </c>
      <c r="T25" s="345">
        <f t="shared" si="5"/>
        <v>2.4938014582861654</v>
      </c>
      <c r="U25" s="243">
        <v>1.7806999999999999</v>
      </c>
      <c r="V25" s="243">
        <v>2.407</v>
      </c>
      <c r="W25" s="239">
        <f t="shared" si="11"/>
        <v>466.76160000000004</v>
      </c>
      <c r="X25" s="239">
        <f t="shared" si="7"/>
        <v>2.3814367346938776</v>
      </c>
      <c r="Y25" s="239">
        <f t="shared" si="8"/>
        <v>0.95494239398291592</v>
      </c>
    </row>
    <row r="26" spans="1:25">
      <c r="A26" s="241" t="s">
        <v>8288</v>
      </c>
      <c r="B26" s="242">
        <v>41761</v>
      </c>
      <c r="C26" s="355">
        <v>15</v>
      </c>
      <c r="D26" s="355">
        <v>54</v>
      </c>
      <c r="E26" s="241" t="s">
        <v>8287</v>
      </c>
      <c r="F26" s="240" t="s">
        <v>8286</v>
      </c>
      <c r="G26" s="240" t="s">
        <v>21</v>
      </c>
      <c r="H26" s="240">
        <v>27</v>
      </c>
      <c r="I26" s="326">
        <v>4302</v>
      </c>
      <c r="J26" s="344">
        <f t="shared" si="3"/>
        <v>785.03649635036493</v>
      </c>
      <c r="K26" s="350">
        <v>5</v>
      </c>
      <c r="L26" s="326">
        <f t="shared" si="4"/>
        <v>0.18248175182481752</v>
      </c>
      <c r="M26" s="240">
        <v>96</v>
      </c>
      <c r="N26" s="240">
        <v>452</v>
      </c>
      <c r="O26" s="342">
        <f t="shared" si="9"/>
        <v>548</v>
      </c>
      <c r="P26" s="240">
        <v>4</v>
      </c>
      <c r="Q26" s="240">
        <v>96</v>
      </c>
      <c r="R26" s="344">
        <f t="shared" si="10"/>
        <v>100</v>
      </c>
      <c r="S26" s="347">
        <f t="shared" si="2"/>
        <v>8.8503649635036492</v>
      </c>
      <c r="T26" s="345">
        <f t="shared" si="5"/>
        <v>2.5973933181637512</v>
      </c>
      <c r="U26" s="239">
        <v>3.5737000000000001</v>
      </c>
      <c r="V26" s="239">
        <v>1.3769</v>
      </c>
      <c r="W26" s="239">
        <f t="shared" si="11"/>
        <v>146.47720000000001</v>
      </c>
      <c r="X26" s="239">
        <f t="shared" si="7"/>
        <v>1.4647720000000002</v>
      </c>
      <c r="Y26" s="239">
        <f t="shared" si="8"/>
        <v>0.5639392346768386</v>
      </c>
    </row>
    <row r="27" spans="1:25">
      <c r="P27" s="238"/>
      <c r="Q27" s="238"/>
    </row>
    <row r="28" spans="1:25">
      <c r="A28" s="237" t="s">
        <v>8285</v>
      </c>
      <c r="P28" s="238"/>
      <c r="Q28" s="238"/>
    </row>
    <row r="29" spans="1:25">
      <c r="A29" s="236" t="s">
        <v>8284</v>
      </c>
      <c r="P29" s="238"/>
      <c r="Q29" s="238"/>
    </row>
    <row r="30" spans="1:25">
      <c r="A30" s="236" t="s">
        <v>8283</v>
      </c>
    </row>
    <row r="31" spans="1:25">
      <c r="A31" s="236" t="s">
        <v>8282</v>
      </c>
    </row>
    <row r="32" spans="1:25">
      <c r="A32" s="237" t="s">
        <v>8281</v>
      </c>
      <c r="P32" s="238"/>
      <c r="Q32" s="238"/>
    </row>
    <row r="33" spans="1:17">
      <c r="A33" s="237" t="s">
        <v>8280</v>
      </c>
      <c r="P33" s="238"/>
      <c r="Q33" s="238"/>
    </row>
    <row r="34" spans="1:17">
      <c r="A34" s="237" t="s">
        <v>8279</v>
      </c>
    </row>
    <row r="35" spans="1:17">
      <c r="A35" s="236" t="s">
        <v>8278</v>
      </c>
    </row>
    <row r="36" spans="1:17">
      <c r="A36" s="236" t="s">
        <v>8277</v>
      </c>
    </row>
    <row r="37" spans="1:17">
      <c r="A37" s="236" t="s">
        <v>8276</v>
      </c>
    </row>
    <row r="38" spans="1:17">
      <c r="A38" s="236" t="s">
        <v>8275</v>
      </c>
    </row>
    <row r="40" spans="1:17">
      <c r="A40" s="235" t="s">
        <v>8368</v>
      </c>
    </row>
  </sheetData>
  <sheetProtection selectLockedCells="1" selectUnlockedCells="1"/>
  <mergeCells count="28">
    <mergeCell ref="M9:N9"/>
    <mergeCell ref="M10:N10"/>
    <mergeCell ref="M4:N4"/>
    <mergeCell ref="M5:N5"/>
    <mergeCell ref="M6:N6"/>
    <mergeCell ref="M7:N7"/>
    <mergeCell ref="M8:N8"/>
    <mergeCell ref="U10:V10"/>
    <mergeCell ref="U8:V8"/>
    <mergeCell ref="U9:V9"/>
    <mergeCell ref="P3:Q3"/>
    <mergeCell ref="P4:Q4"/>
    <mergeCell ref="P5:Q5"/>
    <mergeCell ref="P6:Q6"/>
    <mergeCell ref="P7:Q7"/>
    <mergeCell ref="P8:Q8"/>
    <mergeCell ref="U4:V4"/>
    <mergeCell ref="U5:V5"/>
    <mergeCell ref="U7:V7"/>
    <mergeCell ref="U6:V6"/>
    <mergeCell ref="P9:Q9"/>
    <mergeCell ref="P10:Q10"/>
    <mergeCell ref="K1:R1"/>
    <mergeCell ref="H1:J1"/>
    <mergeCell ref="U3:V3"/>
    <mergeCell ref="S1:T1"/>
    <mergeCell ref="U1:W1"/>
    <mergeCell ref="M3:N3"/>
  </mergeCells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51"/>
  <sheetViews>
    <sheetView zoomScale="60" zoomScaleNormal="60" workbookViewId="0">
      <selection activeCell="BR34" sqref="BR34"/>
    </sheetView>
  </sheetViews>
  <sheetFormatPr baseColWidth="10" defaultRowHeight="12"/>
  <cols>
    <col min="1" max="1" width="6.85546875" style="199" bestFit="1" customWidth="1"/>
    <col min="2" max="2" width="4.42578125" style="199" bestFit="1" customWidth="1"/>
    <col min="3" max="10" width="6" style="199" bestFit="1" customWidth="1"/>
    <col min="11" max="78" width="6.85546875" style="199" bestFit="1" customWidth="1"/>
    <col min="79" max="16384" width="11.42578125" style="199"/>
  </cols>
  <sheetData>
    <row r="1" spans="1:79" ht="12.75" thickBot="1">
      <c r="A1" s="247"/>
    </row>
    <row r="2" spans="1:79" ht="28.5" thickTop="1" thickBot="1">
      <c r="A2" s="248">
        <v>17</v>
      </c>
      <c r="B2" s="249" t="s">
        <v>8310</v>
      </c>
      <c r="C2" s="250">
        <v>123</v>
      </c>
      <c r="D2" s="251">
        <v>28</v>
      </c>
      <c r="E2" s="251">
        <v>27</v>
      </c>
      <c r="F2" s="251">
        <v>263</v>
      </c>
      <c r="G2" s="251">
        <v>145</v>
      </c>
      <c r="H2" s="251">
        <v>219</v>
      </c>
      <c r="I2" s="251">
        <v>172</v>
      </c>
      <c r="J2" s="251">
        <v>73</v>
      </c>
      <c r="K2" s="251">
        <v>57</v>
      </c>
      <c r="L2" s="251">
        <v>181</v>
      </c>
      <c r="M2" s="251">
        <v>9</v>
      </c>
      <c r="N2" s="251">
        <v>8</v>
      </c>
      <c r="O2" s="251">
        <v>54</v>
      </c>
      <c r="P2" s="251">
        <v>149</v>
      </c>
      <c r="Q2" s="251">
        <v>30</v>
      </c>
      <c r="R2" s="251">
        <v>206</v>
      </c>
      <c r="S2" s="251">
        <v>252</v>
      </c>
      <c r="T2" s="251">
        <v>281</v>
      </c>
      <c r="U2" s="251">
        <v>169</v>
      </c>
      <c r="V2" s="251">
        <v>143</v>
      </c>
      <c r="W2" s="251">
        <v>231</v>
      </c>
      <c r="X2" s="251">
        <v>39</v>
      </c>
      <c r="Y2" s="251">
        <v>157</v>
      </c>
      <c r="Z2" s="251">
        <v>248</v>
      </c>
      <c r="AA2" s="251">
        <v>99</v>
      </c>
      <c r="AB2" s="251">
        <v>115</v>
      </c>
      <c r="AC2" s="251">
        <v>66</v>
      </c>
      <c r="AD2" s="251">
        <v>184</v>
      </c>
      <c r="AE2" s="251">
        <v>193</v>
      </c>
      <c r="AF2" s="251">
        <v>97</v>
      </c>
      <c r="AG2" s="251">
        <v>1</v>
      </c>
      <c r="AH2" s="251">
        <v>81</v>
      </c>
      <c r="AI2" s="251">
        <v>111</v>
      </c>
      <c r="AJ2" s="251">
        <v>56</v>
      </c>
      <c r="AK2" s="251">
        <v>138</v>
      </c>
      <c r="AL2" s="252">
        <v>211</v>
      </c>
      <c r="AM2" s="253" t="s">
        <v>8310</v>
      </c>
      <c r="AN2" s="254"/>
      <c r="AO2" s="255" t="s">
        <v>8310</v>
      </c>
      <c r="AP2" s="256">
        <v>82</v>
      </c>
      <c r="AQ2" s="257">
        <v>243</v>
      </c>
      <c r="AR2" s="257">
        <v>16</v>
      </c>
      <c r="AS2" s="257">
        <v>203</v>
      </c>
      <c r="AT2" s="258">
        <v>285</v>
      </c>
      <c r="AU2" s="257">
        <v>136</v>
      </c>
      <c r="AV2" s="257">
        <v>80</v>
      </c>
      <c r="AW2" s="257">
        <v>185</v>
      </c>
      <c r="AX2" s="257">
        <v>150</v>
      </c>
      <c r="AY2" s="257">
        <v>276</v>
      </c>
      <c r="AZ2" s="257">
        <v>26</v>
      </c>
      <c r="BA2" s="257">
        <v>187</v>
      </c>
      <c r="BB2" s="257">
        <v>109</v>
      </c>
      <c r="BC2" s="257">
        <v>121</v>
      </c>
      <c r="BD2" s="257">
        <v>24</v>
      </c>
      <c r="BE2" s="257">
        <v>218</v>
      </c>
      <c r="BF2" s="257">
        <v>224</v>
      </c>
      <c r="BG2" s="257">
        <v>253</v>
      </c>
      <c r="BH2" s="257">
        <v>100</v>
      </c>
      <c r="BI2" s="257">
        <v>53</v>
      </c>
      <c r="BJ2" s="257">
        <v>129</v>
      </c>
      <c r="BK2" s="257">
        <v>114</v>
      </c>
      <c r="BL2" s="257">
        <v>83</v>
      </c>
      <c r="BM2" s="257">
        <v>122</v>
      </c>
      <c r="BN2" s="257">
        <v>265</v>
      </c>
      <c r="BO2" s="257">
        <v>115</v>
      </c>
      <c r="BP2" s="257">
        <v>260</v>
      </c>
      <c r="BQ2" s="257">
        <v>65</v>
      </c>
      <c r="BR2" s="257">
        <v>231</v>
      </c>
      <c r="BS2" s="257">
        <v>282</v>
      </c>
      <c r="BT2" s="257">
        <v>36</v>
      </c>
      <c r="BU2" s="257">
        <v>147</v>
      </c>
      <c r="BV2" s="257">
        <v>179</v>
      </c>
      <c r="BW2" s="257">
        <v>14</v>
      </c>
      <c r="BX2" s="257">
        <v>159</v>
      </c>
      <c r="BY2" s="252">
        <v>209</v>
      </c>
      <c r="BZ2" s="259" t="s">
        <v>8310</v>
      </c>
      <c r="CA2" s="260"/>
    </row>
    <row r="3" spans="1:79" ht="28.5" thickTop="1" thickBot="1">
      <c r="A3" s="248">
        <v>16</v>
      </c>
      <c r="B3" s="249" t="s">
        <v>8310</v>
      </c>
      <c r="C3" s="261">
        <v>217</v>
      </c>
      <c r="D3" s="262">
        <v>63</v>
      </c>
      <c r="E3" s="262">
        <v>274</v>
      </c>
      <c r="F3" s="262">
        <v>87</v>
      </c>
      <c r="G3" s="262">
        <v>221</v>
      </c>
      <c r="H3" s="262">
        <v>264</v>
      </c>
      <c r="I3" s="262">
        <v>128</v>
      </c>
      <c r="J3" s="262">
        <v>124</v>
      </c>
      <c r="K3" s="262">
        <v>269</v>
      </c>
      <c r="L3" s="262">
        <v>237</v>
      </c>
      <c r="M3" s="262">
        <v>95</v>
      </c>
      <c r="N3" s="262">
        <v>156</v>
      </c>
      <c r="O3" s="262">
        <v>109</v>
      </c>
      <c r="P3" s="262">
        <v>40</v>
      </c>
      <c r="Q3" s="262">
        <v>225</v>
      </c>
      <c r="R3" s="262">
        <v>4</v>
      </c>
      <c r="S3" s="263">
        <v>284</v>
      </c>
      <c r="T3" s="262">
        <v>163</v>
      </c>
      <c r="U3" s="262">
        <v>15</v>
      </c>
      <c r="V3" s="262">
        <v>153</v>
      </c>
      <c r="W3" s="262">
        <v>47</v>
      </c>
      <c r="X3" s="262">
        <v>160</v>
      </c>
      <c r="Y3" s="264">
        <v>213</v>
      </c>
      <c r="Z3" s="262">
        <v>72</v>
      </c>
      <c r="AA3" s="262">
        <v>178</v>
      </c>
      <c r="AB3" s="262">
        <v>155</v>
      </c>
      <c r="AC3" s="262">
        <v>245</v>
      </c>
      <c r="AD3" s="262">
        <v>16</v>
      </c>
      <c r="AE3" s="262">
        <v>2</v>
      </c>
      <c r="AF3" s="262">
        <v>62</v>
      </c>
      <c r="AG3" s="262">
        <v>275</v>
      </c>
      <c r="AH3" s="262">
        <v>20</v>
      </c>
      <c r="AI3" s="262">
        <v>235</v>
      </c>
      <c r="AJ3" s="264">
        <v>286</v>
      </c>
      <c r="AK3" s="262">
        <v>25</v>
      </c>
      <c r="AL3" s="265">
        <v>91</v>
      </c>
      <c r="AM3" s="266" t="s">
        <v>8310</v>
      </c>
      <c r="AN3" s="267"/>
      <c r="AO3" s="268" t="s">
        <v>8310</v>
      </c>
      <c r="AP3" s="269">
        <v>258</v>
      </c>
      <c r="AQ3" s="270">
        <v>88</v>
      </c>
      <c r="AR3" s="270">
        <v>139</v>
      </c>
      <c r="AS3" s="270">
        <v>221</v>
      </c>
      <c r="AT3" s="270">
        <v>123</v>
      </c>
      <c r="AU3" s="270">
        <v>132</v>
      </c>
      <c r="AV3" s="270">
        <v>271</v>
      </c>
      <c r="AW3" s="270">
        <v>106</v>
      </c>
      <c r="AX3" s="270">
        <v>232</v>
      </c>
      <c r="AY3" s="270">
        <v>197</v>
      </c>
      <c r="AZ3" s="270">
        <v>219</v>
      </c>
      <c r="BA3" s="270">
        <v>162</v>
      </c>
      <c r="BB3" s="270">
        <v>133</v>
      </c>
      <c r="BC3" s="270">
        <v>134</v>
      </c>
      <c r="BD3" s="270">
        <v>269</v>
      </c>
      <c r="BE3" s="270">
        <v>225</v>
      </c>
      <c r="BF3" s="270">
        <v>95</v>
      </c>
      <c r="BG3" s="270">
        <v>12</v>
      </c>
      <c r="BH3" s="270">
        <v>92</v>
      </c>
      <c r="BI3" s="270">
        <v>43</v>
      </c>
      <c r="BJ3" s="270">
        <v>280</v>
      </c>
      <c r="BK3" s="270">
        <v>222</v>
      </c>
      <c r="BL3" s="270">
        <v>189</v>
      </c>
      <c r="BM3" s="270">
        <v>4</v>
      </c>
      <c r="BN3" s="270">
        <v>104</v>
      </c>
      <c r="BO3" s="270">
        <v>6</v>
      </c>
      <c r="BP3" s="270">
        <v>91</v>
      </c>
      <c r="BQ3" s="270">
        <v>23</v>
      </c>
      <c r="BR3" s="270">
        <v>170</v>
      </c>
      <c r="BS3" s="270">
        <v>204</v>
      </c>
      <c r="BT3" s="270">
        <v>254</v>
      </c>
      <c r="BU3" s="270">
        <v>239</v>
      </c>
      <c r="BV3" s="270">
        <v>34</v>
      </c>
      <c r="BW3" s="270">
        <v>171</v>
      </c>
      <c r="BX3" s="270">
        <v>31</v>
      </c>
      <c r="BY3" s="271">
        <v>99</v>
      </c>
      <c r="BZ3" s="259" t="s">
        <v>8310</v>
      </c>
      <c r="CA3" s="260"/>
    </row>
    <row r="4" spans="1:79" ht="28.5" thickTop="1" thickBot="1">
      <c r="A4" s="248">
        <v>15</v>
      </c>
      <c r="B4" s="249" t="s">
        <v>8310</v>
      </c>
      <c r="C4" s="272">
        <v>282</v>
      </c>
      <c r="D4" s="262">
        <v>249</v>
      </c>
      <c r="E4" s="262">
        <v>277</v>
      </c>
      <c r="F4" s="262">
        <v>167</v>
      </c>
      <c r="G4" s="262">
        <v>75</v>
      </c>
      <c r="H4" s="262">
        <v>58</v>
      </c>
      <c r="I4" s="262">
        <v>122</v>
      </c>
      <c r="J4" s="262">
        <v>278</v>
      </c>
      <c r="K4" s="262">
        <v>48</v>
      </c>
      <c r="L4" s="262">
        <v>5</v>
      </c>
      <c r="M4" s="262">
        <v>158</v>
      </c>
      <c r="N4" s="262">
        <v>83</v>
      </c>
      <c r="O4" s="262">
        <v>10</v>
      </c>
      <c r="P4" s="262">
        <v>205</v>
      </c>
      <c r="Q4" s="262">
        <v>106</v>
      </c>
      <c r="R4" s="262">
        <v>41</v>
      </c>
      <c r="S4" s="262">
        <v>256</v>
      </c>
      <c r="T4" s="262">
        <v>242</v>
      </c>
      <c r="U4" s="262">
        <v>35</v>
      </c>
      <c r="V4" s="262">
        <v>144</v>
      </c>
      <c r="W4" s="262">
        <v>174</v>
      </c>
      <c r="X4" s="262">
        <v>189</v>
      </c>
      <c r="Y4" s="262">
        <v>137</v>
      </c>
      <c r="Z4" s="262">
        <v>201</v>
      </c>
      <c r="AA4" s="264">
        <v>215</v>
      </c>
      <c r="AB4" s="262">
        <v>33</v>
      </c>
      <c r="AC4" s="262">
        <v>110</v>
      </c>
      <c r="AD4" s="262">
        <v>190</v>
      </c>
      <c r="AE4" s="262">
        <v>224</v>
      </c>
      <c r="AF4" s="262">
        <v>86</v>
      </c>
      <c r="AG4" s="262">
        <v>78</v>
      </c>
      <c r="AH4" s="262">
        <v>191</v>
      </c>
      <c r="AI4" s="262">
        <v>59</v>
      </c>
      <c r="AJ4" s="262">
        <v>227</v>
      </c>
      <c r="AK4" s="262">
        <v>112</v>
      </c>
      <c r="AL4" s="265">
        <v>45</v>
      </c>
      <c r="AM4" s="266" t="s">
        <v>8310</v>
      </c>
      <c r="AN4" s="267"/>
      <c r="AO4" s="268" t="s">
        <v>8310</v>
      </c>
      <c r="AP4" s="269">
        <v>59</v>
      </c>
      <c r="AQ4" s="270">
        <v>255</v>
      </c>
      <c r="AR4" s="264">
        <v>212</v>
      </c>
      <c r="AS4" s="270">
        <v>11</v>
      </c>
      <c r="AT4" s="263">
        <v>207</v>
      </c>
      <c r="AU4" s="270">
        <v>21</v>
      </c>
      <c r="AV4" s="270">
        <v>39</v>
      </c>
      <c r="AW4" s="270">
        <v>155</v>
      </c>
      <c r="AX4" s="270">
        <v>281</v>
      </c>
      <c r="AY4" s="270">
        <v>93</v>
      </c>
      <c r="AZ4" s="270">
        <v>37</v>
      </c>
      <c r="BA4" s="270">
        <v>67</v>
      </c>
      <c r="BB4" s="270">
        <v>247</v>
      </c>
      <c r="BC4" s="264">
        <v>215</v>
      </c>
      <c r="BD4" s="270">
        <v>27</v>
      </c>
      <c r="BE4" s="270">
        <v>202</v>
      </c>
      <c r="BF4" s="270">
        <v>20</v>
      </c>
      <c r="BG4" s="270">
        <v>96</v>
      </c>
      <c r="BH4" s="270">
        <v>86</v>
      </c>
      <c r="BI4" s="270">
        <v>142</v>
      </c>
      <c r="BJ4" s="270">
        <v>205</v>
      </c>
      <c r="BK4" s="270">
        <v>101</v>
      </c>
      <c r="BL4" s="270">
        <v>49</v>
      </c>
      <c r="BM4" s="270">
        <v>113</v>
      </c>
      <c r="BN4" s="270">
        <v>130</v>
      </c>
      <c r="BO4" s="270">
        <v>163</v>
      </c>
      <c r="BP4" s="270">
        <v>184</v>
      </c>
      <c r="BQ4" s="270">
        <v>18</v>
      </c>
      <c r="BR4" s="270">
        <v>181</v>
      </c>
      <c r="BS4" s="270">
        <v>165</v>
      </c>
      <c r="BT4" s="270">
        <v>195</v>
      </c>
      <c r="BU4" s="270">
        <v>45</v>
      </c>
      <c r="BV4" s="270">
        <v>160</v>
      </c>
      <c r="BW4" s="270">
        <v>190</v>
      </c>
      <c r="BX4" s="270">
        <v>164</v>
      </c>
      <c r="BY4" s="271">
        <v>270</v>
      </c>
      <c r="BZ4" s="259" t="s">
        <v>8310</v>
      </c>
      <c r="CA4" s="260"/>
    </row>
    <row r="5" spans="1:79" ht="28.5" thickTop="1" thickBot="1">
      <c r="A5" s="248">
        <v>14</v>
      </c>
      <c r="B5" s="249" t="s">
        <v>8310</v>
      </c>
      <c r="C5" s="272">
        <v>37</v>
      </c>
      <c r="D5" s="262">
        <v>257</v>
      </c>
      <c r="E5" s="262">
        <v>141</v>
      </c>
      <c r="F5" s="262">
        <v>272</v>
      </c>
      <c r="G5" s="262">
        <v>176</v>
      </c>
      <c r="H5" s="263">
        <v>210</v>
      </c>
      <c r="I5" s="262">
        <v>61</v>
      </c>
      <c r="J5" s="262">
        <v>203</v>
      </c>
      <c r="K5" s="262">
        <v>250</v>
      </c>
      <c r="L5" s="262">
        <v>38</v>
      </c>
      <c r="M5" s="262">
        <v>103</v>
      </c>
      <c r="N5" s="262">
        <v>168</v>
      </c>
      <c r="O5" s="262">
        <v>113</v>
      </c>
      <c r="P5" s="262">
        <v>102</v>
      </c>
      <c r="Q5" s="262">
        <v>133</v>
      </c>
      <c r="R5" s="262">
        <v>118</v>
      </c>
      <c r="S5" s="262">
        <v>200</v>
      </c>
      <c r="T5" s="262">
        <v>258</v>
      </c>
      <c r="U5" s="262">
        <v>253</v>
      </c>
      <c r="V5" s="262">
        <v>94</v>
      </c>
      <c r="W5" s="262">
        <v>53</v>
      </c>
      <c r="X5" s="262">
        <v>107</v>
      </c>
      <c r="Y5" s="262">
        <v>188</v>
      </c>
      <c r="Z5" s="262">
        <v>262</v>
      </c>
      <c r="AA5" s="262">
        <v>50</v>
      </c>
      <c r="AB5" s="262">
        <v>92</v>
      </c>
      <c r="AC5" s="262">
        <v>218</v>
      </c>
      <c r="AD5" s="262">
        <v>222</v>
      </c>
      <c r="AE5" s="262">
        <v>126</v>
      </c>
      <c r="AF5" s="262">
        <v>220</v>
      </c>
      <c r="AG5" s="262">
        <v>80</v>
      </c>
      <c r="AH5" s="262">
        <v>276</v>
      </c>
      <c r="AI5" s="262">
        <v>251</v>
      </c>
      <c r="AJ5" s="262">
        <v>49</v>
      </c>
      <c r="AK5" s="262">
        <v>236</v>
      </c>
      <c r="AL5" s="265">
        <v>261</v>
      </c>
      <c r="AM5" s="266" t="s">
        <v>8310</v>
      </c>
      <c r="AN5" s="267"/>
      <c r="AO5" s="268" t="s">
        <v>8310</v>
      </c>
      <c r="AP5" s="269">
        <v>161</v>
      </c>
      <c r="AQ5" s="270">
        <v>71</v>
      </c>
      <c r="AR5" s="270">
        <v>266</v>
      </c>
      <c r="AS5" s="270">
        <v>274</v>
      </c>
      <c r="AT5" s="270">
        <v>73</v>
      </c>
      <c r="AU5" s="270">
        <v>66</v>
      </c>
      <c r="AV5" s="270">
        <v>74</v>
      </c>
      <c r="AW5" s="270">
        <v>70</v>
      </c>
      <c r="AX5" s="270">
        <v>75</v>
      </c>
      <c r="AY5" s="270">
        <v>175</v>
      </c>
      <c r="AZ5" s="270">
        <v>102</v>
      </c>
      <c r="BA5" s="270">
        <v>264</v>
      </c>
      <c r="BB5" s="270">
        <v>81</v>
      </c>
      <c r="BC5" s="270">
        <v>62</v>
      </c>
      <c r="BD5" s="270">
        <v>54</v>
      </c>
      <c r="BE5" s="270">
        <v>188</v>
      </c>
      <c r="BF5" s="270">
        <v>220</v>
      </c>
      <c r="BG5" s="270">
        <v>193</v>
      </c>
      <c r="BH5" s="270">
        <v>200</v>
      </c>
      <c r="BI5" s="264">
        <v>213</v>
      </c>
      <c r="BJ5" s="263">
        <v>211</v>
      </c>
      <c r="BK5" s="270">
        <v>151</v>
      </c>
      <c r="BL5" s="270">
        <v>257</v>
      </c>
      <c r="BM5" s="270">
        <v>17</v>
      </c>
      <c r="BN5" s="270">
        <v>58</v>
      </c>
      <c r="BO5" s="270">
        <v>191</v>
      </c>
      <c r="BP5" s="270">
        <v>152</v>
      </c>
      <c r="BQ5" s="270">
        <v>156</v>
      </c>
      <c r="BR5" s="270">
        <v>167</v>
      </c>
      <c r="BS5" s="270">
        <v>182</v>
      </c>
      <c r="BT5" s="270">
        <v>237</v>
      </c>
      <c r="BU5" s="270">
        <v>112</v>
      </c>
      <c r="BV5" s="270">
        <v>174</v>
      </c>
      <c r="BW5" s="270">
        <v>57</v>
      </c>
      <c r="BX5" s="270">
        <v>268</v>
      </c>
      <c r="BY5" s="271">
        <v>263</v>
      </c>
      <c r="BZ5" s="259" t="s">
        <v>8310</v>
      </c>
      <c r="CA5" s="260"/>
    </row>
    <row r="6" spans="1:79" ht="28.5" thickTop="1" thickBot="1">
      <c r="A6" s="248">
        <v>13</v>
      </c>
      <c r="B6" s="249" t="s">
        <v>8310</v>
      </c>
      <c r="C6" s="272">
        <v>89</v>
      </c>
      <c r="D6" s="262">
        <v>259</v>
      </c>
      <c r="E6" s="262">
        <v>234</v>
      </c>
      <c r="F6" s="262">
        <v>135</v>
      </c>
      <c r="G6" s="262">
        <v>244</v>
      </c>
      <c r="H6" s="262">
        <v>196</v>
      </c>
      <c r="I6" s="262">
        <v>232</v>
      </c>
      <c r="J6" s="262">
        <v>140</v>
      </c>
      <c r="K6" s="264">
        <v>216</v>
      </c>
      <c r="L6" s="262">
        <v>287</v>
      </c>
      <c r="M6" s="262">
        <v>247</v>
      </c>
      <c r="N6" s="262">
        <v>198</v>
      </c>
      <c r="O6" s="262">
        <v>76</v>
      </c>
      <c r="P6" s="262">
        <v>104</v>
      </c>
      <c r="Q6" s="262">
        <v>43</v>
      </c>
      <c r="R6" s="262">
        <v>84</v>
      </c>
      <c r="S6" s="262">
        <v>182</v>
      </c>
      <c r="T6" s="262">
        <v>223</v>
      </c>
      <c r="U6" s="262">
        <v>267</v>
      </c>
      <c r="V6" s="262">
        <v>241</v>
      </c>
      <c r="W6" s="262">
        <v>125</v>
      </c>
      <c r="X6" s="262">
        <v>266</v>
      </c>
      <c r="Y6" s="262">
        <v>159</v>
      </c>
      <c r="Z6" s="262">
        <v>105</v>
      </c>
      <c r="AA6" s="262">
        <v>55</v>
      </c>
      <c r="AB6" s="262">
        <v>70</v>
      </c>
      <c r="AC6" s="262">
        <v>288</v>
      </c>
      <c r="AD6" s="262">
        <v>229</v>
      </c>
      <c r="AE6" s="262">
        <v>162</v>
      </c>
      <c r="AF6" s="262">
        <v>98</v>
      </c>
      <c r="AG6" s="262">
        <v>164</v>
      </c>
      <c r="AH6" s="262">
        <v>6</v>
      </c>
      <c r="AI6" s="262">
        <v>131</v>
      </c>
      <c r="AJ6" s="262">
        <v>129</v>
      </c>
      <c r="AK6" s="262">
        <v>226</v>
      </c>
      <c r="AL6" s="265">
        <v>3</v>
      </c>
      <c r="AM6" s="266" t="s">
        <v>8310</v>
      </c>
      <c r="AN6" s="267"/>
      <c r="AO6" s="268" t="s">
        <v>8310</v>
      </c>
      <c r="AP6" s="269">
        <v>198</v>
      </c>
      <c r="AQ6" s="270">
        <v>28</v>
      </c>
      <c r="AR6" s="270">
        <v>137</v>
      </c>
      <c r="AS6" s="270">
        <v>178</v>
      </c>
      <c r="AT6" s="270">
        <v>105</v>
      </c>
      <c r="AU6" s="270">
        <v>44</v>
      </c>
      <c r="AV6" s="270">
        <v>230</v>
      </c>
      <c r="AW6" s="270">
        <v>42</v>
      </c>
      <c r="AX6" s="270">
        <v>94</v>
      </c>
      <c r="AY6" s="270">
        <v>13</v>
      </c>
      <c r="AZ6" s="270">
        <v>41</v>
      </c>
      <c r="BA6" s="270">
        <v>250</v>
      </c>
      <c r="BB6" s="270">
        <v>110</v>
      </c>
      <c r="BC6" s="270">
        <v>186</v>
      </c>
      <c r="BD6" s="270">
        <v>138</v>
      </c>
      <c r="BE6" s="270">
        <v>249</v>
      </c>
      <c r="BF6" s="270">
        <v>173</v>
      </c>
      <c r="BG6" s="270">
        <v>246</v>
      </c>
      <c r="BH6" s="270">
        <v>47</v>
      </c>
      <c r="BI6" s="270">
        <v>38</v>
      </c>
      <c r="BJ6" s="270">
        <v>273</v>
      </c>
      <c r="BK6" s="270">
        <v>252</v>
      </c>
      <c r="BL6" s="270">
        <v>146</v>
      </c>
      <c r="BM6" s="270">
        <v>72</v>
      </c>
      <c r="BN6" s="270">
        <v>267</v>
      </c>
      <c r="BO6" s="270">
        <v>145</v>
      </c>
      <c r="BP6" s="270">
        <v>103</v>
      </c>
      <c r="BQ6" s="270">
        <v>259</v>
      </c>
      <c r="BR6" s="270">
        <v>153</v>
      </c>
      <c r="BS6" s="270">
        <v>9</v>
      </c>
      <c r="BT6" s="270">
        <v>143</v>
      </c>
      <c r="BU6" s="270">
        <v>148</v>
      </c>
      <c r="BV6" s="270">
        <v>141</v>
      </c>
      <c r="BW6" s="270">
        <v>85</v>
      </c>
      <c r="BX6" s="270">
        <v>199</v>
      </c>
      <c r="BY6" s="271">
        <v>278</v>
      </c>
      <c r="BZ6" s="259" t="s">
        <v>8310</v>
      </c>
      <c r="CA6" s="260"/>
    </row>
    <row r="7" spans="1:79" ht="28.5" thickTop="1" thickBot="1">
      <c r="A7" s="248">
        <v>12</v>
      </c>
      <c r="B7" s="249" t="s">
        <v>8310</v>
      </c>
      <c r="C7" s="272">
        <v>132</v>
      </c>
      <c r="D7" s="262">
        <v>239</v>
      </c>
      <c r="E7" s="262">
        <v>173</v>
      </c>
      <c r="F7" s="262">
        <v>170</v>
      </c>
      <c r="G7" s="262">
        <v>195</v>
      </c>
      <c r="H7" s="262">
        <v>271</v>
      </c>
      <c r="I7" s="262">
        <v>114</v>
      </c>
      <c r="J7" s="262">
        <v>74</v>
      </c>
      <c r="K7" s="262">
        <v>146</v>
      </c>
      <c r="L7" s="262">
        <v>152</v>
      </c>
      <c r="M7" s="262">
        <v>82</v>
      </c>
      <c r="N7" s="262">
        <v>23</v>
      </c>
      <c r="O7" s="262">
        <v>130</v>
      </c>
      <c r="P7" s="262">
        <v>255</v>
      </c>
      <c r="Q7" s="262">
        <v>65</v>
      </c>
      <c r="R7" s="263">
        <v>283</v>
      </c>
      <c r="S7" s="262">
        <v>150</v>
      </c>
      <c r="T7" s="262">
        <v>254</v>
      </c>
      <c r="U7" s="262">
        <v>238</v>
      </c>
      <c r="V7" s="262">
        <v>180</v>
      </c>
      <c r="W7" s="262">
        <v>199</v>
      </c>
      <c r="X7" s="262">
        <v>14</v>
      </c>
      <c r="Y7" s="262">
        <v>44</v>
      </c>
      <c r="Z7" s="262">
        <v>179</v>
      </c>
      <c r="AA7" s="262">
        <v>21</v>
      </c>
      <c r="AB7" s="262">
        <v>22</v>
      </c>
      <c r="AC7" s="262">
        <v>51</v>
      </c>
      <c r="AD7" s="262">
        <v>67</v>
      </c>
      <c r="AE7" s="262">
        <v>279</v>
      </c>
      <c r="AF7" s="262">
        <v>120</v>
      </c>
      <c r="AG7" s="262">
        <v>165</v>
      </c>
      <c r="AH7" s="262">
        <v>116</v>
      </c>
      <c r="AI7" s="262">
        <v>268</v>
      </c>
      <c r="AJ7" s="262">
        <v>26</v>
      </c>
      <c r="AK7" s="262">
        <v>240</v>
      </c>
      <c r="AL7" s="265">
        <v>12</v>
      </c>
      <c r="AM7" s="266" t="s">
        <v>8310</v>
      </c>
      <c r="AN7" s="267"/>
      <c r="AO7" s="268" t="s">
        <v>8310</v>
      </c>
      <c r="AP7" s="269">
        <v>196</v>
      </c>
      <c r="AQ7" s="270">
        <v>124</v>
      </c>
      <c r="AR7" s="270">
        <v>166</v>
      </c>
      <c r="AS7" s="270">
        <v>240</v>
      </c>
      <c r="AT7" s="270">
        <v>287</v>
      </c>
      <c r="AU7" s="270">
        <v>288</v>
      </c>
      <c r="AV7" s="263">
        <v>210</v>
      </c>
      <c r="AW7" s="270">
        <v>2</v>
      </c>
      <c r="AX7" s="270">
        <v>32</v>
      </c>
      <c r="AY7" s="270">
        <v>98</v>
      </c>
      <c r="AZ7" s="270">
        <v>33</v>
      </c>
      <c r="BA7" s="270">
        <v>46</v>
      </c>
      <c r="BB7" s="270">
        <v>10</v>
      </c>
      <c r="BC7" s="270">
        <v>84</v>
      </c>
      <c r="BD7" s="270">
        <v>29</v>
      </c>
      <c r="BE7" s="270">
        <v>245</v>
      </c>
      <c r="BF7" s="270">
        <v>118</v>
      </c>
      <c r="BG7" s="270">
        <v>78</v>
      </c>
      <c r="BH7" s="270">
        <v>48</v>
      </c>
      <c r="BI7" s="270">
        <v>168</v>
      </c>
      <c r="BJ7" s="270">
        <v>251</v>
      </c>
      <c r="BK7" s="270">
        <v>52</v>
      </c>
      <c r="BL7" s="270">
        <v>56</v>
      </c>
      <c r="BM7" s="270">
        <v>227</v>
      </c>
      <c r="BN7" s="270">
        <v>234</v>
      </c>
      <c r="BO7" s="270">
        <v>64</v>
      </c>
      <c r="BP7" s="270">
        <v>275</v>
      </c>
      <c r="BQ7" s="270">
        <v>241</v>
      </c>
      <c r="BR7" s="270">
        <v>60</v>
      </c>
      <c r="BS7" s="270">
        <v>126</v>
      </c>
      <c r="BT7" s="270">
        <v>77</v>
      </c>
      <c r="BU7" s="270">
        <v>69</v>
      </c>
      <c r="BV7" s="270">
        <v>22</v>
      </c>
      <c r="BW7" s="270">
        <v>272</v>
      </c>
      <c r="BX7" s="270">
        <v>111</v>
      </c>
      <c r="BY7" s="271">
        <v>183</v>
      </c>
      <c r="BZ7" s="259" t="s">
        <v>8310</v>
      </c>
      <c r="CA7" s="260"/>
    </row>
    <row r="8" spans="1:79" ht="28.5" thickTop="1" thickBot="1">
      <c r="A8" s="248">
        <v>11</v>
      </c>
      <c r="B8" s="249" t="s">
        <v>8310</v>
      </c>
      <c r="C8" s="272">
        <v>175</v>
      </c>
      <c r="D8" s="262">
        <v>24</v>
      </c>
      <c r="E8" s="264">
        <v>285</v>
      </c>
      <c r="F8" s="262">
        <v>11</v>
      </c>
      <c r="G8" s="262">
        <v>88</v>
      </c>
      <c r="H8" s="262">
        <v>142</v>
      </c>
      <c r="I8" s="262">
        <v>151</v>
      </c>
      <c r="J8" s="262">
        <v>121</v>
      </c>
      <c r="K8" s="262">
        <v>136</v>
      </c>
      <c r="L8" s="262">
        <v>154</v>
      </c>
      <c r="M8" s="262">
        <v>34</v>
      </c>
      <c r="N8" s="262">
        <v>260</v>
      </c>
      <c r="O8" s="262">
        <v>197</v>
      </c>
      <c r="P8" s="262">
        <v>64</v>
      </c>
      <c r="Q8" s="262">
        <v>127</v>
      </c>
      <c r="R8" s="262">
        <v>187</v>
      </c>
      <c r="S8" s="262">
        <v>79</v>
      </c>
      <c r="T8" s="262">
        <v>265</v>
      </c>
      <c r="U8" s="262">
        <v>17</v>
      </c>
      <c r="V8" s="262">
        <v>100</v>
      </c>
      <c r="W8" s="262">
        <v>42</v>
      </c>
      <c r="X8" s="262">
        <v>31</v>
      </c>
      <c r="Y8" s="262">
        <v>270</v>
      </c>
      <c r="Z8" s="262">
        <v>96</v>
      </c>
      <c r="AA8" s="262">
        <v>280</v>
      </c>
      <c r="AB8" s="262">
        <v>19</v>
      </c>
      <c r="AC8" s="262">
        <v>93</v>
      </c>
      <c r="AD8" s="262">
        <v>161</v>
      </c>
      <c r="AE8" s="262">
        <v>46</v>
      </c>
      <c r="AF8" s="262">
        <v>177</v>
      </c>
      <c r="AG8" s="262">
        <v>192</v>
      </c>
      <c r="AH8" s="262">
        <v>273</v>
      </c>
      <c r="AI8" s="262">
        <v>147</v>
      </c>
      <c r="AJ8" s="264">
        <v>212</v>
      </c>
      <c r="AK8" s="262">
        <v>29</v>
      </c>
      <c r="AL8" s="265">
        <v>119</v>
      </c>
      <c r="AM8" s="266" t="s">
        <v>8310</v>
      </c>
      <c r="AN8" s="267"/>
      <c r="AO8" s="268" t="s">
        <v>8310</v>
      </c>
      <c r="AP8" s="269">
        <v>242</v>
      </c>
      <c r="AQ8" s="263">
        <v>283</v>
      </c>
      <c r="AR8" s="270">
        <v>238</v>
      </c>
      <c r="AS8" s="270">
        <v>76</v>
      </c>
      <c r="AT8" s="270">
        <v>97</v>
      </c>
      <c r="AU8" s="270">
        <v>235</v>
      </c>
      <c r="AV8" s="270">
        <v>223</v>
      </c>
      <c r="AW8" s="270">
        <v>117</v>
      </c>
      <c r="AX8" s="270">
        <v>262</v>
      </c>
      <c r="AY8" s="264">
        <v>216</v>
      </c>
      <c r="AZ8" s="270">
        <v>25</v>
      </c>
      <c r="BA8" s="270">
        <v>125</v>
      </c>
      <c r="BB8" s="270">
        <v>226</v>
      </c>
      <c r="BC8" s="270">
        <v>131</v>
      </c>
      <c r="BD8" s="270">
        <v>233</v>
      </c>
      <c r="BE8" s="270">
        <v>127</v>
      </c>
      <c r="BF8" s="270">
        <v>154</v>
      </c>
      <c r="BG8" s="270">
        <v>128</v>
      </c>
      <c r="BH8" s="270">
        <v>248</v>
      </c>
      <c r="BI8" s="270">
        <v>279</v>
      </c>
      <c r="BJ8" s="270">
        <v>277</v>
      </c>
      <c r="BK8" s="270">
        <v>192</v>
      </c>
      <c r="BL8" s="270">
        <v>256</v>
      </c>
      <c r="BM8" s="270">
        <v>51</v>
      </c>
      <c r="BN8" s="270">
        <v>244</v>
      </c>
      <c r="BO8" s="270">
        <v>149</v>
      </c>
      <c r="BP8" s="270">
        <v>176</v>
      </c>
      <c r="BQ8" s="270">
        <v>19</v>
      </c>
      <c r="BR8" s="270">
        <v>236</v>
      </c>
      <c r="BS8" s="270">
        <v>61</v>
      </c>
      <c r="BT8" s="270">
        <v>3</v>
      </c>
      <c r="BU8" s="270">
        <v>201</v>
      </c>
      <c r="BV8" s="270">
        <v>158</v>
      </c>
      <c r="BW8" s="264">
        <v>217</v>
      </c>
      <c r="BX8" s="270">
        <v>140</v>
      </c>
      <c r="BY8" s="271">
        <v>79</v>
      </c>
      <c r="BZ8" s="259" t="s">
        <v>8310</v>
      </c>
      <c r="CA8" s="260"/>
    </row>
    <row r="9" spans="1:79" ht="28.5" thickTop="1" thickBot="1">
      <c r="A9" s="248">
        <v>10</v>
      </c>
      <c r="B9" s="249" t="s">
        <v>8310</v>
      </c>
      <c r="C9" s="273">
        <v>171</v>
      </c>
      <c r="D9" s="274">
        <v>139</v>
      </c>
      <c r="E9" s="274">
        <v>101</v>
      </c>
      <c r="F9" s="275">
        <v>207</v>
      </c>
      <c r="G9" s="274">
        <v>134</v>
      </c>
      <c r="H9" s="274">
        <v>77</v>
      </c>
      <c r="I9" s="274">
        <v>71</v>
      </c>
      <c r="J9" s="274">
        <v>13</v>
      </c>
      <c r="K9" s="274">
        <v>202</v>
      </c>
      <c r="L9" s="274">
        <v>85</v>
      </c>
      <c r="M9" s="274">
        <v>60</v>
      </c>
      <c r="N9" s="274">
        <v>166</v>
      </c>
      <c r="O9" s="274">
        <v>186</v>
      </c>
      <c r="P9" s="274">
        <v>117</v>
      </c>
      <c r="Q9" s="274">
        <v>7</v>
      </c>
      <c r="R9" s="274">
        <v>246</v>
      </c>
      <c r="S9" s="274">
        <v>36</v>
      </c>
      <c r="T9" s="274">
        <v>32</v>
      </c>
      <c r="U9" s="274">
        <v>233</v>
      </c>
      <c r="V9" s="274">
        <v>69</v>
      </c>
      <c r="W9" s="274">
        <v>90</v>
      </c>
      <c r="X9" s="274">
        <v>185</v>
      </c>
      <c r="Y9" s="275">
        <v>208</v>
      </c>
      <c r="Z9" s="274">
        <v>18</v>
      </c>
      <c r="AA9" s="274">
        <v>228</v>
      </c>
      <c r="AB9" s="274">
        <v>204</v>
      </c>
      <c r="AC9" s="274">
        <v>68</v>
      </c>
      <c r="AD9" s="274">
        <v>289</v>
      </c>
      <c r="AE9" s="274">
        <v>108</v>
      </c>
      <c r="AF9" s="274">
        <v>52</v>
      </c>
      <c r="AG9" s="274">
        <v>183</v>
      </c>
      <c r="AH9" s="274">
        <v>230</v>
      </c>
      <c r="AI9" s="275">
        <v>209</v>
      </c>
      <c r="AJ9" s="274">
        <v>243</v>
      </c>
      <c r="AK9" s="274">
        <v>194</v>
      </c>
      <c r="AL9" s="276">
        <v>148</v>
      </c>
      <c r="AM9" s="266" t="s">
        <v>8310</v>
      </c>
      <c r="AN9" s="267"/>
      <c r="AO9" s="268" t="s">
        <v>8310</v>
      </c>
      <c r="AP9" s="277">
        <v>107</v>
      </c>
      <c r="AQ9" s="278">
        <v>229</v>
      </c>
      <c r="AR9" s="275">
        <v>284</v>
      </c>
      <c r="AS9" s="279">
        <v>286</v>
      </c>
      <c r="AT9" s="278">
        <v>87</v>
      </c>
      <c r="AU9" s="278">
        <v>8</v>
      </c>
      <c r="AV9" s="278">
        <v>1</v>
      </c>
      <c r="AW9" s="278">
        <v>5</v>
      </c>
      <c r="AX9" s="278">
        <v>144</v>
      </c>
      <c r="AY9" s="275">
        <v>208</v>
      </c>
      <c r="AZ9" s="278">
        <v>120</v>
      </c>
      <c r="BA9" s="278">
        <v>261</v>
      </c>
      <c r="BB9" s="278">
        <v>206</v>
      </c>
      <c r="BC9" s="278">
        <v>50</v>
      </c>
      <c r="BD9" s="278">
        <v>135</v>
      </c>
      <c r="BE9" s="278">
        <v>289</v>
      </c>
      <c r="BF9" s="278">
        <v>68</v>
      </c>
      <c r="BG9" s="278">
        <v>7</v>
      </c>
      <c r="BH9" s="278">
        <v>30</v>
      </c>
      <c r="BI9" s="278">
        <v>119</v>
      </c>
      <c r="BJ9" s="278">
        <v>35</v>
      </c>
      <c r="BK9" s="278">
        <v>90</v>
      </c>
      <c r="BL9" s="278">
        <v>180</v>
      </c>
      <c r="BM9" s="278">
        <v>55</v>
      </c>
      <c r="BN9" s="278">
        <v>177</v>
      </c>
      <c r="BO9" s="278">
        <v>40</v>
      </c>
      <c r="BP9" s="278">
        <v>116</v>
      </c>
      <c r="BQ9" s="278">
        <v>15</v>
      </c>
      <c r="BR9" s="278">
        <v>89</v>
      </c>
      <c r="BS9" s="278">
        <v>194</v>
      </c>
      <c r="BT9" s="278">
        <v>157</v>
      </c>
      <c r="BU9" s="278">
        <v>169</v>
      </c>
      <c r="BV9" s="278">
        <v>172</v>
      </c>
      <c r="BW9" s="278">
        <v>63</v>
      </c>
      <c r="BX9" s="278">
        <v>108</v>
      </c>
      <c r="BY9" s="280">
        <v>228</v>
      </c>
      <c r="BZ9" s="259" t="s">
        <v>8310</v>
      </c>
      <c r="CA9" s="260"/>
    </row>
    <row r="10" spans="1:79" ht="28.5" thickTop="1" thickBot="1">
      <c r="A10" s="248">
        <v>9</v>
      </c>
      <c r="B10" s="249" t="s">
        <v>8310</v>
      </c>
      <c r="C10" s="256">
        <v>94</v>
      </c>
      <c r="D10" s="257">
        <v>98</v>
      </c>
      <c r="E10" s="257">
        <v>54</v>
      </c>
      <c r="F10" s="257">
        <v>93</v>
      </c>
      <c r="G10" s="257">
        <v>33</v>
      </c>
      <c r="H10" s="281">
        <v>284</v>
      </c>
      <c r="I10" s="257">
        <v>116</v>
      </c>
      <c r="J10" s="257">
        <v>22</v>
      </c>
      <c r="K10" s="257">
        <v>188</v>
      </c>
      <c r="L10" s="257">
        <v>112</v>
      </c>
      <c r="M10" s="257">
        <v>196</v>
      </c>
      <c r="N10" s="257">
        <v>249</v>
      </c>
      <c r="O10" s="257">
        <v>14</v>
      </c>
      <c r="P10" s="257">
        <v>148</v>
      </c>
      <c r="Q10" s="257">
        <v>161</v>
      </c>
      <c r="R10" s="257">
        <v>129</v>
      </c>
      <c r="S10" s="257">
        <v>177</v>
      </c>
      <c r="T10" s="257">
        <v>137</v>
      </c>
      <c r="U10" s="257">
        <v>86</v>
      </c>
      <c r="V10" s="257">
        <v>58</v>
      </c>
      <c r="W10" s="257">
        <v>135</v>
      </c>
      <c r="X10" s="257">
        <v>281</v>
      </c>
      <c r="Y10" s="257">
        <v>38</v>
      </c>
      <c r="Z10" s="257">
        <v>8</v>
      </c>
      <c r="AA10" s="257">
        <v>236</v>
      </c>
      <c r="AB10" s="257">
        <v>172</v>
      </c>
      <c r="AC10" s="257">
        <v>255</v>
      </c>
      <c r="AD10" s="257">
        <v>282</v>
      </c>
      <c r="AE10" s="257">
        <v>5</v>
      </c>
      <c r="AF10" s="257">
        <v>68</v>
      </c>
      <c r="AG10" s="257">
        <v>154</v>
      </c>
      <c r="AH10" s="257">
        <v>241</v>
      </c>
      <c r="AI10" s="257">
        <v>168</v>
      </c>
      <c r="AJ10" s="257">
        <v>259</v>
      </c>
      <c r="AK10" s="257">
        <v>264</v>
      </c>
      <c r="AL10" s="282">
        <v>35</v>
      </c>
      <c r="AM10" s="266" t="s">
        <v>8310</v>
      </c>
      <c r="AN10" s="267"/>
      <c r="AO10" s="268" t="s">
        <v>8310</v>
      </c>
      <c r="AP10" s="250">
        <v>38</v>
      </c>
      <c r="AQ10" s="251">
        <v>12</v>
      </c>
      <c r="AR10" s="251">
        <v>190</v>
      </c>
      <c r="AS10" s="251">
        <v>90</v>
      </c>
      <c r="AT10" s="251">
        <v>37</v>
      </c>
      <c r="AU10" s="251">
        <v>225</v>
      </c>
      <c r="AV10" s="251">
        <v>62</v>
      </c>
      <c r="AW10" s="251">
        <v>9</v>
      </c>
      <c r="AX10" s="251">
        <v>183</v>
      </c>
      <c r="AY10" s="251">
        <v>104</v>
      </c>
      <c r="AZ10" s="258">
        <v>212</v>
      </c>
      <c r="BA10" s="251">
        <v>58</v>
      </c>
      <c r="BB10" s="251">
        <v>238</v>
      </c>
      <c r="BC10" s="251">
        <v>267</v>
      </c>
      <c r="BD10" s="258">
        <v>285</v>
      </c>
      <c r="BE10" s="251">
        <v>57</v>
      </c>
      <c r="BF10" s="251">
        <v>21</v>
      </c>
      <c r="BG10" s="251">
        <v>103</v>
      </c>
      <c r="BH10" s="251">
        <v>272</v>
      </c>
      <c r="BI10" s="251">
        <v>28</v>
      </c>
      <c r="BJ10" s="251">
        <v>77</v>
      </c>
      <c r="BK10" s="251">
        <v>264</v>
      </c>
      <c r="BL10" s="251">
        <v>278</v>
      </c>
      <c r="BM10" s="251">
        <v>85</v>
      </c>
      <c r="BN10" s="251">
        <v>268</v>
      </c>
      <c r="BO10" s="251">
        <v>124</v>
      </c>
      <c r="BP10" s="251">
        <v>82</v>
      </c>
      <c r="BQ10" s="251">
        <v>227</v>
      </c>
      <c r="BR10" s="251">
        <v>72</v>
      </c>
      <c r="BS10" s="251">
        <v>249</v>
      </c>
      <c r="BT10" s="251">
        <v>83</v>
      </c>
      <c r="BU10" s="251">
        <v>281</v>
      </c>
      <c r="BV10" s="251">
        <v>269</v>
      </c>
      <c r="BW10" s="251">
        <v>234</v>
      </c>
      <c r="BX10" s="251">
        <v>198</v>
      </c>
      <c r="BY10" s="283">
        <v>54</v>
      </c>
      <c r="BZ10" s="259" t="s">
        <v>8310</v>
      </c>
      <c r="CA10" s="260"/>
    </row>
    <row r="11" spans="1:79" ht="28.5" thickTop="1" thickBot="1">
      <c r="A11" s="248">
        <v>8</v>
      </c>
      <c r="B11" s="249" t="s">
        <v>8310</v>
      </c>
      <c r="C11" s="269">
        <v>194</v>
      </c>
      <c r="D11" s="270">
        <v>113</v>
      </c>
      <c r="E11" s="270">
        <v>30</v>
      </c>
      <c r="F11" s="270">
        <v>228</v>
      </c>
      <c r="G11" s="270">
        <v>153</v>
      </c>
      <c r="H11" s="270">
        <v>106</v>
      </c>
      <c r="I11" s="270">
        <v>237</v>
      </c>
      <c r="J11" s="270">
        <v>178</v>
      </c>
      <c r="K11" s="270">
        <v>62</v>
      </c>
      <c r="L11" s="270">
        <v>146</v>
      </c>
      <c r="M11" s="270">
        <v>97</v>
      </c>
      <c r="N11" s="270">
        <v>185</v>
      </c>
      <c r="O11" s="270">
        <v>69</v>
      </c>
      <c r="P11" s="270">
        <v>289</v>
      </c>
      <c r="Q11" s="270">
        <v>114</v>
      </c>
      <c r="R11" s="270">
        <v>155</v>
      </c>
      <c r="S11" s="270">
        <v>239</v>
      </c>
      <c r="T11" s="270">
        <v>90</v>
      </c>
      <c r="U11" s="270">
        <v>274</v>
      </c>
      <c r="V11" s="270">
        <v>85</v>
      </c>
      <c r="W11" s="270">
        <v>191</v>
      </c>
      <c r="X11" s="270">
        <v>78</v>
      </c>
      <c r="Y11" s="270">
        <v>2</v>
      </c>
      <c r="Z11" s="270">
        <v>200</v>
      </c>
      <c r="AA11" s="270">
        <v>20</v>
      </c>
      <c r="AB11" s="270">
        <v>147</v>
      </c>
      <c r="AC11" s="270">
        <v>81</v>
      </c>
      <c r="AD11" s="270">
        <v>173</v>
      </c>
      <c r="AE11" s="270">
        <v>151</v>
      </c>
      <c r="AF11" s="270">
        <v>127</v>
      </c>
      <c r="AG11" s="270">
        <v>202</v>
      </c>
      <c r="AH11" s="270">
        <v>48</v>
      </c>
      <c r="AI11" s="270">
        <v>272</v>
      </c>
      <c r="AJ11" s="270">
        <v>133</v>
      </c>
      <c r="AK11" s="270">
        <v>4</v>
      </c>
      <c r="AL11" s="271">
        <v>197</v>
      </c>
      <c r="AM11" s="266" t="s">
        <v>8310</v>
      </c>
      <c r="AN11" s="267"/>
      <c r="AO11" s="268" t="s">
        <v>8310</v>
      </c>
      <c r="AP11" s="272">
        <v>46</v>
      </c>
      <c r="AQ11" s="262">
        <v>182</v>
      </c>
      <c r="AR11" s="262">
        <v>253</v>
      </c>
      <c r="AS11" s="262">
        <v>69</v>
      </c>
      <c r="AT11" s="262">
        <v>162</v>
      </c>
      <c r="AU11" s="262">
        <v>36</v>
      </c>
      <c r="AV11" s="262">
        <v>279</v>
      </c>
      <c r="AW11" s="262">
        <v>233</v>
      </c>
      <c r="AX11" s="262">
        <v>120</v>
      </c>
      <c r="AY11" s="262">
        <v>149</v>
      </c>
      <c r="AZ11" s="262">
        <v>280</v>
      </c>
      <c r="BA11" s="262">
        <v>99</v>
      </c>
      <c r="BB11" s="262">
        <v>23</v>
      </c>
      <c r="BC11" s="262">
        <v>205</v>
      </c>
      <c r="BD11" s="262">
        <v>161</v>
      </c>
      <c r="BE11" s="262">
        <v>164</v>
      </c>
      <c r="BF11" s="262">
        <v>243</v>
      </c>
      <c r="BG11" s="262">
        <v>144</v>
      </c>
      <c r="BH11" s="262">
        <v>175</v>
      </c>
      <c r="BI11" s="262">
        <v>14</v>
      </c>
      <c r="BJ11" s="263">
        <v>210</v>
      </c>
      <c r="BK11" s="262">
        <v>78</v>
      </c>
      <c r="BL11" s="262">
        <v>50</v>
      </c>
      <c r="BM11" s="262">
        <v>194</v>
      </c>
      <c r="BN11" s="262">
        <v>29</v>
      </c>
      <c r="BO11" s="262">
        <v>156</v>
      </c>
      <c r="BP11" s="262">
        <v>160</v>
      </c>
      <c r="BQ11" s="262">
        <v>119</v>
      </c>
      <c r="BR11" s="262">
        <v>191</v>
      </c>
      <c r="BS11" s="262">
        <v>222</v>
      </c>
      <c r="BT11" s="262">
        <v>98</v>
      </c>
      <c r="BU11" s="262">
        <v>289</v>
      </c>
      <c r="BV11" s="264">
        <v>213</v>
      </c>
      <c r="BW11" s="262">
        <v>96</v>
      </c>
      <c r="BX11" s="262">
        <v>277</v>
      </c>
      <c r="BY11" s="265">
        <v>287</v>
      </c>
      <c r="BZ11" s="259" t="s">
        <v>8310</v>
      </c>
      <c r="CA11" s="260"/>
    </row>
    <row r="12" spans="1:79" ht="28.5" thickTop="1" thickBot="1">
      <c r="A12" s="248">
        <v>7</v>
      </c>
      <c r="B12" s="249" t="s">
        <v>8310</v>
      </c>
      <c r="C12" s="269">
        <v>43</v>
      </c>
      <c r="D12" s="270">
        <v>226</v>
      </c>
      <c r="E12" s="270">
        <v>144</v>
      </c>
      <c r="F12" s="270">
        <v>276</v>
      </c>
      <c r="G12" s="270">
        <v>287</v>
      </c>
      <c r="H12" s="270">
        <v>246</v>
      </c>
      <c r="I12" s="270">
        <v>158</v>
      </c>
      <c r="J12" s="270">
        <v>118</v>
      </c>
      <c r="K12" s="270">
        <v>266</v>
      </c>
      <c r="L12" s="270">
        <v>169</v>
      </c>
      <c r="M12" s="270">
        <v>164</v>
      </c>
      <c r="N12" s="264">
        <v>215</v>
      </c>
      <c r="O12" s="270">
        <v>244</v>
      </c>
      <c r="P12" s="270">
        <v>15</v>
      </c>
      <c r="Q12" s="270">
        <v>143</v>
      </c>
      <c r="R12" s="263">
        <v>207</v>
      </c>
      <c r="S12" s="270">
        <v>230</v>
      </c>
      <c r="T12" s="270">
        <v>280</v>
      </c>
      <c r="U12" s="270">
        <v>145</v>
      </c>
      <c r="V12" s="270">
        <v>170</v>
      </c>
      <c r="W12" s="270">
        <v>225</v>
      </c>
      <c r="X12" s="270">
        <v>167</v>
      </c>
      <c r="Y12" s="270">
        <v>37</v>
      </c>
      <c r="Z12" s="270">
        <v>122</v>
      </c>
      <c r="AA12" s="263">
        <v>210</v>
      </c>
      <c r="AB12" s="270">
        <v>227</v>
      </c>
      <c r="AC12" s="270">
        <v>119</v>
      </c>
      <c r="AD12" s="270">
        <v>28</v>
      </c>
      <c r="AE12" s="270">
        <v>242</v>
      </c>
      <c r="AF12" s="270">
        <v>205</v>
      </c>
      <c r="AG12" s="270">
        <v>175</v>
      </c>
      <c r="AH12" s="270">
        <v>102</v>
      </c>
      <c r="AI12" s="270">
        <v>99</v>
      </c>
      <c r="AJ12" s="270">
        <v>40</v>
      </c>
      <c r="AK12" s="270">
        <v>107</v>
      </c>
      <c r="AL12" s="271">
        <v>134</v>
      </c>
      <c r="AM12" s="266" t="s">
        <v>8310</v>
      </c>
      <c r="AN12" s="267"/>
      <c r="AO12" s="268" t="s">
        <v>8310</v>
      </c>
      <c r="AP12" s="272">
        <v>204</v>
      </c>
      <c r="AQ12" s="262">
        <v>218</v>
      </c>
      <c r="AR12" s="262">
        <v>181</v>
      </c>
      <c r="AS12" s="262">
        <v>6</v>
      </c>
      <c r="AT12" s="262">
        <v>146</v>
      </c>
      <c r="AU12" s="264">
        <v>217</v>
      </c>
      <c r="AV12" s="262">
        <v>141</v>
      </c>
      <c r="AW12" s="262">
        <v>118</v>
      </c>
      <c r="AX12" s="262">
        <v>199</v>
      </c>
      <c r="AY12" s="262">
        <v>17</v>
      </c>
      <c r="AZ12" s="262">
        <v>172</v>
      </c>
      <c r="BA12" s="262">
        <v>184</v>
      </c>
      <c r="BB12" s="262">
        <v>140</v>
      </c>
      <c r="BC12" s="262">
        <v>126</v>
      </c>
      <c r="BD12" s="262">
        <v>171</v>
      </c>
      <c r="BE12" s="262">
        <v>56</v>
      </c>
      <c r="BF12" s="262">
        <v>100</v>
      </c>
      <c r="BG12" s="262">
        <v>180</v>
      </c>
      <c r="BH12" s="262">
        <v>66</v>
      </c>
      <c r="BI12" s="262">
        <v>45</v>
      </c>
      <c r="BJ12" s="262">
        <v>123</v>
      </c>
      <c r="BK12" s="262">
        <v>44</v>
      </c>
      <c r="BL12" s="262">
        <v>148</v>
      </c>
      <c r="BM12" s="262">
        <v>24</v>
      </c>
      <c r="BN12" s="262">
        <v>169</v>
      </c>
      <c r="BO12" s="262">
        <v>5</v>
      </c>
      <c r="BP12" s="262">
        <v>150</v>
      </c>
      <c r="BQ12" s="262">
        <v>219</v>
      </c>
      <c r="BR12" s="262">
        <v>2</v>
      </c>
      <c r="BS12" s="262">
        <v>220</v>
      </c>
      <c r="BT12" s="262">
        <v>244</v>
      </c>
      <c r="BU12" s="262">
        <v>133</v>
      </c>
      <c r="BV12" s="262">
        <v>94</v>
      </c>
      <c r="BW12" s="262">
        <v>116</v>
      </c>
      <c r="BX12" s="262">
        <v>67</v>
      </c>
      <c r="BY12" s="265">
        <v>260</v>
      </c>
      <c r="BZ12" s="259" t="s">
        <v>8310</v>
      </c>
      <c r="CA12" s="260"/>
    </row>
    <row r="13" spans="1:79" ht="28.5" thickTop="1" thickBot="1">
      <c r="A13" s="248">
        <v>6</v>
      </c>
      <c r="B13" s="249" t="s">
        <v>8310</v>
      </c>
      <c r="C13" s="269">
        <v>70</v>
      </c>
      <c r="D13" s="270">
        <v>110</v>
      </c>
      <c r="E13" s="263">
        <v>211</v>
      </c>
      <c r="F13" s="270">
        <v>201</v>
      </c>
      <c r="G13" s="270">
        <v>104</v>
      </c>
      <c r="H13" s="264">
        <v>212</v>
      </c>
      <c r="I13" s="270">
        <v>270</v>
      </c>
      <c r="J13" s="270">
        <v>72</v>
      </c>
      <c r="K13" s="270">
        <v>187</v>
      </c>
      <c r="L13" s="270">
        <v>31</v>
      </c>
      <c r="M13" s="270">
        <v>267</v>
      </c>
      <c r="N13" s="270">
        <v>275</v>
      </c>
      <c r="O13" s="270">
        <v>179</v>
      </c>
      <c r="P13" s="270">
        <v>142</v>
      </c>
      <c r="Q13" s="270">
        <v>157</v>
      </c>
      <c r="R13" s="270">
        <v>262</v>
      </c>
      <c r="S13" s="270">
        <v>89</v>
      </c>
      <c r="T13" s="270">
        <v>273</v>
      </c>
      <c r="U13" s="270">
        <v>123</v>
      </c>
      <c r="V13" s="270">
        <v>12</v>
      </c>
      <c r="W13" s="270">
        <v>121</v>
      </c>
      <c r="X13" s="270">
        <v>13</v>
      </c>
      <c r="Y13" s="270">
        <v>26</v>
      </c>
      <c r="Z13" s="270">
        <v>220</v>
      </c>
      <c r="AA13" s="270">
        <v>109</v>
      </c>
      <c r="AB13" s="270">
        <v>257</v>
      </c>
      <c r="AC13" s="270">
        <v>49</v>
      </c>
      <c r="AD13" s="263">
        <v>208</v>
      </c>
      <c r="AE13" s="270">
        <v>245</v>
      </c>
      <c r="AF13" s="270">
        <v>87</v>
      </c>
      <c r="AG13" s="270">
        <v>44</v>
      </c>
      <c r="AH13" s="270">
        <v>124</v>
      </c>
      <c r="AI13" s="270">
        <v>132</v>
      </c>
      <c r="AJ13" s="270">
        <v>21</v>
      </c>
      <c r="AK13" s="270">
        <v>19</v>
      </c>
      <c r="AL13" s="271">
        <v>254</v>
      </c>
      <c r="AM13" s="266" t="s">
        <v>8310</v>
      </c>
      <c r="AN13" s="267"/>
      <c r="AO13" s="268" t="s">
        <v>8310</v>
      </c>
      <c r="AP13" s="272">
        <v>252</v>
      </c>
      <c r="AQ13" s="262">
        <v>201</v>
      </c>
      <c r="AR13" s="262">
        <v>138</v>
      </c>
      <c r="AS13" s="262">
        <v>154</v>
      </c>
      <c r="AT13" s="262">
        <v>63</v>
      </c>
      <c r="AU13" s="262">
        <v>4</v>
      </c>
      <c r="AV13" s="262">
        <v>135</v>
      </c>
      <c r="AW13" s="262">
        <v>248</v>
      </c>
      <c r="AX13" s="262">
        <v>10</v>
      </c>
      <c r="AY13" s="262">
        <v>107</v>
      </c>
      <c r="AZ13" s="262">
        <v>223</v>
      </c>
      <c r="BA13" s="262">
        <v>200</v>
      </c>
      <c r="BB13" s="262">
        <v>91</v>
      </c>
      <c r="BC13" s="262">
        <v>73</v>
      </c>
      <c r="BD13" s="262">
        <v>19</v>
      </c>
      <c r="BE13" s="262">
        <v>274</v>
      </c>
      <c r="BF13" s="262">
        <v>230</v>
      </c>
      <c r="BG13" s="262">
        <v>242</v>
      </c>
      <c r="BH13" s="262">
        <v>157</v>
      </c>
      <c r="BI13" s="262">
        <v>68</v>
      </c>
      <c r="BJ13" s="262">
        <v>158</v>
      </c>
      <c r="BK13" s="262">
        <v>231</v>
      </c>
      <c r="BL13" s="262">
        <v>93</v>
      </c>
      <c r="BM13" s="262">
        <v>263</v>
      </c>
      <c r="BN13" s="262">
        <v>71</v>
      </c>
      <c r="BO13" s="262">
        <v>173</v>
      </c>
      <c r="BP13" s="262">
        <v>137</v>
      </c>
      <c r="BQ13" s="262">
        <v>7</v>
      </c>
      <c r="BR13" s="262">
        <v>92</v>
      </c>
      <c r="BS13" s="262">
        <v>288</v>
      </c>
      <c r="BT13" s="262">
        <v>186</v>
      </c>
      <c r="BU13" s="262">
        <v>273</v>
      </c>
      <c r="BV13" s="262">
        <v>261</v>
      </c>
      <c r="BW13" s="262">
        <v>125</v>
      </c>
      <c r="BX13" s="262">
        <v>163</v>
      </c>
      <c r="BY13" s="284">
        <v>211</v>
      </c>
      <c r="BZ13" s="259" t="s">
        <v>8310</v>
      </c>
      <c r="CA13" s="260"/>
    </row>
    <row r="14" spans="1:79" ht="28.5" thickTop="1" thickBot="1">
      <c r="A14" s="248">
        <v>5</v>
      </c>
      <c r="B14" s="249" t="s">
        <v>8310</v>
      </c>
      <c r="C14" s="269">
        <v>108</v>
      </c>
      <c r="D14" s="270">
        <v>60</v>
      </c>
      <c r="E14" s="264">
        <v>286</v>
      </c>
      <c r="F14" s="270">
        <v>184</v>
      </c>
      <c r="G14" s="270">
        <v>183</v>
      </c>
      <c r="H14" s="264">
        <v>213</v>
      </c>
      <c r="I14" s="270">
        <v>156</v>
      </c>
      <c r="J14" s="270">
        <v>45</v>
      </c>
      <c r="K14" s="270">
        <v>193</v>
      </c>
      <c r="L14" s="270">
        <v>92</v>
      </c>
      <c r="M14" s="270">
        <v>243</v>
      </c>
      <c r="N14" s="264">
        <v>216</v>
      </c>
      <c r="O14" s="270">
        <v>120</v>
      </c>
      <c r="P14" s="270">
        <v>105</v>
      </c>
      <c r="Q14" s="270">
        <v>218</v>
      </c>
      <c r="R14" s="270">
        <v>162</v>
      </c>
      <c r="S14" s="270">
        <v>174</v>
      </c>
      <c r="T14" s="270">
        <v>29</v>
      </c>
      <c r="U14" s="270">
        <v>222</v>
      </c>
      <c r="V14" s="270">
        <v>24</v>
      </c>
      <c r="W14" s="270">
        <v>46</v>
      </c>
      <c r="X14" s="270">
        <v>149</v>
      </c>
      <c r="Y14" s="270">
        <v>25</v>
      </c>
      <c r="Z14" s="270">
        <v>111</v>
      </c>
      <c r="AA14" s="270">
        <v>61</v>
      </c>
      <c r="AB14" s="270">
        <v>163</v>
      </c>
      <c r="AC14" s="270">
        <v>176</v>
      </c>
      <c r="AD14" s="270">
        <v>82</v>
      </c>
      <c r="AE14" s="270">
        <v>130</v>
      </c>
      <c r="AF14" s="270">
        <v>115</v>
      </c>
      <c r="AG14" s="270">
        <v>248</v>
      </c>
      <c r="AH14" s="270">
        <v>139</v>
      </c>
      <c r="AI14" s="270">
        <v>231</v>
      </c>
      <c r="AJ14" s="270">
        <v>17</v>
      </c>
      <c r="AK14" s="270">
        <v>203</v>
      </c>
      <c r="AL14" s="271">
        <v>42</v>
      </c>
      <c r="AM14" s="266" t="s">
        <v>8310</v>
      </c>
      <c r="AN14" s="267"/>
      <c r="AO14" s="268" t="s">
        <v>8310</v>
      </c>
      <c r="AP14" s="272">
        <v>228</v>
      </c>
      <c r="AQ14" s="264">
        <v>215</v>
      </c>
      <c r="AR14" s="262">
        <v>129</v>
      </c>
      <c r="AS14" s="262">
        <v>167</v>
      </c>
      <c r="AT14" s="262">
        <v>112</v>
      </c>
      <c r="AU14" s="262">
        <v>177</v>
      </c>
      <c r="AV14" s="262">
        <v>270</v>
      </c>
      <c r="AW14" s="262">
        <v>197</v>
      </c>
      <c r="AX14" s="262">
        <v>241</v>
      </c>
      <c r="AY14" s="262">
        <v>255</v>
      </c>
      <c r="AZ14" s="262">
        <v>155</v>
      </c>
      <c r="BA14" s="262">
        <v>170</v>
      </c>
      <c r="BB14" s="262">
        <v>80</v>
      </c>
      <c r="BC14" s="262">
        <v>53</v>
      </c>
      <c r="BD14" s="262">
        <v>136</v>
      </c>
      <c r="BE14" s="262">
        <v>101</v>
      </c>
      <c r="BF14" s="262">
        <v>35</v>
      </c>
      <c r="BG14" s="262">
        <v>79</v>
      </c>
      <c r="BH14" s="262">
        <v>282</v>
      </c>
      <c r="BI14" s="262">
        <v>105</v>
      </c>
      <c r="BJ14" s="262">
        <v>240</v>
      </c>
      <c r="BK14" s="262">
        <v>159</v>
      </c>
      <c r="BL14" s="262">
        <v>39</v>
      </c>
      <c r="BM14" s="262">
        <v>206</v>
      </c>
      <c r="BN14" s="262">
        <v>59</v>
      </c>
      <c r="BO14" s="262">
        <v>61</v>
      </c>
      <c r="BP14" s="262">
        <v>65</v>
      </c>
      <c r="BQ14" s="262">
        <v>95</v>
      </c>
      <c r="BR14" s="262">
        <v>87</v>
      </c>
      <c r="BS14" s="262">
        <v>27</v>
      </c>
      <c r="BT14" s="262">
        <v>168</v>
      </c>
      <c r="BU14" s="262">
        <v>115</v>
      </c>
      <c r="BV14" s="262">
        <v>30</v>
      </c>
      <c r="BW14" s="262">
        <v>258</v>
      </c>
      <c r="BX14" s="262">
        <v>20</v>
      </c>
      <c r="BY14" s="265">
        <v>131</v>
      </c>
      <c r="BZ14" s="259" t="s">
        <v>8310</v>
      </c>
      <c r="CA14" s="260"/>
    </row>
    <row r="15" spans="1:79" ht="28.5" thickTop="1" thickBot="1">
      <c r="A15" s="248">
        <v>4</v>
      </c>
      <c r="B15" s="249" t="s">
        <v>8310</v>
      </c>
      <c r="C15" s="269">
        <v>247</v>
      </c>
      <c r="D15" s="270">
        <v>64</v>
      </c>
      <c r="E15" s="270">
        <v>166</v>
      </c>
      <c r="F15" s="270">
        <v>258</v>
      </c>
      <c r="G15" s="270">
        <v>36</v>
      </c>
      <c r="H15" s="270">
        <v>66</v>
      </c>
      <c r="I15" s="270">
        <v>160</v>
      </c>
      <c r="J15" s="270">
        <v>152</v>
      </c>
      <c r="K15" s="270">
        <v>117</v>
      </c>
      <c r="L15" s="270">
        <v>268</v>
      </c>
      <c r="M15" s="270">
        <v>73</v>
      </c>
      <c r="N15" s="270">
        <v>279</v>
      </c>
      <c r="O15" s="270">
        <v>59</v>
      </c>
      <c r="P15" s="270">
        <v>47</v>
      </c>
      <c r="Q15" s="270">
        <v>261</v>
      </c>
      <c r="R15" s="270">
        <v>159</v>
      </c>
      <c r="S15" s="270">
        <v>56</v>
      </c>
      <c r="T15" s="270">
        <v>278</v>
      </c>
      <c r="U15" s="285">
        <v>7</v>
      </c>
      <c r="V15" s="270">
        <v>256</v>
      </c>
      <c r="W15" s="270">
        <v>10</v>
      </c>
      <c r="X15" s="270">
        <v>91</v>
      </c>
      <c r="Y15" s="270">
        <v>23</v>
      </c>
      <c r="Z15" s="270">
        <v>27</v>
      </c>
      <c r="AA15" s="270">
        <v>57</v>
      </c>
      <c r="AB15" s="270">
        <v>229</v>
      </c>
      <c r="AC15" s="270">
        <v>250</v>
      </c>
      <c r="AD15" s="270">
        <v>186</v>
      </c>
      <c r="AE15" s="264">
        <v>285</v>
      </c>
      <c r="AF15" s="270">
        <v>219</v>
      </c>
      <c r="AG15" s="270">
        <v>77</v>
      </c>
      <c r="AH15" s="270">
        <v>84</v>
      </c>
      <c r="AI15" s="270">
        <v>71</v>
      </c>
      <c r="AJ15" s="270">
        <v>221</v>
      </c>
      <c r="AK15" s="270">
        <v>182</v>
      </c>
      <c r="AL15" s="271">
        <v>269</v>
      </c>
      <c r="AM15" s="266" t="s">
        <v>8310</v>
      </c>
      <c r="AN15" s="267"/>
      <c r="AO15" s="268" t="s">
        <v>8310</v>
      </c>
      <c r="AP15" s="272">
        <v>60</v>
      </c>
      <c r="AQ15" s="262">
        <v>257</v>
      </c>
      <c r="AR15" s="262">
        <v>18</v>
      </c>
      <c r="AS15" s="262">
        <v>143</v>
      </c>
      <c r="AT15" s="262">
        <v>176</v>
      </c>
      <c r="AU15" s="262">
        <v>111</v>
      </c>
      <c r="AV15" s="262">
        <v>254</v>
      </c>
      <c r="AW15" s="262">
        <v>275</v>
      </c>
      <c r="AX15" s="262">
        <v>251</v>
      </c>
      <c r="AY15" s="262">
        <v>165</v>
      </c>
      <c r="AZ15" s="262">
        <v>113</v>
      </c>
      <c r="BA15" s="262">
        <v>76</v>
      </c>
      <c r="BB15" s="262">
        <v>64</v>
      </c>
      <c r="BC15" s="262">
        <v>11</v>
      </c>
      <c r="BD15" s="262">
        <v>48</v>
      </c>
      <c r="BE15" s="262">
        <v>106</v>
      </c>
      <c r="BF15" s="262">
        <v>189</v>
      </c>
      <c r="BG15" s="262">
        <v>237</v>
      </c>
      <c r="BH15" s="262">
        <v>16</v>
      </c>
      <c r="BI15" s="263">
        <v>209</v>
      </c>
      <c r="BJ15" s="262">
        <v>247</v>
      </c>
      <c r="BK15" s="263">
        <v>207</v>
      </c>
      <c r="BL15" s="262">
        <v>132</v>
      </c>
      <c r="BM15" s="262">
        <v>70</v>
      </c>
      <c r="BN15" s="262">
        <v>221</v>
      </c>
      <c r="BO15" s="262">
        <v>3</v>
      </c>
      <c r="BP15" s="262">
        <v>26</v>
      </c>
      <c r="BQ15" s="262">
        <v>1</v>
      </c>
      <c r="BR15" s="262">
        <v>127</v>
      </c>
      <c r="BS15" s="262">
        <v>265</v>
      </c>
      <c r="BT15" s="262">
        <v>117</v>
      </c>
      <c r="BU15" s="262">
        <v>152</v>
      </c>
      <c r="BV15" s="263">
        <v>284</v>
      </c>
      <c r="BW15" s="262">
        <v>13</v>
      </c>
      <c r="BX15" s="262">
        <v>84</v>
      </c>
      <c r="BY15" s="265">
        <v>102</v>
      </c>
      <c r="BZ15" s="259" t="s">
        <v>8310</v>
      </c>
      <c r="CA15" s="260"/>
    </row>
    <row r="16" spans="1:79" ht="28.5" thickTop="1" thickBot="1">
      <c r="A16" s="248">
        <v>3</v>
      </c>
      <c r="B16" s="249" t="s">
        <v>8310</v>
      </c>
      <c r="C16" s="269">
        <v>265</v>
      </c>
      <c r="D16" s="270">
        <v>253</v>
      </c>
      <c r="E16" s="270">
        <v>189</v>
      </c>
      <c r="F16" s="270">
        <v>79</v>
      </c>
      <c r="G16" s="270">
        <v>125</v>
      </c>
      <c r="H16" s="270">
        <v>233</v>
      </c>
      <c r="I16" s="270">
        <v>238</v>
      </c>
      <c r="J16" s="270">
        <v>251</v>
      </c>
      <c r="K16" s="270">
        <v>32</v>
      </c>
      <c r="L16" s="286">
        <v>190</v>
      </c>
      <c r="M16" s="270">
        <v>180</v>
      </c>
      <c r="N16" s="270">
        <v>288</v>
      </c>
      <c r="O16" s="270">
        <v>11</v>
      </c>
      <c r="P16" s="270">
        <v>224</v>
      </c>
      <c r="Q16" s="270">
        <v>240</v>
      </c>
      <c r="R16" s="270">
        <v>232</v>
      </c>
      <c r="S16" s="270">
        <v>51</v>
      </c>
      <c r="T16" s="287">
        <v>131</v>
      </c>
      <c r="U16" s="263">
        <v>283</v>
      </c>
      <c r="V16" s="288">
        <v>138</v>
      </c>
      <c r="W16" s="270">
        <v>16</v>
      </c>
      <c r="X16" s="263">
        <v>209</v>
      </c>
      <c r="Y16" s="270">
        <v>74</v>
      </c>
      <c r="Z16" s="270">
        <v>126</v>
      </c>
      <c r="AA16" s="270">
        <v>41</v>
      </c>
      <c r="AB16" s="270">
        <v>9</v>
      </c>
      <c r="AC16" s="270">
        <v>141</v>
      </c>
      <c r="AD16" s="270">
        <v>100</v>
      </c>
      <c r="AE16" s="270">
        <v>140</v>
      </c>
      <c r="AF16" s="270">
        <v>101</v>
      </c>
      <c r="AG16" s="270">
        <v>223</v>
      </c>
      <c r="AH16" s="270">
        <v>18</v>
      </c>
      <c r="AI16" s="270">
        <v>103</v>
      </c>
      <c r="AJ16" s="270">
        <v>181</v>
      </c>
      <c r="AK16" s="270">
        <v>34</v>
      </c>
      <c r="AL16" s="271">
        <v>263</v>
      </c>
      <c r="AM16" s="266" t="s">
        <v>8310</v>
      </c>
      <c r="AN16" s="267"/>
      <c r="AO16" s="268" t="s">
        <v>8310</v>
      </c>
      <c r="AP16" s="272">
        <v>25</v>
      </c>
      <c r="AQ16" s="262">
        <v>86</v>
      </c>
      <c r="AR16" s="262">
        <v>276</v>
      </c>
      <c r="AS16" s="263">
        <v>208</v>
      </c>
      <c r="AT16" s="262">
        <v>179</v>
      </c>
      <c r="AU16" s="262">
        <v>250</v>
      </c>
      <c r="AV16" s="262">
        <v>145</v>
      </c>
      <c r="AW16" s="262">
        <v>31</v>
      </c>
      <c r="AX16" s="262">
        <v>130</v>
      </c>
      <c r="AY16" s="262">
        <v>235</v>
      </c>
      <c r="AZ16" s="262">
        <v>192</v>
      </c>
      <c r="BA16" s="262">
        <v>166</v>
      </c>
      <c r="BB16" s="262">
        <v>43</v>
      </c>
      <c r="BC16" s="262">
        <v>239</v>
      </c>
      <c r="BD16" s="262">
        <v>114</v>
      </c>
      <c r="BE16" s="262">
        <v>40</v>
      </c>
      <c r="BF16" s="262">
        <v>195</v>
      </c>
      <c r="BG16" s="262">
        <v>122</v>
      </c>
      <c r="BH16" s="262">
        <v>41</v>
      </c>
      <c r="BI16" s="262">
        <v>246</v>
      </c>
      <c r="BJ16" s="262">
        <v>259</v>
      </c>
      <c r="BK16" s="262">
        <v>42</v>
      </c>
      <c r="BL16" s="262">
        <v>262</v>
      </c>
      <c r="BM16" s="262">
        <v>74</v>
      </c>
      <c r="BN16" s="262">
        <v>153</v>
      </c>
      <c r="BO16" s="262">
        <v>187</v>
      </c>
      <c r="BP16" s="262">
        <v>236</v>
      </c>
      <c r="BQ16" s="262">
        <v>49</v>
      </c>
      <c r="BR16" s="262">
        <v>33</v>
      </c>
      <c r="BS16" s="262">
        <v>139</v>
      </c>
      <c r="BT16" s="263">
        <v>283</v>
      </c>
      <c r="BU16" s="262">
        <v>128</v>
      </c>
      <c r="BV16" s="262">
        <v>55</v>
      </c>
      <c r="BW16" s="262">
        <v>52</v>
      </c>
      <c r="BX16" s="264">
        <v>286</v>
      </c>
      <c r="BY16" s="265">
        <v>88</v>
      </c>
      <c r="BZ16" s="259" t="s">
        <v>8310</v>
      </c>
      <c r="CA16" s="260"/>
    </row>
    <row r="17" spans="1:79" ht="28.5" thickTop="1" thickBot="1">
      <c r="A17" s="248">
        <v>2</v>
      </c>
      <c r="B17" s="249" t="s">
        <v>8310</v>
      </c>
      <c r="C17" s="277">
        <v>55</v>
      </c>
      <c r="D17" s="278">
        <v>96</v>
      </c>
      <c r="E17" s="278">
        <v>199</v>
      </c>
      <c r="F17" s="278">
        <v>83</v>
      </c>
      <c r="G17" s="278">
        <v>67</v>
      </c>
      <c r="H17" s="278">
        <v>235</v>
      </c>
      <c r="I17" s="278">
        <v>192</v>
      </c>
      <c r="J17" s="278">
        <v>76</v>
      </c>
      <c r="K17" s="289">
        <v>53</v>
      </c>
      <c r="L17" s="279">
        <v>217</v>
      </c>
      <c r="M17" s="290">
        <v>50</v>
      </c>
      <c r="N17" s="278">
        <v>3</v>
      </c>
      <c r="O17" s="278">
        <v>6</v>
      </c>
      <c r="P17" s="278">
        <v>277</v>
      </c>
      <c r="Q17" s="278">
        <v>195</v>
      </c>
      <c r="R17" s="278">
        <v>80</v>
      </c>
      <c r="S17" s="278">
        <v>204</v>
      </c>
      <c r="T17" s="278">
        <v>234</v>
      </c>
      <c r="U17" s="291">
        <v>1</v>
      </c>
      <c r="V17" s="278">
        <v>52</v>
      </c>
      <c r="W17" s="278">
        <v>63</v>
      </c>
      <c r="X17" s="278">
        <v>171</v>
      </c>
      <c r="Y17" s="278">
        <v>75</v>
      </c>
      <c r="Z17" s="278">
        <v>136</v>
      </c>
      <c r="AA17" s="278">
        <v>165</v>
      </c>
      <c r="AB17" s="278">
        <v>271</v>
      </c>
      <c r="AC17" s="278">
        <v>95</v>
      </c>
      <c r="AD17" s="278">
        <v>150</v>
      </c>
      <c r="AE17" s="278">
        <v>39</v>
      </c>
      <c r="AF17" s="278">
        <v>260</v>
      </c>
      <c r="AG17" s="278">
        <v>65</v>
      </c>
      <c r="AH17" s="278">
        <v>198</v>
      </c>
      <c r="AI17" s="278">
        <v>206</v>
      </c>
      <c r="AJ17" s="278">
        <v>128</v>
      </c>
      <c r="AK17" s="278">
        <v>88</v>
      </c>
      <c r="AL17" s="280">
        <v>252</v>
      </c>
      <c r="AM17" s="292" t="s">
        <v>8310</v>
      </c>
      <c r="AN17" s="293"/>
      <c r="AO17" s="294" t="s">
        <v>8310</v>
      </c>
      <c r="AP17" s="273">
        <v>202</v>
      </c>
      <c r="AQ17" s="274">
        <v>15</v>
      </c>
      <c r="AR17" s="274">
        <v>51</v>
      </c>
      <c r="AS17" s="274">
        <v>226</v>
      </c>
      <c r="AT17" s="274">
        <v>110</v>
      </c>
      <c r="AU17" s="274">
        <v>134</v>
      </c>
      <c r="AV17" s="274">
        <v>193</v>
      </c>
      <c r="AW17" s="274">
        <v>34</v>
      </c>
      <c r="AX17" s="274">
        <v>224</v>
      </c>
      <c r="AY17" s="274">
        <v>174</v>
      </c>
      <c r="AZ17" s="274">
        <v>147</v>
      </c>
      <c r="BA17" s="274">
        <v>185</v>
      </c>
      <c r="BB17" s="274">
        <v>229</v>
      </c>
      <c r="BC17" s="274">
        <v>75</v>
      </c>
      <c r="BD17" s="274">
        <v>142</v>
      </c>
      <c r="BE17" s="274">
        <v>232</v>
      </c>
      <c r="BF17" s="274">
        <v>89</v>
      </c>
      <c r="BG17" s="274">
        <v>97</v>
      </c>
      <c r="BH17" s="274">
        <v>178</v>
      </c>
      <c r="BI17" s="274">
        <v>266</v>
      </c>
      <c r="BJ17" s="274">
        <v>188</v>
      </c>
      <c r="BK17" s="274">
        <v>22</v>
      </c>
      <c r="BL17" s="274">
        <v>108</v>
      </c>
      <c r="BM17" s="274">
        <v>196</v>
      </c>
      <c r="BN17" s="274">
        <v>245</v>
      </c>
      <c r="BO17" s="274">
        <v>32</v>
      </c>
      <c r="BP17" s="274">
        <v>121</v>
      </c>
      <c r="BQ17" s="274">
        <v>203</v>
      </c>
      <c r="BR17" s="279">
        <v>216</v>
      </c>
      <c r="BS17" s="274">
        <v>256</v>
      </c>
      <c r="BT17" s="274">
        <v>81</v>
      </c>
      <c r="BU17" s="274">
        <v>8</v>
      </c>
      <c r="BV17" s="274">
        <v>109</v>
      </c>
      <c r="BW17" s="274">
        <v>271</v>
      </c>
      <c r="BX17" s="274">
        <v>47</v>
      </c>
      <c r="BY17" s="276">
        <v>151</v>
      </c>
      <c r="BZ17" s="259" t="s">
        <v>8310</v>
      </c>
      <c r="CA17" s="260"/>
    </row>
    <row r="18" spans="1:79" ht="27.75" thickTop="1">
      <c r="A18" s="248">
        <v>1</v>
      </c>
      <c r="B18" s="295" t="s">
        <v>8310</v>
      </c>
      <c r="C18" s="296" t="s">
        <v>8310</v>
      </c>
      <c r="D18" s="296" t="s">
        <v>8310</v>
      </c>
      <c r="E18" s="296" t="s">
        <v>8310</v>
      </c>
      <c r="F18" s="296" t="s">
        <v>8310</v>
      </c>
      <c r="G18" s="296" t="s">
        <v>8310</v>
      </c>
      <c r="H18" s="296" t="s">
        <v>8310</v>
      </c>
      <c r="I18" s="296" t="s">
        <v>8310</v>
      </c>
      <c r="J18" s="296" t="s">
        <v>8310</v>
      </c>
      <c r="K18" s="296" t="s">
        <v>8310</v>
      </c>
      <c r="L18" s="296" t="s">
        <v>8310</v>
      </c>
      <c r="M18" s="296" t="s">
        <v>8310</v>
      </c>
      <c r="N18" s="296" t="s">
        <v>8310</v>
      </c>
      <c r="O18" s="296" t="s">
        <v>8310</v>
      </c>
      <c r="P18" s="296" t="s">
        <v>8310</v>
      </c>
      <c r="Q18" s="296" t="s">
        <v>8310</v>
      </c>
      <c r="R18" s="296" t="s">
        <v>8310</v>
      </c>
      <c r="S18" s="296" t="s">
        <v>8310</v>
      </c>
      <c r="T18" s="296" t="s">
        <v>8310</v>
      </c>
      <c r="U18" s="296" t="s">
        <v>8310</v>
      </c>
      <c r="V18" s="296" t="s">
        <v>8310</v>
      </c>
      <c r="W18" s="296" t="s">
        <v>8310</v>
      </c>
      <c r="X18" s="296" t="s">
        <v>8310</v>
      </c>
      <c r="Y18" s="296" t="s">
        <v>8310</v>
      </c>
      <c r="Z18" s="296" t="s">
        <v>8310</v>
      </c>
      <c r="AA18" s="296" t="s">
        <v>8310</v>
      </c>
      <c r="AB18" s="296" t="s">
        <v>8310</v>
      </c>
      <c r="AC18" s="296" t="s">
        <v>8310</v>
      </c>
      <c r="AD18" s="296" t="s">
        <v>8310</v>
      </c>
      <c r="AE18" s="296" t="s">
        <v>8310</v>
      </c>
      <c r="AF18" s="296" t="s">
        <v>8310</v>
      </c>
      <c r="AG18" s="296" t="s">
        <v>8310</v>
      </c>
      <c r="AH18" s="296" t="s">
        <v>8310</v>
      </c>
      <c r="AI18" s="296" t="s">
        <v>8310</v>
      </c>
      <c r="AJ18" s="296" t="s">
        <v>8310</v>
      </c>
      <c r="AK18" s="296" t="s">
        <v>8310</v>
      </c>
      <c r="AL18" s="296" t="s">
        <v>8310</v>
      </c>
      <c r="AM18" s="296" t="s">
        <v>8310</v>
      </c>
      <c r="AN18" s="296" t="s">
        <v>8310</v>
      </c>
      <c r="AO18" s="296" t="s">
        <v>8310</v>
      </c>
      <c r="AP18" s="296" t="s">
        <v>8310</v>
      </c>
      <c r="AQ18" s="296" t="s">
        <v>8310</v>
      </c>
      <c r="AR18" s="296" t="s">
        <v>8310</v>
      </c>
      <c r="AS18" s="296" t="s">
        <v>8310</v>
      </c>
      <c r="AT18" s="296" t="s">
        <v>8310</v>
      </c>
      <c r="AU18" s="296" t="s">
        <v>8310</v>
      </c>
      <c r="AV18" s="296" t="s">
        <v>8310</v>
      </c>
      <c r="AW18" s="296" t="s">
        <v>8310</v>
      </c>
      <c r="AX18" s="296" t="s">
        <v>8310</v>
      </c>
      <c r="AY18" s="296" t="s">
        <v>8310</v>
      </c>
      <c r="AZ18" s="296" t="s">
        <v>8310</v>
      </c>
      <c r="BA18" s="296" t="s">
        <v>8310</v>
      </c>
      <c r="BB18" s="296" t="s">
        <v>8310</v>
      </c>
      <c r="BC18" s="296" t="s">
        <v>8310</v>
      </c>
      <c r="BD18" s="296" t="s">
        <v>8310</v>
      </c>
      <c r="BE18" s="296" t="s">
        <v>8310</v>
      </c>
      <c r="BF18" s="296" t="s">
        <v>8310</v>
      </c>
      <c r="BG18" s="296" t="s">
        <v>8310</v>
      </c>
      <c r="BH18" s="296" t="s">
        <v>8310</v>
      </c>
      <c r="BI18" s="296" t="s">
        <v>8310</v>
      </c>
      <c r="BJ18" s="296" t="s">
        <v>8310</v>
      </c>
      <c r="BK18" s="296" t="s">
        <v>8310</v>
      </c>
      <c r="BL18" s="296" t="s">
        <v>8310</v>
      </c>
      <c r="BM18" s="296" t="s">
        <v>8310</v>
      </c>
      <c r="BN18" s="296" t="s">
        <v>8310</v>
      </c>
      <c r="BO18" s="296" t="s">
        <v>8310</v>
      </c>
      <c r="BP18" s="296" t="s">
        <v>8310</v>
      </c>
      <c r="BQ18" s="296" t="s">
        <v>8310</v>
      </c>
      <c r="BR18" s="296" t="s">
        <v>8310</v>
      </c>
      <c r="BS18" s="296" t="s">
        <v>8310</v>
      </c>
      <c r="BT18" s="296" t="s">
        <v>8310</v>
      </c>
      <c r="BU18" s="296" t="s">
        <v>8310</v>
      </c>
      <c r="BV18" s="296" t="s">
        <v>8310</v>
      </c>
      <c r="BW18" s="296" t="s">
        <v>8310</v>
      </c>
      <c r="BX18" s="296" t="s">
        <v>8310</v>
      </c>
      <c r="BY18" s="296" t="s">
        <v>8310</v>
      </c>
      <c r="BZ18" s="295" t="s">
        <v>8310</v>
      </c>
      <c r="CA18" s="260"/>
    </row>
    <row r="19" spans="1:79" ht="27">
      <c r="A19" s="248" t="s">
        <v>21</v>
      </c>
      <c r="B19" s="248">
        <v>1</v>
      </c>
      <c r="C19" s="248">
        <v>2</v>
      </c>
      <c r="D19" s="248">
        <v>3</v>
      </c>
      <c r="E19" s="248">
        <v>4</v>
      </c>
      <c r="F19" s="248">
        <v>5</v>
      </c>
      <c r="G19" s="248">
        <v>6</v>
      </c>
      <c r="H19" s="248">
        <v>7</v>
      </c>
      <c r="I19" s="248">
        <v>8</v>
      </c>
      <c r="J19" s="248">
        <v>9</v>
      </c>
      <c r="K19" s="248">
        <v>10</v>
      </c>
      <c r="L19" s="248">
        <v>11</v>
      </c>
      <c r="M19" s="248">
        <v>12</v>
      </c>
      <c r="N19" s="248">
        <v>13</v>
      </c>
      <c r="O19" s="248">
        <v>14</v>
      </c>
      <c r="P19" s="248">
        <v>15</v>
      </c>
      <c r="Q19" s="248">
        <v>16</v>
      </c>
      <c r="R19" s="248">
        <v>17</v>
      </c>
      <c r="S19" s="248">
        <v>18</v>
      </c>
      <c r="T19" s="248">
        <v>19</v>
      </c>
      <c r="U19" s="248">
        <v>20</v>
      </c>
      <c r="V19" s="248">
        <v>21</v>
      </c>
      <c r="W19" s="248">
        <v>22</v>
      </c>
      <c r="X19" s="248">
        <v>23</v>
      </c>
      <c r="Y19" s="248">
        <v>24</v>
      </c>
      <c r="Z19" s="248">
        <v>25</v>
      </c>
      <c r="AA19" s="248">
        <v>26</v>
      </c>
      <c r="AB19" s="248">
        <v>27</v>
      </c>
      <c r="AC19" s="248">
        <v>28</v>
      </c>
      <c r="AD19" s="248">
        <v>29</v>
      </c>
      <c r="AE19" s="248">
        <v>30</v>
      </c>
      <c r="AF19" s="248">
        <v>31</v>
      </c>
      <c r="AG19" s="248">
        <v>32</v>
      </c>
      <c r="AH19" s="248">
        <v>33</v>
      </c>
      <c r="AI19" s="248">
        <v>34</v>
      </c>
      <c r="AJ19" s="248">
        <v>35</v>
      </c>
      <c r="AK19" s="248">
        <v>36</v>
      </c>
      <c r="AL19" s="248">
        <v>37</v>
      </c>
      <c r="AM19" s="248">
        <v>38</v>
      </c>
      <c r="AN19" s="248">
        <v>39</v>
      </c>
      <c r="AO19" s="248">
        <v>40</v>
      </c>
      <c r="AP19" s="248">
        <v>41</v>
      </c>
      <c r="AQ19" s="248">
        <v>42</v>
      </c>
      <c r="AR19" s="248">
        <v>43</v>
      </c>
      <c r="AS19" s="248">
        <v>44</v>
      </c>
      <c r="AT19" s="248">
        <v>45</v>
      </c>
      <c r="AU19" s="248">
        <v>46</v>
      </c>
      <c r="AV19" s="248">
        <v>47</v>
      </c>
      <c r="AW19" s="248">
        <v>48</v>
      </c>
      <c r="AX19" s="248">
        <v>49</v>
      </c>
      <c r="AY19" s="248">
        <v>50</v>
      </c>
      <c r="AZ19" s="248">
        <v>51</v>
      </c>
      <c r="BA19" s="248">
        <v>52</v>
      </c>
      <c r="BB19" s="248">
        <v>53</v>
      </c>
      <c r="BC19" s="248">
        <v>54</v>
      </c>
      <c r="BD19" s="248">
        <v>55</v>
      </c>
      <c r="BE19" s="248">
        <v>56</v>
      </c>
      <c r="BF19" s="248">
        <v>57</v>
      </c>
      <c r="BG19" s="248">
        <v>58</v>
      </c>
      <c r="BH19" s="248">
        <v>59</v>
      </c>
      <c r="BI19" s="248">
        <v>60</v>
      </c>
      <c r="BJ19" s="248">
        <v>61</v>
      </c>
      <c r="BK19" s="248">
        <v>62</v>
      </c>
      <c r="BL19" s="248">
        <v>63</v>
      </c>
      <c r="BM19" s="248">
        <v>64</v>
      </c>
      <c r="BN19" s="248">
        <v>65</v>
      </c>
      <c r="BO19" s="248">
        <v>66</v>
      </c>
      <c r="BP19" s="248">
        <v>67</v>
      </c>
      <c r="BQ19" s="248">
        <v>68</v>
      </c>
      <c r="BR19" s="248">
        <v>69</v>
      </c>
      <c r="BS19" s="248">
        <v>70</v>
      </c>
      <c r="BT19" s="248">
        <v>71</v>
      </c>
      <c r="BU19" s="248">
        <v>72</v>
      </c>
      <c r="BV19" s="248">
        <v>73</v>
      </c>
      <c r="BW19" s="248">
        <v>74</v>
      </c>
      <c r="BX19" s="248">
        <v>75</v>
      </c>
      <c r="BY19" s="248">
        <v>76</v>
      </c>
      <c r="BZ19" s="248">
        <v>77</v>
      </c>
      <c r="CA19" s="260"/>
    </row>
    <row r="20" spans="1:79" ht="12.75">
      <c r="A20" s="297"/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60"/>
      <c r="AL20" s="298"/>
      <c r="AM20" s="297"/>
      <c r="AN20" s="299"/>
      <c r="AO20" s="260"/>
      <c r="AP20" s="260"/>
      <c r="AQ20" s="260"/>
      <c r="AR20" s="260"/>
      <c r="AS20" s="260"/>
      <c r="AT20" s="260"/>
      <c r="AU20" s="260"/>
      <c r="AV20" s="260"/>
      <c r="AW20" s="260"/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260"/>
      <c r="BI20" s="260"/>
      <c r="BJ20" s="260"/>
      <c r="BK20" s="260"/>
      <c r="BL20" s="260"/>
      <c r="BM20" s="260"/>
      <c r="BN20" s="260"/>
      <c r="BO20" s="260"/>
      <c r="BP20" s="260"/>
      <c r="BQ20" s="260"/>
      <c r="BR20" s="260"/>
      <c r="BS20" s="260"/>
      <c r="BT20" s="260"/>
      <c r="BU20" s="260"/>
      <c r="BV20" s="260"/>
      <c r="BW20" s="260"/>
      <c r="BX20" s="260"/>
      <c r="BY20" s="260"/>
      <c r="BZ20" s="297"/>
      <c r="CA20" s="260"/>
    </row>
    <row r="21" spans="1:79" ht="13.5" thickBot="1">
      <c r="A21" s="297"/>
      <c r="B21" s="300"/>
      <c r="C21" s="301"/>
      <c r="D21" s="301"/>
      <c r="E21" s="301"/>
      <c r="F21" s="301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1"/>
      <c r="AL21" s="301"/>
      <c r="AM21" s="302"/>
      <c r="AN21" s="299"/>
      <c r="AO21" s="300"/>
      <c r="AP21" s="301"/>
      <c r="AQ21" s="301"/>
      <c r="AR21" s="301"/>
      <c r="AS21" s="301"/>
      <c r="AT21" s="301"/>
      <c r="AU21" s="301"/>
      <c r="AV21" s="301"/>
      <c r="AW21" s="301"/>
      <c r="AX21" s="301"/>
      <c r="AY21" s="301"/>
      <c r="AZ21" s="301"/>
      <c r="BA21" s="301"/>
      <c r="BB21" s="301"/>
      <c r="BC21" s="301"/>
      <c r="BD21" s="301"/>
      <c r="BE21" s="301"/>
      <c r="BF21" s="301"/>
      <c r="BG21" s="301"/>
      <c r="BH21" s="301"/>
      <c r="BI21" s="301"/>
      <c r="BJ21" s="301"/>
      <c r="BK21" s="301"/>
      <c r="BL21" s="301"/>
      <c r="BM21" s="301"/>
      <c r="BN21" s="301"/>
      <c r="BO21" s="301"/>
      <c r="BP21" s="301"/>
      <c r="BQ21" s="301"/>
      <c r="BR21" s="301"/>
      <c r="BS21" s="301"/>
      <c r="BT21" s="301"/>
      <c r="BU21" s="301"/>
      <c r="BV21" s="301"/>
      <c r="BW21" s="301"/>
      <c r="BX21" s="301"/>
      <c r="BY21" s="301"/>
      <c r="BZ21" s="302"/>
      <c r="CA21" s="260"/>
    </row>
    <row r="22" spans="1:79" ht="13.5" thickTop="1">
      <c r="A22" s="260"/>
      <c r="B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303"/>
      <c r="AN22" s="260"/>
      <c r="AO22" s="260"/>
      <c r="AP22" s="260"/>
      <c r="AQ22" s="260"/>
      <c r="AR22" s="260"/>
      <c r="AS22" s="260"/>
      <c r="AT22" s="260"/>
      <c r="AU22" s="260"/>
      <c r="AV22" s="260"/>
      <c r="AW22" s="260"/>
      <c r="AX22" s="260"/>
      <c r="AY22" s="260"/>
      <c r="AZ22" s="260"/>
      <c r="BA22" s="260"/>
      <c r="BB22" s="260"/>
      <c r="BC22" s="260"/>
      <c r="BD22" s="260"/>
      <c r="BE22" s="260"/>
      <c r="BF22" s="260"/>
      <c r="BG22" s="260"/>
      <c r="BH22" s="260"/>
      <c r="BI22" s="260"/>
      <c r="BJ22" s="260"/>
      <c r="BK22" s="260"/>
      <c r="BL22" s="260"/>
      <c r="BM22" s="260"/>
      <c r="BN22" s="260"/>
      <c r="BO22" s="260"/>
      <c r="BP22" s="260"/>
      <c r="BQ22" s="260"/>
      <c r="BR22" s="260"/>
      <c r="BS22" s="260"/>
      <c r="BT22" s="260"/>
      <c r="BU22" s="260"/>
      <c r="BV22" s="260"/>
      <c r="BW22" s="260"/>
      <c r="BX22" s="260"/>
      <c r="BY22" s="260"/>
      <c r="BZ22" s="260"/>
      <c r="CA22" s="260"/>
    </row>
    <row r="23" spans="1:79" ht="12.75">
      <c r="A23" s="260"/>
      <c r="B23" s="260"/>
      <c r="J23" s="260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  <c r="X23" s="260"/>
      <c r="Y23" s="260"/>
      <c r="Z23" s="260"/>
      <c r="AA23" s="260"/>
      <c r="AB23" s="260"/>
      <c r="AC23" s="260"/>
      <c r="AD23" s="260"/>
      <c r="AE23" s="260"/>
      <c r="AF23" s="260"/>
      <c r="AG23" s="260"/>
      <c r="AH23" s="260"/>
      <c r="AI23" s="260"/>
      <c r="AJ23" s="260"/>
      <c r="AK23" s="260"/>
      <c r="AL23" s="260"/>
      <c r="AM23" s="260"/>
      <c r="AN23" s="260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</row>
    <row r="24" spans="1:79" ht="29.25" customHeight="1">
      <c r="A24" s="260"/>
      <c r="B24" s="260"/>
      <c r="C24" s="262">
        <v>105</v>
      </c>
      <c r="D24" s="270">
        <v>105</v>
      </c>
      <c r="E24" s="389" t="s">
        <v>8311</v>
      </c>
      <c r="F24" s="390"/>
      <c r="G24" s="391"/>
      <c r="J24" s="260"/>
      <c r="K24" s="260"/>
      <c r="L24" s="260"/>
      <c r="M24" s="260"/>
      <c r="N24" s="260"/>
      <c r="O24" s="260"/>
      <c r="P24" s="260"/>
      <c r="Q24" s="260"/>
      <c r="R24" s="260"/>
      <c r="S24" s="260"/>
      <c r="T24" s="260"/>
      <c r="U24" s="260"/>
      <c r="V24" s="260"/>
      <c r="W24" s="260"/>
      <c r="X24" s="260"/>
      <c r="Y24" s="260"/>
      <c r="Z24" s="260"/>
      <c r="AA24" s="260"/>
      <c r="AB24" s="260"/>
      <c r="AC24" s="260"/>
      <c r="AD24" s="260"/>
      <c r="AE24" s="260"/>
      <c r="AF24" s="260"/>
      <c r="AG24" s="260"/>
      <c r="AH24" s="260"/>
      <c r="AI24" s="260"/>
      <c r="AJ24" s="260"/>
      <c r="AK24" s="260"/>
      <c r="AL24" s="260"/>
      <c r="AM24" s="260"/>
      <c r="AN24" s="260"/>
      <c r="AO24" s="260"/>
      <c r="AP24" s="260"/>
      <c r="AQ24" s="260"/>
      <c r="AR24" s="260"/>
      <c r="AS24" s="260"/>
      <c r="AT24" s="260"/>
      <c r="AU24" s="260"/>
      <c r="AV24" s="260"/>
      <c r="AW24" s="260"/>
      <c r="AX24" s="260"/>
      <c r="AY24" s="260"/>
      <c r="AZ24" s="260"/>
      <c r="BA24" s="260"/>
      <c r="BB24" s="260"/>
      <c r="BC24" s="260"/>
      <c r="BD24" s="260"/>
      <c r="BE24" s="260"/>
      <c r="BF24" s="260"/>
      <c r="BG24" s="260"/>
      <c r="BH24" s="260"/>
      <c r="BI24" s="260"/>
      <c r="BJ24" s="260"/>
      <c r="BK24" s="260"/>
      <c r="BL24" s="260"/>
      <c r="BM24" s="260"/>
      <c r="BN24" s="260"/>
      <c r="BO24" s="260"/>
      <c r="BP24" s="260"/>
      <c r="BQ24" s="260"/>
      <c r="BR24" s="260"/>
      <c r="BS24" s="260"/>
      <c r="BT24" s="260"/>
      <c r="BU24" s="260"/>
      <c r="BV24" s="260"/>
      <c r="BW24" s="260"/>
      <c r="BX24" s="260"/>
      <c r="BY24" s="260"/>
      <c r="BZ24" s="260"/>
      <c r="CA24" s="260"/>
    </row>
    <row r="25" spans="1:79" ht="29.25" customHeight="1">
      <c r="A25" s="260"/>
      <c r="C25" s="262">
        <v>220</v>
      </c>
      <c r="D25" s="270">
        <v>220</v>
      </c>
      <c r="E25" s="392" t="s">
        <v>8312</v>
      </c>
      <c r="F25" s="392"/>
      <c r="G25" s="392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260"/>
      <c r="AN25" s="260"/>
      <c r="AO25" s="260"/>
      <c r="AP25" s="260"/>
      <c r="AQ25" s="260"/>
      <c r="AR25" s="260"/>
      <c r="AS25" s="260"/>
      <c r="AT25" s="260"/>
      <c r="AU25" s="260"/>
      <c r="AV25" s="260"/>
      <c r="AW25" s="260"/>
      <c r="AX25" s="260"/>
      <c r="AY25" s="260"/>
      <c r="AZ25" s="260"/>
      <c r="BA25" s="260"/>
      <c r="BB25" s="260"/>
      <c r="BC25" s="260"/>
      <c r="BD25" s="260"/>
      <c r="BE25" s="260"/>
      <c r="BF25" s="260"/>
      <c r="BG25" s="260"/>
      <c r="BH25" s="260"/>
      <c r="BI25" s="260"/>
      <c r="BJ25" s="260"/>
      <c r="BK25" s="260"/>
      <c r="BL25" s="260"/>
      <c r="BM25" s="260"/>
      <c r="BN25" s="260"/>
      <c r="BO25" s="260"/>
      <c r="BP25" s="260"/>
      <c r="BQ25" s="260"/>
      <c r="BR25" s="260"/>
      <c r="BS25" s="260"/>
      <c r="BT25" s="260"/>
      <c r="BU25" s="260"/>
      <c r="BV25" s="260"/>
      <c r="BW25" s="260"/>
      <c r="BX25" s="260"/>
      <c r="BY25" s="260"/>
      <c r="BZ25" s="260"/>
      <c r="CA25" s="260"/>
    </row>
    <row r="26" spans="1:79" ht="29.25" customHeight="1">
      <c r="A26" s="260"/>
      <c r="C26" s="304" t="s">
        <v>8289</v>
      </c>
      <c r="D26" s="304" t="s">
        <v>8287</v>
      </c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260"/>
      <c r="AN26" s="260"/>
      <c r="AO26" s="260"/>
      <c r="AP26" s="260"/>
      <c r="AQ26" s="260"/>
      <c r="AR26" s="260"/>
      <c r="AS26" s="260"/>
      <c r="AT26" s="260"/>
      <c r="AU26" s="260"/>
      <c r="AV26" s="260"/>
      <c r="AW26" s="260"/>
      <c r="AX26" s="260"/>
      <c r="AY26" s="260"/>
      <c r="AZ26" s="260"/>
      <c r="BA26" s="260"/>
      <c r="BB26" s="260"/>
      <c r="BC26" s="260"/>
      <c r="BD26" s="260"/>
      <c r="BE26" s="260"/>
      <c r="BF26" s="260"/>
      <c r="BG26" s="260"/>
      <c r="BH26" s="260"/>
      <c r="BI26" s="260"/>
      <c r="BJ26" s="260"/>
      <c r="BK26" s="260"/>
      <c r="BL26" s="260"/>
      <c r="BM26" s="260"/>
      <c r="BN26" s="260"/>
      <c r="BO26" s="260"/>
      <c r="BP26" s="260"/>
      <c r="BQ26" s="260"/>
      <c r="BR26" s="260"/>
      <c r="BS26" s="260"/>
      <c r="BT26" s="260"/>
      <c r="BU26" s="260"/>
      <c r="BV26" s="260"/>
      <c r="BW26" s="260"/>
      <c r="BX26" s="260"/>
      <c r="BY26" s="260"/>
      <c r="BZ26" s="260"/>
      <c r="CA26" s="260"/>
    </row>
    <row r="27" spans="1:79" ht="26.25" customHeight="1" thickBot="1">
      <c r="A27" s="260"/>
      <c r="J27" s="260"/>
      <c r="K27" s="260"/>
      <c r="L27" s="260"/>
      <c r="M27" s="260"/>
      <c r="N27" s="260"/>
      <c r="O27" s="260"/>
      <c r="P27" s="260"/>
      <c r="Q27" s="260"/>
      <c r="R27" s="260"/>
      <c r="S27" s="260"/>
      <c r="T27" s="260"/>
      <c r="U27" s="260"/>
      <c r="V27" s="260"/>
      <c r="W27" s="260"/>
      <c r="X27" s="260"/>
      <c r="Y27" s="260"/>
      <c r="Z27" s="260"/>
      <c r="AA27" s="260"/>
      <c r="AB27" s="260"/>
      <c r="AC27" s="260"/>
      <c r="AD27" s="260"/>
      <c r="AE27" s="260"/>
      <c r="AF27" s="260"/>
      <c r="AG27" s="260"/>
      <c r="AH27" s="260"/>
      <c r="AI27" s="260"/>
      <c r="AJ27" s="260"/>
      <c r="AK27" s="260"/>
      <c r="AL27" s="260"/>
      <c r="AM27" s="260"/>
      <c r="AN27" s="260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</row>
    <row r="28" spans="1:79" ht="27.75" thickTop="1" thickBot="1">
      <c r="A28" s="260"/>
      <c r="D28" s="305"/>
      <c r="E28" s="393" t="s">
        <v>8313</v>
      </c>
      <c r="F28" s="394"/>
      <c r="G28" s="260"/>
      <c r="J28" s="260"/>
      <c r="K28" s="260"/>
      <c r="L28" s="260"/>
      <c r="M28" s="260"/>
      <c r="N28" s="260"/>
      <c r="O28" s="260"/>
      <c r="P28" s="260"/>
      <c r="Q28" s="260"/>
      <c r="R28" s="260"/>
      <c r="S28" s="306"/>
      <c r="T28" s="306"/>
      <c r="U28" s="260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260"/>
      <c r="AN28" s="260"/>
      <c r="AO28" s="260"/>
      <c r="AP28" s="260"/>
      <c r="AQ28" s="260"/>
      <c r="AR28" s="260"/>
      <c r="AS28" s="260"/>
      <c r="AT28" s="260"/>
      <c r="AU28" s="260"/>
      <c r="AV28" s="260"/>
      <c r="AW28" s="260"/>
      <c r="AX28" s="260"/>
      <c r="AY28" s="260"/>
      <c r="AZ28" s="260"/>
      <c r="BA28" s="260"/>
      <c r="BB28" s="260"/>
      <c r="BC28" s="260"/>
      <c r="BD28" s="260"/>
      <c r="BE28" s="260"/>
      <c r="BF28" s="260"/>
      <c r="BG28" s="260"/>
      <c r="BH28" s="260"/>
      <c r="BI28" s="260"/>
      <c r="BJ28" s="260"/>
      <c r="BK28" s="260"/>
      <c r="BL28" s="260"/>
      <c r="BM28" s="260"/>
      <c r="BN28" s="260"/>
      <c r="BO28" s="260"/>
      <c r="BP28" s="260"/>
      <c r="BQ28" s="260"/>
      <c r="BR28" s="260"/>
      <c r="BS28" s="260"/>
      <c r="BT28" s="260"/>
      <c r="BU28" s="260"/>
      <c r="BV28" s="260"/>
      <c r="BW28" s="260"/>
      <c r="BX28" s="260"/>
      <c r="BY28" s="260"/>
      <c r="BZ28" s="260"/>
      <c r="CA28" s="260"/>
    </row>
    <row r="29" spans="1:79" ht="27.75" thickTop="1" thickBot="1">
      <c r="A29" s="260"/>
      <c r="D29" s="260"/>
      <c r="E29" s="307"/>
      <c r="F29" s="308"/>
      <c r="G29" s="301"/>
      <c r="J29" s="260"/>
      <c r="K29" s="260"/>
      <c r="L29" s="260"/>
      <c r="M29" s="260"/>
      <c r="N29" s="260"/>
      <c r="O29" s="260"/>
      <c r="P29" s="260"/>
      <c r="Q29" s="260"/>
      <c r="R29" s="260"/>
      <c r="S29" s="306"/>
      <c r="T29" s="306"/>
      <c r="U29" s="260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260"/>
      <c r="AN29" s="260"/>
      <c r="AO29" s="260"/>
      <c r="AP29" s="260"/>
      <c r="AQ29" s="260"/>
      <c r="AR29" s="260"/>
      <c r="AS29" s="260"/>
      <c r="AT29" s="260"/>
      <c r="AU29" s="260"/>
      <c r="AV29" s="260"/>
      <c r="AW29" s="260"/>
      <c r="AX29" s="260"/>
      <c r="AY29" s="260"/>
      <c r="AZ29" s="260"/>
      <c r="BA29" s="260"/>
      <c r="BB29" s="260"/>
      <c r="BC29" s="260"/>
      <c r="BD29" s="260"/>
      <c r="BE29" s="260"/>
      <c r="BF29" s="260"/>
      <c r="BG29" s="260"/>
      <c r="BH29" s="260"/>
      <c r="BI29" s="260"/>
      <c r="BJ29" s="260"/>
      <c r="BK29" s="260"/>
      <c r="BL29" s="260"/>
      <c r="BM29" s="260"/>
      <c r="BN29" s="260"/>
      <c r="BO29" s="260"/>
      <c r="BP29" s="260"/>
      <c r="BQ29" s="260"/>
      <c r="BR29" s="260"/>
      <c r="BS29" s="260"/>
      <c r="BT29" s="260"/>
      <c r="BU29" s="260"/>
      <c r="BV29" s="260"/>
      <c r="BW29" s="260"/>
      <c r="BX29" s="260"/>
      <c r="BY29" s="260"/>
      <c r="BZ29" s="260"/>
      <c r="CA29" s="260"/>
    </row>
    <row r="30" spans="1:79" ht="27.75" thickTop="1" thickBot="1">
      <c r="A30" s="260"/>
      <c r="D30" s="309"/>
      <c r="E30" s="395" t="s">
        <v>8286</v>
      </c>
      <c r="F30" s="396"/>
      <c r="G30" s="397"/>
      <c r="J30" s="260"/>
      <c r="K30" s="260"/>
      <c r="L30" s="260"/>
      <c r="M30" s="260"/>
      <c r="N30" s="260"/>
      <c r="O30" s="260"/>
      <c r="P30" s="260"/>
      <c r="Q30" s="260"/>
      <c r="R30" s="260"/>
      <c r="S30" s="306"/>
      <c r="T30" s="306"/>
      <c r="U30" s="260"/>
      <c r="V30" s="260"/>
      <c r="W30" s="260"/>
      <c r="X30" s="260"/>
      <c r="Y30" s="260"/>
      <c r="Z30" s="260"/>
      <c r="AA30" s="260"/>
      <c r="AB30" s="260"/>
      <c r="AC30" s="260"/>
      <c r="AD30" s="260"/>
      <c r="AE30" s="260"/>
      <c r="AF30" s="260"/>
      <c r="AG30" s="260"/>
      <c r="AH30" s="260"/>
      <c r="AI30" s="260"/>
      <c r="AJ30" s="260"/>
      <c r="AK30" s="260"/>
      <c r="AL30" s="260"/>
      <c r="AM30" s="260"/>
      <c r="AN30" s="260"/>
      <c r="AO30" s="260"/>
      <c r="AP30" s="260"/>
      <c r="AQ30" s="260"/>
      <c r="AR30" s="260"/>
      <c r="AS30" s="260"/>
      <c r="AT30" s="260"/>
      <c r="AU30" s="260"/>
      <c r="AV30" s="260"/>
      <c r="AW30" s="260"/>
      <c r="AX30" s="260"/>
      <c r="AY30" s="260"/>
      <c r="AZ30" s="260"/>
      <c r="BA30" s="260"/>
      <c r="BB30" s="260"/>
      <c r="BC30" s="260"/>
      <c r="BD30" s="260"/>
      <c r="BE30" s="260"/>
      <c r="BF30" s="260"/>
      <c r="BG30" s="260"/>
      <c r="BH30" s="260"/>
      <c r="BI30" s="260"/>
      <c r="BJ30" s="260"/>
      <c r="BK30" s="260"/>
      <c r="BL30" s="260"/>
      <c r="BM30" s="260"/>
      <c r="BN30" s="260"/>
      <c r="BO30" s="260"/>
      <c r="BP30" s="260"/>
      <c r="BQ30" s="260"/>
      <c r="BR30" s="260"/>
      <c r="BS30" s="260"/>
      <c r="BT30" s="260"/>
      <c r="BU30" s="260"/>
      <c r="BV30" s="260"/>
      <c r="BW30" s="260"/>
      <c r="BX30" s="260"/>
      <c r="BY30" s="260"/>
      <c r="BZ30" s="260"/>
      <c r="CA30" s="260"/>
    </row>
    <row r="31" spans="1:79" ht="13.5" thickTop="1">
      <c r="A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260"/>
      <c r="AN31" s="260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</row>
    <row r="32" spans="1:79" ht="12.75" customHeight="1">
      <c r="A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260"/>
      <c r="AN32" s="260"/>
      <c r="AO32" s="260"/>
      <c r="AP32" s="260"/>
      <c r="AQ32" s="260"/>
      <c r="AR32" s="260"/>
      <c r="AS32" s="260"/>
      <c r="AT32" s="260"/>
      <c r="AU32" s="260"/>
      <c r="AV32" s="260"/>
      <c r="AW32" s="260"/>
      <c r="AX32" s="260"/>
      <c r="AY32" s="260"/>
      <c r="AZ32" s="260"/>
      <c r="BA32" s="260"/>
      <c r="BB32" s="260"/>
      <c r="BC32" s="260"/>
      <c r="BD32" s="260"/>
      <c r="BE32" s="260"/>
      <c r="BF32" s="260"/>
      <c r="BG32" s="260"/>
      <c r="BH32" s="260"/>
      <c r="BI32" s="260"/>
      <c r="BJ32" s="260"/>
      <c r="BK32" s="260"/>
      <c r="BL32" s="260"/>
      <c r="BM32" s="260"/>
      <c r="BN32" s="260"/>
      <c r="BO32" s="260"/>
      <c r="BP32" s="260"/>
      <c r="BQ32" s="260"/>
      <c r="BR32" s="260"/>
      <c r="BS32" s="260"/>
      <c r="BT32" s="260"/>
      <c r="BU32" s="260"/>
      <c r="BV32" s="260"/>
      <c r="BW32" s="260"/>
      <c r="BX32" s="260"/>
      <c r="BY32" s="260"/>
      <c r="BZ32" s="260"/>
      <c r="CA32" s="260"/>
    </row>
    <row r="33" spans="1:79" ht="12.75">
      <c r="A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60"/>
      <c r="AY33" s="260"/>
      <c r="AZ33" s="260"/>
      <c r="BA33" s="260"/>
      <c r="BB33" s="260"/>
      <c r="BC33" s="260"/>
      <c r="BD33" s="260"/>
      <c r="BE33" s="260"/>
      <c r="BF33" s="260"/>
      <c r="BG33" s="260"/>
      <c r="BH33" s="260"/>
      <c r="BI33" s="260"/>
      <c r="BJ33" s="260"/>
      <c r="BK33" s="260"/>
      <c r="BL33" s="260"/>
      <c r="BM33" s="260"/>
      <c r="BN33" s="260"/>
      <c r="BO33" s="260"/>
      <c r="BP33" s="260"/>
      <c r="BQ33" s="260"/>
      <c r="BR33" s="260"/>
      <c r="BS33" s="260"/>
      <c r="BT33" s="260"/>
      <c r="BU33" s="260"/>
      <c r="BV33" s="260"/>
      <c r="BW33" s="260"/>
      <c r="BX33" s="260"/>
      <c r="BY33" s="260"/>
      <c r="BZ33" s="260"/>
      <c r="CA33" s="260"/>
    </row>
    <row r="34" spans="1:79" ht="26.25">
      <c r="A34" s="260"/>
      <c r="F34" s="310" t="s">
        <v>8314</v>
      </c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260"/>
      <c r="AN34" s="260"/>
      <c r="AO34" s="260"/>
      <c r="AP34" s="260"/>
      <c r="AQ34" s="260"/>
      <c r="AR34" s="260"/>
      <c r="AS34" s="260"/>
      <c r="AT34" s="260"/>
      <c r="AU34" s="260"/>
      <c r="AV34" s="260"/>
      <c r="AW34" s="260"/>
      <c r="AX34" s="260"/>
      <c r="AY34" s="260"/>
      <c r="AZ34" s="260"/>
      <c r="BA34" s="260"/>
      <c r="BB34" s="260"/>
      <c r="BC34" s="260"/>
      <c r="BD34" s="260"/>
      <c r="BE34" s="260"/>
      <c r="BF34" s="260"/>
      <c r="BG34" s="260"/>
      <c r="BH34" s="260"/>
      <c r="BI34" s="260"/>
      <c r="BJ34" s="260"/>
      <c r="BK34" s="260"/>
      <c r="BL34" s="260"/>
      <c r="BM34" s="260"/>
      <c r="BN34" s="260"/>
      <c r="BO34" s="260"/>
      <c r="BP34" s="260"/>
      <c r="BQ34" s="260"/>
      <c r="BR34" s="260"/>
      <c r="BS34" s="260"/>
      <c r="BT34" s="260"/>
      <c r="BU34" s="260"/>
      <c r="BV34" s="260"/>
      <c r="BW34" s="260"/>
      <c r="BX34" s="260"/>
      <c r="BY34" s="260"/>
      <c r="BZ34" s="260"/>
      <c r="CA34" s="260"/>
    </row>
    <row r="35" spans="1:79" ht="12.75" customHeight="1">
      <c r="A35" s="260"/>
      <c r="J35" s="260"/>
      <c r="K35" s="260"/>
      <c r="L35" s="260"/>
      <c r="M35" s="260"/>
      <c r="N35" s="260"/>
      <c r="O35" s="260"/>
      <c r="P35" s="260"/>
      <c r="Q35" s="260"/>
      <c r="R35" s="260"/>
      <c r="S35" s="260"/>
      <c r="T35" s="260"/>
      <c r="U35" s="260"/>
      <c r="V35" s="260"/>
      <c r="W35" s="260"/>
      <c r="X35" s="260"/>
      <c r="Y35" s="260"/>
      <c r="Z35" s="260"/>
      <c r="AA35" s="260"/>
      <c r="AB35" s="260"/>
      <c r="AC35" s="260"/>
      <c r="AD35" s="260"/>
      <c r="AE35" s="260"/>
      <c r="AF35" s="260"/>
      <c r="AG35" s="260"/>
      <c r="AH35" s="260"/>
      <c r="AI35" s="260"/>
      <c r="AJ35" s="260"/>
      <c r="AK35" s="260"/>
      <c r="AL35" s="260"/>
      <c r="AM35" s="260"/>
      <c r="AN35" s="260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</row>
    <row r="36" spans="1:79" ht="12.75">
      <c r="A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260"/>
      <c r="AN36" s="260"/>
      <c r="AO36" s="260"/>
      <c r="AP36" s="260"/>
      <c r="AQ36" s="260"/>
      <c r="AR36" s="260"/>
      <c r="AS36" s="260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260"/>
      <c r="BH36" s="260"/>
      <c r="BI36" s="260"/>
      <c r="BJ36" s="260"/>
      <c r="BK36" s="260"/>
      <c r="BL36" s="260"/>
      <c r="BM36" s="260"/>
      <c r="BN36" s="260"/>
      <c r="BO36" s="260"/>
      <c r="BP36" s="260"/>
      <c r="BQ36" s="260"/>
      <c r="BR36" s="260"/>
      <c r="BS36" s="260"/>
      <c r="BT36" s="260"/>
      <c r="BU36" s="260"/>
      <c r="BV36" s="260"/>
      <c r="BW36" s="260"/>
      <c r="BX36" s="260"/>
      <c r="BY36" s="260"/>
      <c r="BZ36" s="260"/>
      <c r="CA36" s="260"/>
    </row>
    <row r="37" spans="1:79" ht="26.25">
      <c r="A37" s="260"/>
      <c r="F37" s="310" t="s">
        <v>8315</v>
      </c>
      <c r="G37" s="31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260"/>
      <c r="AN37" s="260"/>
      <c r="AO37" s="260"/>
      <c r="AP37" s="260"/>
      <c r="AQ37" s="260"/>
      <c r="AR37" s="260"/>
      <c r="AS37" s="260"/>
      <c r="AT37" s="260"/>
      <c r="AU37" s="260"/>
      <c r="AV37" s="260"/>
      <c r="AW37" s="260"/>
      <c r="AX37" s="260"/>
      <c r="AY37" s="260"/>
      <c r="AZ37" s="260"/>
      <c r="BA37" s="260"/>
      <c r="BB37" s="260"/>
      <c r="BC37" s="260"/>
      <c r="BD37" s="260"/>
      <c r="BE37" s="260"/>
      <c r="BF37" s="260"/>
      <c r="BG37" s="260"/>
      <c r="BH37" s="260"/>
      <c r="BI37" s="260"/>
      <c r="BJ37" s="260"/>
      <c r="BK37" s="260"/>
      <c r="BL37" s="260"/>
      <c r="BM37" s="260"/>
      <c r="BN37" s="260"/>
      <c r="BO37" s="260"/>
      <c r="BP37" s="260"/>
      <c r="BQ37" s="260"/>
      <c r="BR37" s="260"/>
      <c r="BS37" s="260"/>
      <c r="BT37" s="260"/>
      <c r="BU37" s="260"/>
      <c r="BV37" s="260"/>
      <c r="BW37" s="260"/>
      <c r="BX37" s="260"/>
      <c r="BY37" s="260"/>
      <c r="BZ37" s="260"/>
      <c r="CA37" s="260"/>
    </row>
    <row r="38" spans="1:79" ht="12.75">
      <c r="A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260"/>
      <c r="AN38" s="260"/>
      <c r="AO38" s="260"/>
      <c r="AP38" s="260"/>
      <c r="AQ38" s="260"/>
      <c r="AR38" s="260"/>
      <c r="AS38" s="260"/>
      <c r="AT38" s="260"/>
      <c r="AU38" s="260"/>
      <c r="AV38" s="260"/>
      <c r="AW38" s="260"/>
      <c r="AX38" s="260"/>
      <c r="AY38" s="260"/>
      <c r="AZ38" s="260"/>
      <c r="BA38" s="260"/>
      <c r="BB38" s="260"/>
      <c r="BC38" s="260"/>
      <c r="BD38" s="260"/>
      <c r="BE38" s="260"/>
      <c r="BF38" s="260"/>
      <c r="BG38" s="260"/>
      <c r="BH38" s="260"/>
      <c r="BI38" s="260"/>
      <c r="BJ38" s="260"/>
      <c r="BK38" s="260"/>
      <c r="BL38" s="260"/>
      <c r="BM38" s="260"/>
      <c r="BN38" s="260"/>
      <c r="BO38" s="260"/>
      <c r="BP38" s="260"/>
      <c r="BQ38" s="260"/>
      <c r="BR38" s="260"/>
      <c r="BS38" s="260"/>
      <c r="BT38" s="260"/>
      <c r="BU38" s="260"/>
      <c r="BV38" s="260"/>
      <c r="BW38" s="260"/>
      <c r="BX38" s="260"/>
      <c r="BY38" s="260"/>
      <c r="BZ38" s="260"/>
      <c r="CA38" s="260"/>
    </row>
    <row r="39" spans="1:79" ht="12.75">
      <c r="A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260"/>
      <c r="AN39" s="260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</row>
    <row r="40" spans="1:79" ht="12.75">
      <c r="A40" s="260"/>
      <c r="B40" s="260"/>
      <c r="C40" s="260"/>
      <c r="D40" s="260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260"/>
      <c r="AN40" s="260"/>
      <c r="AO40" s="260"/>
      <c r="AP40" s="260"/>
      <c r="AQ40" s="260"/>
      <c r="AR40" s="260"/>
      <c r="AS40" s="260"/>
      <c r="AT40" s="260"/>
      <c r="AU40" s="260"/>
      <c r="AV40" s="260"/>
      <c r="AW40" s="260"/>
      <c r="AX40" s="260"/>
      <c r="AY40" s="260"/>
      <c r="AZ40" s="260"/>
      <c r="BA40" s="260"/>
      <c r="BB40" s="260"/>
      <c r="BC40" s="260"/>
      <c r="BD40" s="260"/>
      <c r="BE40" s="260"/>
      <c r="BF40" s="260"/>
      <c r="BG40" s="260"/>
      <c r="BH40" s="260"/>
      <c r="BI40" s="260"/>
      <c r="BJ40" s="260"/>
      <c r="BK40" s="260"/>
      <c r="BL40" s="260"/>
      <c r="BM40" s="260"/>
      <c r="BN40" s="260"/>
      <c r="BO40" s="260"/>
      <c r="BP40" s="260"/>
      <c r="BQ40" s="260"/>
      <c r="BR40" s="260"/>
      <c r="BS40" s="260"/>
      <c r="BT40" s="260"/>
      <c r="BU40" s="260"/>
      <c r="BV40" s="260"/>
      <c r="BW40" s="260"/>
      <c r="BX40" s="260"/>
      <c r="BY40" s="260"/>
      <c r="BZ40" s="260"/>
      <c r="CA40" s="260"/>
    </row>
    <row r="41" spans="1:79" ht="12.75">
      <c r="A41" s="260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98"/>
      <c r="W41" s="298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0"/>
      <c r="BA41" s="260"/>
      <c r="BB41" s="260"/>
      <c r="BC41" s="260"/>
      <c r="BD41" s="260"/>
      <c r="BE41" s="260"/>
      <c r="BF41" s="260"/>
      <c r="BG41" s="260"/>
      <c r="BH41" s="260"/>
      <c r="BI41" s="260"/>
      <c r="BJ41" s="260"/>
      <c r="BK41" s="260"/>
      <c r="BL41" s="260"/>
      <c r="BM41" s="260"/>
      <c r="BN41" s="260"/>
      <c r="BO41" s="260"/>
      <c r="BP41" s="260"/>
      <c r="BQ41" s="260"/>
      <c r="BR41" s="260"/>
      <c r="BS41" s="260"/>
      <c r="BT41" s="260"/>
      <c r="BU41" s="260"/>
      <c r="BV41" s="260"/>
      <c r="BW41" s="260"/>
      <c r="BX41" s="260"/>
      <c r="BY41" s="260"/>
      <c r="BZ41" s="260"/>
      <c r="CA41" s="260"/>
    </row>
    <row r="42" spans="1:79" ht="12.75">
      <c r="A42" s="260"/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0"/>
      <c r="AJ42" s="260"/>
      <c r="AK42" s="260"/>
      <c r="AL42" s="260"/>
      <c r="AM42" s="260"/>
      <c r="AN42" s="260"/>
      <c r="AO42" s="260"/>
      <c r="AP42" s="260"/>
      <c r="AQ42" s="260"/>
      <c r="AR42" s="260"/>
      <c r="AS42" s="260"/>
      <c r="AT42" s="260"/>
      <c r="AU42" s="260"/>
      <c r="AV42" s="260"/>
      <c r="AW42" s="260"/>
      <c r="AX42" s="260"/>
      <c r="AY42" s="260"/>
      <c r="AZ42" s="260"/>
      <c r="BA42" s="260"/>
      <c r="BB42" s="260"/>
      <c r="BC42" s="260"/>
      <c r="BD42" s="260"/>
      <c r="BE42" s="260"/>
      <c r="BF42" s="260"/>
      <c r="BG42" s="260"/>
      <c r="BH42" s="260"/>
      <c r="BI42" s="260"/>
      <c r="BJ42" s="260"/>
      <c r="BK42" s="260"/>
      <c r="BL42" s="260"/>
      <c r="BM42" s="260"/>
      <c r="BN42" s="260"/>
      <c r="BO42" s="260"/>
      <c r="BP42" s="260"/>
      <c r="BQ42" s="260"/>
      <c r="BR42" s="260"/>
      <c r="BS42" s="260"/>
      <c r="BT42" s="260"/>
      <c r="BU42" s="260"/>
      <c r="BV42" s="260"/>
      <c r="BW42" s="260"/>
      <c r="BX42" s="260"/>
      <c r="BY42" s="260"/>
      <c r="BZ42" s="260"/>
      <c r="CA42" s="260"/>
    </row>
    <row r="43" spans="1:79" ht="26.25">
      <c r="A43" s="260"/>
      <c r="B43" s="260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W43" s="310"/>
      <c r="X43" s="310"/>
      <c r="Y43" s="310"/>
      <c r="Z43" s="260"/>
      <c r="AA43" s="260"/>
      <c r="AB43" s="260"/>
      <c r="AC43" s="260"/>
      <c r="AD43" s="260"/>
      <c r="AE43" s="260"/>
      <c r="AF43" s="260"/>
      <c r="AG43" s="260"/>
      <c r="AH43" s="260"/>
      <c r="AI43" s="260"/>
      <c r="AJ43" s="260"/>
      <c r="AK43" s="260"/>
      <c r="AL43" s="260"/>
      <c r="AM43" s="260"/>
      <c r="AN43" s="260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0"/>
      <c r="BK43" s="260"/>
      <c r="BL43" s="260"/>
      <c r="BM43" s="260"/>
      <c r="BN43" s="260"/>
      <c r="BO43" s="260"/>
      <c r="BP43" s="260"/>
      <c r="BQ43" s="260"/>
      <c r="BR43" s="260"/>
      <c r="BS43" s="260"/>
      <c r="BT43" s="260"/>
      <c r="BU43" s="260"/>
      <c r="BV43" s="260"/>
      <c r="BW43" s="260"/>
      <c r="BX43" s="260"/>
      <c r="BY43" s="260"/>
      <c r="BZ43" s="260"/>
      <c r="CA43" s="260"/>
    </row>
    <row r="44" spans="1:79" ht="26.25">
      <c r="S44" s="260"/>
      <c r="T44" s="260"/>
      <c r="U44" s="260"/>
      <c r="V44" s="310"/>
      <c r="W44" s="310"/>
      <c r="X44" s="310"/>
      <c r="Y44" s="310"/>
    </row>
    <row r="45" spans="1:79" ht="26.25">
      <c r="S45" s="260"/>
      <c r="T45" s="260"/>
      <c r="U45" s="260"/>
      <c r="V45" s="310"/>
      <c r="W45" s="310"/>
      <c r="X45" s="310"/>
      <c r="Y45" s="310"/>
    </row>
    <row r="46" spans="1:79" ht="12.75">
      <c r="S46" s="260"/>
      <c r="T46" s="260"/>
      <c r="U46" s="260"/>
      <c r="V46" s="260"/>
      <c r="W46" s="260"/>
      <c r="X46" s="260"/>
      <c r="Y46" s="260"/>
    </row>
    <row r="47" spans="1:79" ht="12.75">
      <c r="S47" s="260"/>
      <c r="T47" s="260"/>
      <c r="U47" s="260"/>
      <c r="V47" s="260"/>
      <c r="W47" s="260"/>
      <c r="X47" s="260"/>
      <c r="Y47" s="260"/>
    </row>
    <row r="48" spans="1:79" ht="26.25">
      <c r="S48" s="260"/>
      <c r="T48" s="260"/>
      <c r="U48" s="260"/>
      <c r="X48" s="310"/>
      <c r="Y48" s="310"/>
    </row>
    <row r="49" spans="19:25" ht="26.25">
      <c r="S49" s="260"/>
      <c r="T49" s="260"/>
      <c r="U49" s="260"/>
      <c r="V49" s="310"/>
      <c r="W49" s="310"/>
      <c r="X49" s="310"/>
      <c r="Y49" s="310"/>
    </row>
    <row r="50" spans="19:25" ht="26.25">
      <c r="S50" s="260"/>
      <c r="T50" s="260"/>
      <c r="U50" s="260"/>
      <c r="V50" s="310"/>
      <c r="W50" s="310"/>
      <c r="X50" s="310"/>
      <c r="Y50" s="310"/>
    </row>
    <row r="51" spans="19:25" ht="26.25">
      <c r="S51" s="260"/>
      <c r="T51" s="260"/>
      <c r="U51" s="260"/>
      <c r="V51" s="310"/>
      <c r="W51" s="310"/>
      <c r="X51" s="310"/>
      <c r="Y51" s="310"/>
    </row>
  </sheetData>
  <sheetProtection selectLockedCells="1" selectUnlockedCells="1"/>
  <mergeCells count="4">
    <mergeCell ref="E24:G24"/>
    <mergeCell ref="E25:G25"/>
    <mergeCell ref="E28:F28"/>
    <mergeCell ref="E30:G30"/>
  </mergeCells>
  <conditionalFormatting sqref="C2:AL17">
    <cfRule type="cellIs" dxfId="5" priority="6" operator="greaterThanOrEqual">
      <formula>218</formula>
    </cfRule>
  </conditionalFormatting>
  <conditionalFormatting sqref="AP2:BY17">
    <cfRule type="cellIs" dxfId="4" priority="5" operator="greaterThanOrEqual">
      <formula>218</formula>
    </cfRule>
  </conditionalFormatting>
  <conditionalFormatting sqref="D24">
    <cfRule type="cellIs" dxfId="3" priority="4" operator="greaterThanOrEqual">
      <formula>218</formula>
    </cfRule>
  </conditionalFormatting>
  <conditionalFormatting sqref="D25">
    <cfRule type="cellIs" dxfId="2" priority="3" operator="greaterThanOrEqual">
      <formula>218</formula>
    </cfRule>
  </conditionalFormatting>
  <conditionalFormatting sqref="C24">
    <cfRule type="cellIs" dxfId="1" priority="2" operator="greaterThanOrEqual">
      <formula>218</formula>
    </cfRule>
  </conditionalFormatting>
  <conditionalFormatting sqref="C25">
    <cfRule type="cellIs" dxfId="0" priority="1" operator="greaterThanOrEqual">
      <formula>218</formula>
    </cfRule>
  </conditionalFormatting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Normal="100" workbookViewId="0">
      <selection activeCell="C36" sqref="C36"/>
    </sheetView>
  </sheetViews>
  <sheetFormatPr baseColWidth="10" defaultRowHeight="12"/>
  <cols>
    <col min="1" max="1" width="36.42578125" style="198" bestFit="1" customWidth="1"/>
    <col min="2" max="3" width="12.140625" style="198" bestFit="1" customWidth="1"/>
    <col min="4" max="4" width="42" style="198" bestFit="1" customWidth="1"/>
    <col min="5" max="5" width="81.140625" style="198" bestFit="1" customWidth="1"/>
    <col min="6" max="16384" width="11.42578125" style="199"/>
  </cols>
  <sheetData>
    <row r="1" spans="1:5" ht="15.75">
      <c r="A1" s="311" t="s">
        <v>8316</v>
      </c>
      <c r="B1" s="311" t="s">
        <v>213</v>
      </c>
      <c r="C1" s="311" t="s">
        <v>8317</v>
      </c>
      <c r="D1" s="311" t="s">
        <v>8318</v>
      </c>
      <c r="E1" s="311" t="s">
        <v>8319</v>
      </c>
    </row>
    <row r="2" spans="1:5" ht="15.75">
      <c r="A2" s="312" t="s">
        <v>8320</v>
      </c>
      <c r="B2" s="313">
        <v>41535</v>
      </c>
      <c r="C2" s="314" t="s">
        <v>8321</v>
      </c>
      <c r="D2" s="314" t="s">
        <v>21</v>
      </c>
      <c r="E2" s="314" t="s">
        <v>8322</v>
      </c>
    </row>
    <row r="3" spans="1:5" ht="15.75">
      <c r="A3" s="312" t="s">
        <v>8323</v>
      </c>
      <c r="B3" s="313">
        <v>41536</v>
      </c>
      <c r="C3" s="314" t="s">
        <v>21</v>
      </c>
      <c r="D3" s="314" t="s">
        <v>21</v>
      </c>
      <c r="E3" s="314" t="s">
        <v>8324</v>
      </c>
    </row>
    <row r="4" spans="1:5" ht="15.75">
      <c r="A4" s="312" t="s">
        <v>8320</v>
      </c>
      <c r="B4" s="313">
        <v>41537</v>
      </c>
      <c r="C4" s="314" t="s">
        <v>8325</v>
      </c>
      <c r="D4" s="314" t="s">
        <v>21</v>
      </c>
      <c r="E4" s="314" t="s">
        <v>8326</v>
      </c>
    </row>
    <row r="5" spans="1:5" ht="15.75">
      <c r="A5" s="312" t="s">
        <v>8327</v>
      </c>
      <c r="B5" s="313">
        <v>41549</v>
      </c>
      <c r="C5" s="314" t="s">
        <v>8328</v>
      </c>
      <c r="D5" s="314" t="s">
        <v>8329</v>
      </c>
      <c r="E5" s="314" t="s">
        <v>8330</v>
      </c>
    </row>
    <row r="6" spans="1:5" ht="15.75">
      <c r="A6" s="312" t="s">
        <v>8331</v>
      </c>
      <c r="B6" s="313">
        <v>41572</v>
      </c>
      <c r="C6" s="314" t="s">
        <v>21</v>
      </c>
      <c r="D6" s="314" t="s">
        <v>21</v>
      </c>
      <c r="E6" s="314" t="s">
        <v>21</v>
      </c>
    </row>
    <row r="7" spans="1:5" ht="15.75">
      <c r="A7" s="312" t="s">
        <v>8332</v>
      </c>
      <c r="B7" s="313">
        <v>41618</v>
      </c>
      <c r="C7" s="314" t="s">
        <v>21</v>
      </c>
      <c r="D7" s="314" t="s">
        <v>21</v>
      </c>
      <c r="E7" s="314" t="s">
        <v>8333</v>
      </c>
    </row>
    <row r="8" spans="1:5" ht="15.75">
      <c r="A8" s="312" t="s">
        <v>8334</v>
      </c>
      <c r="B8" s="313">
        <v>41618</v>
      </c>
      <c r="C8" s="314" t="s">
        <v>21</v>
      </c>
      <c r="D8" s="314" t="s">
        <v>21</v>
      </c>
      <c r="E8" s="314" t="s">
        <v>8335</v>
      </c>
    </row>
    <row r="9" spans="1:5" ht="15.75">
      <c r="A9" s="312" t="s">
        <v>8336</v>
      </c>
      <c r="B9" s="313">
        <v>41659</v>
      </c>
      <c r="C9" s="314" t="s">
        <v>21</v>
      </c>
      <c r="D9" s="314" t="s">
        <v>21</v>
      </c>
      <c r="E9" s="314" t="s">
        <v>8337</v>
      </c>
    </row>
    <row r="10" spans="1:5" ht="15.75">
      <c r="A10" s="312" t="s">
        <v>8137</v>
      </c>
      <c r="B10" s="313">
        <v>41695</v>
      </c>
      <c r="C10" s="314" t="s">
        <v>8338</v>
      </c>
      <c r="D10" s="314" t="s">
        <v>264</v>
      </c>
      <c r="E10" s="314" t="s">
        <v>8138</v>
      </c>
    </row>
    <row r="11" spans="1:5" ht="15.75">
      <c r="A11" s="312" t="s">
        <v>8139</v>
      </c>
      <c r="B11" s="313">
        <v>41712</v>
      </c>
      <c r="C11" s="314" t="s">
        <v>8338</v>
      </c>
      <c r="D11" s="314" t="s">
        <v>264</v>
      </c>
      <c r="E11" s="314" t="s">
        <v>8140</v>
      </c>
    </row>
    <row r="12" spans="1:5" ht="15.75">
      <c r="A12" s="312" t="s">
        <v>8141</v>
      </c>
      <c r="B12" s="313">
        <v>41718</v>
      </c>
      <c r="C12" s="315" t="s">
        <v>8339</v>
      </c>
      <c r="D12" s="315" t="s">
        <v>8340</v>
      </c>
      <c r="E12" s="314" t="s">
        <v>8142</v>
      </c>
    </row>
    <row r="13" spans="1:5" ht="15.75">
      <c r="A13" s="312" t="s">
        <v>8341</v>
      </c>
      <c r="B13" s="313">
        <v>41722</v>
      </c>
      <c r="C13" s="314" t="s">
        <v>21</v>
      </c>
      <c r="D13" s="314" t="s">
        <v>21</v>
      </c>
      <c r="E13" s="314" t="s">
        <v>8333</v>
      </c>
    </row>
    <row r="14" spans="1:5" ht="15.75">
      <c r="A14" s="312" t="s">
        <v>8342</v>
      </c>
      <c r="B14" s="313">
        <v>41722</v>
      </c>
      <c r="C14" s="314" t="s">
        <v>21</v>
      </c>
      <c r="D14" s="314" t="s">
        <v>21</v>
      </c>
      <c r="E14" s="314" t="s">
        <v>8343</v>
      </c>
    </row>
    <row r="15" spans="1:5" ht="15.75">
      <c r="A15" s="312" t="s">
        <v>8143</v>
      </c>
      <c r="B15" s="313">
        <v>41731</v>
      </c>
      <c r="C15" s="314" t="s">
        <v>8338</v>
      </c>
      <c r="D15" s="314" t="s">
        <v>264</v>
      </c>
      <c r="E15" s="314" t="s">
        <v>8140</v>
      </c>
    </row>
    <row r="16" spans="1:5" ht="15.75">
      <c r="A16" s="312" t="s">
        <v>8344</v>
      </c>
      <c r="B16" s="313">
        <v>41769</v>
      </c>
      <c r="C16" s="314" t="s">
        <v>8345</v>
      </c>
      <c r="D16" s="314" t="s">
        <v>8346</v>
      </c>
      <c r="E16" s="314" t="s">
        <v>8347</v>
      </c>
    </row>
    <row r="17" spans="1:5" ht="15.75">
      <c r="A17" s="312" t="s">
        <v>8327</v>
      </c>
      <c r="B17" s="313">
        <v>41770</v>
      </c>
      <c r="C17" s="314" t="s">
        <v>8348</v>
      </c>
      <c r="D17" s="314" t="s">
        <v>8329</v>
      </c>
      <c r="E17" s="314" t="s">
        <v>8326</v>
      </c>
    </row>
    <row r="18" spans="1:5" ht="15.75">
      <c r="A18" s="312" t="s">
        <v>8349</v>
      </c>
      <c r="B18" s="313">
        <v>41808</v>
      </c>
      <c r="C18" s="314" t="s">
        <v>21</v>
      </c>
      <c r="D18" s="314" t="s">
        <v>21</v>
      </c>
      <c r="E18" s="314" t="s">
        <v>8350</v>
      </c>
    </row>
    <row r="19" spans="1:5" ht="15.75">
      <c r="A19" s="312" t="s">
        <v>8351</v>
      </c>
      <c r="B19" s="313">
        <v>41809</v>
      </c>
      <c r="C19" s="314" t="s">
        <v>21</v>
      </c>
      <c r="D19" s="314" t="s">
        <v>21</v>
      </c>
      <c r="E19" s="314" t="s">
        <v>8352</v>
      </c>
    </row>
    <row r="20" spans="1:5" ht="15.75">
      <c r="A20" s="312" t="s">
        <v>8353</v>
      </c>
      <c r="B20" s="313">
        <v>41810</v>
      </c>
      <c r="C20" s="314" t="s">
        <v>21</v>
      </c>
      <c r="D20" s="314" t="s">
        <v>21</v>
      </c>
      <c r="E20" s="314" t="s">
        <v>8352</v>
      </c>
    </row>
    <row r="25" spans="1:5">
      <c r="A25" s="199"/>
      <c r="B25" s="199"/>
      <c r="C25" s="199"/>
      <c r="E25" s="316"/>
    </row>
    <row r="26" spans="1:5">
      <c r="A26" s="199"/>
      <c r="B26" s="199"/>
      <c r="C26" s="199"/>
      <c r="E26" s="316"/>
    </row>
    <row r="27" spans="1:5">
      <c r="A27" s="199"/>
      <c r="B27" s="199"/>
      <c r="C27" s="199"/>
      <c r="E27" s="316"/>
    </row>
    <row r="28" spans="1:5">
      <c r="A28" s="199"/>
      <c r="B28" s="317"/>
      <c r="C28" s="317"/>
      <c r="E28" s="316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77"/>
  <sheetViews>
    <sheetView workbookViewId="0">
      <selection sqref="A1:E1048576"/>
    </sheetView>
  </sheetViews>
  <sheetFormatPr baseColWidth="10" defaultRowHeight="12"/>
  <cols>
    <col min="1" max="1" width="19.28515625" bestFit="1" customWidth="1"/>
    <col min="2" max="2" width="21.85546875" bestFit="1" customWidth="1"/>
    <col min="3" max="3" width="5.42578125" customWidth="1"/>
    <col min="4" max="4" width="11.5703125" bestFit="1" customWidth="1"/>
  </cols>
  <sheetData>
    <row r="5" spans="1:4">
      <c r="A5" s="399"/>
      <c r="B5" s="325"/>
      <c r="C5" s="325"/>
      <c r="D5" s="325"/>
    </row>
    <row r="6" spans="1:4">
      <c r="A6" s="399"/>
      <c r="B6" s="325"/>
      <c r="C6" s="325"/>
      <c r="D6" s="325"/>
    </row>
    <row r="7" spans="1:4">
      <c r="A7" s="399"/>
      <c r="B7" s="325"/>
      <c r="C7" s="325"/>
      <c r="D7" s="325"/>
    </row>
    <row r="8" spans="1:4">
      <c r="A8" s="399"/>
      <c r="B8" s="325"/>
      <c r="C8" s="325"/>
      <c r="D8" s="325"/>
    </row>
    <row r="9" spans="1:4">
      <c r="A9" s="399"/>
      <c r="B9" s="325"/>
      <c r="C9" s="325"/>
      <c r="D9" s="325"/>
    </row>
    <row r="10" spans="1:4">
      <c r="A10" s="399"/>
      <c r="B10" s="325"/>
      <c r="C10" s="325"/>
      <c r="D10" s="325"/>
    </row>
    <row r="11" spans="1:4">
      <c r="A11" s="399"/>
      <c r="B11" s="325"/>
      <c r="C11" s="325"/>
      <c r="D11" s="325"/>
    </row>
    <row r="12" spans="1:4">
      <c r="A12" s="399"/>
      <c r="B12" s="325"/>
      <c r="C12" s="325"/>
      <c r="D12" s="325"/>
    </row>
    <row r="13" spans="1:4">
      <c r="A13" s="399"/>
      <c r="B13" s="325"/>
      <c r="C13" s="325"/>
      <c r="D13" s="325"/>
    </row>
    <row r="14" spans="1:4">
      <c r="A14" s="399"/>
      <c r="B14" s="325"/>
      <c r="C14" s="325"/>
      <c r="D14" s="325"/>
    </row>
    <row r="15" spans="1:4">
      <c r="A15" s="399"/>
      <c r="B15" s="325"/>
      <c r="C15" s="325"/>
      <c r="D15" s="325"/>
    </row>
    <row r="16" spans="1:4">
      <c r="A16" s="399"/>
      <c r="B16" s="325"/>
      <c r="C16" s="325"/>
      <c r="D16" s="325"/>
    </row>
    <row r="17" spans="1:4">
      <c r="A17" s="399"/>
      <c r="B17" s="325"/>
      <c r="C17" s="325"/>
      <c r="D17" s="325"/>
    </row>
    <row r="18" spans="1:4">
      <c r="A18" s="399"/>
      <c r="B18" s="325"/>
      <c r="C18" s="325"/>
      <c r="D18" s="325"/>
    </row>
    <row r="19" spans="1:4">
      <c r="A19" s="399"/>
      <c r="B19" s="325"/>
      <c r="C19" s="325"/>
      <c r="D19" s="325"/>
    </row>
    <row r="20" spans="1:4">
      <c r="A20" s="399"/>
      <c r="B20" s="325"/>
      <c r="C20" s="325"/>
      <c r="D20" s="325"/>
    </row>
    <row r="21" spans="1:4">
      <c r="A21" s="399"/>
      <c r="B21" s="325"/>
      <c r="C21" s="325"/>
      <c r="D21" s="325"/>
    </row>
    <row r="22" spans="1:4">
      <c r="A22" s="399"/>
      <c r="B22" s="325"/>
      <c r="C22" s="325"/>
      <c r="D22" s="325"/>
    </row>
    <row r="23" spans="1:4">
      <c r="A23" s="399"/>
      <c r="B23" s="325"/>
      <c r="C23" s="325"/>
      <c r="D23" s="325"/>
    </row>
    <row r="24" spans="1:4">
      <c r="A24" s="399"/>
      <c r="B24" s="325"/>
      <c r="C24" s="325"/>
      <c r="D24" s="325"/>
    </row>
    <row r="25" spans="1:4">
      <c r="A25" s="399"/>
      <c r="B25" s="325"/>
      <c r="C25" s="325"/>
      <c r="D25" s="325"/>
    </row>
    <row r="26" spans="1:4">
      <c r="A26" s="399"/>
      <c r="B26" s="325"/>
      <c r="C26" s="325"/>
      <c r="D26" s="325"/>
    </row>
    <row r="27" spans="1:4">
      <c r="A27" s="399"/>
      <c r="B27" s="325"/>
      <c r="C27" s="325"/>
      <c r="D27" s="325"/>
    </row>
    <row r="28" spans="1:4">
      <c r="A28" s="399"/>
      <c r="B28" s="325"/>
      <c r="C28" s="325"/>
      <c r="D28" s="325"/>
    </row>
    <row r="29" spans="1:4">
      <c r="A29" s="399"/>
      <c r="B29" s="325"/>
      <c r="C29" s="325"/>
      <c r="D29" s="325"/>
    </row>
    <row r="30" spans="1:4">
      <c r="A30" s="399"/>
      <c r="B30" s="325"/>
      <c r="C30" s="325"/>
      <c r="D30" s="325"/>
    </row>
    <row r="31" spans="1:4">
      <c r="A31" s="399"/>
      <c r="B31" s="325"/>
      <c r="C31" s="325"/>
      <c r="D31" s="325"/>
    </row>
    <row r="32" spans="1:4">
      <c r="A32" s="399"/>
      <c r="B32" s="325"/>
      <c r="C32" s="325"/>
      <c r="D32" s="325"/>
    </row>
    <row r="33" spans="1:4">
      <c r="A33" s="399"/>
      <c r="B33" s="325"/>
      <c r="C33" s="325"/>
      <c r="D33" s="325"/>
    </row>
    <row r="34" spans="1:4">
      <c r="A34" s="399"/>
      <c r="B34" s="325"/>
      <c r="C34" s="325"/>
      <c r="D34" s="325"/>
    </row>
    <row r="35" spans="1:4">
      <c r="A35" s="399"/>
      <c r="B35" s="325"/>
      <c r="C35" s="325"/>
      <c r="D35" s="325"/>
    </row>
    <row r="36" spans="1:4">
      <c r="A36" s="399"/>
      <c r="B36" s="325"/>
      <c r="C36" s="325"/>
      <c r="D36" s="325"/>
    </row>
    <row r="37" spans="1:4">
      <c r="A37" s="399"/>
      <c r="B37" s="325"/>
      <c r="C37" s="325"/>
      <c r="D37" s="325"/>
    </row>
    <row r="38" spans="1:4">
      <c r="A38" s="399"/>
      <c r="B38" s="325"/>
      <c r="C38" s="325"/>
      <c r="D38" s="325"/>
    </row>
    <row r="39" spans="1:4">
      <c r="A39" s="399"/>
      <c r="B39" s="325"/>
      <c r="C39" s="325"/>
      <c r="D39" s="325"/>
    </row>
    <row r="40" spans="1:4">
      <c r="A40" s="399"/>
      <c r="B40" s="325"/>
      <c r="C40" s="325"/>
      <c r="D40" s="325"/>
    </row>
    <row r="41" spans="1:4">
      <c r="A41" s="399"/>
      <c r="B41" s="325"/>
      <c r="C41" s="325"/>
      <c r="D41" s="325"/>
    </row>
    <row r="42" spans="1:4">
      <c r="A42" s="399"/>
      <c r="B42" s="325"/>
      <c r="C42" s="325"/>
      <c r="D42" s="325"/>
    </row>
    <row r="43" spans="1:4">
      <c r="A43" s="399"/>
      <c r="B43" s="325"/>
      <c r="C43" s="325"/>
      <c r="D43" s="325"/>
    </row>
    <row r="44" spans="1:4">
      <c r="A44" s="399"/>
      <c r="B44" s="325"/>
      <c r="C44" s="325"/>
      <c r="D44" s="325"/>
    </row>
    <row r="45" spans="1:4">
      <c r="A45" s="399"/>
      <c r="B45" s="325"/>
      <c r="C45" s="325"/>
      <c r="D45" s="325"/>
    </row>
    <row r="46" spans="1:4">
      <c r="A46" s="399"/>
      <c r="B46" s="325"/>
      <c r="C46" s="325"/>
      <c r="D46" s="325"/>
    </row>
    <row r="47" spans="1:4">
      <c r="A47" s="399"/>
      <c r="B47" s="325"/>
      <c r="C47" s="325"/>
      <c r="D47" s="325"/>
    </row>
    <row r="48" spans="1:4">
      <c r="A48" s="399"/>
      <c r="B48" s="325"/>
      <c r="C48" s="325"/>
      <c r="D48" s="325"/>
    </row>
    <row r="49" spans="1:4">
      <c r="A49" s="399"/>
      <c r="B49" s="325"/>
      <c r="C49" s="325"/>
      <c r="D49" s="325"/>
    </row>
    <row r="50" spans="1:4">
      <c r="A50" s="399"/>
      <c r="B50" s="325"/>
      <c r="C50" s="325"/>
      <c r="D50" s="325"/>
    </row>
    <row r="51" spans="1:4">
      <c r="A51" s="399"/>
      <c r="B51" s="325"/>
      <c r="C51" s="325"/>
      <c r="D51" s="325"/>
    </row>
    <row r="52" spans="1:4">
      <c r="A52" s="399"/>
      <c r="B52" s="325"/>
      <c r="C52" s="325"/>
      <c r="D52" s="325"/>
    </row>
    <row r="53" spans="1:4">
      <c r="A53" s="399"/>
      <c r="B53" s="325"/>
      <c r="C53" s="325"/>
      <c r="D53" s="325"/>
    </row>
    <row r="54" spans="1:4">
      <c r="A54" s="399"/>
      <c r="B54" s="325"/>
      <c r="C54" s="325"/>
      <c r="D54" s="325"/>
    </row>
    <row r="55" spans="1:4">
      <c r="A55" s="399"/>
      <c r="B55" s="325"/>
      <c r="C55" s="325"/>
      <c r="D55" s="325"/>
    </row>
    <row r="56" spans="1:4">
      <c r="A56" s="399"/>
      <c r="B56" s="325"/>
      <c r="C56" s="325"/>
      <c r="D56" s="325"/>
    </row>
    <row r="57" spans="1:4">
      <c r="A57" s="399"/>
      <c r="B57" s="325"/>
      <c r="C57" s="325"/>
      <c r="D57" s="325"/>
    </row>
    <row r="58" spans="1:4">
      <c r="A58" s="399"/>
      <c r="B58" s="325"/>
      <c r="C58" s="325"/>
      <c r="D58" s="325"/>
    </row>
    <row r="59" spans="1:4">
      <c r="A59" s="399"/>
      <c r="B59" s="325"/>
      <c r="C59" s="325"/>
      <c r="D59" s="325"/>
    </row>
    <row r="60" spans="1:4">
      <c r="A60" s="399"/>
      <c r="B60" s="325"/>
      <c r="C60" s="325"/>
      <c r="D60" s="325"/>
    </row>
    <row r="61" spans="1:4">
      <c r="A61" s="399"/>
      <c r="B61" s="325"/>
      <c r="C61" s="325"/>
      <c r="D61" s="325"/>
    </row>
    <row r="62" spans="1:4">
      <c r="A62" s="399"/>
      <c r="B62" s="325"/>
      <c r="C62" s="325"/>
      <c r="D62" s="325"/>
    </row>
    <row r="63" spans="1:4">
      <c r="A63" s="399"/>
      <c r="B63" s="325"/>
      <c r="C63" s="325"/>
      <c r="D63" s="325"/>
    </row>
    <row r="64" spans="1:4">
      <c r="A64" s="399"/>
      <c r="B64" s="325"/>
      <c r="C64" s="325"/>
      <c r="D64" s="325"/>
    </row>
    <row r="65" spans="1:4">
      <c r="A65" s="399"/>
      <c r="B65" s="325"/>
      <c r="C65" s="325"/>
      <c r="D65" s="325"/>
    </row>
    <row r="66" spans="1:4">
      <c r="A66" s="399"/>
      <c r="B66" s="325"/>
      <c r="C66" s="325"/>
      <c r="D66" s="325"/>
    </row>
    <row r="67" spans="1:4">
      <c r="A67" s="399"/>
      <c r="B67" s="325"/>
      <c r="C67" s="325"/>
      <c r="D67" s="325"/>
    </row>
    <row r="68" spans="1:4">
      <c r="A68" s="399"/>
      <c r="B68" s="325"/>
      <c r="C68" s="325"/>
      <c r="D68" s="325"/>
    </row>
    <row r="69" spans="1:4">
      <c r="A69" s="399"/>
      <c r="B69" s="325"/>
      <c r="C69" s="325"/>
      <c r="D69" s="325"/>
    </row>
    <row r="70" spans="1:4">
      <c r="A70" s="399"/>
      <c r="B70" s="325"/>
      <c r="C70" s="325"/>
      <c r="D70" s="325"/>
    </row>
    <row r="71" spans="1:4">
      <c r="A71" s="399"/>
      <c r="B71" s="325"/>
      <c r="C71" s="325"/>
      <c r="D71" s="325"/>
    </row>
    <row r="72" spans="1:4">
      <c r="A72" s="399"/>
      <c r="B72" s="325"/>
      <c r="C72" s="325"/>
      <c r="D72" s="325"/>
    </row>
    <row r="73" spans="1:4">
      <c r="A73" s="399"/>
      <c r="B73" s="325"/>
      <c r="C73" s="325"/>
      <c r="D73" s="325"/>
    </row>
    <row r="74" spans="1:4">
      <c r="A74" s="399"/>
      <c r="B74" s="325"/>
      <c r="C74" s="325"/>
      <c r="D74" s="325"/>
    </row>
    <row r="75" spans="1:4">
      <c r="A75" s="399"/>
      <c r="B75" s="325"/>
      <c r="C75" s="325"/>
      <c r="D75" s="325"/>
    </row>
    <row r="76" spans="1:4">
      <c r="A76" s="399"/>
      <c r="B76" s="325"/>
      <c r="C76" s="325"/>
      <c r="D76" s="325"/>
    </row>
    <row r="77" spans="1:4">
      <c r="A77" s="399"/>
      <c r="B77" s="325"/>
      <c r="C77" s="325"/>
      <c r="D77" s="325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7"/>
  <sheetViews>
    <sheetView tabSelected="1" topLeftCell="C1" workbookViewId="0">
      <selection activeCell="J32" sqref="J32"/>
    </sheetView>
  </sheetViews>
  <sheetFormatPr baseColWidth="10" defaultRowHeight="12"/>
  <cols>
    <col min="1" max="1" width="19.28515625" bestFit="1" customWidth="1"/>
    <col min="2" max="2" width="21.85546875" bestFit="1" customWidth="1"/>
    <col min="3" max="3" width="12" customWidth="1"/>
    <col min="4" max="4" width="5.42578125" customWidth="1"/>
    <col min="5" max="5" width="12" bestFit="1" customWidth="1"/>
  </cols>
  <sheetData>
    <row r="3" spans="1:5">
      <c r="A3" s="398" t="s">
        <v>8382</v>
      </c>
      <c r="B3" s="398" t="s">
        <v>8381</v>
      </c>
    </row>
    <row r="4" spans="1:5">
      <c r="A4" s="398" t="s">
        <v>8378</v>
      </c>
      <c r="B4" t="s">
        <v>8287</v>
      </c>
      <c r="C4" t="s">
        <v>8289</v>
      </c>
      <c r="D4" t="s">
        <v>8379</v>
      </c>
      <c r="E4" t="s">
        <v>8380</v>
      </c>
    </row>
    <row r="5" spans="1:5">
      <c r="A5" s="399" t="s">
        <v>7753</v>
      </c>
      <c r="B5" s="325">
        <v>50.387</v>
      </c>
      <c r="C5" s="325">
        <v>45.622999999999998</v>
      </c>
      <c r="D5" s="325"/>
      <c r="E5" s="325">
        <v>47.210999999999991</v>
      </c>
    </row>
    <row r="6" spans="1:5">
      <c r="A6" s="399" t="s">
        <v>7756</v>
      </c>
      <c r="B6" s="325">
        <v>49.631</v>
      </c>
      <c r="C6" s="325">
        <v>48.052999999999997</v>
      </c>
      <c r="D6" s="325"/>
      <c r="E6" s="325">
        <v>48.841999999999999</v>
      </c>
    </row>
    <row r="7" spans="1:5">
      <c r="A7" s="399" t="s">
        <v>7757</v>
      </c>
      <c r="B7" s="325">
        <v>50.753</v>
      </c>
      <c r="C7" s="325">
        <v>48.194000000000003</v>
      </c>
      <c r="D7" s="325"/>
      <c r="E7" s="325">
        <v>49.9</v>
      </c>
    </row>
    <row r="8" spans="1:5">
      <c r="A8" s="399" t="s">
        <v>7760</v>
      </c>
      <c r="B8" s="325">
        <v>48.665500000000002</v>
      </c>
      <c r="C8" s="325">
        <v>44.718999999999994</v>
      </c>
      <c r="D8" s="325"/>
      <c r="E8" s="325">
        <v>46.692250000000001</v>
      </c>
    </row>
    <row r="9" spans="1:5">
      <c r="A9" s="399" t="s">
        <v>7761</v>
      </c>
      <c r="B9" s="325">
        <v>52.1295</v>
      </c>
      <c r="C9" s="325">
        <v>48.314999999999998</v>
      </c>
      <c r="D9" s="325"/>
      <c r="E9" s="325">
        <v>50.222250000000003</v>
      </c>
    </row>
    <row r="10" spans="1:5">
      <c r="A10" s="399" t="s">
        <v>7606</v>
      </c>
      <c r="B10" s="325">
        <v>47.814499999999995</v>
      </c>
      <c r="C10" s="325">
        <v>43.593500000000006</v>
      </c>
      <c r="D10" s="325"/>
      <c r="E10" s="325">
        <v>45.704000000000001</v>
      </c>
    </row>
    <row r="11" spans="1:5">
      <c r="A11" s="399" t="s">
        <v>7607</v>
      </c>
      <c r="B11" s="325">
        <v>50.013500000000001</v>
      </c>
      <c r="C11" s="325">
        <v>45.227000000000004</v>
      </c>
      <c r="D11" s="325"/>
      <c r="E11" s="325">
        <v>47.620249999999999</v>
      </c>
    </row>
    <row r="12" spans="1:5">
      <c r="A12" s="399" t="s">
        <v>7608</v>
      </c>
      <c r="B12" s="325">
        <v>50.061500000000002</v>
      </c>
      <c r="C12" s="325">
        <v>46.915500000000002</v>
      </c>
      <c r="D12" s="325"/>
      <c r="E12" s="325">
        <v>48.488500000000002</v>
      </c>
    </row>
    <row r="13" spans="1:5">
      <c r="A13" s="399" t="s">
        <v>7610</v>
      </c>
      <c r="B13" s="325">
        <v>48.839500000000001</v>
      </c>
      <c r="C13" s="325">
        <v>48.403500000000001</v>
      </c>
      <c r="D13" s="325"/>
      <c r="E13" s="325">
        <v>48.621499999999997</v>
      </c>
    </row>
    <row r="14" spans="1:5">
      <c r="A14" s="399" t="s">
        <v>7614</v>
      </c>
      <c r="B14" s="325">
        <v>47.372</v>
      </c>
      <c r="C14" s="325">
        <v>45.35</v>
      </c>
      <c r="D14" s="325"/>
      <c r="E14" s="325">
        <v>46.361000000000004</v>
      </c>
    </row>
    <row r="15" spans="1:5">
      <c r="A15" s="399" t="s">
        <v>7615</v>
      </c>
      <c r="B15" s="325">
        <v>50.7605</v>
      </c>
      <c r="C15" s="325">
        <v>49.072000000000003</v>
      </c>
      <c r="D15" s="325"/>
      <c r="E15" s="325">
        <v>49.916249999999998</v>
      </c>
    </row>
    <row r="16" spans="1:5">
      <c r="A16" s="399" t="s">
        <v>7616</v>
      </c>
      <c r="B16" s="325">
        <v>51.503500000000003</v>
      </c>
      <c r="C16" s="325">
        <v>50.412999999999997</v>
      </c>
      <c r="D16" s="325"/>
      <c r="E16" s="325">
        <v>50.95825</v>
      </c>
    </row>
    <row r="17" spans="1:5">
      <c r="A17" s="399" t="s">
        <v>7618</v>
      </c>
      <c r="B17" s="325">
        <v>50.396999999999998</v>
      </c>
      <c r="C17" s="325">
        <v>45.854500000000002</v>
      </c>
      <c r="D17" s="325"/>
      <c r="E17" s="325">
        <v>48.125749999999996</v>
      </c>
    </row>
    <row r="18" spans="1:5">
      <c r="A18" s="399" t="s">
        <v>7619</v>
      </c>
      <c r="B18" s="325">
        <v>49.070999999999998</v>
      </c>
      <c r="C18" s="325">
        <v>48.079499999999996</v>
      </c>
      <c r="D18" s="325"/>
      <c r="E18" s="325">
        <v>48.575249999999997</v>
      </c>
    </row>
    <row r="19" spans="1:5">
      <c r="A19" s="399" t="s">
        <v>7620</v>
      </c>
      <c r="B19" s="325">
        <v>49.382000000000005</v>
      </c>
      <c r="C19" s="325">
        <v>48.442499999999995</v>
      </c>
      <c r="D19" s="325"/>
      <c r="E19" s="325">
        <v>48.912250000000007</v>
      </c>
    </row>
    <row r="20" spans="1:5">
      <c r="A20" s="399" t="s">
        <v>7621</v>
      </c>
      <c r="B20" s="325">
        <v>46.210999999999999</v>
      </c>
      <c r="C20" s="325">
        <v>45.375</v>
      </c>
      <c r="D20" s="325"/>
      <c r="E20" s="325">
        <v>45.792999999999999</v>
      </c>
    </row>
    <row r="21" spans="1:5">
      <c r="A21" s="399" t="s">
        <v>7622</v>
      </c>
      <c r="B21" s="325">
        <v>50.966499999999996</v>
      </c>
      <c r="C21" s="325">
        <v>49.82</v>
      </c>
      <c r="D21" s="325"/>
      <c r="E21" s="325">
        <v>50.393249999999995</v>
      </c>
    </row>
    <row r="22" spans="1:5">
      <c r="A22" s="399" t="s">
        <v>7623</v>
      </c>
      <c r="B22" s="325">
        <v>51.501000000000005</v>
      </c>
      <c r="C22" s="325">
        <v>48.522999999999996</v>
      </c>
      <c r="D22" s="325"/>
      <c r="E22" s="325">
        <v>50.012</v>
      </c>
    </row>
    <row r="23" spans="1:5">
      <c r="A23" s="399" t="s">
        <v>7624</v>
      </c>
      <c r="B23" s="325">
        <v>49.537500000000001</v>
      </c>
      <c r="C23" s="325">
        <v>47.307000000000002</v>
      </c>
      <c r="D23" s="325"/>
      <c r="E23" s="325">
        <v>48.422249999999998</v>
      </c>
    </row>
    <row r="24" spans="1:5">
      <c r="A24" s="399" t="s">
        <v>7627</v>
      </c>
      <c r="B24" s="325">
        <v>48.573</v>
      </c>
      <c r="C24" s="325">
        <v>46.386499999999998</v>
      </c>
      <c r="D24" s="325"/>
      <c r="E24" s="325">
        <v>47.479749999999996</v>
      </c>
    </row>
    <row r="25" spans="1:5">
      <c r="A25" s="399" t="s">
        <v>7629</v>
      </c>
      <c r="B25" s="325">
        <v>50.655500000000004</v>
      </c>
      <c r="C25" s="325">
        <v>46.870999999999995</v>
      </c>
      <c r="D25" s="325"/>
      <c r="E25" s="325">
        <v>48.763249999999999</v>
      </c>
    </row>
    <row r="26" spans="1:5">
      <c r="A26" s="399" t="s">
        <v>7634</v>
      </c>
      <c r="B26" s="325">
        <v>49.081000000000003</v>
      </c>
      <c r="C26" s="325">
        <v>48.186499999999995</v>
      </c>
      <c r="D26" s="325"/>
      <c r="E26" s="325">
        <v>48.633750000000006</v>
      </c>
    </row>
    <row r="27" spans="1:5">
      <c r="A27" s="399" t="s">
        <v>7635</v>
      </c>
      <c r="B27" s="325">
        <v>50.207000000000001</v>
      </c>
      <c r="C27" s="325">
        <v>48.1755</v>
      </c>
      <c r="D27" s="325"/>
      <c r="E27" s="325">
        <v>49.191249999999997</v>
      </c>
    </row>
    <row r="28" spans="1:5">
      <c r="A28" s="399" t="s">
        <v>7636</v>
      </c>
      <c r="B28" s="325">
        <v>53.856999999999999</v>
      </c>
      <c r="C28" s="325">
        <v>49.1355</v>
      </c>
      <c r="D28" s="325"/>
      <c r="E28" s="325">
        <v>51.496249999999996</v>
      </c>
    </row>
    <row r="29" spans="1:5">
      <c r="A29" s="399" t="s">
        <v>7638</v>
      </c>
      <c r="B29" s="325">
        <v>48.663499999999999</v>
      </c>
      <c r="C29" s="325">
        <v>43.414000000000001</v>
      </c>
      <c r="D29" s="325"/>
      <c r="E29" s="325">
        <v>46.03875</v>
      </c>
    </row>
    <row r="30" spans="1:5">
      <c r="A30" s="399" t="s">
        <v>7640</v>
      </c>
      <c r="B30" s="325">
        <v>47.100499999999997</v>
      </c>
      <c r="C30" s="325">
        <v>46.352499999999999</v>
      </c>
      <c r="D30" s="325"/>
      <c r="E30" s="325">
        <v>46.726500000000001</v>
      </c>
    </row>
    <row r="31" spans="1:5">
      <c r="A31" s="399" t="s">
        <v>7642</v>
      </c>
      <c r="B31" s="325">
        <v>49.0505</v>
      </c>
      <c r="C31" s="325">
        <v>47.718999999999994</v>
      </c>
      <c r="D31" s="325"/>
      <c r="E31" s="325">
        <v>48.384749999999997</v>
      </c>
    </row>
    <row r="32" spans="1:5">
      <c r="A32" s="399" t="s">
        <v>7643</v>
      </c>
      <c r="B32" s="325">
        <v>47.713499999999996</v>
      </c>
      <c r="C32" s="325">
        <v>47.025499999999994</v>
      </c>
      <c r="D32" s="325"/>
      <c r="E32" s="325">
        <v>47.369499999999995</v>
      </c>
    </row>
    <row r="33" spans="1:5">
      <c r="A33" s="399" t="s">
        <v>7644</v>
      </c>
      <c r="B33" s="325">
        <v>47.581500000000005</v>
      </c>
      <c r="C33" s="325">
        <v>43.823499999999996</v>
      </c>
      <c r="D33" s="325"/>
      <c r="E33" s="325">
        <v>45.702500000000001</v>
      </c>
    </row>
    <row r="34" spans="1:5">
      <c r="A34" s="399" t="s">
        <v>7649</v>
      </c>
      <c r="B34" s="325">
        <v>47.490499999999997</v>
      </c>
      <c r="C34" s="325">
        <v>43.634500000000003</v>
      </c>
      <c r="D34" s="325"/>
      <c r="E34" s="325">
        <v>45.5625</v>
      </c>
    </row>
    <row r="35" spans="1:5">
      <c r="A35" s="399" t="s">
        <v>7650</v>
      </c>
      <c r="B35" s="325">
        <v>48.332000000000001</v>
      </c>
      <c r="C35" s="325">
        <v>44.694500000000005</v>
      </c>
      <c r="D35" s="325"/>
      <c r="E35" s="325">
        <v>46.513250000000006</v>
      </c>
    </row>
    <row r="36" spans="1:5">
      <c r="A36" s="399" t="s">
        <v>7651</v>
      </c>
      <c r="B36" s="325">
        <v>46.552499999999995</v>
      </c>
      <c r="C36" s="325">
        <v>44.116999999999997</v>
      </c>
      <c r="D36" s="325"/>
      <c r="E36" s="325">
        <v>45.740666666666662</v>
      </c>
    </row>
    <row r="37" spans="1:5">
      <c r="A37" s="399" t="s">
        <v>7652</v>
      </c>
      <c r="B37" s="325">
        <v>51.153500000000001</v>
      </c>
      <c r="C37" s="325">
        <v>48.509</v>
      </c>
      <c r="D37" s="325"/>
      <c r="E37" s="325">
        <v>49.831249999999997</v>
      </c>
    </row>
    <row r="38" spans="1:5">
      <c r="A38" s="399" t="s">
        <v>7653</v>
      </c>
      <c r="B38" s="325">
        <v>50.712999999999994</v>
      </c>
      <c r="C38" s="325">
        <v>46.31</v>
      </c>
      <c r="D38" s="325"/>
      <c r="E38" s="325">
        <v>48.511499999999998</v>
      </c>
    </row>
    <row r="39" spans="1:5">
      <c r="A39" s="399" t="s">
        <v>7654</v>
      </c>
      <c r="B39" s="325">
        <v>47.214500000000001</v>
      </c>
      <c r="C39" s="325">
        <v>43.052999999999997</v>
      </c>
      <c r="D39" s="325"/>
      <c r="E39" s="325">
        <v>45.133749999999999</v>
      </c>
    </row>
    <row r="40" spans="1:5">
      <c r="A40" s="399" t="s">
        <v>7656</v>
      </c>
      <c r="B40" s="325">
        <v>50.326500000000003</v>
      </c>
      <c r="C40" s="325">
        <v>48.185499999999998</v>
      </c>
      <c r="D40" s="325"/>
      <c r="E40" s="325">
        <v>49.256</v>
      </c>
    </row>
    <row r="41" spans="1:5">
      <c r="A41" s="399" t="s">
        <v>7659</v>
      </c>
      <c r="B41" s="325">
        <v>50.670500000000004</v>
      </c>
      <c r="C41" s="325">
        <v>47.980499999999999</v>
      </c>
      <c r="D41" s="325"/>
      <c r="E41" s="325">
        <v>49.325499999999998</v>
      </c>
    </row>
    <row r="42" spans="1:5">
      <c r="A42" s="399" t="s">
        <v>7660</v>
      </c>
      <c r="B42" s="325">
        <v>49.413499999999999</v>
      </c>
      <c r="C42" s="325">
        <v>45.790999999999997</v>
      </c>
      <c r="D42" s="325"/>
      <c r="E42" s="325">
        <v>48.205999999999996</v>
      </c>
    </row>
    <row r="43" spans="1:5">
      <c r="A43" s="399" t="s">
        <v>7661</v>
      </c>
      <c r="B43" s="325">
        <v>50.9435</v>
      </c>
      <c r="C43" s="325">
        <v>45.882000000000005</v>
      </c>
      <c r="D43" s="325"/>
      <c r="E43" s="325">
        <v>48.412750000000003</v>
      </c>
    </row>
    <row r="44" spans="1:5">
      <c r="A44" s="399" t="s">
        <v>7662</v>
      </c>
      <c r="B44" s="325">
        <v>50.009500000000003</v>
      </c>
      <c r="C44" s="325">
        <v>47.3825</v>
      </c>
      <c r="D44" s="325"/>
      <c r="E44" s="325">
        <v>48.695999999999998</v>
      </c>
    </row>
    <row r="45" spans="1:5">
      <c r="A45" s="399" t="s">
        <v>7666</v>
      </c>
      <c r="B45" s="325">
        <v>52.464500000000001</v>
      </c>
      <c r="C45" s="325">
        <v>48.453499999999998</v>
      </c>
      <c r="D45" s="325"/>
      <c r="E45" s="325">
        <v>50.458999999999996</v>
      </c>
    </row>
    <row r="46" spans="1:5">
      <c r="A46" s="399" t="s">
        <v>7667</v>
      </c>
      <c r="B46" s="325">
        <v>48.198999999999998</v>
      </c>
      <c r="C46" s="325">
        <v>44.850499999999997</v>
      </c>
      <c r="D46" s="325"/>
      <c r="E46" s="325">
        <v>46.524749999999997</v>
      </c>
    </row>
    <row r="47" spans="1:5">
      <c r="A47" s="399" t="s">
        <v>7668</v>
      </c>
      <c r="B47" s="325">
        <v>47.58</v>
      </c>
      <c r="C47" s="325">
        <v>49.135000000000005</v>
      </c>
      <c r="D47" s="325"/>
      <c r="E47" s="325">
        <v>48.357500000000002</v>
      </c>
    </row>
    <row r="48" spans="1:5">
      <c r="A48" s="399" t="s">
        <v>7669</v>
      </c>
      <c r="B48" s="325">
        <v>50.982500000000002</v>
      </c>
      <c r="C48" s="325">
        <v>48.044499999999999</v>
      </c>
      <c r="D48" s="325"/>
      <c r="E48" s="325">
        <v>49.513500000000008</v>
      </c>
    </row>
    <row r="49" spans="1:5">
      <c r="A49" s="399" t="s">
        <v>7674</v>
      </c>
      <c r="B49" s="325">
        <v>51.1965</v>
      </c>
      <c r="C49" s="325">
        <v>48.209000000000003</v>
      </c>
      <c r="D49" s="325"/>
      <c r="E49" s="325">
        <v>49.702749999999995</v>
      </c>
    </row>
    <row r="50" spans="1:5">
      <c r="A50" s="399" t="s">
        <v>7676</v>
      </c>
      <c r="B50" s="325">
        <v>49.007000000000005</v>
      </c>
      <c r="C50" s="325">
        <v>44.4345</v>
      </c>
      <c r="D50" s="325"/>
      <c r="E50" s="325">
        <v>46.720750000000002</v>
      </c>
    </row>
    <row r="51" spans="1:5">
      <c r="A51" s="399" t="s">
        <v>7680</v>
      </c>
      <c r="B51" s="325">
        <v>48.323</v>
      </c>
      <c r="C51" s="325">
        <v>49.405999999999999</v>
      </c>
      <c r="D51" s="325"/>
      <c r="E51" s="325">
        <v>48.864499999999992</v>
      </c>
    </row>
    <row r="52" spans="1:5">
      <c r="A52" s="399" t="s">
        <v>7682</v>
      </c>
      <c r="B52" s="325">
        <v>50.6355</v>
      </c>
      <c r="C52" s="325">
        <v>46.311</v>
      </c>
      <c r="D52" s="325"/>
      <c r="E52" s="325">
        <v>48.47325</v>
      </c>
    </row>
    <row r="53" spans="1:5">
      <c r="A53" s="399" t="s">
        <v>7683</v>
      </c>
      <c r="B53" s="325">
        <v>52.375500000000002</v>
      </c>
      <c r="C53" s="325">
        <v>46.474999999999994</v>
      </c>
      <c r="D53" s="325"/>
      <c r="E53" s="325">
        <v>49.425249999999998</v>
      </c>
    </row>
    <row r="54" spans="1:5">
      <c r="A54" s="399" t="s">
        <v>7688</v>
      </c>
      <c r="B54" s="325">
        <v>48.289000000000001</v>
      </c>
      <c r="C54" s="325">
        <v>43.9435</v>
      </c>
      <c r="D54" s="325"/>
      <c r="E54" s="325">
        <v>46.116250000000001</v>
      </c>
    </row>
    <row r="55" spans="1:5">
      <c r="A55" s="399" t="s">
        <v>7689</v>
      </c>
      <c r="B55" s="325">
        <v>50.015000000000001</v>
      </c>
      <c r="C55" s="325">
        <v>42.058999999999997</v>
      </c>
      <c r="D55" s="325"/>
      <c r="E55" s="325">
        <v>46.036999999999999</v>
      </c>
    </row>
    <row r="56" spans="1:5">
      <c r="A56" s="399" t="s">
        <v>7690</v>
      </c>
      <c r="B56" s="325">
        <v>51.632499999999993</v>
      </c>
      <c r="C56" s="325">
        <v>48.29</v>
      </c>
      <c r="D56" s="325"/>
      <c r="E56" s="325">
        <v>49.961249999999993</v>
      </c>
    </row>
    <row r="57" spans="1:5">
      <c r="A57" s="399" t="s">
        <v>7695</v>
      </c>
      <c r="B57" s="325">
        <v>49.930999999999997</v>
      </c>
      <c r="C57" s="325">
        <v>45.1355</v>
      </c>
      <c r="D57" s="325"/>
      <c r="E57" s="325">
        <v>47.533249999999995</v>
      </c>
    </row>
    <row r="58" spans="1:5">
      <c r="A58" s="399" t="s">
        <v>7697</v>
      </c>
      <c r="B58" s="325">
        <v>52.778500000000001</v>
      </c>
      <c r="C58" s="325">
        <v>48.889499999999998</v>
      </c>
      <c r="D58" s="325"/>
      <c r="E58" s="325">
        <v>50.834000000000003</v>
      </c>
    </row>
    <row r="59" spans="1:5">
      <c r="A59" s="399" t="s">
        <v>7700</v>
      </c>
      <c r="B59" s="325">
        <v>50.183999999999997</v>
      </c>
      <c r="C59" s="325">
        <v>47.64</v>
      </c>
      <c r="D59" s="325"/>
      <c r="E59" s="325">
        <v>48.911999999999999</v>
      </c>
    </row>
    <row r="60" spans="1:5">
      <c r="A60" s="399" t="s">
        <v>7701</v>
      </c>
      <c r="B60" s="325">
        <v>51.244999999999997</v>
      </c>
      <c r="C60" s="325">
        <v>45.886499999999998</v>
      </c>
      <c r="D60" s="325"/>
      <c r="E60" s="325">
        <v>48.565750000000001</v>
      </c>
    </row>
    <row r="61" spans="1:5">
      <c r="A61" s="399" t="s">
        <v>7702</v>
      </c>
      <c r="B61" s="325">
        <v>50.4435</v>
      </c>
      <c r="C61" s="325">
        <v>47.908000000000001</v>
      </c>
      <c r="D61" s="325"/>
      <c r="E61" s="325">
        <v>49.175750000000001</v>
      </c>
    </row>
    <row r="62" spans="1:5">
      <c r="A62" s="399" t="s">
        <v>7705</v>
      </c>
      <c r="B62" s="325">
        <v>50.472499999999997</v>
      </c>
      <c r="C62" s="325">
        <v>44.566499999999998</v>
      </c>
      <c r="D62" s="325"/>
      <c r="E62" s="325">
        <v>47.519499999999994</v>
      </c>
    </row>
    <row r="63" spans="1:5">
      <c r="A63" s="399" t="s">
        <v>7707</v>
      </c>
      <c r="B63" s="325">
        <v>49.68</v>
      </c>
      <c r="C63" s="325">
        <v>44.383499999999998</v>
      </c>
      <c r="D63" s="325"/>
      <c r="E63" s="325">
        <v>47.031750000000002</v>
      </c>
    </row>
    <row r="64" spans="1:5">
      <c r="A64" s="399" t="s">
        <v>7708</v>
      </c>
      <c r="B64" s="325">
        <v>51.5715</v>
      </c>
      <c r="C64" s="325">
        <v>46.042000000000002</v>
      </c>
      <c r="D64" s="325"/>
      <c r="E64" s="325">
        <v>48.806749999999994</v>
      </c>
    </row>
    <row r="65" spans="1:5">
      <c r="A65" s="399" t="s">
        <v>7709</v>
      </c>
      <c r="B65" s="325">
        <v>51.584000000000003</v>
      </c>
      <c r="C65" s="325">
        <v>46.278500000000001</v>
      </c>
      <c r="D65" s="325"/>
      <c r="E65" s="325">
        <v>48.931250000000006</v>
      </c>
    </row>
    <row r="66" spans="1:5">
      <c r="A66" s="399" t="s">
        <v>7710</v>
      </c>
      <c r="B66" s="325">
        <v>49.8065</v>
      </c>
      <c r="C66" s="325">
        <v>44.557500000000005</v>
      </c>
      <c r="D66" s="325"/>
      <c r="E66" s="325">
        <v>47.181999999999995</v>
      </c>
    </row>
    <row r="67" spans="1:5">
      <c r="A67" s="399" t="s">
        <v>7712</v>
      </c>
      <c r="B67" s="325">
        <v>50.771999999999998</v>
      </c>
      <c r="C67" s="325">
        <v>49.383000000000003</v>
      </c>
      <c r="D67" s="325"/>
      <c r="E67" s="325">
        <v>50.077500000000001</v>
      </c>
    </row>
    <row r="68" spans="1:5">
      <c r="A68" s="399" t="s">
        <v>7713</v>
      </c>
      <c r="B68" s="325">
        <v>48.580500000000001</v>
      </c>
      <c r="C68" s="325">
        <v>47.902500000000003</v>
      </c>
      <c r="D68" s="325"/>
      <c r="E68" s="325">
        <v>48.241500000000002</v>
      </c>
    </row>
    <row r="69" spans="1:5">
      <c r="A69" s="399" t="s">
        <v>7714</v>
      </c>
      <c r="B69" s="325">
        <v>51.6935</v>
      </c>
      <c r="C69" s="325">
        <v>48.314999999999998</v>
      </c>
      <c r="D69" s="325"/>
      <c r="E69" s="325">
        <v>50.004249999999999</v>
      </c>
    </row>
    <row r="70" spans="1:5">
      <c r="A70" s="399" t="s">
        <v>7716</v>
      </c>
      <c r="B70" s="325">
        <v>51.826499999999996</v>
      </c>
      <c r="C70" s="325">
        <v>48.767499999999998</v>
      </c>
      <c r="D70" s="325"/>
      <c r="E70" s="325">
        <v>50.296999999999997</v>
      </c>
    </row>
    <row r="71" spans="1:5">
      <c r="A71" s="399" t="s">
        <v>7717</v>
      </c>
      <c r="B71" s="325">
        <v>46.588499999999996</v>
      </c>
      <c r="C71" s="325">
        <v>46.994500000000002</v>
      </c>
      <c r="D71" s="325"/>
      <c r="E71" s="325">
        <v>46.791499999999999</v>
      </c>
    </row>
    <row r="72" spans="1:5">
      <c r="A72" s="399" t="s">
        <v>7724</v>
      </c>
      <c r="B72" s="325">
        <v>49.802999999999997</v>
      </c>
      <c r="C72" s="325">
        <v>46.394999999999996</v>
      </c>
      <c r="D72" s="325"/>
      <c r="E72" s="325">
        <v>48.098999999999997</v>
      </c>
    </row>
    <row r="73" spans="1:5">
      <c r="A73" s="399" t="s">
        <v>7728</v>
      </c>
      <c r="B73" s="325">
        <v>53.124000000000002</v>
      </c>
      <c r="C73" s="325">
        <v>48.751999999999995</v>
      </c>
      <c r="D73" s="325"/>
      <c r="E73" s="325">
        <v>50.938000000000002</v>
      </c>
    </row>
    <row r="74" spans="1:5">
      <c r="A74" s="399" t="s">
        <v>7731</v>
      </c>
      <c r="B74" s="325">
        <v>51.945500000000003</v>
      </c>
      <c r="C74" s="325">
        <v>47.887999999999998</v>
      </c>
      <c r="D74" s="325"/>
      <c r="E74" s="325">
        <v>49.91675</v>
      </c>
    </row>
    <row r="75" spans="1:5">
      <c r="A75" s="399" t="s">
        <v>7732</v>
      </c>
      <c r="B75" s="325">
        <v>49.754999999999995</v>
      </c>
      <c r="C75" s="325">
        <v>41.509500000000003</v>
      </c>
      <c r="D75" s="325"/>
      <c r="E75" s="325">
        <v>45.632249999999999</v>
      </c>
    </row>
    <row r="76" spans="1:5">
      <c r="A76" s="399" t="s">
        <v>8379</v>
      </c>
      <c r="B76" s="325"/>
      <c r="C76" s="325"/>
      <c r="D76" s="325"/>
      <c r="E76" s="325"/>
    </row>
    <row r="77" spans="1:5">
      <c r="A77" s="399" t="s">
        <v>8380</v>
      </c>
      <c r="B77" s="325">
        <v>49.894907801418427</v>
      </c>
      <c r="C77" s="325">
        <v>46.728978417266184</v>
      </c>
      <c r="D77" s="325"/>
      <c r="E77" s="325">
        <v>48.323249999999987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85"/>
  <sheetViews>
    <sheetView topLeftCell="A120" workbookViewId="0">
      <selection activeCell="A120" sqref="A1:C1048576"/>
    </sheetView>
  </sheetViews>
  <sheetFormatPr baseColWidth="10" defaultRowHeight="12.75"/>
  <cols>
    <col min="1" max="1" width="12.140625" style="154" bestFit="1" customWidth="1"/>
    <col min="2" max="2" width="8.140625" bestFit="1" customWidth="1"/>
    <col min="3" max="3" width="10.7109375" style="153" bestFit="1" customWidth="1"/>
    <col min="15" max="15" width="19.28515625" bestFit="1" customWidth="1"/>
    <col min="16" max="16" width="21.85546875" bestFit="1" customWidth="1"/>
    <col min="17" max="17" width="12" customWidth="1"/>
    <col min="18" max="18" width="5.42578125" customWidth="1"/>
    <col min="19" max="19" width="12" bestFit="1" customWidth="1"/>
  </cols>
  <sheetData>
    <row r="1" spans="1:19" ht="13.5" thickBot="1">
      <c r="A1" s="155" t="s">
        <v>150</v>
      </c>
      <c r="B1" s="115" t="s">
        <v>171</v>
      </c>
      <c r="C1" s="138" t="s">
        <v>278</v>
      </c>
      <c r="O1" s="398" t="s">
        <v>8382</v>
      </c>
      <c r="P1" s="398" t="s">
        <v>8381</v>
      </c>
    </row>
    <row r="2" spans="1:19">
      <c r="A2" s="327" t="s">
        <v>7753</v>
      </c>
      <c r="B2" s="328" t="s">
        <v>8287</v>
      </c>
      <c r="C2" s="328"/>
      <c r="M2" t="s">
        <v>8304</v>
      </c>
      <c r="O2" s="398" t="s">
        <v>8378</v>
      </c>
      <c r="P2" t="s">
        <v>8287</v>
      </c>
      <c r="Q2" t="s">
        <v>8289</v>
      </c>
      <c r="R2" t="s">
        <v>8379</v>
      </c>
      <c r="S2" t="s">
        <v>8380</v>
      </c>
    </row>
    <row r="3" spans="1:19">
      <c r="A3" s="154" t="s">
        <v>7753</v>
      </c>
      <c r="B3" t="s">
        <v>8287</v>
      </c>
      <c r="C3">
        <v>50.387</v>
      </c>
      <c r="M3" t="s">
        <v>7753</v>
      </c>
      <c r="O3" s="399" t="s">
        <v>7753</v>
      </c>
      <c r="P3" s="325">
        <v>50.387</v>
      </c>
      <c r="Q3" s="325">
        <v>45.622999999999998</v>
      </c>
      <c r="R3" s="325"/>
      <c r="S3" s="325">
        <v>47.210999999999991</v>
      </c>
    </row>
    <row r="4" spans="1:19">
      <c r="A4" s="327" t="s">
        <v>7756</v>
      </c>
      <c r="B4" s="328" t="s">
        <v>8287</v>
      </c>
      <c r="C4" s="328">
        <v>51.313000000000002</v>
      </c>
      <c r="M4" t="s">
        <v>7756</v>
      </c>
      <c r="O4" s="399" t="s">
        <v>7756</v>
      </c>
      <c r="P4" s="325">
        <v>49.631</v>
      </c>
      <c r="Q4" s="325">
        <v>48.052999999999997</v>
      </c>
      <c r="R4" s="325"/>
      <c r="S4" s="325">
        <v>48.841999999999999</v>
      </c>
    </row>
    <row r="5" spans="1:19">
      <c r="A5" s="154" t="s">
        <v>7756</v>
      </c>
      <c r="B5" t="s">
        <v>8287</v>
      </c>
      <c r="C5">
        <v>47.948999999999998</v>
      </c>
      <c r="M5" t="s">
        <v>7757</v>
      </c>
      <c r="O5" s="399" t="s">
        <v>7757</v>
      </c>
      <c r="P5" s="325">
        <v>50.753</v>
      </c>
      <c r="Q5" s="325">
        <v>48.194000000000003</v>
      </c>
      <c r="R5" s="325"/>
      <c r="S5" s="325">
        <v>49.9</v>
      </c>
    </row>
    <row r="6" spans="1:19">
      <c r="A6" s="154" t="s">
        <v>7757</v>
      </c>
      <c r="B6" t="s">
        <v>8287</v>
      </c>
      <c r="C6">
        <v>52.177</v>
      </c>
      <c r="M6" t="s">
        <v>7760</v>
      </c>
      <c r="O6" s="399" t="s">
        <v>7760</v>
      </c>
      <c r="P6" s="325">
        <v>48.665500000000002</v>
      </c>
      <c r="Q6" s="325">
        <v>44.718999999999994</v>
      </c>
      <c r="R6" s="325"/>
      <c r="S6" s="325">
        <v>46.692250000000001</v>
      </c>
    </row>
    <row r="7" spans="1:19">
      <c r="A7" s="154" t="s">
        <v>7757</v>
      </c>
      <c r="B7" t="s">
        <v>8287</v>
      </c>
      <c r="C7">
        <v>49.329000000000001</v>
      </c>
      <c r="M7" t="s">
        <v>7761</v>
      </c>
      <c r="O7" s="399" t="s">
        <v>7761</v>
      </c>
      <c r="P7" s="325">
        <v>52.1295</v>
      </c>
      <c r="Q7" s="325">
        <v>48.314999999999998</v>
      </c>
      <c r="R7" s="325"/>
      <c r="S7" s="325">
        <v>50.222250000000003</v>
      </c>
    </row>
    <row r="8" spans="1:19">
      <c r="A8" s="327" t="s">
        <v>7760</v>
      </c>
      <c r="B8" s="328" t="s">
        <v>8287</v>
      </c>
      <c r="C8" s="328">
        <v>49.694000000000003</v>
      </c>
      <c r="M8" t="s">
        <v>7606</v>
      </c>
      <c r="O8" s="399" t="s">
        <v>7606</v>
      </c>
      <c r="P8" s="325">
        <v>47.814499999999995</v>
      </c>
      <c r="Q8" s="325">
        <v>43.593500000000006</v>
      </c>
      <c r="R8" s="325"/>
      <c r="S8" s="325">
        <v>45.704000000000001</v>
      </c>
    </row>
    <row r="9" spans="1:19">
      <c r="A9" s="154" t="s">
        <v>7760</v>
      </c>
      <c r="B9" t="s">
        <v>8287</v>
      </c>
      <c r="C9">
        <v>47.637</v>
      </c>
      <c r="M9" t="s">
        <v>7607</v>
      </c>
      <c r="O9" s="399" t="s">
        <v>7607</v>
      </c>
      <c r="P9" s="325">
        <v>50.013500000000001</v>
      </c>
      <c r="Q9" s="325">
        <v>45.227000000000004</v>
      </c>
      <c r="R9" s="325"/>
      <c r="S9" s="325">
        <v>47.620249999999999</v>
      </c>
    </row>
    <row r="10" spans="1:19">
      <c r="A10" s="154" t="s">
        <v>7761</v>
      </c>
      <c r="B10" t="s">
        <v>8287</v>
      </c>
      <c r="C10">
        <v>53.145000000000003</v>
      </c>
      <c r="M10" t="s">
        <v>7608</v>
      </c>
      <c r="O10" s="399" t="s">
        <v>7608</v>
      </c>
      <c r="P10" s="325">
        <v>50.061500000000002</v>
      </c>
      <c r="Q10" s="325">
        <v>46.915500000000002</v>
      </c>
      <c r="R10" s="325"/>
      <c r="S10" s="325">
        <v>48.488500000000002</v>
      </c>
    </row>
    <row r="11" spans="1:19">
      <c r="A11" s="154" t="s">
        <v>7761</v>
      </c>
      <c r="B11" t="s">
        <v>8287</v>
      </c>
      <c r="C11">
        <v>51.113999999999997</v>
      </c>
      <c r="M11" t="s">
        <v>7610</v>
      </c>
      <c r="O11" s="399" t="s">
        <v>7610</v>
      </c>
      <c r="P11" s="325">
        <v>48.839500000000001</v>
      </c>
      <c r="Q11" s="325">
        <v>48.403500000000001</v>
      </c>
      <c r="R11" s="325"/>
      <c r="S11" s="325">
        <v>48.621499999999997</v>
      </c>
    </row>
    <row r="12" spans="1:19">
      <c r="A12" s="154" t="s">
        <v>7606</v>
      </c>
      <c r="B12" t="s">
        <v>8287</v>
      </c>
      <c r="C12">
        <v>48.408999999999999</v>
      </c>
      <c r="M12" t="s">
        <v>7614</v>
      </c>
      <c r="O12" s="399" t="s">
        <v>7614</v>
      </c>
      <c r="P12" s="325">
        <v>47.372</v>
      </c>
      <c r="Q12" s="325">
        <v>45.35</v>
      </c>
      <c r="R12" s="325"/>
      <c r="S12" s="325">
        <v>46.361000000000004</v>
      </c>
    </row>
    <row r="13" spans="1:19">
      <c r="A13" s="154" t="s">
        <v>7606</v>
      </c>
      <c r="B13" t="s">
        <v>8287</v>
      </c>
      <c r="C13">
        <v>47.22</v>
      </c>
      <c r="M13" t="s">
        <v>7615</v>
      </c>
      <c r="O13" s="399" t="s">
        <v>7615</v>
      </c>
      <c r="P13" s="325">
        <v>50.7605</v>
      </c>
      <c r="Q13" s="325">
        <v>49.072000000000003</v>
      </c>
      <c r="R13" s="325"/>
      <c r="S13" s="325">
        <v>49.916249999999998</v>
      </c>
    </row>
    <row r="14" spans="1:19">
      <c r="A14" s="327" t="s">
        <v>7607</v>
      </c>
      <c r="B14" s="328" t="s">
        <v>8287</v>
      </c>
      <c r="C14" s="328">
        <v>49.945</v>
      </c>
      <c r="M14" t="s">
        <v>7616</v>
      </c>
      <c r="O14" s="399" t="s">
        <v>7616</v>
      </c>
      <c r="P14" s="325">
        <v>51.503500000000003</v>
      </c>
      <c r="Q14" s="325">
        <v>50.412999999999997</v>
      </c>
      <c r="R14" s="325"/>
      <c r="S14" s="325">
        <v>50.95825</v>
      </c>
    </row>
    <row r="15" spans="1:19">
      <c r="A15" s="154" t="s">
        <v>7607</v>
      </c>
      <c r="B15" t="s">
        <v>8287</v>
      </c>
      <c r="C15">
        <v>50.082000000000001</v>
      </c>
      <c r="M15" t="s">
        <v>7618</v>
      </c>
      <c r="O15" s="399" t="s">
        <v>7618</v>
      </c>
      <c r="P15" s="325">
        <v>50.396999999999998</v>
      </c>
      <c r="Q15" s="325">
        <v>45.854500000000002</v>
      </c>
      <c r="R15" s="325"/>
      <c r="S15" s="325">
        <v>48.125749999999996</v>
      </c>
    </row>
    <row r="16" spans="1:19">
      <c r="A16" s="154" t="s">
        <v>7608</v>
      </c>
      <c r="B16" t="s">
        <v>8287</v>
      </c>
      <c r="C16">
        <v>49.484000000000002</v>
      </c>
      <c r="M16" t="s">
        <v>7619</v>
      </c>
      <c r="O16" s="399" t="s">
        <v>7619</v>
      </c>
      <c r="P16" s="325">
        <v>49.070999999999998</v>
      </c>
      <c r="Q16" s="325">
        <v>48.079499999999996</v>
      </c>
      <c r="R16" s="325"/>
      <c r="S16" s="325">
        <v>48.575249999999997</v>
      </c>
    </row>
    <row r="17" spans="1:19">
      <c r="A17" s="154" t="s">
        <v>7608</v>
      </c>
      <c r="B17" t="s">
        <v>8287</v>
      </c>
      <c r="C17">
        <v>50.639000000000003</v>
      </c>
      <c r="M17" t="s">
        <v>7620</v>
      </c>
      <c r="O17" s="399" t="s">
        <v>7620</v>
      </c>
      <c r="P17" s="325">
        <v>49.382000000000005</v>
      </c>
      <c r="Q17" s="325">
        <v>48.442499999999995</v>
      </c>
      <c r="R17" s="325"/>
      <c r="S17" s="325">
        <v>48.912250000000007</v>
      </c>
    </row>
    <row r="18" spans="1:19">
      <c r="A18" s="327" t="s">
        <v>7610</v>
      </c>
      <c r="B18" s="328" t="s">
        <v>8287</v>
      </c>
      <c r="C18" s="328">
        <v>50.723999999999997</v>
      </c>
      <c r="M18" t="s">
        <v>7621</v>
      </c>
      <c r="O18" s="399" t="s">
        <v>7621</v>
      </c>
      <c r="P18" s="325">
        <v>46.210999999999999</v>
      </c>
      <c r="Q18" s="325">
        <v>45.375</v>
      </c>
      <c r="R18" s="325"/>
      <c r="S18" s="325">
        <v>45.792999999999999</v>
      </c>
    </row>
    <row r="19" spans="1:19">
      <c r="A19" s="154" t="s">
        <v>7610</v>
      </c>
      <c r="B19" t="s">
        <v>8287</v>
      </c>
      <c r="C19">
        <v>46.954999999999998</v>
      </c>
      <c r="M19" t="s">
        <v>7622</v>
      </c>
      <c r="O19" s="399" t="s">
        <v>7622</v>
      </c>
      <c r="P19" s="325">
        <v>50.966499999999996</v>
      </c>
      <c r="Q19" s="325">
        <v>49.82</v>
      </c>
      <c r="R19" s="325"/>
      <c r="S19" s="325">
        <v>50.393249999999995</v>
      </c>
    </row>
    <row r="20" spans="1:19">
      <c r="A20" s="154" t="s">
        <v>7614</v>
      </c>
      <c r="B20" t="s">
        <v>8287</v>
      </c>
      <c r="C20">
        <v>47.506999999999998</v>
      </c>
      <c r="M20" t="s">
        <v>7623</v>
      </c>
      <c r="O20" s="399" t="s">
        <v>7623</v>
      </c>
      <c r="P20" s="325">
        <v>51.501000000000005</v>
      </c>
      <c r="Q20" s="325">
        <v>48.522999999999996</v>
      </c>
      <c r="R20" s="325"/>
      <c r="S20" s="325">
        <v>50.012</v>
      </c>
    </row>
    <row r="21" spans="1:19">
      <c r="A21" s="154" t="s">
        <v>7614</v>
      </c>
      <c r="B21" t="s">
        <v>8287</v>
      </c>
      <c r="C21">
        <v>47.237000000000002</v>
      </c>
      <c r="M21" t="s">
        <v>7624</v>
      </c>
      <c r="O21" s="399" t="s">
        <v>7624</v>
      </c>
      <c r="P21" s="325">
        <v>49.537500000000001</v>
      </c>
      <c r="Q21" s="325">
        <v>47.307000000000002</v>
      </c>
      <c r="R21" s="325"/>
      <c r="S21" s="325">
        <v>48.422249999999998</v>
      </c>
    </row>
    <row r="22" spans="1:19">
      <c r="A22" s="154" t="s">
        <v>7615</v>
      </c>
      <c r="B22" t="s">
        <v>8287</v>
      </c>
      <c r="C22">
        <v>50.685000000000002</v>
      </c>
      <c r="M22" t="s">
        <v>7627</v>
      </c>
      <c r="O22" s="399" t="s">
        <v>7627</v>
      </c>
      <c r="P22" s="325">
        <v>48.573</v>
      </c>
      <c r="Q22" s="325">
        <v>46.386499999999998</v>
      </c>
      <c r="R22" s="325"/>
      <c r="S22" s="325">
        <v>47.479749999999996</v>
      </c>
    </row>
    <row r="23" spans="1:19">
      <c r="A23" s="154" t="s">
        <v>7615</v>
      </c>
      <c r="B23" t="s">
        <v>8287</v>
      </c>
      <c r="C23">
        <v>50.835999999999999</v>
      </c>
      <c r="M23" t="s">
        <v>7629</v>
      </c>
      <c r="O23" s="399" t="s">
        <v>7629</v>
      </c>
      <c r="P23" s="325">
        <v>50.655500000000004</v>
      </c>
      <c r="Q23" s="325">
        <v>46.870999999999995</v>
      </c>
      <c r="R23" s="325"/>
      <c r="S23" s="325">
        <v>48.763249999999999</v>
      </c>
    </row>
    <row r="24" spans="1:19">
      <c r="A24" s="154" t="s">
        <v>7616</v>
      </c>
      <c r="B24" t="s">
        <v>8287</v>
      </c>
      <c r="C24">
        <v>52.357999999999997</v>
      </c>
      <c r="M24" t="s">
        <v>7634</v>
      </c>
      <c r="O24" s="399" t="s">
        <v>7634</v>
      </c>
      <c r="P24" s="325">
        <v>49.081000000000003</v>
      </c>
      <c r="Q24" s="325">
        <v>48.186499999999995</v>
      </c>
      <c r="R24" s="325"/>
      <c r="S24" s="325">
        <v>48.633750000000006</v>
      </c>
    </row>
    <row r="25" spans="1:19">
      <c r="A25" s="154" t="s">
        <v>7616</v>
      </c>
      <c r="B25" t="s">
        <v>8287</v>
      </c>
      <c r="C25">
        <v>50.649000000000001</v>
      </c>
      <c r="M25" t="s">
        <v>7635</v>
      </c>
      <c r="O25" s="399" t="s">
        <v>7635</v>
      </c>
      <c r="P25" s="325">
        <v>50.207000000000001</v>
      </c>
      <c r="Q25" s="325">
        <v>48.1755</v>
      </c>
      <c r="R25" s="325"/>
      <c r="S25" s="325">
        <v>49.191249999999997</v>
      </c>
    </row>
    <row r="26" spans="1:19">
      <c r="A26" s="154" t="s">
        <v>7618</v>
      </c>
      <c r="B26" t="s">
        <v>8287</v>
      </c>
      <c r="C26">
        <v>51.189</v>
      </c>
      <c r="M26" t="s">
        <v>7636</v>
      </c>
      <c r="O26" s="399" t="s">
        <v>7636</v>
      </c>
      <c r="P26" s="325">
        <v>53.856999999999999</v>
      </c>
      <c r="Q26" s="325">
        <v>49.1355</v>
      </c>
      <c r="R26" s="325"/>
      <c r="S26" s="325">
        <v>51.496249999999996</v>
      </c>
    </row>
    <row r="27" spans="1:19">
      <c r="A27" s="154" t="s">
        <v>7618</v>
      </c>
      <c r="B27" t="s">
        <v>8287</v>
      </c>
      <c r="C27">
        <v>49.604999999999997</v>
      </c>
      <c r="M27" t="s">
        <v>7638</v>
      </c>
      <c r="O27" s="399" t="s">
        <v>7638</v>
      </c>
      <c r="P27" s="325">
        <v>48.663499999999999</v>
      </c>
      <c r="Q27" s="325">
        <v>43.414000000000001</v>
      </c>
      <c r="R27" s="325"/>
      <c r="S27" s="325">
        <v>46.03875</v>
      </c>
    </row>
    <row r="28" spans="1:19">
      <c r="A28" s="327" t="s">
        <v>7619</v>
      </c>
      <c r="B28" s="328" t="s">
        <v>8287</v>
      </c>
      <c r="C28" s="328">
        <v>50.040999999999997</v>
      </c>
      <c r="M28" t="s">
        <v>7640</v>
      </c>
      <c r="O28" s="399" t="s">
        <v>7640</v>
      </c>
      <c r="P28" s="325">
        <v>47.100499999999997</v>
      </c>
      <c r="Q28" s="325">
        <v>46.352499999999999</v>
      </c>
      <c r="R28" s="325"/>
      <c r="S28" s="325">
        <v>46.726500000000001</v>
      </c>
    </row>
    <row r="29" spans="1:19">
      <c r="A29" s="154" t="s">
        <v>7619</v>
      </c>
      <c r="B29" t="s">
        <v>8287</v>
      </c>
      <c r="C29">
        <v>48.100999999999999</v>
      </c>
      <c r="M29" t="s">
        <v>7642</v>
      </c>
      <c r="O29" s="399" t="s">
        <v>7642</v>
      </c>
      <c r="P29" s="325">
        <v>49.0505</v>
      </c>
      <c r="Q29" s="325">
        <v>47.718999999999994</v>
      </c>
      <c r="R29" s="325"/>
      <c r="S29" s="325">
        <v>48.384749999999997</v>
      </c>
    </row>
    <row r="30" spans="1:19">
      <c r="A30" s="154" t="s">
        <v>7620</v>
      </c>
      <c r="B30" t="s">
        <v>8287</v>
      </c>
      <c r="C30">
        <v>50.005000000000003</v>
      </c>
      <c r="M30" t="s">
        <v>7643</v>
      </c>
      <c r="O30" s="399" t="s">
        <v>7643</v>
      </c>
      <c r="P30" s="325">
        <v>47.713499999999996</v>
      </c>
      <c r="Q30" s="325">
        <v>47.025499999999994</v>
      </c>
      <c r="R30" s="325"/>
      <c r="S30" s="325">
        <v>47.369499999999995</v>
      </c>
    </row>
    <row r="31" spans="1:19">
      <c r="A31" s="154" t="s">
        <v>7620</v>
      </c>
      <c r="B31" t="s">
        <v>8287</v>
      </c>
      <c r="C31">
        <v>48.759</v>
      </c>
      <c r="M31" t="s">
        <v>7644</v>
      </c>
      <c r="O31" s="399" t="s">
        <v>7644</v>
      </c>
      <c r="P31" s="325">
        <v>47.581500000000005</v>
      </c>
      <c r="Q31" s="325">
        <v>43.823499999999996</v>
      </c>
      <c r="R31" s="325"/>
      <c r="S31" s="325">
        <v>45.702500000000001</v>
      </c>
    </row>
    <row r="32" spans="1:19">
      <c r="A32" s="154" t="s">
        <v>7621</v>
      </c>
      <c r="B32" t="s">
        <v>8287</v>
      </c>
      <c r="C32">
        <v>46.37</v>
      </c>
      <c r="M32" t="s">
        <v>7649</v>
      </c>
      <c r="O32" s="399" t="s">
        <v>7649</v>
      </c>
      <c r="P32" s="325">
        <v>47.490499999999997</v>
      </c>
      <c r="Q32" s="325">
        <v>43.634500000000003</v>
      </c>
      <c r="R32" s="325"/>
      <c r="S32" s="325">
        <v>45.5625</v>
      </c>
    </row>
    <row r="33" spans="1:19">
      <c r="A33" s="154" t="s">
        <v>7621</v>
      </c>
      <c r="B33" t="s">
        <v>8287</v>
      </c>
      <c r="C33">
        <v>46.052</v>
      </c>
      <c r="M33" t="s">
        <v>7650</v>
      </c>
      <c r="O33" s="399" t="s">
        <v>7650</v>
      </c>
      <c r="P33" s="325">
        <v>48.332000000000001</v>
      </c>
      <c r="Q33" s="325">
        <v>44.694500000000005</v>
      </c>
      <c r="R33" s="325"/>
      <c r="S33" s="325">
        <v>46.513250000000006</v>
      </c>
    </row>
    <row r="34" spans="1:19">
      <c r="A34" s="154" t="s">
        <v>7622</v>
      </c>
      <c r="B34" t="s">
        <v>8287</v>
      </c>
      <c r="C34">
        <v>50.773000000000003</v>
      </c>
      <c r="M34" t="s">
        <v>7651</v>
      </c>
      <c r="O34" s="399" t="s">
        <v>7651</v>
      </c>
      <c r="P34" s="325">
        <v>46.552499999999995</v>
      </c>
      <c r="Q34" s="325">
        <v>44.116999999999997</v>
      </c>
      <c r="R34" s="325"/>
      <c r="S34" s="325">
        <v>45.740666666666662</v>
      </c>
    </row>
    <row r="35" spans="1:19">
      <c r="A35" s="154" t="s">
        <v>7622</v>
      </c>
      <c r="B35" t="s">
        <v>8287</v>
      </c>
      <c r="C35">
        <v>51.16</v>
      </c>
      <c r="M35" t="s">
        <v>7652</v>
      </c>
      <c r="O35" s="399" t="s">
        <v>7652</v>
      </c>
      <c r="P35" s="325">
        <v>51.153500000000001</v>
      </c>
      <c r="Q35" s="325">
        <v>48.509</v>
      </c>
      <c r="R35" s="325"/>
      <c r="S35" s="325">
        <v>49.831249999999997</v>
      </c>
    </row>
    <row r="36" spans="1:19">
      <c r="A36" s="154" t="s">
        <v>7623</v>
      </c>
      <c r="B36" t="s">
        <v>8287</v>
      </c>
      <c r="C36">
        <v>51.682000000000002</v>
      </c>
      <c r="M36" t="s">
        <v>7653</v>
      </c>
      <c r="O36" s="399" t="s">
        <v>7653</v>
      </c>
      <c r="P36" s="325">
        <v>50.712999999999994</v>
      </c>
      <c r="Q36" s="325">
        <v>46.31</v>
      </c>
      <c r="R36" s="325"/>
      <c r="S36" s="325">
        <v>48.511499999999998</v>
      </c>
    </row>
    <row r="37" spans="1:19">
      <c r="A37" s="154" t="s">
        <v>7623</v>
      </c>
      <c r="B37" t="s">
        <v>8287</v>
      </c>
      <c r="C37">
        <v>51.32</v>
      </c>
      <c r="M37" t="s">
        <v>7654</v>
      </c>
      <c r="O37" s="399" t="s">
        <v>7654</v>
      </c>
      <c r="P37" s="325">
        <v>47.214500000000001</v>
      </c>
      <c r="Q37" s="325">
        <v>43.052999999999997</v>
      </c>
      <c r="R37" s="325"/>
      <c r="S37" s="325">
        <v>45.133749999999999</v>
      </c>
    </row>
    <row r="38" spans="1:19">
      <c r="A38" s="154" t="s">
        <v>7624</v>
      </c>
      <c r="B38" t="s">
        <v>8287</v>
      </c>
      <c r="C38">
        <v>49.889000000000003</v>
      </c>
      <c r="M38" t="s">
        <v>7656</v>
      </c>
      <c r="O38" s="399" t="s">
        <v>7656</v>
      </c>
      <c r="P38" s="325">
        <v>50.326500000000003</v>
      </c>
      <c r="Q38" s="325">
        <v>48.185499999999998</v>
      </c>
      <c r="R38" s="325"/>
      <c r="S38" s="325">
        <v>49.256</v>
      </c>
    </row>
    <row r="39" spans="1:19">
      <c r="A39" s="154" t="s">
        <v>7624</v>
      </c>
      <c r="B39" t="s">
        <v>8287</v>
      </c>
      <c r="C39">
        <v>49.186</v>
      </c>
      <c r="M39" t="s">
        <v>7659</v>
      </c>
      <c r="O39" s="399" t="s">
        <v>7659</v>
      </c>
      <c r="P39" s="325">
        <v>50.670500000000004</v>
      </c>
      <c r="Q39" s="325">
        <v>47.980499999999999</v>
      </c>
      <c r="R39" s="325"/>
      <c r="S39" s="325">
        <v>49.325499999999998</v>
      </c>
    </row>
    <row r="40" spans="1:19">
      <c r="A40" s="327" t="s">
        <v>7627</v>
      </c>
      <c r="B40" s="328" t="s">
        <v>8287</v>
      </c>
      <c r="C40" s="328">
        <v>48.127000000000002</v>
      </c>
      <c r="M40" t="s">
        <v>7661</v>
      </c>
      <c r="O40" s="399" t="s">
        <v>7661</v>
      </c>
      <c r="P40" s="325">
        <v>50.9435</v>
      </c>
      <c r="Q40" s="325">
        <v>45.882000000000005</v>
      </c>
      <c r="R40" s="325"/>
      <c r="S40" s="325">
        <v>48.412750000000003</v>
      </c>
    </row>
    <row r="41" spans="1:19">
      <c r="A41" s="154" t="s">
        <v>7627</v>
      </c>
      <c r="B41" t="s">
        <v>8287</v>
      </c>
      <c r="C41">
        <v>49.018999999999998</v>
      </c>
      <c r="M41" t="s">
        <v>7662</v>
      </c>
      <c r="O41" s="399" t="s">
        <v>7662</v>
      </c>
      <c r="P41" s="325">
        <v>50.009500000000003</v>
      </c>
      <c r="Q41" s="325">
        <v>47.3825</v>
      </c>
      <c r="R41" s="325"/>
      <c r="S41" s="325">
        <v>48.695999999999998</v>
      </c>
    </row>
    <row r="42" spans="1:19">
      <c r="A42" s="154" t="s">
        <v>7629</v>
      </c>
      <c r="B42" t="s">
        <v>8287</v>
      </c>
      <c r="C42">
        <v>50.908999999999999</v>
      </c>
      <c r="M42" t="s">
        <v>7666</v>
      </c>
      <c r="O42" s="399" t="s">
        <v>7666</v>
      </c>
      <c r="P42" s="325">
        <v>52.464500000000001</v>
      </c>
      <c r="Q42" s="325">
        <v>48.453499999999998</v>
      </c>
      <c r="R42" s="325"/>
      <c r="S42" s="325">
        <v>50.458999999999996</v>
      </c>
    </row>
    <row r="43" spans="1:19">
      <c r="A43" s="154" t="s">
        <v>7629</v>
      </c>
      <c r="B43" t="s">
        <v>8287</v>
      </c>
      <c r="C43">
        <v>50.402000000000001</v>
      </c>
      <c r="M43" t="s">
        <v>7667</v>
      </c>
      <c r="O43" s="399" t="s">
        <v>7667</v>
      </c>
      <c r="P43" s="325">
        <v>48.198999999999998</v>
      </c>
      <c r="Q43" s="325">
        <v>44.850499999999997</v>
      </c>
      <c r="R43" s="325"/>
      <c r="S43" s="325">
        <v>46.524749999999997</v>
      </c>
    </row>
    <row r="44" spans="1:19">
      <c r="A44" s="154" t="s">
        <v>7634</v>
      </c>
      <c r="B44" t="s">
        <v>8287</v>
      </c>
      <c r="C44">
        <v>49.457000000000001</v>
      </c>
      <c r="M44" t="s">
        <v>7668</v>
      </c>
      <c r="O44" s="399" t="s">
        <v>7668</v>
      </c>
      <c r="P44" s="325">
        <v>47.58</v>
      </c>
      <c r="Q44" s="325">
        <v>49.135000000000005</v>
      </c>
      <c r="R44" s="325"/>
      <c r="S44" s="325">
        <v>48.357500000000002</v>
      </c>
    </row>
    <row r="45" spans="1:19">
      <c r="A45" s="154" t="s">
        <v>7634</v>
      </c>
      <c r="B45" t="s">
        <v>8287</v>
      </c>
      <c r="C45">
        <v>48.704999999999998</v>
      </c>
      <c r="M45" t="s">
        <v>7669</v>
      </c>
      <c r="O45" s="399" t="s">
        <v>7669</v>
      </c>
      <c r="P45" s="325">
        <v>50.982500000000002</v>
      </c>
      <c r="Q45" s="325">
        <v>48.044499999999999</v>
      </c>
      <c r="R45" s="325"/>
      <c r="S45" s="325">
        <v>49.513500000000008</v>
      </c>
    </row>
    <row r="46" spans="1:19">
      <c r="A46" s="327" t="s">
        <v>7635</v>
      </c>
      <c r="B46" s="328" t="s">
        <v>8287</v>
      </c>
      <c r="C46" s="328">
        <v>52.158999999999999</v>
      </c>
      <c r="M46" t="s">
        <v>7674</v>
      </c>
      <c r="O46" s="399" t="s">
        <v>7674</v>
      </c>
      <c r="P46" s="325">
        <v>51.1965</v>
      </c>
      <c r="Q46" s="325">
        <v>48.209000000000003</v>
      </c>
      <c r="R46" s="325"/>
      <c r="S46" s="325">
        <v>49.702749999999995</v>
      </c>
    </row>
    <row r="47" spans="1:19">
      <c r="A47" s="154" t="s">
        <v>7635</v>
      </c>
      <c r="B47" t="s">
        <v>8287</v>
      </c>
      <c r="C47">
        <v>48.255000000000003</v>
      </c>
      <c r="M47" t="s">
        <v>7676</v>
      </c>
      <c r="O47" s="399" t="s">
        <v>7676</v>
      </c>
      <c r="P47" s="325">
        <v>49.007000000000005</v>
      </c>
      <c r="Q47" s="325">
        <v>44.4345</v>
      </c>
      <c r="R47" s="325"/>
      <c r="S47" s="325">
        <v>46.720750000000002</v>
      </c>
    </row>
    <row r="48" spans="1:19">
      <c r="A48" s="154" t="s">
        <v>7636</v>
      </c>
      <c r="B48" t="s">
        <v>8287</v>
      </c>
      <c r="C48">
        <v>52.402999999999999</v>
      </c>
      <c r="M48" t="s">
        <v>7680</v>
      </c>
      <c r="O48" s="399" t="s">
        <v>7680</v>
      </c>
      <c r="P48" s="325">
        <v>48.323</v>
      </c>
      <c r="Q48" s="325">
        <v>49.405999999999999</v>
      </c>
      <c r="R48" s="325"/>
      <c r="S48" s="325">
        <v>48.864499999999992</v>
      </c>
    </row>
    <row r="49" spans="1:19">
      <c r="A49" s="154" t="s">
        <v>7636</v>
      </c>
      <c r="B49" t="s">
        <v>8287</v>
      </c>
      <c r="C49">
        <v>55.311</v>
      </c>
      <c r="M49" t="s">
        <v>7682</v>
      </c>
      <c r="O49" s="399" t="s">
        <v>7682</v>
      </c>
      <c r="P49" s="325">
        <v>50.6355</v>
      </c>
      <c r="Q49" s="325">
        <v>46.311</v>
      </c>
      <c r="R49" s="325"/>
      <c r="S49" s="325">
        <v>48.47325</v>
      </c>
    </row>
    <row r="50" spans="1:19">
      <c r="A50" s="327" t="s">
        <v>7638</v>
      </c>
      <c r="B50" s="328" t="s">
        <v>8287</v>
      </c>
      <c r="C50" s="328">
        <v>48.579000000000001</v>
      </c>
      <c r="M50" t="s">
        <v>7683</v>
      </c>
      <c r="O50" s="399" t="s">
        <v>7683</v>
      </c>
      <c r="P50" s="325">
        <v>52.375500000000002</v>
      </c>
      <c r="Q50" s="325">
        <v>46.474999999999994</v>
      </c>
      <c r="R50" s="325"/>
      <c r="S50" s="325">
        <v>49.425249999999998</v>
      </c>
    </row>
    <row r="51" spans="1:19">
      <c r="A51" s="154" t="s">
        <v>7638</v>
      </c>
      <c r="B51" t="s">
        <v>8287</v>
      </c>
      <c r="C51">
        <v>48.747999999999998</v>
      </c>
      <c r="M51" t="s">
        <v>7688</v>
      </c>
      <c r="O51" s="399" t="s">
        <v>7688</v>
      </c>
      <c r="P51" s="325">
        <v>48.289000000000001</v>
      </c>
      <c r="Q51" s="325">
        <v>43.9435</v>
      </c>
      <c r="R51" s="325"/>
      <c r="S51" s="325">
        <v>46.116250000000001</v>
      </c>
    </row>
    <row r="52" spans="1:19">
      <c r="A52" s="327" t="s">
        <v>7640</v>
      </c>
      <c r="B52" s="328" t="s">
        <v>8287</v>
      </c>
      <c r="C52" s="328">
        <v>47.664999999999999</v>
      </c>
      <c r="M52" t="s">
        <v>7690</v>
      </c>
      <c r="O52" s="399" t="s">
        <v>7690</v>
      </c>
      <c r="P52" s="325">
        <v>51.632499999999993</v>
      </c>
      <c r="Q52" s="325">
        <v>48.29</v>
      </c>
      <c r="R52" s="325"/>
      <c r="S52" s="325">
        <v>49.961249999999993</v>
      </c>
    </row>
    <row r="53" spans="1:19">
      <c r="A53" s="154" t="s">
        <v>7640</v>
      </c>
      <c r="B53" t="s">
        <v>8287</v>
      </c>
      <c r="C53">
        <v>46.536000000000001</v>
      </c>
      <c r="M53" t="s">
        <v>7695</v>
      </c>
      <c r="O53" s="399" t="s">
        <v>7695</v>
      </c>
      <c r="P53" s="325">
        <v>49.930999999999997</v>
      </c>
      <c r="Q53" s="325">
        <v>45.1355</v>
      </c>
      <c r="R53" s="325"/>
      <c r="S53" s="325">
        <v>47.533249999999995</v>
      </c>
    </row>
    <row r="54" spans="1:19">
      <c r="A54" s="154" t="s">
        <v>7642</v>
      </c>
      <c r="B54" t="s">
        <v>8287</v>
      </c>
      <c r="C54">
        <v>49.417000000000002</v>
      </c>
      <c r="M54" t="s">
        <v>7697</v>
      </c>
      <c r="O54" s="399" t="s">
        <v>7697</v>
      </c>
      <c r="P54" s="325">
        <v>52.778500000000001</v>
      </c>
      <c r="Q54" s="325">
        <v>48.889499999999998</v>
      </c>
      <c r="R54" s="325"/>
      <c r="S54" s="325">
        <v>50.834000000000003</v>
      </c>
    </row>
    <row r="55" spans="1:19">
      <c r="A55" s="154" t="s">
        <v>7642</v>
      </c>
      <c r="B55" t="s">
        <v>8287</v>
      </c>
      <c r="C55">
        <v>48.683999999999997</v>
      </c>
      <c r="M55" t="s">
        <v>7700</v>
      </c>
      <c r="O55" s="399" t="s">
        <v>7700</v>
      </c>
      <c r="P55" s="325">
        <v>50.183999999999997</v>
      </c>
      <c r="Q55" s="325">
        <v>47.64</v>
      </c>
      <c r="R55" s="325"/>
      <c r="S55" s="325">
        <v>48.911999999999999</v>
      </c>
    </row>
    <row r="56" spans="1:19">
      <c r="A56" s="327" t="s">
        <v>7643</v>
      </c>
      <c r="B56" s="328" t="s">
        <v>8287</v>
      </c>
      <c r="C56" s="328">
        <v>47.564</v>
      </c>
      <c r="M56" t="s">
        <v>7701</v>
      </c>
      <c r="O56" s="399" t="s">
        <v>7701</v>
      </c>
      <c r="P56" s="325">
        <v>51.244999999999997</v>
      </c>
      <c r="Q56" s="325">
        <v>45.886499999999998</v>
      </c>
      <c r="R56" s="325"/>
      <c r="S56" s="325">
        <v>48.565750000000001</v>
      </c>
    </row>
    <row r="57" spans="1:19">
      <c r="A57" s="154" t="s">
        <v>7643</v>
      </c>
      <c r="B57" t="s">
        <v>8287</v>
      </c>
      <c r="C57">
        <v>47.863</v>
      </c>
      <c r="M57" t="s">
        <v>7702</v>
      </c>
      <c r="O57" s="399" t="s">
        <v>7702</v>
      </c>
      <c r="P57" s="325">
        <v>50.4435</v>
      </c>
      <c r="Q57" s="325">
        <v>47.908000000000001</v>
      </c>
      <c r="R57" s="325"/>
      <c r="S57" s="325">
        <v>49.175750000000001</v>
      </c>
    </row>
    <row r="58" spans="1:19">
      <c r="A58" s="154" t="s">
        <v>7644</v>
      </c>
      <c r="B58" t="s">
        <v>8287</v>
      </c>
      <c r="C58">
        <v>46.972000000000001</v>
      </c>
      <c r="M58" t="s">
        <v>7705</v>
      </c>
      <c r="O58" s="399" t="s">
        <v>7705</v>
      </c>
      <c r="P58" s="325">
        <v>50.472499999999997</v>
      </c>
      <c r="Q58" s="325">
        <v>44.566499999999998</v>
      </c>
      <c r="R58" s="325"/>
      <c r="S58" s="325">
        <v>47.519499999999994</v>
      </c>
    </row>
    <row r="59" spans="1:19">
      <c r="A59" s="154" t="s">
        <v>7644</v>
      </c>
      <c r="B59" t="s">
        <v>8287</v>
      </c>
      <c r="C59">
        <v>48.191000000000003</v>
      </c>
      <c r="M59" t="s">
        <v>7707</v>
      </c>
      <c r="O59" s="399" t="s">
        <v>7707</v>
      </c>
      <c r="P59" s="325">
        <v>49.68</v>
      </c>
      <c r="Q59" s="325">
        <v>44.383499999999998</v>
      </c>
      <c r="R59" s="325"/>
      <c r="S59" s="325">
        <v>47.031750000000002</v>
      </c>
    </row>
    <row r="60" spans="1:19">
      <c r="A60" s="154" t="s">
        <v>7649</v>
      </c>
      <c r="B60" t="s">
        <v>8287</v>
      </c>
      <c r="C60">
        <v>47.866</v>
      </c>
      <c r="M60" t="s">
        <v>7708</v>
      </c>
      <c r="O60" s="399" t="s">
        <v>7708</v>
      </c>
      <c r="P60" s="325">
        <v>51.5715</v>
      </c>
      <c r="Q60" s="325">
        <v>46.042000000000002</v>
      </c>
      <c r="R60" s="325"/>
      <c r="S60" s="325">
        <v>48.806749999999994</v>
      </c>
    </row>
    <row r="61" spans="1:19">
      <c r="A61" s="154" t="s">
        <v>7649</v>
      </c>
      <c r="B61" t="s">
        <v>8287</v>
      </c>
      <c r="C61">
        <v>47.115000000000002</v>
      </c>
      <c r="M61" t="s">
        <v>7709</v>
      </c>
      <c r="O61" s="399" t="s">
        <v>7709</v>
      </c>
      <c r="P61" s="325">
        <v>51.584000000000003</v>
      </c>
      <c r="Q61" s="325">
        <v>46.278500000000001</v>
      </c>
      <c r="R61" s="325"/>
      <c r="S61" s="325">
        <v>48.931250000000006</v>
      </c>
    </row>
    <row r="62" spans="1:19">
      <c r="A62" s="154" t="s">
        <v>7650</v>
      </c>
      <c r="B62" t="s">
        <v>8287</v>
      </c>
      <c r="C62">
        <v>48.363</v>
      </c>
      <c r="M62" t="s">
        <v>7710</v>
      </c>
      <c r="O62" s="399" t="s">
        <v>7710</v>
      </c>
      <c r="P62" s="325">
        <v>49.8065</v>
      </c>
      <c r="Q62" s="325">
        <v>44.557500000000005</v>
      </c>
      <c r="R62" s="325"/>
      <c r="S62" s="325">
        <v>47.181999999999995</v>
      </c>
    </row>
    <row r="63" spans="1:19">
      <c r="A63" s="154" t="s">
        <v>7650</v>
      </c>
      <c r="B63" t="s">
        <v>8287</v>
      </c>
      <c r="C63">
        <v>48.301000000000002</v>
      </c>
      <c r="M63" t="s">
        <v>7712</v>
      </c>
      <c r="O63" s="399" t="s">
        <v>7712</v>
      </c>
      <c r="P63" s="325">
        <v>50.771999999999998</v>
      </c>
      <c r="Q63" s="325">
        <v>49.383000000000003</v>
      </c>
      <c r="R63" s="325"/>
      <c r="S63" s="325">
        <v>50.077500000000001</v>
      </c>
    </row>
    <row r="64" spans="1:19">
      <c r="A64" s="154" t="s">
        <v>7651</v>
      </c>
      <c r="B64" t="s">
        <v>8287</v>
      </c>
      <c r="C64">
        <v>46.311</v>
      </c>
      <c r="M64" t="s">
        <v>7713</v>
      </c>
      <c r="O64" s="399" t="s">
        <v>7713</v>
      </c>
      <c r="P64" s="325">
        <v>48.580500000000001</v>
      </c>
      <c r="Q64" s="325">
        <v>47.902500000000003</v>
      </c>
      <c r="R64" s="325"/>
      <c r="S64" s="325">
        <v>48.241500000000002</v>
      </c>
    </row>
    <row r="65" spans="1:19">
      <c r="A65" s="327" t="s">
        <v>7651</v>
      </c>
      <c r="B65" s="328" t="s">
        <v>8287</v>
      </c>
      <c r="C65" s="328">
        <v>46.793999999999997</v>
      </c>
      <c r="M65" t="s">
        <v>7714</v>
      </c>
      <c r="O65" s="399" t="s">
        <v>7714</v>
      </c>
      <c r="P65" s="325">
        <v>51.6935</v>
      </c>
      <c r="Q65" s="325">
        <v>48.314999999999998</v>
      </c>
      <c r="R65" s="325"/>
      <c r="S65" s="325">
        <v>50.004249999999999</v>
      </c>
    </row>
    <row r="66" spans="1:19">
      <c r="A66" s="154" t="s">
        <v>7652</v>
      </c>
      <c r="B66" t="s">
        <v>8287</v>
      </c>
      <c r="C66">
        <v>51.478999999999999</v>
      </c>
      <c r="M66" t="s">
        <v>7716</v>
      </c>
      <c r="O66" s="399" t="s">
        <v>7716</v>
      </c>
      <c r="P66" s="325">
        <v>51.826499999999996</v>
      </c>
      <c r="Q66" s="325">
        <v>48.767499999999998</v>
      </c>
      <c r="R66" s="325"/>
      <c r="S66" s="325">
        <v>50.296999999999997</v>
      </c>
    </row>
    <row r="67" spans="1:19">
      <c r="A67" s="154" t="s">
        <v>7652</v>
      </c>
      <c r="B67" t="s">
        <v>8287</v>
      </c>
      <c r="C67">
        <v>50.828000000000003</v>
      </c>
      <c r="M67" t="s">
        <v>7717</v>
      </c>
      <c r="O67" s="399" t="s">
        <v>7717</v>
      </c>
      <c r="P67" s="325">
        <v>46.588499999999996</v>
      </c>
      <c r="Q67" s="325">
        <v>46.994500000000002</v>
      </c>
      <c r="R67" s="325"/>
      <c r="S67" s="325">
        <v>46.791499999999999</v>
      </c>
    </row>
    <row r="68" spans="1:19">
      <c r="A68" s="327" t="s">
        <v>7653</v>
      </c>
      <c r="B68" s="328" t="s">
        <v>8287</v>
      </c>
      <c r="C68" s="328">
        <v>50.473999999999997</v>
      </c>
      <c r="M68" t="s">
        <v>7724</v>
      </c>
      <c r="O68" s="399" t="s">
        <v>7724</v>
      </c>
      <c r="P68" s="325">
        <v>49.802999999999997</v>
      </c>
      <c r="Q68" s="325">
        <v>46.394999999999996</v>
      </c>
      <c r="R68" s="325"/>
      <c r="S68" s="325">
        <v>48.098999999999997</v>
      </c>
    </row>
    <row r="69" spans="1:19">
      <c r="A69" s="154" t="s">
        <v>7653</v>
      </c>
      <c r="B69" t="s">
        <v>8287</v>
      </c>
      <c r="C69">
        <v>50.951999999999998</v>
      </c>
      <c r="M69" t="s">
        <v>7728</v>
      </c>
      <c r="O69" s="399" t="s">
        <v>7728</v>
      </c>
      <c r="P69" s="325">
        <v>53.124000000000002</v>
      </c>
      <c r="Q69" s="325">
        <v>48.751999999999995</v>
      </c>
      <c r="R69" s="325"/>
      <c r="S69" s="325">
        <v>50.938000000000002</v>
      </c>
    </row>
    <row r="70" spans="1:19">
      <c r="A70" s="154" t="s">
        <v>7654</v>
      </c>
      <c r="B70" t="s">
        <v>8287</v>
      </c>
      <c r="C70">
        <v>47.305</v>
      </c>
      <c r="M70" t="s">
        <v>7731</v>
      </c>
      <c r="O70" s="399" t="s">
        <v>7731</v>
      </c>
      <c r="P70" s="325">
        <v>51.945500000000003</v>
      </c>
      <c r="Q70" s="325">
        <v>47.887999999999998</v>
      </c>
      <c r="R70" s="325"/>
      <c r="S70" s="325">
        <v>49.91675</v>
      </c>
    </row>
    <row r="71" spans="1:19">
      <c r="A71" s="154" t="s">
        <v>7654</v>
      </c>
      <c r="B71" t="s">
        <v>8287</v>
      </c>
      <c r="C71">
        <v>47.124000000000002</v>
      </c>
      <c r="M71" t="s">
        <v>7732</v>
      </c>
      <c r="O71" s="399" t="s">
        <v>7732</v>
      </c>
      <c r="P71" s="325">
        <v>49.754999999999995</v>
      </c>
      <c r="Q71" s="325">
        <v>41.509500000000003</v>
      </c>
      <c r="R71" s="325"/>
      <c r="S71" s="325">
        <v>45.632249999999999</v>
      </c>
    </row>
    <row r="72" spans="1:19">
      <c r="A72" s="154" t="s">
        <v>7656</v>
      </c>
      <c r="B72" t="s">
        <v>8287</v>
      </c>
      <c r="C72">
        <v>50.904000000000003</v>
      </c>
    </row>
    <row r="73" spans="1:19">
      <c r="A73" s="154" t="s">
        <v>7656</v>
      </c>
      <c r="B73" t="s">
        <v>8287</v>
      </c>
      <c r="C73">
        <v>49.749000000000002</v>
      </c>
    </row>
    <row r="74" spans="1:19">
      <c r="A74" s="327" t="s">
        <v>7659</v>
      </c>
      <c r="B74" s="328" t="s">
        <v>8287</v>
      </c>
      <c r="C74" s="328">
        <v>50.786000000000001</v>
      </c>
    </row>
    <row r="75" spans="1:19">
      <c r="A75" s="154" t="s">
        <v>7659</v>
      </c>
      <c r="B75" t="s">
        <v>8287</v>
      </c>
      <c r="C75">
        <v>50.555</v>
      </c>
    </row>
    <row r="76" spans="1:19">
      <c r="A76" s="154" t="s">
        <v>7660</v>
      </c>
      <c r="B76" t="s">
        <v>8287</v>
      </c>
      <c r="C76">
        <v>50.292999999999999</v>
      </c>
    </row>
    <row r="77" spans="1:19">
      <c r="A77" s="154" t="s">
        <v>7660</v>
      </c>
      <c r="B77" t="s">
        <v>8287</v>
      </c>
      <c r="C77">
        <v>48.533999999999999</v>
      </c>
    </row>
    <row r="78" spans="1:19">
      <c r="A78" s="154" t="s">
        <v>7661</v>
      </c>
      <c r="B78" t="s">
        <v>8287</v>
      </c>
      <c r="C78">
        <v>50.853999999999999</v>
      </c>
    </row>
    <row r="79" spans="1:19">
      <c r="A79" s="154" t="s">
        <v>7661</v>
      </c>
      <c r="B79" t="s">
        <v>8287</v>
      </c>
      <c r="C79">
        <v>51.033000000000001</v>
      </c>
    </row>
    <row r="80" spans="1:19">
      <c r="A80" s="154" t="s">
        <v>7662</v>
      </c>
      <c r="B80" t="s">
        <v>8287</v>
      </c>
      <c r="C80">
        <v>51.15</v>
      </c>
    </row>
    <row r="81" spans="1:3">
      <c r="A81" s="154" t="s">
        <v>7662</v>
      </c>
      <c r="B81" t="s">
        <v>8287</v>
      </c>
      <c r="C81">
        <v>48.869</v>
      </c>
    </row>
    <row r="82" spans="1:3">
      <c r="A82" s="154" t="s">
        <v>7666</v>
      </c>
      <c r="B82" t="s">
        <v>8287</v>
      </c>
      <c r="C82">
        <v>52.750999999999998</v>
      </c>
    </row>
    <row r="83" spans="1:3">
      <c r="A83" s="154" t="s">
        <v>7666</v>
      </c>
      <c r="B83" t="s">
        <v>8287</v>
      </c>
      <c r="C83">
        <v>52.177999999999997</v>
      </c>
    </row>
    <row r="84" spans="1:3">
      <c r="A84" s="327" t="s">
        <v>7667</v>
      </c>
      <c r="B84" s="328" t="s">
        <v>8287</v>
      </c>
      <c r="C84" s="328">
        <v>48.517000000000003</v>
      </c>
    </row>
    <row r="85" spans="1:3">
      <c r="A85" s="154" t="s">
        <v>7667</v>
      </c>
      <c r="B85" t="s">
        <v>8287</v>
      </c>
      <c r="C85">
        <v>47.881</v>
      </c>
    </row>
    <row r="86" spans="1:3">
      <c r="A86" s="154" t="s">
        <v>7668</v>
      </c>
      <c r="B86" t="s">
        <v>8287</v>
      </c>
      <c r="C86">
        <v>48.777999999999999</v>
      </c>
    </row>
    <row r="87" spans="1:3">
      <c r="A87" s="154" t="s">
        <v>7668</v>
      </c>
      <c r="B87" t="s">
        <v>8287</v>
      </c>
      <c r="C87">
        <v>46.381999999999998</v>
      </c>
    </row>
    <row r="88" spans="1:3">
      <c r="A88" s="154" t="s">
        <v>7669</v>
      </c>
      <c r="B88" t="s">
        <v>8287</v>
      </c>
      <c r="C88">
        <v>50.960999999999999</v>
      </c>
    </row>
    <row r="89" spans="1:3">
      <c r="A89" s="154" t="s">
        <v>7669</v>
      </c>
      <c r="B89" t="s">
        <v>8287</v>
      </c>
      <c r="C89">
        <v>51.003999999999998</v>
      </c>
    </row>
    <row r="90" spans="1:3">
      <c r="A90" s="327" t="s">
        <v>7674</v>
      </c>
      <c r="B90" s="328" t="s">
        <v>8287</v>
      </c>
      <c r="C90" s="328">
        <v>51.220999999999997</v>
      </c>
    </row>
    <row r="91" spans="1:3">
      <c r="A91" s="154" t="s">
        <v>7674</v>
      </c>
      <c r="B91" t="s">
        <v>8287</v>
      </c>
      <c r="C91">
        <v>51.171999999999997</v>
      </c>
    </row>
    <row r="92" spans="1:3">
      <c r="A92" s="154" t="s">
        <v>7676</v>
      </c>
      <c r="B92" t="s">
        <v>8287</v>
      </c>
      <c r="C92">
        <v>49.768000000000001</v>
      </c>
    </row>
    <row r="93" spans="1:3">
      <c r="A93" s="154" t="s">
        <v>7676</v>
      </c>
      <c r="B93" t="s">
        <v>8287</v>
      </c>
      <c r="C93">
        <v>48.246000000000002</v>
      </c>
    </row>
    <row r="94" spans="1:3">
      <c r="A94" s="154" t="s">
        <v>7680</v>
      </c>
      <c r="B94" t="s">
        <v>8287</v>
      </c>
      <c r="C94">
        <v>48.404000000000003</v>
      </c>
    </row>
    <row r="95" spans="1:3">
      <c r="A95" s="154" t="s">
        <v>7680</v>
      </c>
      <c r="B95" t="s">
        <v>8287</v>
      </c>
      <c r="C95">
        <v>48.241999999999997</v>
      </c>
    </row>
    <row r="96" spans="1:3">
      <c r="A96" s="154" t="s">
        <v>7682</v>
      </c>
      <c r="B96" t="s">
        <v>8287</v>
      </c>
      <c r="C96">
        <v>50.777999999999999</v>
      </c>
    </row>
    <row r="97" spans="1:3">
      <c r="A97" s="154" t="s">
        <v>7682</v>
      </c>
      <c r="B97" t="s">
        <v>8287</v>
      </c>
      <c r="C97">
        <v>50.493000000000002</v>
      </c>
    </row>
    <row r="98" spans="1:3">
      <c r="A98" s="327" t="s">
        <v>7683</v>
      </c>
      <c r="B98" s="328" t="s">
        <v>8287</v>
      </c>
      <c r="C98" s="328">
        <v>52.65</v>
      </c>
    </row>
    <row r="99" spans="1:3">
      <c r="A99" s="154" t="s">
        <v>7683</v>
      </c>
      <c r="B99" t="s">
        <v>8287</v>
      </c>
      <c r="C99">
        <v>52.100999999999999</v>
      </c>
    </row>
    <row r="100" spans="1:3">
      <c r="A100" s="154" t="s">
        <v>7688</v>
      </c>
      <c r="B100" t="s">
        <v>8287</v>
      </c>
      <c r="C100">
        <v>47.210999999999999</v>
      </c>
    </row>
    <row r="101" spans="1:3">
      <c r="A101" s="154" t="s">
        <v>7688</v>
      </c>
      <c r="B101" t="s">
        <v>8287</v>
      </c>
      <c r="C101">
        <v>49.366999999999997</v>
      </c>
    </row>
    <row r="102" spans="1:3">
      <c r="A102" s="154" t="s">
        <v>7689</v>
      </c>
      <c r="B102" t="s">
        <v>8287</v>
      </c>
      <c r="C102">
        <v>49.957000000000001</v>
      </c>
    </row>
    <row r="103" spans="1:3">
      <c r="A103" s="154" t="s">
        <v>7689</v>
      </c>
      <c r="B103" t="s">
        <v>8287</v>
      </c>
      <c r="C103">
        <v>50.073</v>
      </c>
    </row>
    <row r="104" spans="1:3">
      <c r="A104" s="327" t="s">
        <v>7690</v>
      </c>
      <c r="B104" s="328" t="s">
        <v>8287</v>
      </c>
      <c r="C104" s="328">
        <v>53.223999999999997</v>
      </c>
    </row>
    <row r="105" spans="1:3">
      <c r="A105" s="154" t="s">
        <v>7690</v>
      </c>
      <c r="B105" t="s">
        <v>8287</v>
      </c>
      <c r="C105">
        <v>50.040999999999997</v>
      </c>
    </row>
    <row r="106" spans="1:3">
      <c r="A106" s="327" t="s">
        <v>7695</v>
      </c>
      <c r="B106" s="328" t="s">
        <v>8287</v>
      </c>
      <c r="C106" s="328">
        <v>51.192</v>
      </c>
    </row>
    <row r="107" spans="1:3">
      <c r="A107" s="154" t="s">
        <v>7695</v>
      </c>
      <c r="B107" t="s">
        <v>8287</v>
      </c>
      <c r="C107">
        <v>48.67</v>
      </c>
    </row>
    <row r="108" spans="1:3">
      <c r="A108" s="154" t="s">
        <v>7697</v>
      </c>
      <c r="B108" t="s">
        <v>8287</v>
      </c>
      <c r="C108">
        <v>52.465000000000003</v>
      </c>
    </row>
    <row r="109" spans="1:3">
      <c r="A109" s="154" t="s">
        <v>7697</v>
      </c>
      <c r="B109" t="s">
        <v>8287</v>
      </c>
      <c r="C109">
        <v>53.091999999999999</v>
      </c>
    </row>
    <row r="110" spans="1:3">
      <c r="A110" s="154" t="s">
        <v>7700</v>
      </c>
      <c r="B110" t="s">
        <v>8287</v>
      </c>
      <c r="C110">
        <v>49.091000000000001</v>
      </c>
    </row>
    <row r="111" spans="1:3">
      <c r="A111" s="154" t="s">
        <v>7700</v>
      </c>
      <c r="B111" t="s">
        <v>8287</v>
      </c>
      <c r="C111">
        <v>51.277000000000001</v>
      </c>
    </row>
    <row r="112" spans="1:3">
      <c r="A112" s="154" t="s">
        <v>7701</v>
      </c>
      <c r="B112" t="s">
        <v>8287</v>
      </c>
      <c r="C112">
        <v>50.488999999999997</v>
      </c>
    </row>
    <row r="113" spans="1:3">
      <c r="A113" s="154" t="s">
        <v>7701</v>
      </c>
      <c r="B113" t="s">
        <v>8287</v>
      </c>
      <c r="C113">
        <v>52.000999999999998</v>
      </c>
    </row>
    <row r="114" spans="1:3">
      <c r="A114" s="327" t="s">
        <v>7702</v>
      </c>
      <c r="B114" s="328" t="s">
        <v>8287</v>
      </c>
      <c r="C114" s="328">
        <v>50.277000000000001</v>
      </c>
    </row>
    <row r="115" spans="1:3">
      <c r="A115" s="154" t="s">
        <v>7702</v>
      </c>
      <c r="B115" t="s">
        <v>8287</v>
      </c>
      <c r="C115">
        <v>50.61</v>
      </c>
    </row>
    <row r="116" spans="1:3">
      <c r="A116" s="154" t="s">
        <v>7705</v>
      </c>
      <c r="B116" t="s">
        <v>8287</v>
      </c>
      <c r="C116">
        <v>50.308</v>
      </c>
    </row>
    <row r="117" spans="1:3">
      <c r="A117" s="154" t="s">
        <v>7705</v>
      </c>
      <c r="B117" t="s">
        <v>8287</v>
      </c>
      <c r="C117">
        <v>50.637</v>
      </c>
    </row>
    <row r="118" spans="1:3">
      <c r="A118" s="154" t="s">
        <v>7707</v>
      </c>
      <c r="B118" t="s">
        <v>8287</v>
      </c>
      <c r="C118">
        <v>50.183</v>
      </c>
    </row>
    <row r="119" spans="1:3">
      <c r="A119" s="154" t="s">
        <v>7707</v>
      </c>
      <c r="B119" t="s">
        <v>8287</v>
      </c>
      <c r="C119">
        <v>49.177</v>
      </c>
    </row>
    <row r="120" spans="1:3">
      <c r="A120" s="154" t="s">
        <v>7708</v>
      </c>
      <c r="B120" t="s">
        <v>8287</v>
      </c>
      <c r="C120">
        <v>51.213000000000001</v>
      </c>
    </row>
    <row r="121" spans="1:3">
      <c r="A121" s="154" t="s">
        <v>7708</v>
      </c>
      <c r="B121" t="s">
        <v>8287</v>
      </c>
      <c r="C121">
        <v>51.93</v>
      </c>
    </row>
    <row r="122" spans="1:3">
      <c r="A122" s="154" t="s">
        <v>7709</v>
      </c>
      <c r="B122" t="s">
        <v>8287</v>
      </c>
      <c r="C122">
        <v>50.619</v>
      </c>
    </row>
    <row r="123" spans="1:3">
      <c r="A123" s="154" t="s">
        <v>7709</v>
      </c>
      <c r="B123" t="s">
        <v>8287</v>
      </c>
      <c r="C123">
        <v>52.548999999999999</v>
      </c>
    </row>
    <row r="124" spans="1:3">
      <c r="A124" s="154" t="s">
        <v>7710</v>
      </c>
      <c r="B124" t="s">
        <v>8287</v>
      </c>
      <c r="C124">
        <v>49.027000000000001</v>
      </c>
    </row>
    <row r="125" spans="1:3">
      <c r="A125" s="154" t="s">
        <v>7710</v>
      </c>
      <c r="B125" t="s">
        <v>8287</v>
      </c>
      <c r="C125">
        <v>50.585999999999999</v>
      </c>
    </row>
    <row r="126" spans="1:3">
      <c r="A126" s="154" t="s">
        <v>7712</v>
      </c>
      <c r="B126" t="s">
        <v>8287</v>
      </c>
      <c r="C126">
        <v>52.192999999999998</v>
      </c>
    </row>
    <row r="127" spans="1:3">
      <c r="A127" s="154" t="s">
        <v>7712</v>
      </c>
      <c r="B127" t="s">
        <v>8287</v>
      </c>
      <c r="C127">
        <v>49.350999999999999</v>
      </c>
    </row>
    <row r="128" spans="1:3">
      <c r="A128" s="327" t="s">
        <v>7713</v>
      </c>
      <c r="B128" s="328" t="s">
        <v>8287</v>
      </c>
      <c r="C128" s="328">
        <v>51.648000000000003</v>
      </c>
    </row>
    <row r="129" spans="1:4">
      <c r="A129" s="327" t="s">
        <v>7713</v>
      </c>
      <c r="B129" s="328" t="s">
        <v>8287</v>
      </c>
      <c r="C129" s="328">
        <v>45.512999999999998</v>
      </c>
    </row>
    <row r="130" spans="1:4">
      <c r="A130" s="154" t="s">
        <v>7714</v>
      </c>
      <c r="B130" t="s">
        <v>8287</v>
      </c>
      <c r="C130">
        <v>51.142000000000003</v>
      </c>
    </row>
    <row r="131" spans="1:4">
      <c r="A131" s="154" t="s">
        <v>7714</v>
      </c>
      <c r="B131" t="s">
        <v>8287</v>
      </c>
      <c r="C131">
        <v>52.244999999999997</v>
      </c>
    </row>
    <row r="132" spans="1:4">
      <c r="A132" s="154" t="s">
        <v>7716</v>
      </c>
      <c r="B132" t="s">
        <v>8287</v>
      </c>
      <c r="C132">
        <v>51.540999999999997</v>
      </c>
    </row>
    <row r="133" spans="1:4">
      <c r="A133" s="154" t="s">
        <v>7716</v>
      </c>
      <c r="B133" t="s">
        <v>8287</v>
      </c>
      <c r="C133">
        <v>52.112000000000002</v>
      </c>
    </row>
    <row r="134" spans="1:4">
      <c r="A134" s="327" t="s">
        <v>7717</v>
      </c>
      <c r="B134" s="328" t="s">
        <v>8287</v>
      </c>
      <c r="C134" s="328">
        <v>44.655999999999999</v>
      </c>
    </row>
    <row r="135" spans="1:4">
      <c r="A135" s="154" t="s">
        <v>7717</v>
      </c>
      <c r="B135" t="s">
        <v>8287</v>
      </c>
      <c r="C135">
        <v>48.521000000000001</v>
      </c>
    </row>
    <row r="136" spans="1:4">
      <c r="A136" s="154" t="s">
        <v>7724</v>
      </c>
      <c r="B136" t="s">
        <v>8287</v>
      </c>
      <c r="C136">
        <v>49.987000000000002</v>
      </c>
    </row>
    <row r="137" spans="1:4">
      <c r="A137" s="154" t="s">
        <v>7724</v>
      </c>
      <c r="B137" t="s">
        <v>8287</v>
      </c>
      <c r="C137">
        <v>49.619</v>
      </c>
    </row>
    <row r="138" spans="1:4">
      <c r="A138" s="154" t="s">
        <v>7728</v>
      </c>
      <c r="B138" t="s">
        <v>8287</v>
      </c>
      <c r="C138">
        <v>52.252000000000002</v>
      </c>
    </row>
    <row r="139" spans="1:4">
      <c r="A139" s="154" t="s">
        <v>7728</v>
      </c>
      <c r="B139" t="s">
        <v>8287</v>
      </c>
      <c r="C139">
        <v>53.996000000000002</v>
      </c>
    </row>
    <row r="140" spans="1:4">
      <c r="A140" s="154" t="s">
        <v>7731</v>
      </c>
      <c r="B140" t="s">
        <v>8287</v>
      </c>
      <c r="C140">
        <v>50.999000000000002</v>
      </c>
    </row>
    <row r="141" spans="1:4">
      <c r="A141" s="154" t="s">
        <v>7731</v>
      </c>
      <c r="B141" t="s">
        <v>8287</v>
      </c>
      <c r="C141">
        <v>52.892000000000003</v>
      </c>
    </row>
    <row r="142" spans="1:4">
      <c r="A142" s="327" t="s">
        <v>7732</v>
      </c>
      <c r="B142" s="328" t="s">
        <v>8287</v>
      </c>
      <c r="C142" s="328">
        <v>50.747999999999998</v>
      </c>
    </row>
    <row r="143" spans="1:4">
      <c r="A143" s="154" t="s">
        <v>7732</v>
      </c>
      <c r="B143" t="s">
        <v>8287</v>
      </c>
      <c r="C143">
        <v>48.762</v>
      </c>
    </row>
    <row r="144" spans="1:4">
      <c r="A144" s="154" t="s">
        <v>7753</v>
      </c>
      <c r="B144" t="s">
        <v>8289</v>
      </c>
      <c r="C144">
        <v>42.485999999999997</v>
      </c>
      <c r="D144" s="154"/>
    </row>
    <row r="145" spans="1:6">
      <c r="A145" s="154" t="s">
        <v>7753</v>
      </c>
      <c r="B145" t="s">
        <v>8289</v>
      </c>
      <c r="C145">
        <v>48.76</v>
      </c>
      <c r="D145" s="154"/>
    </row>
    <row r="146" spans="1:6">
      <c r="A146" s="154" t="s">
        <v>7756</v>
      </c>
      <c r="B146" t="s">
        <v>8289</v>
      </c>
      <c r="C146">
        <v>47.698999999999998</v>
      </c>
      <c r="D146" s="154"/>
    </row>
    <row r="147" spans="1:6">
      <c r="A147" s="154" t="s">
        <v>7756</v>
      </c>
      <c r="B147" t="s">
        <v>8289</v>
      </c>
      <c r="C147">
        <v>48.406999999999996</v>
      </c>
      <c r="D147" s="154"/>
    </row>
    <row r="148" spans="1:6">
      <c r="A148" s="154" t="s">
        <v>7757</v>
      </c>
      <c r="B148" t="s">
        <v>8289</v>
      </c>
      <c r="C148"/>
      <c r="D148" s="154"/>
    </row>
    <row r="149" spans="1:6">
      <c r="A149" s="154" t="s">
        <v>7757</v>
      </c>
      <c r="B149" t="s">
        <v>8289</v>
      </c>
      <c r="C149">
        <v>48.194000000000003</v>
      </c>
      <c r="D149" s="154"/>
    </row>
    <row r="150" spans="1:6">
      <c r="A150" s="154" t="s">
        <v>7760</v>
      </c>
      <c r="B150" t="s">
        <v>8289</v>
      </c>
      <c r="C150">
        <v>45.302999999999997</v>
      </c>
      <c r="D150" s="327"/>
      <c r="E150" s="328"/>
      <c r="F150" s="328"/>
    </row>
    <row r="151" spans="1:6">
      <c r="A151" s="154" t="s">
        <v>7760</v>
      </c>
      <c r="B151" t="s">
        <v>8289</v>
      </c>
      <c r="C151">
        <v>44.134999999999998</v>
      </c>
      <c r="D151" s="154"/>
    </row>
    <row r="152" spans="1:6">
      <c r="A152" s="327" t="s">
        <v>7761</v>
      </c>
      <c r="B152" s="328" t="s">
        <v>8289</v>
      </c>
      <c r="C152" s="328">
        <v>46.686999999999998</v>
      </c>
      <c r="D152" s="327"/>
      <c r="E152" s="328"/>
      <c r="F152" s="328"/>
    </row>
    <row r="153" spans="1:6">
      <c r="A153" s="154" t="s">
        <v>7761</v>
      </c>
      <c r="B153" t="s">
        <v>8289</v>
      </c>
      <c r="C153">
        <v>49.942999999999998</v>
      </c>
      <c r="D153" s="154"/>
    </row>
    <row r="154" spans="1:6">
      <c r="A154" s="154" t="s">
        <v>7606</v>
      </c>
      <c r="B154" t="s">
        <v>8289</v>
      </c>
      <c r="C154">
        <v>39.496000000000002</v>
      </c>
      <c r="D154" s="327"/>
      <c r="E154" s="328"/>
      <c r="F154" s="328"/>
    </row>
    <row r="155" spans="1:6">
      <c r="A155" s="154" t="s">
        <v>7606</v>
      </c>
      <c r="B155" t="s">
        <v>8289</v>
      </c>
      <c r="C155">
        <v>47.691000000000003</v>
      </c>
      <c r="D155" s="154"/>
    </row>
    <row r="156" spans="1:6">
      <c r="A156" s="154" t="s">
        <v>7607</v>
      </c>
      <c r="B156" t="s">
        <v>8289</v>
      </c>
      <c r="C156">
        <v>44.606000000000002</v>
      </c>
      <c r="D156" s="154"/>
    </row>
    <row r="157" spans="1:6">
      <c r="A157" s="154" t="s">
        <v>7607</v>
      </c>
      <c r="B157" t="s">
        <v>8289</v>
      </c>
      <c r="C157">
        <v>45.847999999999999</v>
      </c>
      <c r="D157" s="154"/>
    </row>
    <row r="158" spans="1:6">
      <c r="A158" s="154" t="s">
        <v>7608</v>
      </c>
      <c r="B158" t="s">
        <v>8289</v>
      </c>
      <c r="C158">
        <v>44.789000000000001</v>
      </c>
      <c r="D158" s="327"/>
      <c r="E158" s="328"/>
      <c r="F158" s="328"/>
    </row>
    <row r="159" spans="1:6">
      <c r="A159" s="154" t="s">
        <v>7608</v>
      </c>
      <c r="B159" t="s">
        <v>8289</v>
      </c>
      <c r="C159">
        <v>49.042000000000002</v>
      </c>
      <c r="D159" s="154"/>
    </row>
    <row r="160" spans="1:6">
      <c r="A160" s="154" t="s">
        <v>7610</v>
      </c>
      <c r="B160" t="s">
        <v>8289</v>
      </c>
      <c r="C160">
        <v>47.968000000000004</v>
      </c>
      <c r="D160" s="154"/>
    </row>
    <row r="161" spans="1:6">
      <c r="A161" s="154" t="s">
        <v>7610</v>
      </c>
      <c r="B161" t="s">
        <v>8289</v>
      </c>
      <c r="C161">
        <v>48.838999999999999</v>
      </c>
      <c r="D161" s="154"/>
    </row>
    <row r="162" spans="1:6">
      <c r="A162" s="327" t="s">
        <v>7614</v>
      </c>
      <c r="B162" s="328" t="s">
        <v>8289</v>
      </c>
      <c r="C162" s="328">
        <v>44.277000000000001</v>
      </c>
      <c r="D162" s="327"/>
      <c r="E162" s="328"/>
      <c r="F162" s="328"/>
    </row>
    <row r="163" spans="1:6">
      <c r="A163" s="154" t="s">
        <v>7614</v>
      </c>
      <c r="B163" t="s">
        <v>8289</v>
      </c>
      <c r="C163">
        <v>46.423000000000002</v>
      </c>
      <c r="D163" s="154"/>
    </row>
    <row r="164" spans="1:6">
      <c r="A164" s="154" t="s">
        <v>7615</v>
      </c>
      <c r="B164" t="s">
        <v>8289</v>
      </c>
      <c r="C164">
        <v>48.966000000000001</v>
      </c>
      <c r="D164" s="154"/>
    </row>
    <row r="165" spans="1:6">
      <c r="A165" s="154" t="s">
        <v>7615</v>
      </c>
      <c r="B165" t="s">
        <v>8289</v>
      </c>
      <c r="C165">
        <v>49.177999999999997</v>
      </c>
      <c r="D165" s="154"/>
    </row>
    <row r="166" spans="1:6">
      <c r="A166" s="154" t="s">
        <v>7616</v>
      </c>
      <c r="B166" t="s">
        <v>8289</v>
      </c>
      <c r="C166">
        <v>50.854999999999997</v>
      </c>
      <c r="D166" s="154"/>
    </row>
    <row r="167" spans="1:6">
      <c r="A167" s="154" t="s">
        <v>7616</v>
      </c>
      <c r="B167" t="s">
        <v>8289</v>
      </c>
      <c r="C167">
        <v>49.970999999999997</v>
      </c>
      <c r="D167" s="154"/>
    </row>
    <row r="168" spans="1:6">
      <c r="A168" s="154" t="s">
        <v>7618</v>
      </c>
      <c r="B168" t="s">
        <v>8289</v>
      </c>
      <c r="C168">
        <v>43.024999999999999</v>
      </c>
      <c r="D168" s="154"/>
    </row>
    <row r="169" spans="1:6">
      <c r="A169" s="154" t="s">
        <v>7618</v>
      </c>
      <c r="B169" t="s">
        <v>8289</v>
      </c>
      <c r="C169">
        <v>48.683999999999997</v>
      </c>
      <c r="D169" s="154"/>
    </row>
    <row r="170" spans="1:6">
      <c r="A170" s="327" t="s">
        <v>7619</v>
      </c>
      <c r="B170" s="328" t="s">
        <v>8289</v>
      </c>
      <c r="C170" s="328">
        <v>48.351999999999997</v>
      </c>
      <c r="D170" s="154"/>
    </row>
    <row r="171" spans="1:6">
      <c r="A171" s="154" t="s">
        <v>7619</v>
      </c>
      <c r="B171" t="s">
        <v>8289</v>
      </c>
      <c r="C171">
        <v>47.807000000000002</v>
      </c>
      <c r="D171" s="154"/>
    </row>
    <row r="172" spans="1:6">
      <c r="A172" s="154" t="s">
        <v>7620</v>
      </c>
      <c r="B172" t="s">
        <v>8289</v>
      </c>
      <c r="C172">
        <v>48.134</v>
      </c>
      <c r="D172" s="154"/>
    </row>
    <row r="173" spans="1:6">
      <c r="A173" s="154" t="s">
        <v>7620</v>
      </c>
      <c r="B173" t="s">
        <v>8289</v>
      </c>
      <c r="C173">
        <v>48.750999999999998</v>
      </c>
      <c r="D173" s="154"/>
    </row>
    <row r="174" spans="1:6">
      <c r="A174" s="154" t="s">
        <v>7621</v>
      </c>
      <c r="B174" t="s">
        <v>8289</v>
      </c>
      <c r="C174">
        <v>45.890999999999998</v>
      </c>
      <c r="D174" s="154"/>
    </row>
    <row r="175" spans="1:6">
      <c r="A175" s="154" t="s">
        <v>7621</v>
      </c>
      <c r="B175" t="s">
        <v>8289</v>
      </c>
      <c r="C175">
        <v>44.859000000000002</v>
      </c>
      <c r="D175" s="154"/>
    </row>
    <row r="176" spans="1:6">
      <c r="A176" s="154" t="s">
        <v>7622</v>
      </c>
      <c r="B176" t="s">
        <v>8289</v>
      </c>
      <c r="C176">
        <v>49.744</v>
      </c>
      <c r="D176" s="154"/>
    </row>
    <row r="177" spans="1:6">
      <c r="A177" s="154" t="s">
        <v>7622</v>
      </c>
      <c r="B177" t="s">
        <v>8289</v>
      </c>
      <c r="C177">
        <v>49.896000000000001</v>
      </c>
      <c r="D177" s="154"/>
    </row>
    <row r="178" spans="1:6">
      <c r="A178" s="154" t="s">
        <v>7623</v>
      </c>
      <c r="B178" t="s">
        <v>8289</v>
      </c>
      <c r="C178">
        <v>50.993000000000002</v>
      </c>
      <c r="D178" s="154"/>
    </row>
    <row r="179" spans="1:6">
      <c r="A179" s="154" t="s">
        <v>7623</v>
      </c>
      <c r="B179" t="s">
        <v>8289</v>
      </c>
      <c r="C179">
        <v>46.052999999999997</v>
      </c>
      <c r="D179" s="154"/>
    </row>
    <row r="180" spans="1:6">
      <c r="A180" s="154" t="s">
        <v>7624</v>
      </c>
      <c r="B180" t="s">
        <v>8289</v>
      </c>
      <c r="C180">
        <v>47.411999999999999</v>
      </c>
      <c r="D180" s="327"/>
      <c r="E180" s="328"/>
      <c r="F180" s="328"/>
    </row>
    <row r="181" spans="1:6">
      <c r="A181" s="154" t="s">
        <v>7624</v>
      </c>
      <c r="B181" t="s">
        <v>8289</v>
      </c>
      <c r="C181">
        <v>47.201999999999998</v>
      </c>
      <c r="D181" s="154"/>
    </row>
    <row r="182" spans="1:6">
      <c r="A182" s="154" t="s">
        <v>7627</v>
      </c>
      <c r="B182" t="s">
        <v>8289</v>
      </c>
      <c r="C182">
        <v>46.174999999999997</v>
      </c>
      <c r="D182" s="154"/>
    </row>
    <row r="183" spans="1:6">
      <c r="A183" s="154" t="s">
        <v>7627</v>
      </c>
      <c r="B183" t="s">
        <v>8289</v>
      </c>
      <c r="C183">
        <v>46.597999999999999</v>
      </c>
      <c r="D183" s="154"/>
    </row>
    <row r="184" spans="1:6">
      <c r="A184" s="154" t="s">
        <v>7629</v>
      </c>
      <c r="B184" t="s">
        <v>8289</v>
      </c>
      <c r="C184">
        <v>45.082000000000001</v>
      </c>
      <c r="D184" s="154"/>
    </row>
    <row r="185" spans="1:6">
      <c r="A185" s="154" t="s">
        <v>7629</v>
      </c>
      <c r="B185" t="s">
        <v>8289</v>
      </c>
      <c r="C185">
        <v>48.66</v>
      </c>
      <c r="D185" s="154"/>
    </row>
    <row r="186" spans="1:6">
      <c r="A186" s="327" t="s">
        <v>7634</v>
      </c>
      <c r="B186" s="328" t="s">
        <v>8289</v>
      </c>
      <c r="C186" s="328">
        <v>47.125999999999998</v>
      </c>
      <c r="D186" s="154"/>
    </row>
    <row r="187" spans="1:6">
      <c r="A187" s="154" t="s">
        <v>7634</v>
      </c>
      <c r="B187" t="s">
        <v>8289</v>
      </c>
      <c r="C187">
        <v>49.247</v>
      </c>
      <c r="D187" s="154"/>
    </row>
    <row r="188" spans="1:6">
      <c r="A188" s="154" t="s">
        <v>7635</v>
      </c>
      <c r="B188" t="s">
        <v>8289</v>
      </c>
      <c r="C188">
        <v>46.881999999999998</v>
      </c>
      <c r="D188" s="327"/>
      <c r="E188" s="328"/>
      <c r="F188" s="328"/>
    </row>
    <row r="189" spans="1:6">
      <c r="A189" s="154" t="s">
        <v>7635</v>
      </c>
      <c r="B189" t="s">
        <v>8289</v>
      </c>
      <c r="C189">
        <v>49.469000000000001</v>
      </c>
      <c r="D189" s="154"/>
    </row>
    <row r="190" spans="1:6">
      <c r="A190" s="327" t="s">
        <v>7636</v>
      </c>
      <c r="B190" s="328" t="s">
        <v>8289</v>
      </c>
      <c r="C190" s="328">
        <v>51.366999999999997</v>
      </c>
      <c r="D190" s="154"/>
    </row>
    <row r="191" spans="1:6">
      <c r="A191" s="154" t="s">
        <v>7636</v>
      </c>
      <c r="B191" t="s">
        <v>8289</v>
      </c>
      <c r="C191">
        <v>46.904000000000003</v>
      </c>
      <c r="D191" s="154"/>
    </row>
    <row r="192" spans="1:6">
      <c r="A192" s="327" t="s">
        <v>7638</v>
      </c>
      <c r="B192" s="328" t="s">
        <v>8289</v>
      </c>
      <c r="C192" s="328">
        <v>41.787999999999997</v>
      </c>
      <c r="D192" s="154"/>
    </row>
    <row r="193" spans="1:6">
      <c r="A193" s="154" t="s">
        <v>7638</v>
      </c>
      <c r="B193" t="s">
        <v>8289</v>
      </c>
      <c r="C193">
        <v>45.04</v>
      </c>
      <c r="D193" s="154"/>
    </row>
    <row r="194" spans="1:6">
      <c r="A194" s="154" t="s">
        <v>7640</v>
      </c>
      <c r="B194" t="s">
        <v>8289</v>
      </c>
      <c r="C194">
        <v>45.686</v>
      </c>
      <c r="D194" s="327"/>
      <c r="E194" s="328"/>
      <c r="F194" s="328"/>
    </row>
    <row r="195" spans="1:6">
      <c r="A195" s="154" t="s">
        <v>7640</v>
      </c>
      <c r="B195" t="s">
        <v>8289</v>
      </c>
      <c r="C195">
        <v>47.018999999999998</v>
      </c>
      <c r="D195" s="154"/>
    </row>
    <row r="196" spans="1:6">
      <c r="A196" s="327" t="s">
        <v>7642</v>
      </c>
      <c r="B196" s="328" t="s">
        <v>8289</v>
      </c>
      <c r="C196" s="328">
        <v>47.841999999999999</v>
      </c>
      <c r="D196" s="327"/>
      <c r="E196" s="328"/>
      <c r="F196" s="328"/>
    </row>
    <row r="197" spans="1:6">
      <c r="A197" s="154" t="s">
        <v>7642</v>
      </c>
      <c r="B197" t="s">
        <v>8289</v>
      </c>
      <c r="C197">
        <v>47.595999999999997</v>
      </c>
      <c r="D197" s="154"/>
    </row>
    <row r="198" spans="1:6">
      <c r="A198" s="327" t="s">
        <v>7643</v>
      </c>
      <c r="B198" s="328" t="s">
        <v>8289</v>
      </c>
      <c r="C198" s="328">
        <v>47.116999999999997</v>
      </c>
      <c r="D198" s="154"/>
    </row>
    <row r="199" spans="1:6">
      <c r="A199" s="154" t="s">
        <v>7643</v>
      </c>
      <c r="B199" t="s">
        <v>8289</v>
      </c>
      <c r="C199">
        <v>46.933999999999997</v>
      </c>
      <c r="D199" s="154"/>
    </row>
    <row r="200" spans="1:6">
      <c r="A200" s="154" t="s">
        <v>7644</v>
      </c>
      <c r="B200" t="s">
        <v>8289</v>
      </c>
      <c r="C200">
        <v>42.966000000000001</v>
      </c>
      <c r="D200" s="154"/>
    </row>
    <row r="201" spans="1:6">
      <c r="A201" s="154" t="s">
        <v>7644</v>
      </c>
      <c r="B201" t="s">
        <v>8289</v>
      </c>
      <c r="C201">
        <v>44.680999999999997</v>
      </c>
      <c r="D201" s="154"/>
    </row>
    <row r="202" spans="1:6">
      <c r="A202" s="154" t="s">
        <v>7649</v>
      </c>
      <c r="B202" t="s">
        <v>8289</v>
      </c>
      <c r="C202">
        <v>42.57</v>
      </c>
      <c r="D202" s="154"/>
    </row>
    <row r="203" spans="1:6">
      <c r="A203" s="154" t="s">
        <v>7649</v>
      </c>
      <c r="B203" t="s">
        <v>8289</v>
      </c>
      <c r="C203">
        <v>44.698999999999998</v>
      </c>
      <c r="D203" s="154"/>
    </row>
    <row r="204" spans="1:6">
      <c r="A204" s="154" t="s">
        <v>7650</v>
      </c>
      <c r="B204" t="s">
        <v>8289</v>
      </c>
      <c r="C204">
        <v>45.006</v>
      </c>
      <c r="D204" s="327"/>
      <c r="E204" s="328"/>
      <c r="F204" s="328"/>
    </row>
    <row r="205" spans="1:6">
      <c r="A205" s="154" t="s">
        <v>7650</v>
      </c>
      <c r="B205" t="s">
        <v>8289</v>
      </c>
      <c r="C205">
        <v>44.383000000000003</v>
      </c>
      <c r="D205" s="154"/>
    </row>
    <row r="206" spans="1:6">
      <c r="A206" s="327" t="s">
        <v>7651</v>
      </c>
      <c r="B206" s="328" t="s">
        <v>8289</v>
      </c>
      <c r="C206" s="328"/>
      <c r="D206" s="154"/>
    </row>
    <row r="207" spans="1:6">
      <c r="A207" s="327" t="s">
        <v>7651</v>
      </c>
      <c r="B207" s="328" t="s">
        <v>8289</v>
      </c>
      <c r="C207" s="328">
        <v>44.116999999999997</v>
      </c>
      <c r="D207" s="154"/>
    </row>
    <row r="208" spans="1:6">
      <c r="A208" s="154" t="s">
        <v>7652</v>
      </c>
      <c r="B208" t="s">
        <v>8289</v>
      </c>
      <c r="C208">
        <v>47.625999999999998</v>
      </c>
      <c r="D208" s="154"/>
    </row>
    <row r="209" spans="1:6">
      <c r="A209" s="154" t="s">
        <v>7652</v>
      </c>
      <c r="B209" t="s">
        <v>8289</v>
      </c>
      <c r="C209">
        <v>49.392000000000003</v>
      </c>
      <c r="D209" s="154"/>
    </row>
    <row r="210" spans="1:6">
      <c r="A210" s="154" t="s">
        <v>7653</v>
      </c>
      <c r="B210" t="s">
        <v>8289</v>
      </c>
      <c r="C210">
        <v>43.555</v>
      </c>
      <c r="D210" s="327"/>
      <c r="E210" s="328"/>
      <c r="F210" s="328"/>
    </row>
    <row r="211" spans="1:6">
      <c r="A211" s="154" t="s">
        <v>7653</v>
      </c>
      <c r="B211" t="s">
        <v>8289</v>
      </c>
      <c r="C211">
        <v>49.064999999999998</v>
      </c>
      <c r="D211" s="154"/>
    </row>
    <row r="212" spans="1:6">
      <c r="A212" s="327" t="s">
        <v>7654</v>
      </c>
      <c r="B212" s="328" t="s">
        <v>8289</v>
      </c>
      <c r="C212" s="328">
        <v>39.863999999999997</v>
      </c>
      <c r="D212" s="327"/>
      <c r="E212" s="328"/>
      <c r="F212" s="328"/>
    </row>
    <row r="213" spans="1:6">
      <c r="A213" s="154" t="s">
        <v>7654</v>
      </c>
      <c r="B213" t="s">
        <v>8289</v>
      </c>
      <c r="C213">
        <v>46.241999999999997</v>
      </c>
      <c r="D213" s="154"/>
    </row>
    <row r="214" spans="1:6">
      <c r="A214" s="154" t="s">
        <v>7656</v>
      </c>
      <c r="B214" t="s">
        <v>8289</v>
      </c>
      <c r="C214">
        <v>48.753999999999998</v>
      </c>
      <c r="D214" s="327"/>
      <c r="E214" s="328"/>
      <c r="F214" s="328"/>
    </row>
    <row r="215" spans="1:6">
      <c r="A215" s="154" t="s">
        <v>7656</v>
      </c>
      <c r="B215" t="s">
        <v>8289</v>
      </c>
      <c r="C215">
        <v>47.616999999999997</v>
      </c>
      <c r="D215" s="154"/>
    </row>
    <row r="216" spans="1:6">
      <c r="A216" s="327" t="s">
        <v>7659</v>
      </c>
      <c r="B216" s="328" t="s">
        <v>8289</v>
      </c>
      <c r="C216" s="328">
        <v>46.475000000000001</v>
      </c>
      <c r="D216" s="154"/>
    </row>
    <row r="217" spans="1:6">
      <c r="A217" s="154" t="s">
        <v>7659</v>
      </c>
      <c r="B217" t="s">
        <v>8289</v>
      </c>
      <c r="C217">
        <v>49.485999999999997</v>
      </c>
      <c r="D217" s="154"/>
    </row>
    <row r="218" spans="1:6">
      <c r="A218" s="327" t="s">
        <v>7660</v>
      </c>
      <c r="B218" s="328" t="s">
        <v>8289</v>
      </c>
      <c r="C218" s="328"/>
      <c r="D218" s="327"/>
      <c r="E218" s="328"/>
      <c r="F218" s="328"/>
    </row>
    <row r="219" spans="1:6">
      <c r="A219" s="154" t="s">
        <v>7660</v>
      </c>
      <c r="B219" t="s">
        <v>8289</v>
      </c>
      <c r="C219">
        <v>45.790999999999997</v>
      </c>
      <c r="D219" s="154"/>
    </row>
    <row r="220" spans="1:6">
      <c r="A220" s="154" t="s">
        <v>7661</v>
      </c>
      <c r="B220" t="s">
        <v>8289</v>
      </c>
      <c r="C220">
        <v>44.268000000000001</v>
      </c>
      <c r="D220" s="327"/>
      <c r="E220" s="328"/>
      <c r="F220" s="328"/>
    </row>
    <row r="221" spans="1:6">
      <c r="A221" s="154" t="s">
        <v>7661</v>
      </c>
      <c r="B221" t="s">
        <v>8289</v>
      </c>
      <c r="C221">
        <v>47.496000000000002</v>
      </c>
      <c r="D221" s="154"/>
    </row>
    <row r="222" spans="1:6">
      <c r="A222" s="327" t="s">
        <v>7662</v>
      </c>
      <c r="B222" s="328" t="s">
        <v>8289</v>
      </c>
      <c r="C222" s="328">
        <v>44.814999999999998</v>
      </c>
      <c r="D222" s="154"/>
    </row>
    <row r="223" spans="1:6">
      <c r="A223" s="154" t="s">
        <v>7662</v>
      </c>
      <c r="B223" t="s">
        <v>8289</v>
      </c>
      <c r="C223">
        <v>49.95</v>
      </c>
      <c r="D223" s="154"/>
    </row>
    <row r="224" spans="1:6">
      <c r="A224" s="154" t="s">
        <v>7666</v>
      </c>
      <c r="B224" t="s">
        <v>8289</v>
      </c>
      <c r="C224">
        <v>47.424999999999997</v>
      </c>
      <c r="D224" s="154"/>
    </row>
    <row r="225" spans="1:6">
      <c r="A225" s="154" t="s">
        <v>7666</v>
      </c>
      <c r="B225" t="s">
        <v>8289</v>
      </c>
      <c r="C225">
        <v>49.481999999999999</v>
      </c>
      <c r="D225" s="154"/>
    </row>
    <row r="226" spans="1:6">
      <c r="A226" s="327" t="s">
        <v>7667</v>
      </c>
      <c r="B226" s="328" t="s">
        <v>8289</v>
      </c>
      <c r="C226" s="328">
        <v>45.533999999999999</v>
      </c>
      <c r="D226" s="327"/>
      <c r="E226" s="328"/>
      <c r="F226" s="328"/>
    </row>
    <row r="227" spans="1:6">
      <c r="A227" s="154" t="s">
        <v>7667</v>
      </c>
      <c r="B227" t="s">
        <v>8289</v>
      </c>
      <c r="C227">
        <v>44.167000000000002</v>
      </c>
      <c r="D227" s="154"/>
    </row>
    <row r="228" spans="1:6">
      <c r="A228" s="154" t="s">
        <v>7668</v>
      </c>
      <c r="B228" t="s">
        <v>8289</v>
      </c>
      <c r="C228">
        <v>48.82</v>
      </c>
      <c r="D228" s="154"/>
    </row>
    <row r="229" spans="1:6">
      <c r="A229" s="154" t="s">
        <v>7668</v>
      </c>
      <c r="B229" t="s">
        <v>8289</v>
      </c>
      <c r="C229">
        <v>49.45</v>
      </c>
      <c r="D229" s="154"/>
    </row>
    <row r="230" spans="1:6">
      <c r="A230" s="154" t="s">
        <v>7669</v>
      </c>
      <c r="B230" t="s">
        <v>8289</v>
      </c>
      <c r="C230">
        <v>48.353999999999999</v>
      </c>
      <c r="D230" s="327"/>
      <c r="E230" s="328"/>
      <c r="F230" s="328"/>
    </row>
    <row r="231" spans="1:6">
      <c r="A231" s="154" t="s">
        <v>7669</v>
      </c>
      <c r="B231" t="s">
        <v>8289</v>
      </c>
      <c r="C231">
        <v>47.734999999999999</v>
      </c>
      <c r="D231" s="154"/>
    </row>
    <row r="232" spans="1:6">
      <c r="A232" s="327" t="s">
        <v>7674</v>
      </c>
      <c r="B232" s="328" t="s">
        <v>8289</v>
      </c>
      <c r="C232" s="328">
        <v>48.999000000000002</v>
      </c>
      <c r="D232" s="154"/>
    </row>
    <row r="233" spans="1:6">
      <c r="A233" s="154" t="s">
        <v>7674</v>
      </c>
      <c r="B233" t="s">
        <v>8289</v>
      </c>
      <c r="C233">
        <v>47.418999999999997</v>
      </c>
      <c r="D233" s="154"/>
    </row>
    <row r="234" spans="1:6">
      <c r="A234" s="154" t="s">
        <v>7676</v>
      </c>
      <c r="B234" t="s">
        <v>8289</v>
      </c>
      <c r="C234">
        <v>42.506999999999998</v>
      </c>
      <c r="D234" s="154"/>
    </row>
    <row r="235" spans="1:6">
      <c r="A235" s="154" t="s">
        <v>7676</v>
      </c>
      <c r="B235" t="s">
        <v>8289</v>
      </c>
      <c r="C235">
        <v>46.362000000000002</v>
      </c>
      <c r="D235" s="154"/>
    </row>
    <row r="236" spans="1:6">
      <c r="A236" s="154" t="s">
        <v>7680</v>
      </c>
      <c r="B236" t="s">
        <v>8289</v>
      </c>
      <c r="C236">
        <v>48.731999999999999</v>
      </c>
      <c r="D236" s="154"/>
    </row>
    <row r="237" spans="1:6">
      <c r="A237" s="154" t="s">
        <v>7680</v>
      </c>
      <c r="B237" t="s">
        <v>8289</v>
      </c>
      <c r="C237">
        <v>50.08</v>
      </c>
      <c r="D237" s="154"/>
    </row>
    <row r="238" spans="1:6">
      <c r="A238" s="327" t="s">
        <v>7682</v>
      </c>
      <c r="B238" s="328" t="s">
        <v>8289</v>
      </c>
      <c r="C238" s="328">
        <v>46.277000000000001</v>
      </c>
      <c r="D238" s="154"/>
    </row>
    <row r="239" spans="1:6">
      <c r="A239" s="154" t="s">
        <v>7682</v>
      </c>
      <c r="B239" t="s">
        <v>8289</v>
      </c>
      <c r="C239">
        <v>46.344999999999999</v>
      </c>
      <c r="D239" s="154"/>
    </row>
    <row r="240" spans="1:6">
      <c r="A240" s="327" t="s">
        <v>7683</v>
      </c>
      <c r="B240" s="328" t="s">
        <v>8289</v>
      </c>
      <c r="C240" s="328">
        <v>44.552999999999997</v>
      </c>
      <c r="D240" s="154"/>
    </row>
    <row r="241" spans="1:6">
      <c r="A241" s="154" t="s">
        <v>7683</v>
      </c>
      <c r="B241" t="s">
        <v>8289</v>
      </c>
      <c r="C241">
        <v>48.396999999999998</v>
      </c>
      <c r="D241" s="154"/>
    </row>
    <row r="242" spans="1:6">
      <c r="A242" s="327" t="s">
        <v>7688</v>
      </c>
      <c r="B242" s="328" t="s">
        <v>8289</v>
      </c>
      <c r="C242" s="328">
        <v>39.316000000000003</v>
      </c>
      <c r="D242" s="154"/>
    </row>
    <row r="243" spans="1:6">
      <c r="A243" s="154" t="s">
        <v>7688</v>
      </c>
      <c r="B243" t="s">
        <v>8289</v>
      </c>
      <c r="C243">
        <v>48.570999999999998</v>
      </c>
      <c r="D243" s="154"/>
    </row>
    <row r="244" spans="1:6">
      <c r="A244" s="154" t="s">
        <v>7689</v>
      </c>
      <c r="B244" t="s">
        <v>8289</v>
      </c>
      <c r="C244">
        <v>37.142000000000003</v>
      </c>
      <c r="D244" s="327"/>
      <c r="E244" s="328"/>
      <c r="F244" s="328"/>
    </row>
    <row r="245" spans="1:6">
      <c r="A245" s="154" t="s">
        <v>7689</v>
      </c>
      <c r="B245" t="s">
        <v>8289</v>
      </c>
      <c r="C245">
        <v>46.975999999999999</v>
      </c>
      <c r="D245" s="327"/>
      <c r="E245" s="328"/>
      <c r="F245" s="328"/>
    </row>
    <row r="246" spans="1:6">
      <c r="A246" s="327" t="s">
        <v>7690</v>
      </c>
      <c r="B246" s="328" t="s">
        <v>8289</v>
      </c>
      <c r="C246" s="328">
        <v>46.042000000000002</v>
      </c>
      <c r="D246" s="154"/>
    </row>
    <row r="247" spans="1:6">
      <c r="A247" s="154" t="s">
        <v>7690</v>
      </c>
      <c r="B247" t="s">
        <v>8289</v>
      </c>
      <c r="C247">
        <v>50.537999999999997</v>
      </c>
      <c r="D247" s="154"/>
    </row>
    <row r="248" spans="1:6">
      <c r="A248" s="327" t="s">
        <v>7695</v>
      </c>
      <c r="B248" s="328" t="s">
        <v>8289</v>
      </c>
      <c r="C248" s="328">
        <v>43.484999999999999</v>
      </c>
      <c r="D248" s="327"/>
      <c r="E248" s="328"/>
      <c r="F248" s="328"/>
    </row>
    <row r="249" spans="1:6">
      <c r="A249" s="154" t="s">
        <v>7695</v>
      </c>
      <c r="B249" t="s">
        <v>8289</v>
      </c>
      <c r="C249">
        <v>46.786000000000001</v>
      </c>
      <c r="D249" s="154"/>
    </row>
    <row r="250" spans="1:6">
      <c r="A250" s="154" t="s">
        <v>7697</v>
      </c>
      <c r="B250" t="s">
        <v>8289</v>
      </c>
      <c r="C250">
        <v>49.311999999999998</v>
      </c>
      <c r="D250" s="154"/>
    </row>
    <row r="251" spans="1:6">
      <c r="A251" s="154" t="s">
        <v>7697</v>
      </c>
      <c r="B251" t="s">
        <v>8289</v>
      </c>
      <c r="C251">
        <v>48.466999999999999</v>
      </c>
      <c r="D251" s="154"/>
    </row>
    <row r="252" spans="1:6">
      <c r="A252" s="154" t="s">
        <v>7700</v>
      </c>
      <c r="B252" t="s">
        <v>8289</v>
      </c>
      <c r="C252">
        <v>47.290999999999997</v>
      </c>
      <c r="D252" s="154"/>
    </row>
    <row r="253" spans="1:6">
      <c r="A253" s="154" t="s">
        <v>7700</v>
      </c>
      <c r="B253" t="s">
        <v>8289</v>
      </c>
      <c r="C253">
        <v>47.988999999999997</v>
      </c>
      <c r="D253" s="154"/>
    </row>
    <row r="254" spans="1:6">
      <c r="A254" s="327" t="s">
        <v>7701</v>
      </c>
      <c r="B254" s="328" t="s">
        <v>8289</v>
      </c>
      <c r="C254" s="328">
        <v>44.451000000000001</v>
      </c>
      <c r="D254" s="154"/>
    </row>
    <row r="255" spans="1:6">
      <c r="A255" s="154" t="s">
        <v>7701</v>
      </c>
      <c r="B255" t="s">
        <v>8289</v>
      </c>
      <c r="C255">
        <v>47.322000000000003</v>
      </c>
      <c r="D255" s="154"/>
    </row>
    <row r="256" spans="1:6">
      <c r="A256" s="154" t="s">
        <v>7702</v>
      </c>
      <c r="B256" t="s">
        <v>8289</v>
      </c>
      <c r="C256">
        <v>47.109000000000002</v>
      </c>
      <c r="D256" s="154"/>
    </row>
    <row r="257" spans="1:6">
      <c r="A257" s="154" t="s">
        <v>7702</v>
      </c>
      <c r="B257" t="s">
        <v>8289</v>
      </c>
      <c r="C257">
        <v>48.707000000000001</v>
      </c>
      <c r="D257" s="154"/>
    </row>
    <row r="258" spans="1:6">
      <c r="A258" s="154" t="s">
        <v>7705</v>
      </c>
      <c r="B258" t="s">
        <v>8289</v>
      </c>
      <c r="C258">
        <v>43.604999999999997</v>
      </c>
      <c r="D258" s="327"/>
      <c r="E258" s="328"/>
      <c r="F258" s="328"/>
    </row>
    <row r="259" spans="1:6">
      <c r="A259" s="154" t="s">
        <v>7705</v>
      </c>
      <c r="B259" t="s">
        <v>8289</v>
      </c>
      <c r="C259">
        <v>45.527999999999999</v>
      </c>
      <c r="D259" s="154"/>
    </row>
    <row r="260" spans="1:6">
      <c r="A260" s="154" t="s">
        <v>7707</v>
      </c>
      <c r="B260" t="s">
        <v>8289</v>
      </c>
      <c r="C260">
        <v>40.152999999999999</v>
      </c>
      <c r="D260" s="327"/>
      <c r="E260" s="328"/>
      <c r="F260" s="328"/>
    </row>
    <row r="261" spans="1:6">
      <c r="A261" s="154" t="s">
        <v>7707</v>
      </c>
      <c r="B261" t="s">
        <v>8289</v>
      </c>
      <c r="C261">
        <v>48.613999999999997</v>
      </c>
      <c r="D261" s="154"/>
    </row>
    <row r="262" spans="1:6">
      <c r="A262" s="327" t="s">
        <v>7708</v>
      </c>
      <c r="B262" s="328" t="s">
        <v>8289</v>
      </c>
      <c r="C262" s="328">
        <v>44.444000000000003</v>
      </c>
      <c r="D262" s="154"/>
    </row>
    <row r="263" spans="1:6">
      <c r="A263" s="154" t="s">
        <v>7708</v>
      </c>
      <c r="B263" t="s">
        <v>8289</v>
      </c>
      <c r="C263">
        <v>47.64</v>
      </c>
      <c r="D263" s="154"/>
    </row>
    <row r="264" spans="1:6">
      <c r="A264" s="327" t="s">
        <v>7709</v>
      </c>
      <c r="B264" s="328" t="s">
        <v>8289</v>
      </c>
      <c r="C264" s="328">
        <v>45.834000000000003</v>
      </c>
      <c r="D264" s="154"/>
    </row>
    <row r="265" spans="1:6">
      <c r="A265" s="154" t="s">
        <v>7709</v>
      </c>
      <c r="B265" t="s">
        <v>8289</v>
      </c>
      <c r="C265">
        <v>46.722999999999999</v>
      </c>
      <c r="D265" s="154"/>
    </row>
    <row r="266" spans="1:6">
      <c r="A266" s="154" t="s">
        <v>7710</v>
      </c>
      <c r="B266" t="s">
        <v>8289</v>
      </c>
      <c r="C266">
        <v>43.277000000000001</v>
      </c>
      <c r="D266" s="327"/>
      <c r="E266" s="328"/>
      <c r="F266" s="328"/>
    </row>
    <row r="267" spans="1:6">
      <c r="A267" s="154" t="s">
        <v>7710</v>
      </c>
      <c r="B267" t="s">
        <v>8289</v>
      </c>
      <c r="C267">
        <v>45.838000000000001</v>
      </c>
      <c r="D267" s="154"/>
    </row>
    <row r="268" spans="1:6">
      <c r="A268" s="154" t="s">
        <v>7712</v>
      </c>
      <c r="B268" t="s">
        <v>8289</v>
      </c>
      <c r="C268">
        <v>49.179000000000002</v>
      </c>
      <c r="D268" s="154"/>
    </row>
    <row r="269" spans="1:6">
      <c r="A269" s="154" t="s">
        <v>7712</v>
      </c>
      <c r="B269" t="s">
        <v>8289</v>
      </c>
      <c r="C269">
        <v>49.587000000000003</v>
      </c>
      <c r="D269" s="154"/>
    </row>
    <row r="270" spans="1:6">
      <c r="A270" s="327" t="s">
        <v>7713</v>
      </c>
      <c r="B270" s="328" t="s">
        <v>8289</v>
      </c>
      <c r="C270" s="328">
        <v>49.136000000000003</v>
      </c>
      <c r="D270" s="154"/>
    </row>
    <row r="271" spans="1:6">
      <c r="A271" s="327" t="s">
        <v>7713</v>
      </c>
      <c r="B271" s="328" t="s">
        <v>8289</v>
      </c>
      <c r="C271" s="328">
        <v>46.668999999999997</v>
      </c>
      <c r="D271" s="154"/>
    </row>
    <row r="272" spans="1:6">
      <c r="A272" s="154" t="s">
        <v>7714</v>
      </c>
      <c r="B272" t="s">
        <v>8289</v>
      </c>
      <c r="C272">
        <v>46.356000000000002</v>
      </c>
      <c r="D272" s="154"/>
    </row>
    <row r="273" spans="1:6">
      <c r="A273" s="154" t="s">
        <v>7714</v>
      </c>
      <c r="B273" t="s">
        <v>8289</v>
      </c>
      <c r="C273">
        <v>50.274000000000001</v>
      </c>
      <c r="D273" s="154"/>
    </row>
    <row r="274" spans="1:6">
      <c r="A274" s="154" t="s">
        <v>7716</v>
      </c>
      <c r="B274" t="s">
        <v>8289</v>
      </c>
      <c r="C274">
        <v>49.439</v>
      </c>
      <c r="D274" s="154"/>
    </row>
    <row r="275" spans="1:6">
      <c r="A275" s="154" t="s">
        <v>7716</v>
      </c>
      <c r="B275" t="s">
        <v>8289</v>
      </c>
      <c r="C275">
        <v>48.095999999999997</v>
      </c>
      <c r="D275" s="154"/>
    </row>
    <row r="276" spans="1:6">
      <c r="A276" s="154" t="s">
        <v>7717</v>
      </c>
      <c r="B276" t="s">
        <v>8289</v>
      </c>
      <c r="C276">
        <v>46.09</v>
      </c>
      <c r="D276" s="154"/>
    </row>
    <row r="277" spans="1:6">
      <c r="A277" s="154" t="s">
        <v>7717</v>
      </c>
      <c r="B277" t="s">
        <v>8289</v>
      </c>
      <c r="C277">
        <v>47.899000000000001</v>
      </c>
      <c r="D277" s="154"/>
    </row>
    <row r="278" spans="1:6">
      <c r="A278" s="327" t="s">
        <v>7724</v>
      </c>
      <c r="B278" s="328" t="s">
        <v>8289</v>
      </c>
      <c r="C278" s="328">
        <v>45.338000000000001</v>
      </c>
      <c r="D278" s="154"/>
    </row>
    <row r="279" spans="1:6">
      <c r="A279" s="154" t="s">
        <v>7724</v>
      </c>
      <c r="B279" t="s">
        <v>8289</v>
      </c>
      <c r="C279">
        <v>47.451999999999998</v>
      </c>
      <c r="D279" s="154"/>
    </row>
    <row r="280" spans="1:6">
      <c r="A280" s="154" t="s">
        <v>7728</v>
      </c>
      <c r="B280" t="s">
        <v>8289</v>
      </c>
      <c r="C280">
        <v>44.981999999999999</v>
      </c>
      <c r="D280" s="327"/>
      <c r="E280" s="328"/>
      <c r="F280" s="328"/>
    </row>
    <row r="281" spans="1:6">
      <c r="A281" s="154" t="s">
        <v>7728</v>
      </c>
      <c r="B281" t="s">
        <v>8289</v>
      </c>
      <c r="C281">
        <v>52.521999999999998</v>
      </c>
      <c r="D281" s="154"/>
    </row>
    <row r="282" spans="1:6">
      <c r="A282" s="154" t="s">
        <v>7731</v>
      </c>
      <c r="B282" t="s">
        <v>8289</v>
      </c>
      <c r="C282">
        <v>48.031999999999996</v>
      </c>
      <c r="D282" s="154"/>
    </row>
    <row r="283" spans="1:6">
      <c r="A283" s="154" t="s">
        <v>7731</v>
      </c>
      <c r="B283" t="s">
        <v>8289</v>
      </c>
      <c r="C283">
        <v>47.744</v>
      </c>
      <c r="D283" s="154"/>
    </row>
    <row r="284" spans="1:6">
      <c r="A284" s="154" t="s">
        <v>7732</v>
      </c>
      <c r="B284" t="s">
        <v>8289</v>
      </c>
      <c r="C284">
        <v>35.177</v>
      </c>
    </row>
    <row r="285" spans="1:6">
      <c r="A285" s="154" t="s">
        <v>7732</v>
      </c>
      <c r="B285" t="s">
        <v>8289</v>
      </c>
      <c r="C285">
        <v>47.841999999999999</v>
      </c>
    </row>
  </sheetData>
  <sortState ref="M3:M71">
    <sortCondition ref="M3:M71"/>
  </sortState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5</vt:i4>
      </vt:variant>
    </vt:vector>
  </HeadingPairs>
  <TitlesOfParts>
    <vt:vector size="25" baseType="lpstr">
      <vt:lpstr>README</vt:lpstr>
      <vt:lpstr>Trial</vt:lpstr>
      <vt:lpstr>Site</vt:lpstr>
      <vt:lpstr>Contact</vt:lpstr>
      <vt:lpstr>Variable</vt:lpstr>
      <vt:lpstr>PlantMaterial</vt:lpstr>
      <vt:lpstr>Treatment</vt:lpstr>
      <vt:lpstr>Level</vt:lpstr>
      <vt:lpstr>Data</vt:lpstr>
      <vt:lpstr>Files</vt:lpstr>
      <vt:lpstr>ForestComplementaryInfo</vt:lpstr>
      <vt:lpstr>StaticData</vt:lpstr>
      <vt:lpstr>Meteo_Data</vt:lpstr>
      <vt:lpstr>Soil_data</vt:lpstr>
      <vt:lpstr>INN_Data</vt:lpstr>
      <vt:lpstr>Parcellaire_data</vt:lpstr>
      <vt:lpstr>ITK_data</vt:lpstr>
      <vt:lpstr>Feuil2</vt:lpstr>
      <vt:lpstr>Feuil4</vt:lpstr>
      <vt:lpstr>Feuil1</vt:lpstr>
      <vt:lpstr>HoldingInstitution</vt:lpstr>
      <vt:lpstr>InstitutionName</vt:lpstr>
      <vt:lpstr>ProjectAcronym</vt:lpstr>
      <vt:lpstr>SiteName</vt:lpstr>
      <vt:lpstr>TaxonScientificName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cmichotey</dc:creator>
  <cp:lastModifiedBy>Anne-Sophie Bouchet</cp:lastModifiedBy>
  <cp:revision>11</cp:revision>
  <cp:lastPrinted>1601-01-01T00:00:00Z</cp:lastPrinted>
  <dcterms:created xsi:type="dcterms:W3CDTF">2013-10-04T13:51:10Z</dcterms:created>
  <dcterms:modified xsi:type="dcterms:W3CDTF">2015-05-04T09:59:59Z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